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28-03-Aug\"/>
    </mc:Choice>
  </mc:AlternateContent>
  <xr:revisionPtr revIDLastSave="0" documentId="13_ncr:1_{58920AFA-E952-41BF-B3B8-AD0A23DBAFB9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  <sheet name="Milk Can" sheetId="10" r:id="rId7"/>
  </sheets>
  <definedNames>
    <definedName name="_xlnm._FilterDatabase" localSheetId="5" hidden="1">Data!$A$3:$W$1212</definedName>
    <definedName name="_xlnm._FilterDatabase" localSheetId="3" hidden="1">DSC_Master!$A$1:$Q$109</definedName>
    <definedName name="_xlnm._FilterDatabase" localSheetId="6" hidden="1">'Milk Can'!$A$1:$I$1</definedName>
    <definedName name="_xlnm._FilterDatabase" localSheetId="0" hidden="1">'MPG Payment'!$A$2:$AG$73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8"/>
    <pivotCache cacheId="1" r:id="rId9"/>
    <pivotCache cacheId="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4" l="1"/>
  <c r="E60" i="4"/>
  <c r="J60" i="4"/>
  <c r="P60" i="4"/>
  <c r="T60" i="4" a="1"/>
  <c r="T60" i="4" s="1"/>
  <c r="V60" i="4"/>
  <c r="X60" i="4" s="1"/>
  <c r="Z60" i="4" s="1"/>
  <c r="W60" i="4"/>
  <c r="AB60" i="4"/>
  <c r="AC60" i="4"/>
  <c r="AD60" i="4"/>
  <c r="AK60" i="4"/>
  <c r="M60" i="4" s="1"/>
  <c r="O60" i="4" s="1"/>
  <c r="Q60" i="4" s="1"/>
  <c r="AG60" i="4" s="1"/>
  <c r="D61" i="4"/>
  <c r="E61" i="4"/>
  <c r="J61" i="4"/>
  <c r="P61" i="4"/>
  <c r="T61" i="4" a="1"/>
  <c r="T61" i="4" s="1"/>
  <c r="V61" i="4"/>
  <c r="X61" i="4" s="1"/>
  <c r="Z61" i="4" s="1"/>
  <c r="W61" i="4"/>
  <c r="AB61" i="4"/>
  <c r="AC61" i="4"/>
  <c r="AD61" i="4"/>
  <c r="AK61" i="4"/>
  <c r="M61" i="4" s="1"/>
  <c r="D62" i="4"/>
  <c r="E62" i="4"/>
  <c r="J62" i="4"/>
  <c r="P62" i="4"/>
  <c r="T62" i="4" a="1"/>
  <c r="T62" i="4" s="1"/>
  <c r="V62" i="4"/>
  <c r="X62" i="4" s="1"/>
  <c r="Z62" i="4" s="1"/>
  <c r="W62" i="4"/>
  <c r="AB62" i="4"/>
  <c r="AC62" i="4"/>
  <c r="AD62" i="4"/>
  <c r="AK62" i="4"/>
  <c r="M62" i="4" s="1"/>
  <c r="O62" i="4" s="1"/>
  <c r="L1056" i="6"/>
  <c r="M1056" i="6"/>
  <c r="N1056" i="6"/>
  <c r="O1056" i="6"/>
  <c r="P1056" i="6"/>
  <c r="Q1056" i="6"/>
  <c r="R1056" i="6"/>
  <c r="T1056" i="6" s="1"/>
  <c r="U1056" i="6" s="1"/>
  <c r="V1056" i="6" s="1"/>
  <c r="W1056" i="6" s="1"/>
  <c r="S1056" i="6"/>
  <c r="L1057" i="6"/>
  <c r="M1057" i="6"/>
  <c r="N1057" i="6"/>
  <c r="O1057" i="6"/>
  <c r="P1057" i="6"/>
  <c r="Q1057" i="6"/>
  <c r="R1057" i="6"/>
  <c r="T1057" i="6" s="1"/>
  <c r="U1057" i="6" s="1"/>
  <c r="V1057" i="6" s="1"/>
  <c r="W1057" i="6" s="1"/>
  <c r="S1057" i="6"/>
  <c r="L1058" i="6"/>
  <c r="M1058" i="6"/>
  <c r="N1058" i="6"/>
  <c r="O1058" i="6"/>
  <c r="P1058" i="6"/>
  <c r="Q1058" i="6"/>
  <c r="R1058" i="6"/>
  <c r="T1058" i="6" s="1"/>
  <c r="S1058" i="6"/>
  <c r="U1058" i="6"/>
  <c r="V1058" i="6" s="1"/>
  <c r="W1058" i="6"/>
  <c r="L1059" i="6"/>
  <c r="M1059" i="6"/>
  <c r="N1059" i="6"/>
  <c r="O1059" i="6"/>
  <c r="P1059" i="6"/>
  <c r="Q1059" i="6"/>
  <c r="R1059" i="6"/>
  <c r="T1059" i="6" s="1"/>
  <c r="S1059" i="6"/>
  <c r="U1059" i="6"/>
  <c r="V1059" i="6"/>
  <c r="W1059" i="6" s="1"/>
  <c r="L1060" i="6"/>
  <c r="M1060" i="6"/>
  <c r="N1060" i="6"/>
  <c r="O1060" i="6"/>
  <c r="R1060" i="6" s="1"/>
  <c r="T1060" i="6" s="1"/>
  <c r="P1060" i="6"/>
  <c r="Q1060" i="6"/>
  <c r="S1060" i="6"/>
  <c r="U1060" i="6"/>
  <c r="V1060" i="6" s="1"/>
  <c r="W1060" i="6" s="1"/>
  <c r="L1061" i="6"/>
  <c r="M1061" i="6"/>
  <c r="N1061" i="6"/>
  <c r="O1061" i="6"/>
  <c r="R1061" i="6" s="1"/>
  <c r="T1061" i="6" s="1"/>
  <c r="U1061" i="6" s="1"/>
  <c r="V1061" i="6" s="1"/>
  <c r="W1061" i="6" s="1"/>
  <c r="P1061" i="6"/>
  <c r="Q1061" i="6" s="1"/>
  <c r="S1061" i="6"/>
  <c r="L1062" i="6"/>
  <c r="M1062" i="6"/>
  <c r="N1062" i="6"/>
  <c r="O1062" i="6"/>
  <c r="R1062" i="6" s="1"/>
  <c r="T1062" i="6" s="1"/>
  <c r="U1062" i="6" s="1"/>
  <c r="P1062" i="6"/>
  <c r="Q1062" i="6"/>
  <c r="S1062" i="6"/>
  <c r="V1062" i="6"/>
  <c r="W1062" i="6"/>
  <c r="L1063" i="6"/>
  <c r="M1063" i="6"/>
  <c r="N1063" i="6"/>
  <c r="O1063" i="6"/>
  <c r="R1063" i="6" s="1"/>
  <c r="T1063" i="6" s="1"/>
  <c r="U1063" i="6" s="1"/>
  <c r="V1063" i="6" s="1"/>
  <c r="W1063" i="6" s="1"/>
  <c r="P1063" i="6"/>
  <c r="Q1063" i="6"/>
  <c r="S1063" i="6"/>
  <c r="L1064" i="6"/>
  <c r="M1064" i="6"/>
  <c r="N1064" i="6"/>
  <c r="O1064" i="6"/>
  <c r="P1064" i="6"/>
  <c r="Q1064" i="6"/>
  <c r="R1064" i="6"/>
  <c r="T1064" i="6" s="1"/>
  <c r="U1064" i="6" s="1"/>
  <c r="V1064" i="6" s="1"/>
  <c r="S1064" i="6"/>
  <c r="W1064" i="6"/>
  <c r="L1065" i="6"/>
  <c r="M1065" i="6"/>
  <c r="N1065" i="6"/>
  <c r="O1065" i="6"/>
  <c r="R1065" i="6" s="1"/>
  <c r="T1065" i="6" s="1"/>
  <c r="U1065" i="6" s="1"/>
  <c r="V1065" i="6" s="1"/>
  <c r="W1065" i="6" s="1"/>
  <c r="P1065" i="6"/>
  <c r="Q1065" i="6"/>
  <c r="S1065" i="6"/>
  <c r="L1066" i="6"/>
  <c r="M1066" i="6"/>
  <c r="N1066" i="6"/>
  <c r="O1066" i="6"/>
  <c r="R1066" i="6" s="1"/>
  <c r="T1066" i="6" s="1"/>
  <c r="U1066" i="6" s="1"/>
  <c r="V1066" i="6" s="1"/>
  <c r="W1066" i="6" s="1"/>
  <c r="P1066" i="6"/>
  <c r="Q1066" i="6"/>
  <c r="S1066" i="6"/>
  <c r="L1067" i="6"/>
  <c r="M1067" i="6"/>
  <c r="N1067" i="6"/>
  <c r="O1067" i="6"/>
  <c r="R1067" i="6" s="1"/>
  <c r="T1067" i="6" s="1"/>
  <c r="P1067" i="6"/>
  <c r="Q1067" i="6"/>
  <c r="S1067" i="6"/>
  <c r="U1067" i="6"/>
  <c r="V1067" i="6" s="1"/>
  <c r="W1067" i="6" s="1"/>
  <c r="L1068" i="6"/>
  <c r="M1068" i="6"/>
  <c r="N1068" i="6"/>
  <c r="O1068" i="6"/>
  <c r="R1068" i="6" s="1"/>
  <c r="T1068" i="6" s="1"/>
  <c r="U1068" i="6" s="1"/>
  <c r="V1068" i="6" s="1"/>
  <c r="W1068" i="6" s="1"/>
  <c r="P1068" i="6"/>
  <c r="Q1068" i="6" s="1"/>
  <c r="S1068" i="6"/>
  <c r="L1069" i="6"/>
  <c r="M1069" i="6"/>
  <c r="N1069" i="6"/>
  <c r="O1069" i="6"/>
  <c r="P1069" i="6"/>
  <c r="Q1069" i="6"/>
  <c r="R1069" i="6"/>
  <c r="T1069" i="6" s="1"/>
  <c r="U1069" i="6" s="1"/>
  <c r="S1069" i="6"/>
  <c r="V1069" i="6"/>
  <c r="W1069" i="6"/>
  <c r="L1070" i="6"/>
  <c r="M1070" i="6"/>
  <c r="N1070" i="6"/>
  <c r="O1070" i="6"/>
  <c r="P1070" i="6"/>
  <c r="Q1070" i="6"/>
  <c r="R1070" i="6"/>
  <c r="T1070" i="6" s="1"/>
  <c r="U1070" i="6" s="1"/>
  <c r="V1070" i="6" s="1"/>
  <c r="W1070" i="6" s="1"/>
  <c r="S1070" i="6"/>
  <c r="L1071" i="6"/>
  <c r="M1071" i="6"/>
  <c r="N1071" i="6"/>
  <c r="O1071" i="6"/>
  <c r="P1071" i="6"/>
  <c r="Q1071" i="6"/>
  <c r="R1071" i="6"/>
  <c r="T1071" i="6" s="1"/>
  <c r="S1071" i="6"/>
  <c r="U1071" i="6"/>
  <c r="V1071" i="6"/>
  <c r="W1071" i="6" s="1"/>
  <c r="L1072" i="6"/>
  <c r="M1072" i="6"/>
  <c r="N1072" i="6"/>
  <c r="O1072" i="6"/>
  <c r="R1072" i="6" s="1"/>
  <c r="T1072" i="6" s="1"/>
  <c r="U1072" i="6" s="1"/>
  <c r="V1072" i="6" s="1"/>
  <c r="W1072" i="6" s="1"/>
  <c r="P1072" i="6"/>
  <c r="Q1072" i="6"/>
  <c r="S1072" i="6"/>
  <c r="L1073" i="6"/>
  <c r="M1073" i="6"/>
  <c r="N1073" i="6"/>
  <c r="O1073" i="6"/>
  <c r="R1073" i="6" s="1"/>
  <c r="T1073" i="6" s="1"/>
  <c r="U1073" i="6" s="1"/>
  <c r="V1073" i="6" s="1"/>
  <c r="P1073" i="6"/>
  <c r="Q1073" i="6" s="1"/>
  <c r="S1073" i="6"/>
  <c r="W1073" i="6"/>
  <c r="L1074" i="6"/>
  <c r="M1074" i="6"/>
  <c r="N1074" i="6"/>
  <c r="O1074" i="6"/>
  <c r="R1074" i="6" s="1"/>
  <c r="T1074" i="6" s="1"/>
  <c r="P1074" i="6"/>
  <c r="Q1074" i="6"/>
  <c r="S1074" i="6"/>
  <c r="U1074" i="6"/>
  <c r="V1074" i="6" s="1"/>
  <c r="W1074" i="6" s="1"/>
  <c r="L1075" i="6"/>
  <c r="M1075" i="6"/>
  <c r="N1075" i="6"/>
  <c r="O1075" i="6"/>
  <c r="R1075" i="6" s="1"/>
  <c r="T1075" i="6" s="1"/>
  <c r="U1075" i="6" s="1"/>
  <c r="V1075" i="6" s="1"/>
  <c r="W1075" i="6" s="1"/>
  <c r="P1075" i="6"/>
  <c r="Q1075" i="6" s="1"/>
  <c r="S1075" i="6"/>
  <c r="L1076" i="6"/>
  <c r="M1076" i="6"/>
  <c r="N1076" i="6"/>
  <c r="O1076" i="6"/>
  <c r="P1076" i="6"/>
  <c r="Q1076" i="6"/>
  <c r="R1076" i="6"/>
  <c r="T1076" i="6" s="1"/>
  <c r="U1076" i="6" s="1"/>
  <c r="V1076" i="6" s="1"/>
  <c r="W1076" i="6" s="1"/>
  <c r="S1076" i="6"/>
  <c r="L1077" i="6"/>
  <c r="M1077" i="6"/>
  <c r="N1077" i="6"/>
  <c r="O1077" i="6"/>
  <c r="P1077" i="6"/>
  <c r="Q1077" i="6"/>
  <c r="R1077" i="6"/>
  <c r="T1077" i="6" s="1"/>
  <c r="S1077" i="6"/>
  <c r="U1077" i="6"/>
  <c r="V1077" i="6" s="1"/>
  <c r="W1077" i="6" s="1"/>
  <c r="L1078" i="6"/>
  <c r="M1078" i="6"/>
  <c r="N1078" i="6"/>
  <c r="O1078" i="6"/>
  <c r="R1078" i="6" s="1"/>
  <c r="T1078" i="6" s="1"/>
  <c r="U1078" i="6" s="1"/>
  <c r="P1078" i="6"/>
  <c r="Q1078" i="6"/>
  <c r="S1078" i="6"/>
  <c r="V1078" i="6"/>
  <c r="W1078" i="6" s="1"/>
  <c r="L1079" i="6"/>
  <c r="M1079" i="6"/>
  <c r="N1079" i="6"/>
  <c r="O1079" i="6"/>
  <c r="P1079" i="6"/>
  <c r="Q1079" i="6" s="1"/>
  <c r="R1079" i="6"/>
  <c r="T1079" i="6" s="1"/>
  <c r="U1079" i="6" s="1"/>
  <c r="V1079" i="6" s="1"/>
  <c r="W1079" i="6" s="1"/>
  <c r="S1079" i="6"/>
  <c r="L1080" i="6"/>
  <c r="M1080" i="6"/>
  <c r="N1080" i="6"/>
  <c r="O1080" i="6"/>
  <c r="R1080" i="6" s="1"/>
  <c r="T1080" i="6" s="1"/>
  <c r="U1080" i="6" s="1"/>
  <c r="V1080" i="6" s="1"/>
  <c r="W1080" i="6" s="1"/>
  <c r="P1080" i="6"/>
  <c r="Q1080" i="6"/>
  <c r="S1080" i="6"/>
  <c r="L1081" i="6"/>
  <c r="M1081" i="6"/>
  <c r="N1081" i="6"/>
  <c r="O1081" i="6"/>
  <c r="P1081" i="6"/>
  <c r="Q1081" i="6" s="1"/>
  <c r="R1081" i="6"/>
  <c r="T1081" i="6" s="1"/>
  <c r="U1081" i="6" s="1"/>
  <c r="V1081" i="6" s="1"/>
  <c r="W1081" i="6" s="1"/>
  <c r="S1081" i="6"/>
  <c r="L1082" i="6"/>
  <c r="M1082" i="6"/>
  <c r="N1082" i="6"/>
  <c r="O1082" i="6"/>
  <c r="P1082" i="6"/>
  <c r="Q1082" i="6"/>
  <c r="R1082" i="6"/>
  <c r="T1082" i="6" s="1"/>
  <c r="S1082" i="6"/>
  <c r="U1082" i="6"/>
  <c r="V1082" i="6"/>
  <c r="W1082" i="6" s="1"/>
  <c r="L1083" i="6"/>
  <c r="M1083" i="6"/>
  <c r="N1083" i="6"/>
  <c r="O1083" i="6"/>
  <c r="P1083" i="6"/>
  <c r="Q1083" i="6"/>
  <c r="R1083" i="6"/>
  <c r="T1083" i="6" s="1"/>
  <c r="S1083" i="6"/>
  <c r="U1083" i="6"/>
  <c r="V1083" i="6"/>
  <c r="W1083" i="6"/>
  <c r="L1084" i="6"/>
  <c r="M1084" i="6"/>
  <c r="N1084" i="6"/>
  <c r="O1084" i="6"/>
  <c r="P1084" i="6"/>
  <c r="Q1084" i="6"/>
  <c r="R1084" i="6"/>
  <c r="T1084" i="6" s="1"/>
  <c r="U1084" i="6" s="1"/>
  <c r="S1084" i="6"/>
  <c r="V1084" i="6"/>
  <c r="W1084" i="6"/>
  <c r="L1085" i="6"/>
  <c r="M1085" i="6"/>
  <c r="N1085" i="6"/>
  <c r="O1085" i="6"/>
  <c r="R1085" i="6" s="1"/>
  <c r="T1085" i="6" s="1"/>
  <c r="P1085" i="6"/>
  <c r="Q1085" i="6" s="1"/>
  <c r="S1085" i="6"/>
  <c r="U1085" i="6"/>
  <c r="V1085" i="6" s="1"/>
  <c r="W1085" i="6" s="1"/>
  <c r="L1086" i="6"/>
  <c r="M1086" i="6"/>
  <c r="N1086" i="6"/>
  <c r="O1086" i="6"/>
  <c r="R1086" i="6" s="1"/>
  <c r="T1086" i="6" s="1"/>
  <c r="U1086" i="6" s="1"/>
  <c r="V1086" i="6" s="1"/>
  <c r="W1086" i="6" s="1"/>
  <c r="P1086" i="6"/>
  <c r="Q1086" i="6" s="1"/>
  <c r="S1086" i="6"/>
  <c r="L1087" i="6"/>
  <c r="M1087" i="6"/>
  <c r="N1087" i="6"/>
  <c r="O1087" i="6"/>
  <c r="P1087" i="6"/>
  <c r="Q1087" i="6"/>
  <c r="R1087" i="6"/>
  <c r="T1087" i="6" s="1"/>
  <c r="U1087" i="6" s="1"/>
  <c r="V1087" i="6" s="1"/>
  <c r="W1087" i="6" s="1"/>
  <c r="S1087" i="6"/>
  <c r="L1088" i="6"/>
  <c r="M1088" i="6"/>
  <c r="N1088" i="6"/>
  <c r="O1088" i="6"/>
  <c r="R1088" i="6" s="1"/>
  <c r="T1088" i="6" s="1"/>
  <c r="U1088" i="6" s="1"/>
  <c r="V1088" i="6" s="1"/>
  <c r="W1088" i="6" s="1"/>
  <c r="P1088" i="6"/>
  <c r="Q1088" i="6"/>
  <c r="S1088" i="6"/>
  <c r="L1089" i="6"/>
  <c r="M1089" i="6"/>
  <c r="N1089" i="6"/>
  <c r="O1089" i="6"/>
  <c r="R1089" i="6" s="1"/>
  <c r="T1089" i="6" s="1"/>
  <c r="U1089" i="6" s="1"/>
  <c r="V1089" i="6" s="1"/>
  <c r="W1089" i="6" s="1"/>
  <c r="P1089" i="6"/>
  <c r="Q1089" i="6" s="1"/>
  <c r="S1089" i="6"/>
  <c r="L1090" i="6"/>
  <c r="M1090" i="6"/>
  <c r="N1090" i="6"/>
  <c r="O1090" i="6"/>
  <c r="P1090" i="6"/>
  <c r="Q1090" i="6"/>
  <c r="R1090" i="6"/>
  <c r="T1090" i="6" s="1"/>
  <c r="U1090" i="6" s="1"/>
  <c r="V1090" i="6" s="1"/>
  <c r="W1090" i="6" s="1"/>
  <c r="S1090" i="6"/>
  <c r="L1091" i="6"/>
  <c r="M1091" i="6"/>
  <c r="N1091" i="6"/>
  <c r="O1091" i="6"/>
  <c r="R1091" i="6" s="1"/>
  <c r="T1091" i="6" s="1"/>
  <c r="P1091" i="6"/>
  <c r="Q1091" i="6" s="1"/>
  <c r="S1091" i="6"/>
  <c r="U1091" i="6"/>
  <c r="V1091" i="6"/>
  <c r="W1091" i="6"/>
  <c r="L1092" i="6"/>
  <c r="M1092" i="6"/>
  <c r="N1092" i="6"/>
  <c r="O1092" i="6"/>
  <c r="R1092" i="6" s="1"/>
  <c r="T1092" i="6" s="1"/>
  <c r="U1092" i="6" s="1"/>
  <c r="V1092" i="6" s="1"/>
  <c r="W1092" i="6" s="1"/>
  <c r="P1092" i="6"/>
  <c r="Q1092" i="6" s="1"/>
  <c r="S1092" i="6"/>
  <c r="L1093" i="6"/>
  <c r="M1093" i="6"/>
  <c r="N1093" i="6"/>
  <c r="O1093" i="6"/>
  <c r="P1093" i="6"/>
  <c r="Q1093" i="6"/>
  <c r="R1093" i="6"/>
  <c r="T1093" i="6" s="1"/>
  <c r="U1093" i="6" s="1"/>
  <c r="V1093" i="6" s="1"/>
  <c r="W1093" i="6" s="1"/>
  <c r="S1093" i="6"/>
  <c r="L1094" i="6"/>
  <c r="M1094" i="6"/>
  <c r="N1094" i="6"/>
  <c r="O1094" i="6"/>
  <c r="P1094" i="6"/>
  <c r="Q1094" i="6"/>
  <c r="R1094" i="6"/>
  <c r="T1094" i="6" s="1"/>
  <c r="U1094" i="6" s="1"/>
  <c r="V1094" i="6" s="1"/>
  <c r="W1094" i="6" s="1"/>
  <c r="S1094" i="6"/>
  <c r="L1095" i="6"/>
  <c r="M1095" i="6"/>
  <c r="N1095" i="6"/>
  <c r="O1095" i="6"/>
  <c r="P1095" i="6"/>
  <c r="Q1095" i="6"/>
  <c r="R1095" i="6"/>
  <c r="T1095" i="6" s="1"/>
  <c r="S1095" i="6"/>
  <c r="U1095" i="6"/>
  <c r="V1095" i="6" s="1"/>
  <c r="W1095" i="6" s="1"/>
  <c r="L1096" i="6"/>
  <c r="M1096" i="6"/>
  <c r="N1096" i="6"/>
  <c r="O1096" i="6"/>
  <c r="R1096" i="6" s="1"/>
  <c r="T1096" i="6" s="1"/>
  <c r="U1096" i="6" s="1"/>
  <c r="V1096" i="6" s="1"/>
  <c r="W1096" i="6" s="1"/>
  <c r="P1096" i="6"/>
  <c r="Q1096" i="6"/>
  <c r="S1096" i="6"/>
  <c r="L1097" i="6"/>
  <c r="M1097" i="6"/>
  <c r="N1097" i="6"/>
  <c r="O1097" i="6"/>
  <c r="R1097" i="6" s="1"/>
  <c r="T1097" i="6" s="1"/>
  <c r="U1097" i="6" s="1"/>
  <c r="P1097" i="6"/>
  <c r="Q1097" i="6" s="1"/>
  <c r="S1097" i="6"/>
  <c r="V1097" i="6"/>
  <c r="W1097" i="6"/>
  <c r="L1098" i="6"/>
  <c r="M1098" i="6"/>
  <c r="N1098" i="6"/>
  <c r="O1098" i="6"/>
  <c r="R1098" i="6" s="1"/>
  <c r="T1098" i="6" s="1"/>
  <c r="P1098" i="6"/>
  <c r="Q1098" i="6"/>
  <c r="S1098" i="6"/>
  <c r="U1098" i="6"/>
  <c r="V1098" i="6" s="1"/>
  <c r="W1098" i="6" s="1"/>
  <c r="L1099" i="6"/>
  <c r="M1099" i="6"/>
  <c r="N1099" i="6"/>
  <c r="O1099" i="6"/>
  <c r="R1099" i="6" s="1"/>
  <c r="T1099" i="6" s="1"/>
  <c r="U1099" i="6" s="1"/>
  <c r="P1099" i="6"/>
  <c r="Q1099" i="6"/>
  <c r="S1099" i="6"/>
  <c r="V1099" i="6"/>
  <c r="W1099" i="6"/>
  <c r="L1100" i="6"/>
  <c r="M1100" i="6"/>
  <c r="N1100" i="6"/>
  <c r="O1100" i="6"/>
  <c r="R1100" i="6" s="1"/>
  <c r="T1100" i="6" s="1"/>
  <c r="U1100" i="6" s="1"/>
  <c r="V1100" i="6" s="1"/>
  <c r="W1100" i="6" s="1"/>
  <c r="P1100" i="6"/>
  <c r="Q1100" i="6"/>
  <c r="S1100" i="6"/>
  <c r="L1101" i="6"/>
  <c r="M1101" i="6"/>
  <c r="N1101" i="6"/>
  <c r="O1101" i="6"/>
  <c r="P1101" i="6"/>
  <c r="Q1101" i="6"/>
  <c r="R1101" i="6"/>
  <c r="T1101" i="6" s="1"/>
  <c r="S1101" i="6"/>
  <c r="U1101" i="6"/>
  <c r="V1101" i="6" s="1"/>
  <c r="W1101" i="6" s="1"/>
  <c r="L1102" i="6"/>
  <c r="M1102" i="6"/>
  <c r="N1102" i="6"/>
  <c r="O1102" i="6"/>
  <c r="P1102" i="6"/>
  <c r="Q1102" i="6"/>
  <c r="R1102" i="6"/>
  <c r="T1102" i="6" s="1"/>
  <c r="S1102" i="6"/>
  <c r="U1102" i="6"/>
  <c r="V1102" i="6" s="1"/>
  <c r="W1102" i="6" s="1"/>
  <c r="L1103" i="6"/>
  <c r="M1103" i="6"/>
  <c r="N1103" i="6"/>
  <c r="O1103" i="6"/>
  <c r="P1103" i="6"/>
  <c r="Q1103" i="6"/>
  <c r="R1103" i="6"/>
  <c r="T1103" i="6" s="1"/>
  <c r="S1103" i="6"/>
  <c r="U1103" i="6"/>
  <c r="V1103" i="6" s="1"/>
  <c r="W1103" i="6"/>
  <c r="L1104" i="6"/>
  <c r="M1104" i="6"/>
  <c r="N1104" i="6"/>
  <c r="O1104" i="6"/>
  <c r="P1104" i="6"/>
  <c r="Q1104" i="6"/>
  <c r="R1104" i="6"/>
  <c r="T1104" i="6" s="1"/>
  <c r="U1104" i="6" s="1"/>
  <c r="V1104" i="6" s="1"/>
  <c r="W1104" i="6" s="1"/>
  <c r="S1104" i="6"/>
  <c r="L1105" i="6"/>
  <c r="M1105" i="6"/>
  <c r="N1105" i="6"/>
  <c r="O1105" i="6"/>
  <c r="R1105" i="6" s="1"/>
  <c r="T1105" i="6" s="1"/>
  <c r="P1105" i="6"/>
  <c r="Q1105" i="6"/>
  <c r="S1105" i="6"/>
  <c r="U1105" i="6"/>
  <c r="V1105" i="6" s="1"/>
  <c r="W1105" i="6" s="1"/>
  <c r="L1106" i="6"/>
  <c r="M1106" i="6"/>
  <c r="N1106" i="6"/>
  <c r="O1106" i="6"/>
  <c r="P1106" i="6"/>
  <c r="Q1106" i="6" s="1"/>
  <c r="R1106" i="6"/>
  <c r="T1106" i="6" s="1"/>
  <c r="S1106" i="6"/>
  <c r="U1106" i="6"/>
  <c r="V1106" i="6"/>
  <c r="W1106" i="6"/>
  <c r="L1107" i="6"/>
  <c r="M1107" i="6"/>
  <c r="N1107" i="6"/>
  <c r="O1107" i="6"/>
  <c r="P1107" i="6"/>
  <c r="Q1107" i="6"/>
  <c r="R1107" i="6"/>
  <c r="T1107" i="6" s="1"/>
  <c r="S1107" i="6"/>
  <c r="U1107" i="6"/>
  <c r="V1107" i="6"/>
  <c r="W1107" i="6"/>
  <c r="L1108" i="6"/>
  <c r="M1108" i="6"/>
  <c r="N1108" i="6"/>
  <c r="O1108" i="6"/>
  <c r="P1108" i="6"/>
  <c r="Q1108" i="6"/>
  <c r="R1108" i="6"/>
  <c r="T1108" i="6" s="1"/>
  <c r="U1108" i="6" s="1"/>
  <c r="V1108" i="6" s="1"/>
  <c r="W1108" i="6" s="1"/>
  <c r="S1108" i="6"/>
  <c r="L1109" i="6"/>
  <c r="M1109" i="6"/>
  <c r="N1109" i="6"/>
  <c r="O1109" i="6"/>
  <c r="R1109" i="6" s="1"/>
  <c r="T1109" i="6" s="1"/>
  <c r="P1109" i="6"/>
  <c r="Q1109" i="6" s="1"/>
  <c r="S1109" i="6"/>
  <c r="U1109" i="6"/>
  <c r="V1109" i="6"/>
  <c r="W1109" i="6" s="1"/>
  <c r="L1110" i="6"/>
  <c r="M1110" i="6"/>
  <c r="N1110" i="6"/>
  <c r="O1110" i="6"/>
  <c r="R1110" i="6" s="1"/>
  <c r="T1110" i="6" s="1"/>
  <c r="P1110" i="6"/>
  <c r="Q1110" i="6"/>
  <c r="S1110" i="6"/>
  <c r="U1110" i="6"/>
  <c r="V1110" i="6" s="1"/>
  <c r="W1110" i="6" s="1"/>
  <c r="L1111" i="6"/>
  <c r="M1111" i="6"/>
  <c r="N1111" i="6"/>
  <c r="O1111" i="6"/>
  <c r="P1111" i="6"/>
  <c r="Q1111" i="6" s="1"/>
  <c r="R1111" i="6"/>
  <c r="T1111" i="6" s="1"/>
  <c r="U1111" i="6" s="1"/>
  <c r="V1111" i="6" s="1"/>
  <c r="S1111" i="6"/>
  <c r="W1111" i="6"/>
  <c r="L1112" i="6"/>
  <c r="M1112" i="6"/>
  <c r="N1112" i="6"/>
  <c r="O1112" i="6"/>
  <c r="P1112" i="6"/>
  <c r="Q1112" i="6"/>
  <c r="R1112" i="6"/>
  <c r="T1112" i="6" s="1"/>
  <c r="U1112" i="6" s="1"/>
  <c r="V1112" i="6" s="1"/>
  <c r="S1112" i="6"/>
  <c r="W1112" i="6"/>
  <c r="L1113" i="6"/>
  <c r="M1113" i="6"/>
  <c r="N1113" i="6"/>
  <c r="O1113" i="6"/>
  <c r="R1113" i="6" s="1"/>
  <c r="T1113" i="6" s="1"/>
  <c r="U1113" i="6" s="1"/>
  <c r="V1113" i="6" s="1"/>
  <c r="W1113" i="6" s="1"/>
  <c r="P1113" i="6"/>
  <c r="Q1113" i="6" s="1"/>
  <c r="S1113" i="6"/>
  <c r="L1114" i="6"/>
  <c r="M1114" i="6"/>
  <c r="N1114" i="6"/>
  <c r="O1114" i="6"/>
  <c r="R1114" i="6" s="1"/>
  <c r="T1114" i="6" s="1"/>
  <c r="U1114" i="6" s="1"/>
  <c r="V1114" i="6" s="1"/>
  <c r="W1114" i="6" s="1"/>
  <c r="P1114" i="6"/>
  <c r="Q1114" i="6"/>
  <c r="S1114" i="6"/>
  <c r="L1115" i="6"/>
  <c r="M1115" i="6"/>
  <c r="N1115" i="6"/>
  <c r="O1115" i="6"/>
  <c r="R1115" i="6" s="1"/>
  <c r="T1115" i="6" s="1"/>
  <c r="P1115" i="6"/>
  <c r="Q1115" i="6"/>
  <c r="S1115" i="6"/>
  <c r="U1115" i="6"/>
  <c r="V1115" i="6" s="1"/>
  <c r="W1115" i="6" s="1"/>
  <c r="L1116" i="6"/>
  <c r="M1116" i="6"/>
  <c r="N1116" i="6"/>
  <c r="O1116" i="6"/>
  <c r="P1116" i="6"/>
  <c r="Q1116" i="6"/>
  <c r="R1116" i="6"/>
  <c r="T1116" i="6" s="1"/>
  <c r="S1116" i="6"/>
  <c r="U1116" i="6"/>
  <c r="V1116" i="6" s="1"/>
  <c r="W1116" i="6" s="1"/>
  <c r="L1117" i="6"/>
  <c r="M1117" i="6"/>
  <c r="N1117" i="6"/>
  <c r="O1117" i="6"/>
  <c r="P1117" i="6"/>
  <c r="Q1117" i="6"/>
  <c r="R1117" i="6"/>
  <c r="T1117" i="6" s="1"/>
  <c r="U1117" i="6" s="1"/>
  <c r="S1117" i="6"/>
  <c r="V1117" i="6"/>
  <c r="W1117" i="6"/>
  <c r="L1118" i="6"/>
  <c r="M1118" i="6"/>
  <c r="N1118" i="6"/>
  <c r="O1118" i="6"/>
  <c r="P1118" i="6"/>
  <c r="Q1118" i="6"/>
  <c r="R1118" i="6"/>
  <c r="T1118" i="6" s="1"/>
  <c r="S1118" i="6"/>
  <c r="U1118" i="6"/>
  <c r="V1118" i="6" s="1"/>
  <c r="W1118" i="6"/>
  <c r="L1119" i="6"/>
  <c r="M1119" i="6"/>
  <c r="N1119" i="6"/>
  <c r="O1119" i="6"/>
  <c r="P1119" i="6"/>
  <c r="Q1119" i="6"/>
  <c r="R1119" i="6"/>
  <c r="T1119" i="6" s="1"/>
  <c r="U1119" i="6" s="1"/>
  <c r="V1119" i="6" s="1"/>
  <c r="W1119" i="6" s="1"/>
  <c r="S1119" i="6"/>
  <c r="L1120" i="6"/>
  <c r="M1120" i="6"/>
  <c r="N1120" i="6"/>
  <c r="O1120" i="6"/>
  <c r="R1120" i="6" s="1"/>
  <c r="T1120" i="6" s="1"/>
  <c r="P1120" i="6"/>
  <c r="Q1120" i="6"/>
  <c r="S1120" i="6"/>
  <c r="U1120" i="6"/>
  <c r="V1120" i="6"/>
  <c r="W1120" i="6" s="1"/>
  <c r="L1121" i="6"/>
  <c r="M1121" i="6"/>
  <c r="N1121" i="6"/>
  <c r="O1121" i="6"/>
  <c r="R1121" i="6" s="1"/>
  <c r="T1121" i="6" s="1"/>
  <c r="U1121" i="6" s="1"/>
  <c r="P1121" i="6"/>
  <c r="Q1121" i="6" s="1"/>
  <c r="S1121" i="6"/>
  <c r="V1121" i="6"/>
  <c r="W1121" i="6" s="1"/>
  <c r="L1122" i="6"/>
  <c r="M1122" i="6"/>
  <c r="N1122" i="6"/>
  <c r="O1122" i="6"/>
  <c r="R1122" i="6" s="1"/>
  <c r="T1122" i="6" s="1"/>
  <c r="U1122" i="6" s="1"/>
  <c r="V1122" i="6" s="1"/>
  <c r="W1122" i="6" s="1"/>
  <c r="P1122" i="6"/>
  <c r="Q1122" i="6"/>
  <c r="S1122" i="6"/>
  <c r="L1123" i="6"/>
  <c r="M1123" i="6"/>
  <c r="N1123" i="6"/>
  <c r="O1123" i="6"/>
  <c r="P1123" i="6"/>
  <c r="Q1123" i="6"/>
  <c r="R1123" i="6"/>
  <c r="T1123" i="6" s="1"/>
  <c r="U1123" i="6" s="1"/>
  <c r="V1123" i="6" s="1"/>
  <c r="W1123" i="6" s="1"/>
  <c r="S1123" i="6"/>
  <c r="L1124" i="6"/>
  <c r="M1124" i="6"/>
  <c r="N1124" i="6"/>
  <c r="O1124" i="6"/>
  <c r="P1124" i="6"/>
  <c r="Q1124" i="6" s="1"/>
  <c r="R1124" i="6"/>
  <c r="T1124" i="6" s="1"/>
  <c r="U1124" i="6" s="1"/>
  <c r="V1124" i="6" s="1"/>
  <c r="W1124" i="6" s="1"/>
  <c r="S1124" i="6"/>
  <c r="L1125" i="6"/>
  <c r="M1125" i="6"/>
  <c r="N1125" i="6"/>
  <c r="O1125" i="6"/>
  <c r="P1125" i="6"/>
  <c r="Q1125" i="6"/>
  <c r="R1125" i="6"/>
  <c r="T1125" i="6" s="1"/>
  <c r="S1125" i="6"/>
  <c r="U1125" i="6"/>
  <c r="V1125" i="6" s="1"/>
  <c r="W1125" i="6" s="1"/>
  <c r="L1126" i="6"/>
  <c r="M1126" i="6"/>
  <c r="N1126" i="6"/>
  <c r="O1126" i="6"/>
  <c r="P1126" i="6"/>
  <c r="Q1126" i="6"/>
  <c r="R1126" i="6"/>
  <c r="T1126" i="6" s="1"/>
  <c r="S1126" i="6"/>
  <c r="U1126" i="6"/>
  <c r="V1126" i="6" s="1"/>
  <c r="W1126" i="6" s="1"/>
  <c r="L1127" i="6"/>
  <c r="M1127" i="6"/>
  <c r="N1127" i="6"/>
  <c r="O1127" i="6"/>
  <c r="R1127" i="6" s="1"/>
  <c r="T1127" i="6" s="1"/>
  <c r="P1127" i="6"/>
  <c r="Q1127" i="6"/>
  <c r="S1127" i="6"/>
  <c r="U1127" i="6"/>
  <c r="V1127" i="6" s="1"/>
  <c r="W1127" i="6" s="1"/>
  <c r="L1128" i="6"/>
  <c r="M1128" i="6"/>
  <c r="N1128" i="6"/>
  <c r="O1128" i="6"/>
  <c r="R1128" i="6" s="1"/>
  <c r="T1128" i="6" s="1"/>
  <c r="U1128" i="6" s="1"/>
  <c r="V1128" i="6" s="1"/>
  <c r="W1128" i="6" s="1"/>
  <c r="P1128" i="6"/>
  <c r="Q1128" i="6" s="1"/>
  <c r="S1128" i="6"/>
  <c r="L1129" i="6"/>
  <c r="M1129" i="6"/>
  <c r="N1129" i="6"/>
  <c r="O1129" i="6"/>
  <c r="R1129" i="6" s="1"/>
  <c r="T1129" i="6" s="1"/>
  <c r="U1129" i="6" s="1"/>
  <c r="P1129" i="6"/>
  <c r="Q1129" i="6"/>
  <c r="S1129" i="6"/>
  <c r="V1129" i="6"/>
  <c r="W1129" i="6" s="1"/>
  <c r="L1130" i="6"/>
  <c r="M1130" i="6"/>
  <c r="N1130" i="6"/>
  <c r="O1130" i="6"/>
  <c r="R1130" i="6" s="1"/>
  <c r="T1130" i="6" s="1"/>
  <c r="U1130" i="6" s="1"/>
  <c r="V1130" i="6" s="1"/>
  <c r="W1130" i="6" s="1"/>
  <c r="P1130" i="6"/>
  <c r="Q1130" i="6"/>
  <c r="S1130" i="6"/>
  <c r="L1131" i="6"/>
  <c r="M1131" i="6"/>
  <c r="N1131" i="6"/>
  <c r="O1131" i="6"/>
  <c r="P1131" i="6"/>
  <c r="Q1131" i="6"/>
  <c r="R1131" i="6"/>
  <c r="T1131" i="6" s="1"/>
  <c r="U1131" i="6" s="1"/>
  <c r="V1131" i="6" s="1"/>
  <c r="W1131" i="6" s="1"/>
  <c r="S1131" i="6"/>
  <c r="L1132" i="6"/>
  <c r="M1132" i="6"/>
  <c r="N1132" i="6"/>
  <c r="O1132" i="6"/>
  <c r="R1132" i="6" s="1"/>
  <c r="T1132" i="6" s="1"/>
  <c r="U1132" i="6" s="1"/>
  <c r="V1132" i="6" s="1"/>
  <c r="W1132" i="6" s="1"/>
  <c r="P1132" i="6"/>
  <c r="Q1132" i="6"/>
  <c r="S1132" i="6"/>
  <c r="L1133" i="6"/>
  <c r="M1133" i="6"/>
  <c r="N1133" i="6"/>
  <c r="O1133" i="6"/>
  <c r="R1133" i="6" s="1"/>
  <c r="T1133" i="6" s="1"/>
  <c r="P1133" i="6"/>
  <c r="Q1133" i="6" s="1"/>
  <c r="S1133" i="6"/>
  <c r="U1133" i="6"/>
  <c r="V1133" i="6"/>
  <c r="W1133" i="6" s="1"/>
  <c r="L1134" i="6"/>
  <c r="M1134" i="6"/>
  <c r="N1134" i="6"/>
  <c r="O1134" i="6"/>
  <c r="R1134" i="6" s="1"/>
  <c r="T1134" i="6" s="1"/>
  <c r="U1134" i="6" s="1"/>
  <c r="V1134" i="6" s="1"/>
  <c r="W1134" i="6" s="1"/>
  <c r="P1134" i="6"/>
  <c r="Q1134" i="6" s="1"/>
  <c r="S1134" i="6"/>
  <c r="L1135" i="6"/>
  <c r="M1135" i="6"/>
  <c r="N1135" i="6"/>
  <c r="O1135" i="6"/>
  <c r="P1135" i="6"/>
  <c r="Q1135" i="6"/>
  <c r="R1135" i="6"/>
  <c r="T1135" i="6" s="1"/>
  <c r="U1135" i="6" s="1"/>
  <c r="V1135" i="6" s="1"/>
  <c r="W1135" i="6" s="1"/>
  <c r="S1135" i="6"/>
  <c r="L1136" i="6"/>
  <c r="M1136" i="6"/>
  <c r="N1136" i="6"/>
  <c r="O1136" i="6"/>
  <c r="P1136" i="6"/>
  <c r="Q1136" i="6"/>
  <c r="R1136" i="6"/>
  <c r="T1136" i="6" s="1"/>
  <c r="U1136" i="6" s="1"/>
  <c r="S1136" i="6"/>
  <c r="V1136" i="6"/>
  <c r="W1136" i="6" s="1"/>
  <c r="L1137" i="6"/>
  <c r="M1137" i="6"/>
  <c r="N1137" i="6"/>
  <c r="O1137" i="6"/>
  <c r="R1137" i="6" s="1"/>
  <c r="T1137" i="6" s="1"/>
  <c r="P1137" i="6"/>
  <c r="Q1137" i="6" s="1"/>
  <c r="S1137" i="6"/>
  <c r="U1137" i="6"/>
  <c r="V1137" i="6" s="1"/>
  <c r="W1137" i="6" s="1"/>
  <c r="L1138" i="6"/>
  <c r="M1138" i="6"/>
  <c r="N1138" i="6"/>
  <c r="O1138" i="6"/>
  <c r="R1138" i="6" s="1"/>
  <c r="T1138" i="6" s="1"/>
  <c r="U1138" i="6" s="1"/>
  <c r="V1138" i="6" s="1"/>
  <c r="W1138" i="6" s="1"/>
  <c r="P1138" i="6"/>
  <c r="Q1138" i="6"/>
  <c r="S1138" i="6"/>
  <c r="L1139" i="6"/>
  <c r="M1139" i="6"/>
  <c r="N1139" i="6"/>
  <c r="O1139" i="6"/>
  <c r="P1139" i="6"/>
  <c r="Q1139" i="6"/>
  <c r="R1139" i="6"/>
  <c r="T1139" i="6" s="1"/>
  <c r="U1139" i="6" s="1"/>
  <c r="V1139" i="6" s="1"/>
  <c r="W1139" i="6" s="1"/>
  <c r="S1139" i="6"/>
  <c r="L1140" i="6"/>
  <c r="M1140" i="6"/>
  <c r="N1140" i="6"/>
  <c r="O1140" i="6"/>
  <c r="P1140" i="6"/>
  <c r="Q1140" i="6" s="1"/>
  <c r="R1140" i="6"/>
  <c r="T1140" i="6" s="1"/>
  <c r="S1140" i="6"/>
  <c r="U1140" i="6"/>
  <c r="V1140" i="6"/>
  <c r="W1140" i="6" s="1"/>
  <c r="L1141" i="6"/>
  <c r="M1141" i="6"/>
  <c r="N1141" i="6"/>
  <c r="O1141" i="6"/>
  <c r="R1141" i="6" s="1"/>
  <c r="T1141" i="6" s="1"/>
  <c r="P1141" i="6"/>
  <c r="Q1141" i="6"/>
  <c r="S1141" i="6"/>
  <c r="U1141" i="6"/>
  <c r="V1141" i="6" s="1"/>
  <c r="W1141" i="6" s="1"/>
  <c r="L1142" i="6"/>
  <c r="M1142" i="6"/>
  <c r="N1142" i="6"/>
  <c r="O1142" i="6"/>
  <c r="R1142" i="6" s="1"/>
  <c r="T1142" i="6" s="1"/>
  <c r="U1142" i="6" s="1"/>
  <c r="V1142" i="6" s="1"/>
  <c r="W1142" i="6" s="1"/>
  <c r="P1142" i="6"/>
  <c r="Q1142" i="6"/>
  <c r="S1142" i="6"/>
  <c r="L1143" i="6"/>
  <c r="M1143" i="6"/>
  <c r="N1143" i="6"/>
  <c r="O1143" i="6"/>
  <c r="P1143" i="6"/>
  <c r="Q1143" i="6" s="1"/>
  <c r="R1143" i="6"/>
  <c r="T1143" i="6" s="1"/>
  <c r="U1143" i="6" s="1"/>
  <c r="S1143" i="6"/>
  <c r="V1143" i="6"/>
  <c r="W1143" i="6"/>
  <c r="L1144" i="6"/>
  <c r="M1144" i="6"/>
  <c r="N1144" i="6"/>
  <c r="O1144" i="6"/>
  <c r="P1144" i="6"/>
  <c r="Q1144" i="6"/>
  <c r="R1144" i="6"/>
  <c r="T1144" i="6" s="1"/>
  <c r="U1144" i="6" s="1"/>
  <c r="V1144" i="6" s="1"/>
  <c r="W1144" i="6" s="1"/>
  <c r="S1144" i="6"/>
  <c r="L1145" i="6"/>
  <c r="M1145" i="6"/>
  <c r="N1145" i="6"/>
  <c r="O1145" i="6"/>
  <c r="P1145" i="6"/>
  <c r="Q1145" i="6" s="1"/>
  <c r="R1145" i="6"/>
  <c r="T1145" i="6" s="1"/>
  <c r="S1145" i="6"/>
  <c r="U1145" i="6"/>
  <c r="V1145" i="6" s="1"/>
  <c r="W1145" i="6" s="1"/>
  <c r="L1146" i="6"/>
  <c r="M1146" i="6"/>
  <c r="N1146" i="6"/>
  <c r="O1146" i="6"/>
  <c r="R1146" i="6" s="1"/>
  <c r="T1146" i="6" s="1"/>
  <c r="U1146" i="6" s="1"/>
  <c r="V1146" i="6" s="1"/>
  <c r="W1146" i="6" s="1"/>
  <c r="P1146" i="6"/>
  <c r="Q1146" i="6" s="1"/>
  <c r="S1146" i="6"/>
  <c r="L1147" i="6"/>
  <c r="M1147" i="6"/>
  <c r="N1147" i="6"/>
  <c r="O1147" i="6"/>
  <c r="P1147" i="6"/>
  <c r="Q1147" i="6"/>
  <c r="R1147" i="6"/>
  <c r="T1147" i="6" s="1"/>
  <c r="U1147" i="6" s="1"/>
  <c r="V1147" i="6" s="1"/>
  <c r="S1147" i="6"/>
  <c r="W1147" i="6"/>
  <c r="L1148" i="6"/>
  <c r="M1148" i="6"/>
  <c r="N1148" i="6"/>
  <c r="O1148" i="6"/>
  <c r="P1148" i="6"/>
  <c r="Q1148" i="6" s="1"/>
  <c r="R1148" i="6"/>
  <c r="T1148" i="6" s="1"/>
  <c r="U1148" i="6" s="1"/>
  <c r="V1148" i="6" s="1"/>
  <c r="W1148" i="6" s="1"/>
  <c r="S1148" i="6"/>
  <c r="L1149" i="6"/>
  <c r="M1149" i="6"/>
  <c r="N1149" i="6"/>
  <c r="O1149" i="6"/>
  <c r="R1149" i="6" s="1"/>
  <c r="T1149" i="6" s="1"/>
  <c r="U1149" i="6" s="1"/>
  <c r="V1149" i="6" s="1"/>
  <c r="W1149" i="6" s="1"/>
  <c r="P1149" i="6"/>
  <c r="Q1149" i="6" s="1"/>
  <c r="S1149" i="6"/>
  <c r="L1150" i="6"/>
  <c r="M1150" i="6"/>
  <c r="N1150" i="6"/>
  <c r="O1150" i="6"/>
  <c r="P1150" i="6"/>
  <c r="Q1150" i="6"/>
  <c r="R1150" i="6"/>
  <c r="T1150" i="6" s="1"/>
  <c r="U1150" i="6" s="1"/>
  <c r="V1150" i="6" s="1"/>
  <c r="W1150" i="6" s="1"/>
  <c r="S1150" i="6"/>
  <c r="L1151" i="6"/>
  <c r="M1151" i="6"/>
  <c r="N1151" i="6"/>
  <c r="O1151" i="6"/>
  <c r="P1151" i="6"/>
  <c r="Q1151" i="6"/>
  <c r="R1151" i="6"/>
  <c r="T1151" i="6" s="1"/>
  <c r="S1151" i="6"/>
  <c r="U1151" i="6"/>
  <c r="V1151" i="6" s="1"/>
  <c r="W1151" i="6" s="1"/>
  <c r="L1152" i="6"/>
  <c r="M1152" i="6"/>
  <c r="N1152" i="6"/>
  <c r="O1152" i="6"/>
  <c r="P1152" i="6"/>
  <c r="Q1152" i="6"/>
  <c r="R1152" i="6"/>
  <c r="T1152" i="6" s="1"/>
  <c r="S1152" i="6"/>
  <c r="U1152" i="6"/>
  <c r="V1152" i="6"/>
  <c r="W1152" i="6" s="1"/>
  <c r="L1153" i="6"/>
  <c r="M1153" i="6"/>
  <c r="N1153" i="6"/>
  <c r="O1153" i="6"/>
  <c r="R1153" i="6" s="1"/>
  <c r="T1153" i="6" s="1"/>
  <c r="U1153" i="6" s="1"/>
  <c r="V1153" i="6" s="1"/>
  <c r="W1153" i="6" s="1"/>
  <c r="P1153" i="6"/>
  <c r="Q1153" i="6"/>
  <c r="S1153" i="6"/>
  <c r="L1154" i="6"/>
  <c r="M1154" i="6"/>
  <c r="N1154" i="6"/>
  <c r="O1154" i="6"/>
  <c r="R1154" i="6" s="1"/>
  <c r="T1154" i="6" s="1"/>
  <c r="P1154" i="6"/>
  <c r="Q1154" i="6" s="1"/>
  <c r="S1154" i="6"/>
  <c r="U1154" i="6"/>
  <c r="V1154" i="6"/>
  <c r="W1154" i="6" s="1"/>
  <c r="L1155" i="6"/>
  <c r="M1155" i="6"/>
  <c r="N1155" i="6"/>
  <c r="O1155" i="6"/>
  <c r="P1155" i="6"/>
  <c r="Q1155" i="6"/>
  <c r="R1155" i="6"/>
  <c r="T1155" i="6" s="1"/>
  <c r="S1155" i="6"/>
  <c r="U1155" i="6"/>
  <c r="V1155" i="6"/>
  <c r="W1155" i="6"/>
  <c r="L1156" i="6"/>
  <c r="M1156" i="6"/>
  <c r="N1156" i="6"/>
  <c r="O1156" i="6"/>
  <c r="P1156" i="6"/>
  <c r="Q1156" i="6"/>
  <c r="R1156" i="6"/>
  <c r="T1156" i="6" s="1"/>
  <c r="U1156" i="6" s="1"/>
  <c r="V1156" i="6" s="1"/>
  <c r="W1156" i="6" s="1"/>
  <c r="S1156" i="6"/>
  <c r="L1157" i="6"/>
  <c r="M1157" i="6"/>
  <c r="N1157" i="6"/>
  <c r="O1157" i="6"/>
  <c r="P1157" i="6"/>
  <c r="Q1157" i="6" s="1"/>
  <c r="R1157" i="6"/>
  <c r="T1157" i="6" s="1"/>
  <c r="S1157" i="6"/>
  <c r="U1157" i="6"/>
  <c r="V1157" i="6" s="1"/>
  <c r="W1157" i="6" s="1"/>
  <c r="L1158" i="6"/>
  <c r="M1158" i="6"/>
  <c r="N1158" i="6"/>
  <c r="O1158" i="6"/>
  <c r="R1158" i="6" s="1"/>
  <c r="T1158" i="6" s="1"/>
  <c r="P1158" i="6"/>
  <c r="Q1158" i="6" s="1"/>
  <c r="S1158" i="6"/>
  <c r="U1158" i="6"/>
  <c r="V1158" i="6" s="1"/>
  <c r="W1158" i="6" s="1"/>
  <c r="L1159" i="6"/>
  <c r="M1159" i="6"/>
  <c r="N1159" i="6"/>
  <c r="O1159" i="6"/>
  <c r="R1159" i="6" s="1"/>
  <c r="T1159" i="6" s="1"/>
  <c r="U1159" i="6" s="1"/>
  <c r="V1159" i="6" s="1"/>
  <c r="W1159" i="6" s="1"/>
  <c r="P1159" i="6"/>
  <c r="Q1159" i="6" s="1"/>
  <c r="S1159" i="6"/>
  <c r="L1160" i="6"/>
  <c r="M1160" i="6"/>
  <c r="N1160" i="6"/>
  <c r="O1160" i="6"/>
  <c r="P1160" i="6"/>
  <c r="Q1160" i="6"/>
  <c r="R1160" i="6"/>
  <c r="T1160" i="6" s="1"/>
  <c r="U1160" i="6" s="1"/>
  <c r="V1160" i="6" s="1"/>
  <c r="S1160" i="6"/>
  <c r="W1160" i="6"/>
  <c r="L1161" i="6"/>
  <c r="M1161" i="6"/>
  <c r="N1161" i="6"/>
  <c r="O1161" i="6"/>
  <c r="P1161" i="6"/>
  <c r="Q1161" i="6"/>
  <c r="R1161" i="6"/>
  <c r="T1161" i="6" s="1"/>
  <c r="S1161" i="6"/>
  <c r="U1161" i="6"/>
  <c r="V1161" i="6" s="1"/>
  <c r="W1161" i="6" s="1"/>
  <c r="L1162" i="6"/>
  <c r="M1162" i="6"/>
  <c r="N1162" i="6"/>
  <c r="O1162" i="6"/>
  <c r="R1162" i="6" s="1"/>
  <c r="T1162" i="6" s="1"/>
  <c r="U1162" i="6" s="1"/>
  <c r="V1162" i="6" s="1"/>
  <c r="W1162" i="6" s="1"/>
  <c r="P1162" i="6"/>
  <c r="Q1162" i="6" s="1"/>
  <c r="S1162" i="6"/>
  <c r="L1163" i="6"/>
  <c r="M1163" i="6"/>
  <c r="N1163" i="6"/>
  <c r="O1163" i="6"/>
  <c r="P1163" i="6"/>
  <c r="Q1163" i="6"/>
  <c r="R1163" i="6"/>
  <c r="T1163" i="6" s="1"/>
  <c r="U1163" i="6" s="1"/>
  <c r="V1163" i="6" s="1"/>
  <c r="W1163" i="6" s="1"/>
  <c r="S1163" i="6"/>
  <c r="L1164" i="6"/>
  <c r="M1164" i="6"/>
  <c r="N1164" i="6"/>
  <c r="O1164" i="6"/>
  <c r="P1164" i="6"/>
  <c r="Q1164" i="6"/>
  <c r="R1164" i="6"/>
  <c r="T1164" i="6" s="1"/>
  <c r="U1164" i="6" s="1"/>
  <c r="V1164" i="6" s="1"/>
  <c r="W1164" i="6" s="1"/>
  <c r="S1164" i="6"/>
  <c r="L1165" i="6"/>
  <c r="M1165" i="6"/>
  <c r="N1165" i="6"/>
  <c r="O1165" i="6"/>
  <c r="R1165" i="6" s="1"/>
  <c r="T1165" i="6" s="1"/>
  <c r="U1165" i="6" s="1"/>
  <c r="V1165" i="6" s="1"/>
  <c r="W1165" i="6" s="1"/>
  <c r="P1165" i="6"/>
  <c r="Q1165" i="6"/>
  <c r="S1165" i="6"/>
  <c r="L1166" i="6"/>
  <c r="M1166" i="6"/>
  <c r="N1166" i="6"/>
  <c r="O1166" i="6"/>
  <c r="P1166" i="6"/>
  <c r="Q1166" i="6" s="1"/>
  <c r="R1166" i="6"/>
  <c r="T1166" i="6" s="1"/>
  <c r="U1166" i="6" s="1"/>
  <c r="V1166" i="6" s="1"/>
  <c r="W1166" i="6" s="1"/>
  <c r="S1166" i="6"/>
  <c r="L1167" i="6"/>
  <c r="M1167" i="6"/>
  <c r="N1167" i="6"/>
  <c r="O1167" i="6"/>
  <c r="P1167" i="6"/>
  <c r="Q1167" i="6" s="1"/>
  <c r="R1167" i="6"/>
  <c r="T1167" i="6" s="1"/>
  <c r="S1167" i="6"/>
  <c r="U1167" i="6"/>
  <c r="V1167" i="6" s="1"/>
  <c r="W1167" i="6" s="1"/>
  <c r="L1168" i="6"/>
  <c r="M1168" i="6"/>
  <c r="N1168" i="6"/>
  <c r="O1168" i="6"/>
  <c r="R1168" i="6" s="1"/>
  <c r="T1168" i="6" s="1"/>
  <c r="U1168" i="6" s="1"/>
  <c r="V1168" i="6" s="1"/>
  <c r="W1168" i="6" s="1"/>
  <c r="P1168" i="6"/>
  <c r="Q1168" i="6"/>
  <c r="S1168" i="6"/>
  <c r="L1169" i="6"/>
  <c r="M1169" i="6"/>
  <c r="N1169" i="6"/>
  <c r="O1169" i="6"/>
  <c r="P1169" i="6"/>
  <c r="Q1169" i="6" s="1"/>
  <c r="R1169" i="6"/>
  <c r="T1169" i="6" s="1"/>
  <c r="U1169" i="6" s="1"/>
  <c r="V1169" i="6" s="1"/>
  <c r="W1169" i="6" s="1"/>
  <c r="S1169" i="6"/>
  <c r="L1170" i="6"/>
  <c r="M1170" i="6"/>
  <c r="N1170" i="6"/>
  <c r="O1170" i="6"/>
  <c r="R1170" i="6" s="1"/>
  <c r="T1170" i="6" s="1"/>
  <c r="P1170" i="6"/>
  <c r="Q1170" i="6"/>
  <c r="S1170" i="6"/>
  <c r="U1170" i="6"/>
  <c r="V1170" i="6" s="1"/>
  <c r="W1170" i="6" s="1"/>
  <c r="L1171" i="6"/>
  <c r="M1171" i="6"/>
  <c r="N1171" i="6"/>
  <c r="O1171" i="6"/>
  <c r="R1171" i="6" s="1"/>
  <c r="T1171" i="6" s="1"/>
  <c r="U1171" i="6" s="1"/>
  <c r="V1171" i="6" s="1"/>
  <c r="W1171" i="6" s="1"/>
  <c r="P1171" i="6"/>
  <c r="Q1171" i="6" s="1"/>
  <c r="S1171" i="6"/>
  <c r="L1172" i="6"/>
  <c r="M1172" i="6"/>
  <c r="N1172" i="6"/>
  <c r="O1172" i="6"/>
  <c r="R1172" i="6" s="1"/>
  <c r="T1172" i="6" s="1"/>
  <c r="U1172" i="6" s="1"/>
  <c r="V1172" i="6" s="1"/>
  <c r="W1172" i="6" s="1"/>
  <c r="P1172" i="6"/>
  <c r="Q1172" i="6"/>
  <c r="S1172" i="6"/>
  <c r="L1173" i="6"/>
  <c r="M1173" i="6"/>
  <c r="N1173" i="6"/>
  <c r="O1173" i="6"/>
  <c r="R1173" i="6" s="1"/>
  <c r="T1173" i="6" s="1"/>
  <c r="U1173" i="6" s="1"/>
  <c r="V1173" i="6" s="1"/>
  <c r="W1173" i="6" s="1"/>
  <c r="P1173" i="6"/>
  <c r="Q1173" i="6" s="1"/>
  <c r="S1173" i="6"/>
  <c r="L1174" i="6"/>
  <c r="M1174" i="6"/>
  <c r="N1174" i="6"/>
  <c r="O1174" i="6"/>
  <c r="P1174" i="6"/>
  <c r="Q1174" i="6"/>
  <c r="R1174" i="6"/>
  <c r="T1174" i="6" s="1"/>
  <c r="S1174" i="6"/>
  <c r="U1174" i="6"/>
  <c r="V1174" i="6" s="1"/>
  <c r="W1174" i="6" s="1"/>
  <c r="L1175" i="6"/>
  <c r="M1175" i="6"/>
  <c r="N1175" i="6"/>
  <c r="O1175" i="6"/>
  <c r="R1175" i="6" s="1"/>
  <c r="T1175" i="6" s="1"/>
  <c r="U1175" i="6" s="1"/>
  <c r="V1175" i="6" s="1"/>
  <c r="W1175" i="6" s="1"/>
  <c r="P1175" i="6"/>
  <c r="Q1175" i="6" s="1"/>
  <c r="S1175" i="6"/>
  <c r="L1176" i="6"/>
  <c r="M1176" i="6"/>
  <c r="N1176" i="6"/>
  <c r="O1176" i="6"/>
  <c r="P1176" i="6"/>
  <c r="Q1176" i="6" s="1"/>
  <c r="R1176" i="6"/>
  <c r="T1176" i="6" s="1"/>
  <c r="S1176" i="6"/>
  <c r="U1176" i="6"/>
  <c r="V1176" i="6"/>
  <c r="W1176" i="6"/>
  <c r="L1177" i="6"/>
  <c r="M1177" i="6"/>
  <c r="N1177" i="6"/>
  <c r="O1177" i="6" s="1"/>
  <c r="P1177" i="6"/>
  <c r="Q1177" i="6"/>
  <c r="R1177" i="6"/>
  <c r="T1177" i="6" s="1"/>
  <c r="U1177" i="6" s="1"/>
  <c r="V1177" i="6" s="1"/>
  <c r="W1177" i="6" s="1"/>
  <c r="S1177" i="6"/>
  <c r="L1178" i="6"/>
  <c r="M1178" i="6"/>
  <c r="N1178" i="6"/>
  <c r="O1178" i="6"/>
  <c r="P1178" i="6"/>
  <c r="Q1178" i="6"/>
  <c r="R1178" i="6"/>
  <c r="T1178" i="6" s="1"/>
  <c r="U1178" i="6" s="1"/>
  <c r="V1178" i="6" s="1"/>
  <c r="W1178" i="6" s="1"/>
  <c r="S1178" i="6"/>
  <c r="L1179" i="6"/>
  <c r="M1179" i="6"/>
  <c r="N1179" i="6"/>
  <c r="O1179" i="6" s="1"/>
  <c r="R1179" i="6" s="1"/>
  <c r="T1179" i="6" s="1"/>
  <c r="U1179" i="6" s="1"/>
  <c r="V1179" i="6" s="1"/>
  <c r="W1179" i="6" s="1"/>
  <c r="P1179" i="6"/>
  <c r="Q1179" i="6" s="1"/>
  <c r="S1179" i="6"/>
  <c r="L1180" i="6"/>
  <c r="M1180" i="6"/>
  <c r="N1180" i="6"/>
  <c r="P1180" i="6" s="1"/>
  <c r="O1180" i="6"/>
  <c r="Q1180" i="6"/>
  <c r="R1180" i="6"/>
  <c r="T1180" i="6" s="1"/>
  <c r="U1180" i="6" s="1"/>
  <c r="V1180" i="6" s="1"/>
  <c r="S1180" i="6"/>
  <c r="W1180" i="6"/>
  <c r="L1181" i="6"/>
  <c r="M1181" i="6"/>
  <c r="N1181" i="6"/>
  <c r="O1181" i="6"/>
  <c r="R1181" i="6" s="1"/>
  <c r="T1181" i="6" s="1"/>
  <c r="U1181" i="6" s="1"/>
  <c r="V1181" i="6" s="1"/>
  <c r="W1181" i="6" s="1"/>
  <c r="P1181" i="6"/>
  <c r="Q1181" i="6" s="1"/>
  <c r="S1181" i="6"/>
  <c r="L1182" i="6"/>
  <c r="M1182" i="6"/>
  <c r="N1182" i="6"/>
  <c r="O1182" i="6"/>
  <c r="R1182" i="6" s="1"/>
  <c r="T1182" i="6" s="1"/>
  <c r="P1182" i="6"/>
  <c r="Q1182" i="6" s="1"/>
  <c r="S1182" i="6"/>
  <c r="U1182" i="6"/>
  <c r="V1182" i="6"/>
  <c r="W1182" i="6" s="1"/>
  <c r="L1183" i="6"/>
  <c r="M1183" i="6"/>
  <c r="N1183" i="6"/>
  <c r="O1183" i="6"/>
  <c r="P1183" i="6"/>
  <c r="Q1183" i="6"/>
  <c r="R1183" i="6"/>
  <c r="T1183" i="6" s="1"/>
  <c r="S1183" i="6"/>
  <c r="U1183" i="6"/>
  <c r="V1183" i="6"/>
  <c r="W1183" i="6"/>
  <c r="L1184" i="6"/>
  <c r="M1184" i="6"/>
  <c r="N1184" i="6"/>
  <c r="O1184" i="6"/>
  <c r="P1184" i="6"/>
  <c r="Q1184" i="6"/>
  <c r="R1184" i="6"/>
  <c r="T1184" i="6" s="1"/>
  <c r="U1184" i="6" s="1"/>
  <c r="V1184" i="6" s="1"/>
  <c r="W1184" i="6" s="1"/>
  <c r="S1184" i="6"/>
  <c r="L1185" i="6"/>
  <c r="M1185" i="6"/>
  <c r="N1185" i="6"/>
  <c r="S1185" i="6"/>
  <c r="L1186" i="6"/>
  <c r="M1186" i="6"/>
  <c r="N1186" i="6"/>
  <c r="O1186" i="6" s="1"/>
  <c r="R1186" i="6" s="1"/>
  <c r="T1186" i="6" s="1"/>
  <c r="U1186" i="6" s="1"/>
  <c r="V1186" i="6" s="1"/>
  <c r="W1186" i="6" s="1"/>
  <c r="S1186" i="6"/>
  <c r="L1187" i="6"/>
  <c r="M1187" i="6"/>
  <c r="N1187" i="6"/>
  <c r="O1187" i="6"/>
  <c r="P1187" i="6"/>
  <c r="Q1187" i="6"/>
  <c r="R1187" i="6"/>
  <c r="T1187" i="6" s="1"/>
  <c r="U1187" i="6" s="1"/>
  <c r="V1187" i="6" s="1"/>
  <c r="W1187" i="6" s="1"/>
  <c r="S1187" i="6"/>
  <c r="L1188" i="6"/>
  <c r="M1188" i="6"/>
  <c r="N1188" i="6"/>
  <c r="O1188" i="6" s="1"/>
  <c r="R1188" i="6" s="1"/>
  <c r="T1188" i="6" s="1"/>
  <c r="U1188" i="6" s="1"/>
  <c r="V1188" i="6" s="1"/>
  <c r="W1188" i="6" s="1"/>
  <c r="S1188" i="6"/>
  <c r="L1189" i="6"/>
  <c r="M1189" i="6"/>
  <c r="N1189" i="6"/>
  <c r="O1189" i="6"/>
  <c r="R1189" i="6" s="1"/>
  <c r="T1189" i="6" s="1"/>
  <c r="U1189" i="6" s="1"/>
  <c r="V1189" i="6" s="1"/>
  <c r="W1189" i="6" s="1"/>
  <c r="P1189" i="6"/>
  <c r="Q1189" i="6"/>
  <c r="S1189" i="6"/>
  <c r="L1190" i="6"/>
  <c r="M1190" i="6"/>
  <c r="N1190" i="6"/>
  <c r="O1190" i="6"/>
  <c r="R1190" i="6" s="1"/>
  <c r="T1190" i="6" s="1"/>
  <c r="U1190" i="6" s="1"/>
  <c r="V1190" i="6" s="1"/>
  <c r="W1190" i="6" s="1"/>
  <c r="P1190" i="6"/>
  <c r="Q1190" i="6" s="1"/>
  <c r="S1190" i="6"/>
  <c r="L1191" i="6"/>
  <c r="M1191" i="6"/>
  <c r="N1191" i="6"/>
  <c r="O1191" i="6" s="1"/>
  <c r="P1191" i="6"/>
  <c r="Q1191" i="6"/>
  <c r="R1191" i="6"/>
  <c r="T1191" i="6" s="1"/>
  <c r="U1191" i="6" s="1"/>
  <c r="V1191" i="6" s="1"/>
  <c r="W1191" i="6" s="1"/>
  <c r="S1191" i="6"/>
  <c r="L1192" i="6"/>
  <c r="M1192" i="6"/>
  <c r="N1192" i="6"/>
  <c r="P1192" i="6" s="1"/>
  <c r="O1192" i="6"/>
  <c r="Q1192" i="6"/>
  <c r="R1192" i="6"/>
  <c r="T1192" i="6" s="1"/>
  <c r="S1192" i="6"/>
  <c r="U1192" i="6"/>
  <c r="V1192" i="6" s="1"/>
  <c r="W1192" i="6" s="1"/>
  <c r="L1193" i="6"/>
  <c r="M1193" i="6"/>
  <c r="N1193" i="6"/>
  <c r="S1193" i="6"/>
  <c r="L1194" i="6"/>
  <c r="M1194" i="6"/>
  <c r="N1194" i="6"/>
  <c r="O1194" i="6" s="1"/>
  <c r="R1194" i="6" s="1"/>
  <c r="T1194" i="6" s="1"/>
  <c r="U1194" i="6" s="1"/>
  <c r="V1194" i="6" s="1"/>
  <c r="W1194" i="6" s="1"/>
  <c r="S1194" i="6"/>
  <c r="L1195" i="6"/>
  <c r="M1195" i="6"/>
  <c r="N1195" i="6"/>
  <c r="O1195" i="6"/>
  <c r="P1195" i="6"/>
  <c r="Q1195" i="6"/>
  <c r="R1195" i="6"/>
  <c r="T1195" i="6" s="1"/>
  <c r="U1195" i="6" s="1"/>
  <c r="V1195" i="6" s="1"/>
  <c r="W1195" i="6" s="1"/>
  <c r="S1195" i="6"/>
  <c r="L1196" i="6"/>
  <c r="M1196" i="6"/>
  <c r="N1196" i="6"/>
  <c r="O1196" i="6" s="1"/>
  <c r="R1196" i="6" s="1"/>
  <c r="T1196" i="6" s="1"/>
  <c r="U1196" i="6" s="1"/>
  <c r="V1196" i="6" s="1"/>
  <c r="W1196" i="6" s="1"/>
  <c r="S1196" i="6"/>
  <c r="L1197" i="6"/>
  <c r="M1197" i="6"/>
  <c r="N1197" i="6"/>
  <c r="O1197" i="6" s="1"/>
  <c r="R1197" i="6" s="1"/>
  <c r="T1197" i="6" s="1"/>
  <c r="U1197" i="6" s="1"/>
  <c r="V1197" i="6" s="1"/>
  <c r="W1197" i="6" s="1"/>
  <c r="S1197" i="6"/>
  <c r="L1198" i="6"/>
  <c r="M1198" i="6"/>
  <c r="N1198" i="6"/>
  <c r="O1198" i="6"/>
  <c r="R1198" i="6" s="1"/>
  <c r="T1198" i="6" s="1"/>
  <c r="U1198" i="6" s="1"/>
  <c r="V1198" i="6" s="1"/>
  <c r="W1198" i="6" s="1"/>
  <c r="P1198" i="6"/>
  <c r="Q1198" i="6" s="1"/>
  <c r="S1198" i="6"/>
  <c r="L1199" i="6"/>
  <c r="M1199" i="6"/>
  <c r="N1199" i="6"/>
  <c r="O1199" i="6"/>
  <c r="P1199" i="6"/>
  <c r="Q1199" i="6"/>
  <c r="R1199" i="6"/>
  <c r="T1199" i="6" s="1"/>
  <c r="U1199" i="6" s="1"/>
  <c r="V1199" i="6" s="1"/>
  <c r="W1199" i="6" s="1"/>
  <c r="S1199" i="6"/>
  <c r="L1200" i="6"/>
  <c r="M1200" i="6"/>
  <c r="N1200" i="6"/>
  <c r="S1200" i="6"/>
  <c r="L1201" i="6"/>
  <c r="M1201" i="6"/>
  <c r="N1201" i="6"/>
  <c r="P1201" i="6" s="1"/>
  <c r="Q1201" i="6" s="1"/>
  <c r="O1201" i="6"/>
  <c r="R1201" i="6" s="1"/>
  <c r="T1201" i="6" s="1"/>
  <c r="U1201" i="6" s="1"/>
  <c r="V1201" i="6" s="1"/>
  <c r="W1201" i="6" s="1"/>
  <c r="S1201" i="6"/>
  <c r="L1202" i="6"/>
  <c r="M1202" i="6"/>
  <c r="N1202" i="6"/>
  <c r="O1202" i="6"/>
  <c r="R1202" i="6" s="1"/>
  <c r="T1202" i="6" s="1"/>
  <c r="P1202" i="6"/>
  <c r="Q1202" i="6" s="1"/>
  <c r="S1202" i="6"/>
  <c r="U1202" i="6"/>
  <c r="V1202" i="6"/>
  <c r="W1202" i="6" s="1"/>
  <c r="L1203" i="6"/>
  <c r="M1203" i="6"/>
  <c r="N1203" i="6"/>
  <c r="O1203" i="6" s="1"/>
  <c r="P1203" i="6"/>
  <c r="Q1203" i="6"/>
  <c r="R1203" i="6"/>
  <c r="T1203" i="6" s="1"/>
  <c r="U1203" i="6" s="1"/>
  <c r="V1203" i="6" s="1"/>
  <c r="W1203" i="6" s="1"/>
  <c r="S1203" i="6"/>
  <c r="L1204" i="6"/>
  <c r="M1204" i="6"/>
  <c r="N1204" i="6"/>
  <c r="P1204" i="6" s="1"/>
  <c r="Q1204" i="6" s="1"/>
  <c r="S1204" i="6"/>
  <c r="L1205" i="6"/>
  <c r="M1205" i="6"/>
  <c r="N1205" i="6"/>
  <c r="O1205" i="6" s="1"/>
  <c r="R1205" i="6" s="1"/>
  <c r="T1205" i="6" s="1"/>
  <c r="U1205" i="6" s="1"/>
  <c r="V1205" i="6" s="1"/>
  <c r="W1205" i="6" s="1"/>
  <c r="S1205" i="6"/>
  <c r="L1206" i="6"/>
  <c r="M1206" i="6"/>
  <c r="N1206" i="6"/>
  <c r="O1206" i="6"/>
  <c r="R1206" i="6" s="1"/>
  <c r="T1206" i="6" s="1"/>
  <c r="P1206" i="6"/>
  <c r="Q1206" i="6" s="1"/>
  <c r="S1206" i="6"/>
  <c r="U1206" i="6"/>
  <c r="V1206" i="6"/>
  <c r="W1206" i="6" s="1"/>
  <c r="L1207" i="6"/>
  <c r="M1207" i="6"/>
  <c r="N1207" i="6"/>
  <c r="O1207" i="6" s="1"/>
  <c r="P1207" i="6"/>
  <c r="Q1207" i="6"/>
  <c r="R1207" i="6"/>
  <c r="T1207" i="6" s="1"/>
  <c r="U1207" i="6" s="1"/>
  <c r="V1207" i="6" s="1"/>
  <c r="W1207" i="6" s="1"/>
  <c r="S1207" i="6"/>
  <c r="L1208" i="6"/>
  <c r="M1208" i="6"/>
  <c r="N1208" i="6"/>
  <c r="S1208" i="6"/>
  <c r="L1209" i="6"/>
  <c r="M1209" i="6"/>
  <c r="N1209" i="6"/>
  <c r="O1209" i="6"/>
  <c r="R1209" i="6" s="1"/>
  <c r="T1209" i="6" s="1"/>
  <c r="U1209" i="6" s="1"/>
  <c r="V1209" i="6" s="1"/>
  <c r="W1209" i="6" s="1"/>
  <c r="P1209" i="6"/>
  <c r="Q1209" i="6" s="1"/>
  <c r="S1209" i="6"/>
  <c r="L1210" i="6"/>
  <c r="M1210" i="6"/>
  <c r="N1210" i="6"/>
  <c r="O1210" i="6"/>
  <c r="R1210" i="6" s="1"/>
  <c r="T1210" i="6" s="1"/>
  <c r="U1210" i="6" s="1"/>
  <c r="V1210" i="6" s="1"/>
  <c r="W1210" i="6" s="1"/>
  <c r="P1210" i="6"/>
  <c r="Q1210" i="6" s="1"/>
  <c r="S1210" i="6"/>
  <c r="L1211" i="6"/>
  <c r="M1211" i="6"/>
  <c r="N1211" i="6"/>
  <c r="O1211" i="6"/>
  <c r="P1211" i="6"/>
  <c r="Q1211" i="6"/>
  <c r="R1211" i="6"/>
  <c r="T1211" i="6" s="1"/>
  <c r="U1211" i="6" s="1"/>
  <c r="V1211" i="6" s="1"/>
  <c r="W1211" i="6" s="1"/>
  <c r="S1211" i="6"/>
  <c r="L1212" i="6"/>
  <c r="M1212" i="6"/>
  <c r="N1212" i="6"/>
  <c r="O1212" i="6" s="1"/>
  <c r="R1212" i="6" s="1"/>
  <c r="T1212" i="6" s="1"/>
  <c r="U1212" i="6" s="1"/>
  <c r="V1212" i="6" s="1"/>
  <c r="W1212" i="6" s="1"/>
  <c r="S1212" i="6"/>
  <c r="L1213" i="6"/>
  <c r="M1213" i="6"/>
  <c r="N1213" i="6"/>
  <c r="O1213" i="6"/>
  <c r="R1213" i="6" s="1"/>
  <c r="T1213" i="6" s="1"/>
  <c r="U1213" i="6" s="1"/>
  <c r="V1213" i="6" s="1"/>
  <c r="W1213" i="6" s="1"/>
  <c r="P1213" i="6"/>
  <c r="Q1213" i="6" s="1"/>
  <c r="S1213" i="6"/>
  <c r="L1214" i="6"/>
  <c r="M1214" i="6"/>
  <c r="N1214" i="6"/>
  <c r="O1214" i="6"/>
  <c r="R1214" i="6" s="1"/>
  <c r="T1214" i="6" s="1"/>
  <c r="U1214" i="6" s="1"/>
  <c r="V1214" i="6" s="1"/>
  <c r="W1214" i="6" s="1"/>
  <c r="P1214" i="6"/>
  <c r="Q1214" i="6"/>
  <c r="S1214" i="6"/>
  <c r="L1215" i="6"/>
  <c r="M1215" i="6"/>
  <c r="N1215" i="6"/>
  <c r="O1215" i="6" s="1"/>
  <c r="P1215" i="6"/>
  <c r="Q1215" i="6"/>
  <c r="R1215" i="6"/>
  <c r="T1215" i="6" s="1"/>
  <c r="U1215" i="6" s="1"/>
  <c r="V1215" i="6" s="1"/>
  <c r="W1215" i="6" s="1"/>
  <c r="S1215" i="6"/>
  <c r="L1216" i="6"/>
  <c r="M1216" i="6"/>
  <c r="N1216" i="6"/>
  <c r="S1216" i="6"/>
  <c r="L1217" i="6"/>
  <c r="M1217" i="6"/>
  <c r="N1217" i="6"/>
  <c r="O1217" i="6"/>
  <c r="R1217" i="6" s="1"/>
  <c r="T1217" i="6" s="1"/>
  <c r="P1217" i="6"/>
  <c r="Q1217" i="6" s="1"/>
  <c r="S1217" i="6"/>
  <c r="U1217" i="6"/>
  <c r="V1217" i="6"/>
  <c r="W1217" i="6" s="1"/>
  <c r="L1218" i="6"/>
  <c r="M1218" i="6"/>
  <c r="N1218" i="6"/>
  <c r="P1218" i="6" s="1"/>
  <c r="Q1218" i="6" s="1"/>
  <c r="O1218" i="6"/>
  <c r="R1218" i="6" s="1"/>
  <c r="T1218" i="6" s="1"/>
  <c r="U1218" i="6" s="1"/>
  <c r="V1218" i="6" s="1"/>
  <c r="W1218" i="6" s="1"/>
  <c r="S1218" i="6"/>
  <c r="L1219" i="6"/>
  <c r="M1219" i="6"/>
  <c r="N1219" i="6"/>
  <c r="O1219" i="6" s="1"/>
  <c r="R1219" i="6" s="1"/>
  <c r="T1219" i="6" s="1"/>
  <c r="U1219" i="6" s="1"/>
  <c r="V1219" i="6" s="1"/>
  <c r="W1219" i="6" s="1"/>
  <c r="S1219" i="6"/>
  <c r="L1220" i="6"/>
  <c r="M1220" i="6"/>
  <c r="N1220" i="6"/>
  <c r="O1220" i="6"/>
  <c r="P1220" i="6"/>
  <c r="Q1220" i="6"/>
  <c r="R1220" i="6"/>
  <c r="T1220" i="6" s="1"/>
  <c r="U1220" i="6" s="1"/>
  <c r="V1220" i="6" s="1"/>
  <c r="W1220" i="6" s="1"/>
  <c r="S1220" i="6"/>
  <c r="L1221" i="6"/>
  <c r="M1221" i="6"/>
  <c r="N1221" i="6"/>
  <c r="O1221" i="6"/>
  <c r="P1221" i="6"/>
  <c r="Q1221" i="6"/>
  <c r="R1221" i="6"/>
  <c r="T1221" i="6" s="1"/>
  <c r="S1221" i="6"/>
  <c r="U1221" i="6"/>
  <c r="V1221" i="6" s="1"/>
  <c r="W1221" i="6" s="1"/>
  <c r="L1222" i="6"/>
  <c r="M1222" i="6"/>
  <c r="N1222" i="6"/>
  <c r="O1222" i="6" s="1"/>
  <c r="R1222" i="6" s="1"/>
  <c r="T1222" i="6" s="1"/>
  <c r="U1222" i="6" s="1"/>
  <c r="V1222" i="6" s="1"/>
  <c r="W1222" i="6" s="1"/>
  <c r="S1222" i="6"/>
  <c r="L1223" i="6"/>
  <c r="M1223" i="6"/>
  <c r="N1223" i="6"/>
  <c r="O1223" i="6"/>
  <c r="R1223" i="6" s="1"/>
  <c r="T1223" i="6" s="1"/>
  <c r="U1223" i="6" s="1"/>
  <c r="V1223" i="6" s="1"/>
  <c r="W1223" i="6" s="1"/>
  <c r="P1223" i="6"/>
  <c r="Q1223" i="6"/>
  <c r="S1223" i="6"/>
  <c r="L1224" i="6"/>
  <c r="M1224" i="6"/>
  <c r="N1224" i="6"/>
  <c r="O1224" i="6" s="1"/>
  <c r="R1224" i="6" s="1"/>
  <c r="T1224" i="6" s="1"/>
  <c r="U1224" i="6" s="1"/>
  <c r="V1224" i="6" s="1"/>
  <c r="W1224" i="6" s="1"/>
  <c r="P1224" i="6"/>
  <c r="Q1224" i="6" s="1"/>
  <c r="S1224" i="6"/>
  <c r="L1225" i="6"/>
  <c r="M1225" i="6"/>
  <c r="N1225" i="6"/>
  <c r="S1225" i="6"/>
  <c r="L1226" i="6"/>
  <c r="M1226" i="6"/>
  <c r="N1226" i="6"/>
  <c r="P1226" i="6" s="1"/>
  <c r="Q1226" i="6" s="1"/>
  <c r="O1226" i="6"/>
  <c r="R1226" i="6"/>
  <c r="T1226" i="6" s="1"/>
  <c r="U1226" i="6" s="1"/>
  <c r="V1226" i="6" s="1"/>
  <c r="W1226" i="6" s="1"/>
  <c r="S1226" i="6"/>
  <c r="L1227" i="6"/>
  <c r="M1227" i="6"/>
  <c r="N1227" i="6"/>
  <c r="O1227" i="6"/>
  <c r="R1227" i="6" s="1"/>
  <c r="T1227" i="6" s="1"/>
  <c r="P1227" i="6"/>
  <c r="Q1227" i="6" s="1"/>
  <c r="S1227" i="6"/>
  <c r="U1227" i="6"/>
  <c r="V1227" i="6"/>
  <c r="W1227" i="6" s="1"/>
  <c r="L1228" i="6"/>
  <c r="M1228" i="6"/>
  <c r="N1228" i="6"/>
  <c r="O1228" i="6" s="1"/>
  <c r="R1228" i="6" s="1"/>
  <c r="T1228" i="6" s="1"/>
  <c r="U1228" i="6" s="1"/>
  <c r="V1228" i="6" s="1"/>
  <c r="W1228" i="6" s="1"/>
  <c r="S1228" i="6"/>
  <c r="L1229" i="6"/>
  <c r="M1229" i="6"/>
  <c r="N1229" i="6"/>
  <c r="O1229" i="6"/>
  <c r="R1229" i="6" s="1"/>
  <c r="T1229" i="6" s="1"/>
  <c r="U1229" i="6" s="1"/>
  <c r="V1229" i="6" s="1"/>
  <c r="W1229" i="6" s="1"/>
  <c r="P1229" i="6"/>
  <c r="Q1229" i="6" s="1"/>
  <c r="S1229" i="6"/>
  <c r="L1230" i="6"/>
  <c r="M1230" i="6"/>
  <c r="N1230" i="6"/>
  <c r="O1230" i="6" s="1"/>
  <c r="R1230" i="6" s="1"/>
  <c r="T1230" i="6" s="1"/>
  <c r="U1230" i="6" s="1"/>
  <c r="V1230" i="6" s="1"/>
  <c r="W1230" i="6" s="1"/>
  <c r="S1230" i="6"/>
  <c r="L1231" i="6"/>
  <c r="M1231" i="6"/>
  <c r="N1231" i="6"/>
  <c r="O1231" i="6"/>
  <c r="R1231" i="6" s="1"/>
  <c r="T1231" i="6" s="1"/>
  <c r="U1231" i="6" s="1"/>
  <c r="V1231" i="6" s="1"/>
  <c r="W1231" i="6" s="1"/>
  <c r="P1231" i="6"/>
  <c r="Q1231" i="6" s="1"/>
  <c r="S1231" i="6"/>
  <c r="L1232" i="6"/>
  <c r="M1232" i="6"/>
  <c r="N1232" i="6"/>
  <c r="O1232" i="6"/>
  <c r="P1232" i="6"/>
  <c r="Q1232" i="6"/>
  <c r="R1232" i="6"/>
  <c r="T1232" i="6" s="1"/>
  <c r="U1232" i="6" s="1"/>
  <c r="V1232" i="6" s="1"/>
  <c r="W1232" i="6" s="1"/>
  <c r="S1232" i="6"/>
  <c r="L1233" i="6"/>
  <c r="M1233" i="6"/>
  <c r="N1233" i="6"/>
  <c r="O1233" i="6"/>
  <c r="P1233" i="6"/>
  <c r="Q1233" i="6"/>
  <c r="R1233" i="6"/>
  <c r="T1233" i="6" s="1"/>
  <c r="U1233" i="6" s="1"/>
  <c r="S1233" i="6"/>
  <c r="V1233" i="6"/>
  <c r="W1233" i="6" s="1"/>
  <c r="L1234" i="6"/>
  <c r="M1234" i="6"/>
  <c r="N1234" i="6"/>
  <c r="O1234" i="6" s="1"/>
  <c r="R1234" i="6" s="1"/>
  <c r="T1234" i="6" s="1"/>
  <c r="U1234" i="6" s="1"/>
  <c r="V1234" i="6" s="1"/>
  <c r="W1234" i="6" s="1"/>
  <c r="S1234" i="6"/>
  <c r="L1235" i="6"/>
  <c r="M1235" i="6"/>
  <c r="N1235" i="6"/>
  <c r="O1235" i="6"/>
  <c r="R1235" i="6" s="1"/>
  <c r="T1235" i="6" s="1"/>
  <c r="U1235" i="6" s="1"/>
  <c r="V1235" i="6" s="1"/>
  <c r="W1235" i="6" s="1"/>
  <c r="P1235" i="6"/>
  <c r="Q1235" i="6" s="1"/>
  <c r="S1235" i="6"/>
  <c r="L1236" i="6"/>
  <c r="M1236" i="6"/>
  <c r="N1236" i="6"/>
  <c r="O1236" i="6" s="1"/>
  <c r="R1236" i="6" s="1"/>
  <c r="T1236" i="6" s="1"/>
  <c r="U1236" i="6" s="1"/>
  <c r="V1236" i="6" s="1"/>
  <c r="W1236" i="6" s="1"/>
  <c r="S1236" i="6"/>
  <c r="L1237" i="6"/>
  <c r="M1237" i="6"/>
  <c r="N1237" i="6"/>
  <c r="O1237" i="6"/>
  <c r="R1237" i="6" s="1"/>
  <c r="T1237" i="6" s="1"/>
  <c r="U1237" i="6" s="1"/>
  <c r="V1237" i="6" s="1"/>
  <c r="W1237" i="6" s="1"/>
  <c r="P1237" i="6"/>
  <c r="Q1237" i="6" s="1"/>
  <c r="S1237" i="6"/>
  <c r="L1238" i="6"/>
  <c r="M1238" i="6"/>
  <c r="N1238" i="6"/>
  <c r="O1238" i="6"/>
  <c r="P1238" i="6"/>
  <c r="Q1238" i="6"/>
  <c r="R1238" i="6"/>
  <c r="T1238" i="6" s="1"/>
  <c r="U1238" i="6" s="1"/>
  <c r="V1238" i="6" s="1"/>
  <c r="W1238" i="6" s="1"/>
  <c r="S1238" i="6"/>
  <c r="L1239" i="6"/>
  <c r="M1239" i="6"/>
  <c r="N1239" i="6"/>
  <c r="O1239" i="6"/>
  <c r="P1239" i="6"/>
  <c r="Q1239" i="6"/>
  <c r="R1239" i="6"/>
  <c r="T1239" i="6" s="1"/>
  <c r="U1239" i="6" s="1"/>
  <c r="S1239" i="6"/>
  <c r="V1239" i="6"/>
  <c r="W1239" i="6" s="1"/>
  <c r="L1240" i="6"/>
  <c r="M1240" i="6"/>
  <c r="N1240" i="6"/>
  <c r="O1240" i="6" s="1"/>
  <c r="R1240" i="6" s="1"/>
  <c r="T1240" i="6" s="1"/>
  <c r="U1240" i="6" s="1"/>
  <c r="V1240" i="6" s="1"/>
  <c r="W1240" i="6" s="1"/>
  <c r="S1240" i="6"/>
  <c r="L1241" i="6"/>
  <c r="M1241" i="6"/>
  <c r="N1241" i="6"/>
  <c r="O1241" i="6"/>
  <c r="R1241" i="6" s="1"/>
  <c r="T1241" i="6" s="1"/>
  <c r="U1241" i="6" s="1"/>
  <c r="V1241" i="6" s="1"/>
  <c r="W1241" i="6" s="1"/>
  <c r="P1241" i="6"/>
  <c r="Q1241" i="6" s="1"/>
  <c r="S1241" i="6"/>
  <c r="L1242" i="6"/>
  <c r="M1242" i="6"/>
  <c r="N1242" i="6"/>
  <c r="O1242" i="6" s="1"/>
  <c r="R1242" i="6" s="1"/>
  <c r="T1242" i="6" s="1"/>
  <c r="U1242" i="6" s="1"/>
  <c r="V1242" i="6" s="1"/>
  <c r="W1242" i="6" s="1"/>
  <c r="S1242" i="6"/>
  <c r="L1243" i="6"/>
  <c r="M1243" i="6"/>
  <c r="N1243" i="6"/>
  <c r="O1243" i="6"/>
  <c r="R1243" i="6" s="1"/>
  <c r="T1243" i="6" s="1"/>
  <c r="U1243" i="6" s="1"/>
  <c r="V1243" i="6" s="1"/>
  <c r="W1243" i="6" s="1"/>
  <c r="P1243" i="6"/>
  <c r="Q1243" i="6" s="1"/>
  <c r="S1243" i="6"/>
  <c r="L1244" i="6"/>
  <c r="M1244" i="6"/>
  <c r="N1244" i="6"/>
  <c r="O1244" i="6"/>
  <c r="R1244" i="6" s="1"/>
  <c r="T1244" i="6" s="1"/>
  <c r="U1244" i="6" s="1"/>
  <c r="V1244" i="6" s="1"/>
  <c r="W1244" i="6" s="1"/>
  <c r="P1244" i="6"/>
  <c r="Q1244" i="6"/>
  <c r="S1244" i="6"/>
  <c r="L1245" i="6"/>
  <c r="M1245" i="6"/>
  <c r="N1245" i="6"/>
  <c r="O1245" i="6"/>
  <c r="P1245" i="6"/>
  <c r="Q1245" i="6"/>
  <c r="R1245" i="6"/>
  <c r="T1245" i="6" s="1"/>
  <c r="U1245" i="6" s="1"/>
  <c r="V1245" i="6" s="1"/>
  <c r="W1245" i="6" s="1"/>
  <c r="S1245" i="6"/>
  <c r="L1246" i="6"/>
  <c r="M1246" i="6"/>
  <c r="N1246" i="6"/>
  <c r="O1246" i="6"/>
  <c r="P1246" i="6"/>
  <c r="Q1246" i="6"/>
  <c r="R1246" i="6"/>
  <c r="T1246" i="6" s="1"/>
  <c r="U1246" i="6" s="1"/>
  <c r="V1246" i="6" s="1"/>
  <c r="W1246" i="6" s="1"/>
  <c r="S1246" i="6"/>
  <c r="L1247" i="6"/>
  <c r="M1247" i="6"/>
  <c r="N1247" i="6"/>
  <c r="O1247" i="6"/>
  <c r="P1247" i="6"/>
  <c r="Q1247" i="6"/>
  <c r="R1247" i="6"/>
  <c r="S1247" i="6"/>
  <c r="T1247" i="6"/>
  <c r="U1247" i="6" s="1"/>
  <c r="V1247" i="6" s="1"/>
  <c r="W1247" i="6" s="1"/>
  <c r="L1248" i="6"/>
  <c r="M1248" i="6"/>
  <c r="N1248" i="6"/>
  <c r="O1248" i="6" s="1"/>
  <c r="R1248" i="6" s="1"/>
  <c r="T1248" i="6" s="1"/>
  <c r="U1248" i="6" s="1"/>
  <c r="V1248" i="6" s="1"/>
  <c r="W1248" i="6" s="1"/>
  <c r="S1248" i="6"/>
  <c r="L1249" i="6"/>
  <c r="M1249" i="6"/>
  <c r="N1249" i="6"/>
  <c r="O1249" i="6" s="1"/>
  <c r="R1249" i="6" s="1"/>
  <c r="T1249" i="6" s="1"/>
  <c r="U1249" i="6" s="1"/>
  <c r="V1249" i="6" s="1"/>
  <c r="W1249" i="6" s="1"/>
  <c r="S1249" i="6"/>
  <c r="L1250" i="6"/>
  <c r="M1250" i="6"/>
  <c r="N1250" i="6"/>
  <c r="P1250" i="6" s="1"/>
  <c r="Q1250" i="6" s="1"/>
  <c r="O1250" i="6"/>
  <c r="R1250" i="6" s="1"/>
  <c r="T1250" i="6" s="1"/>
  <c r="U1250" i="6" s="1"/>
  <c r="V1250" i="6" s="1"/>
  <c r="W1250" i="6" s="1"/>
  <c r="S1250" i="6"/>
  <c r="L1251" i="6"/>
  <c r="M1251" i="6"/>
  <c r="N1251" i="6"/>
  <c r="O1251" i="6"/>
  <c r="R1251" i="6" s="1"/>
  <c r="T1251" i="6" s="1"/>
  <c r="U1251" i="6" s="1"/>
  <c r="V1251" i="6" s="1"/>
  <c r="W1251" i="6" s="1"/>
  <c r="P1251" i="6"/>
  <c r="Q1251" i="6" s="1"/>
  <c r="S1251" i="6"/>
  <c r="L1252" i="6"/>
  <c r="M1252" i="6"/>
  <c r="N1252" i="6"/>
  <c r="O1252" i="6"/>
  <c r="R1252" i="6" s="1"/>
  <c r="T1252" i="6" s="1"/>
  <c r="U1252" i="6" s="1"/>
  <c r="V1252" i="6" s="1"/>
  <c r="W1252" i="6" s="1"/>
  <c r="P1252" i="6"/>
  <c r="Q1252" i="6"/>
  <c r="S1252" i="6"/>
  <c r="L1253" i="6"/>
  <c r="M1253" i="6"/>
  <c r="N1253" i="6"/>
  <c r="O1253" i="6" s="1"/>
  <c r="R1253" i="6" s="1"/>
  <c r="T1253" i="6" s="1"/>
  <c r="U1253" i="6" s="1"/>
  <c r="V1253" i="6" s="1"/>
  <c r="W1253" i="6" s="1"/>
  <c r="S1253" i="6"/>
  <c r="L1254" i="6"/>
  <c r="M1254" i="6"/>
  <c r="N1254" i="6"/>
  <c r="P1254" i="6" s="1"/>
  <c r="Q1254" i="6" s="1"/>
  <c r="O1254" i="6"/>
  <c r="R1254" i="6"/>
  <c r="T1254" i="6" s="1"/>
  <c r="U1254" i="6" s="1"/>
  <c r="V1254" i="6" s="1"/>
  <c r="W1254" i="6" s="1"/>
  <c r="S1254" i="6"/>
  <c r="L1255" i="6"/>
  <c r="M1255" i="6"/>
  <c r="N1255" i="6"/>
  <c r="P1255" i="6" s="1"/>
  <c r="Q1255" i="6" s="1"/>
  <c r="O1255" i="6"/>
  <c r="R1255" i="6"/>
  <c r="T1255" i="6" s="1"/>
  <c r="U1255" i="6" s="1"/>
  <c r="V1255" i="6" s="1"/>
  <c r="W1255" i="6" s="1"/>
  <c r="S1255" i="6"/>
  <c r="L1256" i="6"/>
  <c r="M1256" i="6"/>
  <c r="N1256" i="6"/>
  <c r="P1256" i="6" s="1"/>
  <c r="Q1256" i="6" s="1"/>
  <c r="O1256" i="6"/>
  <c r="R1256" i="6"/>
  <c r="T1256" i="6" s="1"/>
  <c r="U1256" i="6" s="1"/>
  <c r="V1256" i="6" s="1"/>
  <c r="W1256" i="6" s="1"/>
  <c r="S1256" i="6"/>
  <c r="L1257" i="6"/>
  <c r="M1257" i="6"/>
  <c r="N1257" i="6"/>
  <c r="P1257" i="6" s="1"/>
  <c r="Q1257" i="6" s="1"/>
  <c r="O1257" i="6"/>
  <c r="R1257" i="6"/>
  <c r="T1257" i="6" s="1"/>
  <c r="U1257" i="6" s="1"/>
  <c r="V1257" i="6" s="1"/>
  <c r="W1257" i="6" s="1"/>
  <c r="S1257" i="6"/>
  <c r="L1258" i="6"/>
  <c r="M1258" i="6"/>
  <c r="N1258" i="6"/>
  <c r="P1258" i="6" s="1"/>
  <c r="Q1258" i="6" s="1"/>
  <c r="O1258" i="6"/>
  <c r="R1258" i="6"/>
  <c r="T1258" i="6" s="1"/>
  <c r="U1258" i="6" s="1"/>
  <c r="V1258" i="6" s="1"/>
  <c r="W1258" i="6" s="1"/>
  <c r="S1258" i="6"/>
  <c r="L1259" i="6"/>
  <c r="M1259" i="6"/>
  <c r="N1259" i="6"/>
  <c r="P1259" i="6" s="1"/>
  <c r="Q1259" i="6" s="1"/>
  <c r="O1259" i="6"/>
  <c r="R1259" i="6"/>
  <c r="T1259" i="6" s="1"/>
  <c r="U1259" i="6" s="1"/>
  <c r="V1259" i="6" s="1"/>
  <c r="W1259" i="6" s="1"/>
  <c r="S1259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U8" i="10"/>
  <c r="U9" i="10"/>
  <c r="U11" i="10"/>
  <c r="U13" i="10"/>
  <c r="U14" i="10"/>
  <c r="U19" i="10"/>
  <c r="U21" i="10"/>
  <c r="U31" i="10"/>
  <c r="U32" i="10"/>
  <c r="U33" i="10"/>
  <c r="U35" i="10"/>
  <c r="U2" i="10"/>
  <c r="AK74" i="4"/>
  <c r="U10" i="10"/>
  <c r="U12" i="10"/>
  <c r="U22" i="10"/>
  <c r="U23" i="10"/>
  <c r="U24" i="10"/>
  <c r="U25" i="10"/>
  <c r="U26" i="10"/>
  <c r="U34" i="10"/>
  <c r="U36" i="10"/>
  <c r="U37" i="10"/>
  <c r="U30" i="10"/>
  <c r="U29" i="10"/>
  <c r="U28" i="10"/>
  <c r="U27" i="10"/>
  <c r="U20" i="10"/>
  <c r="U18" i="10"/>
  <c r="U17" i="10"/>
  <c r="U16" i="10"/>
  <c r="U15" i="10"/>
  <c r="U7" i="10"/>
  <c r="U6" i="10"/>
  <c r="U5" i="10"/>
  <c r="U4" i="10"/>
  <c r="U3" i="10"/>
  <c r="L1023" i="6"/>
  <c r="M1023" i="6"/>
  <c r="N1023" i="6"/>
  <c r="O1023" i="6" s="1"/>
  <c r="R1023" i="6" s="1"/>
  <c r="S1023" i="6"/>
  <c r="L1024" i="6"/>
  <c r="M1024" i="6"/>
  <c r="N1024" i="6"/>
  <c r="O1024" i="6" s="1"/>
  <c r="R1024" i="6" s="1"/>
  <c r="S1024" i="6"/>
  <c r="L1025" i="6"/>
  <c r="M1025" i="6"/>
  <c r="N1025" i="6"/>
  <c r="O1025" i="6" s="1"/>
  <c r="R1025" i="6" s="1"/>
  <c r="S1025" i="6"/>
  <c r="L1026" i="6"/>
  <c r="M1026" i="6"/>
  <c r="N1026" i="6"/>
  <c r="S1026" i="6"/>
  <c r="L1027" i="6"/>
  <c r="M1027" i="6"/>
  <c r="N1027" i="6"/>
  <c r="S1027" i="6"/>
  <c r="L1028" i="6"/>
  <c r="M1028" i="6"/>
  <c r="N1028" i="6"/>
  <c r="S1028" i="6"/>
  <c r="L1029" i="6"/>
  <c r="M1029" i="6"/>
  <c r="N1029" i="6"/>
  <c r="S1029" i="6"/>
  <c r="L1030" i="6"/>
  <c r="M1030" i="6"/>
  <c r="N1030" i="6"/>
  <c r="S1030" i="6"/>
  <c r="L1031" i="6"/>
  <c r="M1031" i="6"/>
  <c r="N1031" i="6"/>
  <c r="S1031" i="6"/>
  <c r="L1032" i="6"/>
  <c r="M1032" i="6"/>
  <c r="N1032" i="6"/>
  <c r="S1032" i="6"/>
  <c r="L1033" i="6"/>
  <c r="M1033" i="6"/>
  <c r="N1033" i="6"/>
  <c r="S1033" i="6"/>
  <c r="L1034" i="6"/>
  <c r="M1034" i="6"/>
  <c r="N1034" i="6"/>
  <c r="S1034" i="6"/>
  <c r="L1035" i="6"/>
  <c r="M1035" i="6"/>
  <c r="N1035" i="6"/>
  <c r="S1035" i="6"/>
  <c r="L1036" i="6"/>
  <c r="M1036" i="6"/>
  <c r="N1036" i="6"/>
  <c r="S1036" i="6"/>
  <c r="L1037" i="6"/>
  <c r="M1037" i="6"/>
  <c r="N1037" i="6"/>
  <c r="S1037" i="6"/>
  <c r="L1038" i="6"/>
  <c r="M1038" i="6"/>
  <c r="N1038" i="6"/>
  <c r="S1038" i="6"/>
  <c r="L1039" i="6"/>
  <c r="M1039" i="6"/>
  <c r="N1039" i="6"/>
  <c r="S1039" i="6"/>
  <c r="L1040" i="6"/>
  <c r="M1040" i="6"/>
  <c r="N1040" i="6"/>
  <c r="S1040" i="6"/>
  <c r="L1041" i="6"/>
  <c r="M1041" i="6"/>
  <c r="N1041" i="6"/>
  <c r="S1041" i="6"/>
  <c r="L1042" i="6"/>
  <c r="M1042" i="6"/>
  <c r="N1042" i="6"/>
  <c r="S1042" i="6"/>
  <c r="L1043" i="6"/>
  <c r="M1043" i="6"/>
  <c r="N1043" i="6"/>
  <c r="S1043" i="6"/>
  <c r="L1044" i="6"/>
  <c r="M1044" i="6"/>
  <c r="N1044" i="6"/>
  <c r="S1044" i="6"/>
  <c r="L1045" i="6"/>
  <c r="M1045" i="6"/>
  <c r="N1045" i="6"/>
  <c r="S1045" i="6"/>
  <c r="L1046" i="6"/>
  <c r="M1046" i="6"/>
  <c r="N1046" i="6"/>
  <c r="S1046" i="6"/>
  <c r="L1047" i="6"/>
  <c r="M1047" i="6"/>
  <c r="N1047" i="6"/>
  <c r="S1047" i="6"/>
  <c r="L1048" i="6"/>
  <c r="M1048" i="6"/>
  <c r="N1048" i="6"/>
  <c r="S1048" i="6"/>
  <c r="L1049" i="6"/>
  <c r="M1049" i="6"/>
  <c r="N1049" i="6"/>
  <c r="S1049" i="6"/>
  <c r="L1050" i="6"/>
  <c r="M1050" i="6"/>
  <c r="N1050" i="6"/>
  <c r="S1050" i="6"/>
  <c r="L1051" i="6"/>
  <c r="M1051" i="6"/>
  <c r="N1051" i="6"/>
  <c r="S1051" i="6"/>
  <c r="L1052" i="6"/>
  <c r="M1052" i="6"/>
  <c r="N1052" i="6"/>
  <c r="S1052" i="6"/>
  <c r="L1053" i="6"/>
  <c r="M1053" i="6"/>
  <c r="N1053" i="6"/>
  <c r="S1053" i="6"/>
  <c r="L1054" i="6"/>
  <c r="M1054" i="6"/>
  <c r="N1054" i="6"/>
  <c r="S1054" i="6"/>
  <c r="L1055" i="6"/>
  <c r="M1055" i="6"/>
  <c r="N1055" i="6"/>
  <c r="S1055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Q62" i="4" l="1"/>
  <c r="AG62" i="4" s="1"/>
  <c r="O61" i="4"/>
  <c r="Q61" i="4" s="1"/>
  <c r="AG61" i="4" s="1"/>
  <c r="P1253" i="6"/>
  <c r="Q1253" i="6" s="1"/>
  <c r="P1242" i="6"/>
  <c r="Q1242" i="6" s="1"/>
  <c r="P1236" i="6"/>
  <c r="Q1236" i="6" s="1"/>
  <c r="P1230" i="6"/>
  <c r="Q1230" i="6" s="1"/>
  <c r="P1219" i="6"/>
  <c r="Q1219" i="6" s="1"/>
  <c r="P1205" i="6"/>
  <c r="Q1205" i="6" s="1"/>
  <c r="P1197" i="6"/>
  <c r="Q1197" i="6" s="1"/>
  <c r="P1186" i="6"/>
  <c r="Q1186" i="6" s="1"/>
  <c r="O1225" i="6"/>
  <c r="R1225" i="6" s="1"/>
  <c r="T1225" i="6" s="1"/>
  <c r="U1225" i="6" s="1"/>
  <c r="V1225" i="6" s="1"/>
  <c r="W1225" i="6" s="1"/>
  <c r="P1225" i="6"/>
  <c r="Q1225" i="6" s="1"/>
  <c r="P1194" i="6"/>
  <c r="Q1194" i="6" s="1"/>
  <c r="O1193" i="6"/>
  <c r="R1193" i="6" s="1"/>
  <c r="T1193" i="6" s="1"/>
  <c r="U1193" i="6" s="1"/>
  <c r="V1193" i="6" s="1"/>
  <c r="W1193" i="6" s="1"/>
  <c r="P1193" i="6"/>
  <c r="Q1193" i="6" s="1"/>
  <c r="P1216" i="6"/>
  <c r="Q1216" i="6" s="1"/>
  <c r="O1216" i="6"/>
  <c r="R1216" i="6" s="1"/>
  <c r="T1216" i="6" s="1"/>
  <c r="U1216" i="6" s="1"/>
  <c r="V1216" i="6" s="1"/>
  <c r="W1216" i="6" s="1"/>
  <c r="P1222" i="6"/>
  <c r="Q1222" i="6" s="1"/>
  <c r="O1200" i="6"/>
  <c r="R1200" i="6" s="1"/>
  <c r="T1200" i="6" s="1"/>
  <c r="U1200" i="6" s="1"/>
  <c r="V1200" i="6" s="1"/>
  <c r="W1200" i="6" s="1"/>
  <c r="P1200" i="6"/>
  <c r="Q1200" i="6" s="1"/>
  <c r="P1188" i="6"/>
  <c r="Q1188" i="6" s="1"/>
  <c r="P1248" i="6"/>
  <c r="Q1248" i="6" s="1"/>
  <c r="P1249" i="6"/>
  <c r="Q1249" i="6" s="1"/>
  <c r="P1240" i="6"/>
  <c r="Q1240" i="6" s="1"/>
  <c r="P1234" i="6"/>
  <c r="Q1234" i="6" s="1"/>
  <c r="P1228" i="6"/>
  <c r="Q1228" i="6" s="1"/>
  <c r="P1212" i="6"/>
  <c r="Q1212" i="6" s="1"/>
  <c r="O1208" i="6"/>
  <c r="R1208" i="6" s="1"/>
  <c r="T1208" i="6" s="1"/>
  <c r="U1208" i="6" s="1"/>
  <c r="V1208" i="6" s="1"/>
  <c r="W1208" i="6" s="1"/>
  <c r="P1208" i="6"/>
  <c r="Q1208" i="6" s="1"/>
  <c r="P1196" i="6"/>
  <c r="Q1196" i="6" s="1"/>
  <c r="O1204" i="6"/>
  <c r="R1204" i="6" s="1"/>
  <c r="T1204" i="6" s="1"/>
  <c r="U1204" i="6" s="1"/>
  <c r="V1204" i="6" s="1"/>
  <c r="W1204" i="6" s="1"/>
  <c r="O1185" i="6"/>
  <c r="R1185" i="6" s="1"/>
  <c r="T1185" i="6" s="1"/>
  <c r="U1185" i="6" s="1"/>
  <c r="V1185" i="6" s="1"/>
  <c r="W1185" i="6" s="1"/>
  <c r="P1185" i="6"/>
  <c r="Q1185" i="6" s="1"/>
  <c r="T1024" i="6"/>
  <c r="U1024" i="6" s="1"/>
  <c r="V1024" i="6" s="1"/>
  <c r="W1024" i="6" s="1"/>
  <c r="T1025" i="6"/>
  <c r="U1025" i="6" s="1"/>
  <c r="V1025" i="6" s="1"/>
  <c r="W1025" i="6" s="1"/>
  <c r="H38" i="10"/>
  <c r="O1027" i="6"/>
  <c r="R1027" i="6" s="1"/>
  <c r="T1027" i="6" s="1"/>
  <c r="U1027" i="6" s="1"/>
  <c r="V1027" i="6" s="1"/>
  <c r="W1027" i="6" s="1"/>
  <c r="P1027" i="6"/>
  <c r="Q1027" i="6" s="1"/>
  <c r="O1046" i="6"/>
  <c r="R1046" i="6" s="1"/>
  <c r="T1046" i="6" s="1"/>
  <c r="U1046" i="6" s="1"/>
  <c r="V1046" i="6" s="1"/>
  <c r="W1046" i="6" s="1"/>
  <c r="P1046" i="6"/>
  <c r="Q1046" i="6" s="1"/>
  <c r="O1042" i="6"/>
  <c r="R1042" i="6" s="1"/>
  <c r="T1042" i="6" s="1"/>
  <c r="U1042" i="6" s="1"/>
  <c r="V1042" i="6" s="1"/>
  <c r="W1042" i="6" s="1"/>
  <c r="P1042" i="6"/>
  <c r="Q1042" i="6" s="1"/>
  <c r="O1039" i="6"/>
  <c r="R1039" i="6" s="1"/>
  <c r="T1039" i="6" s="1"/>
  <c r="U1039" i="6" s="1"/>
  <c r="V1039" i="6" s="1"/>
  <c r="W1039" i="6" s="1"/>
  <c r="P1039" i="6"/>
  <c r="Q1039" i="6" s="1"/>
  <c r="O1033" i="6"/>
  <c r="R1033" i="6" s="1"/>
  <c r="T1033" i="6" s="1"/>
  <c r="U1033" i="6" s="1"/>
  <c r="V1033" i="6" s="1"/>
  <c r="W1033" i="6" s="1"/>
  <c r="P1033" i="6"/>
  <c r="Q1033" i="6" s="1"/>
  <c r="O1047" i="6"/>
  <c r="R1047" i="6" s="1"/>
  <c r="T1047" i="6" s="1"/>
  <c r="U1047" i="6" s="1"/>
  <c r="V1047" i="6" s="1"/>
  <c r="W1047" i="6" s="1"/>
  <c r="P1047" i="6"/>
  <c r="Q1047" i="6" s="1"/>
  <c r="O1043" i="6"/>
  <c r="R1043" i="6" s="1"/>
  <c r="T1043" i="6" s="1"/>
  <c r="U1043" i="6" s="1"/>
  <c r="V1043" i="6" s="1"/>
  <c r="W1043" i="6" s="1"/>
  <c r="P1043" i="6"/>
  <c r="Q1043" i="6" s="1"/>
  <c r="O1040" i="6"/>
  <c r="R1040" i="6" s="1"/>
  <c r="T1040" i="6" s="1"/>
  <c r="U1040" i="6" s="1"/>
  <c r="V1040" i="6" s="1"/>
  <c r="W1040" i="6" s="1"/>
  <c r="P1040" i="6"/>
  <c r="Q1040" i="6" s="1"/>
  <c r="O1031" i="6"/>
  <c r="R1031" i="6" s="1"/>
  <c r="T1031" i="6" s="1"/>
  <c r="U1031" i="6" s="1"/>
  <c r="V1031" i="6" s="1"/>
  <c r="W1031" i="6" s="1"/>
  <c r="P1031" i="6"/>
  <c r="Q1031" i="6" s="1"/>
  <c r="O1028" i="6"/>
  <c r="R1028" i="6" s="1"/>
  <c r="T1028" i="6" s="1"/>
  <c r="U1028" i="6" s="1"/>
  <c r="V1028" i="6" s="1"/>
  <c r="W1028" i="6" s="1"/>
  <c r="P1028" i="6"/>
  <c r="Q1028" i="6" s="1"/>
  <c r="O1052" i="6"/>
  <c r="R1052" i="6" s="1"/>
  <c r="T1052" i="6" s="1"/>
  <c r="U1052" i="6" s="1"/>
  <c r="V1052" i="6" s="1"/>
  <c r="W1052" i="6" s="1"/>
  <c r="P1052" i="6"/>
  <c r="Q1052" i="6" s="1"/>
  <c r="O1048" i="6"/>
  <c r="R1048" i="6" s="1"/>
  <c r="T1048" i="6" s="1"/>
  <c r="U1048" i="6" s="1"/>
  <c r="V1048" i="6" s="1"/>
  <c r="W1048" i="6" s="1"/>
  <c r="P1048" i="6"/>
  <c r="Q1048" i="6" s="1"/>
  <c r="O1044" i="6"/>
  <c r="R1044" i="6" s="1"/>
  <c r="T1044" i="6" s="1"/>
  <c r="U1044" i="6" s="1"/>
  <c r="V1044" i="6" s="1"/>
  <c r="W1044" i="6" s="1"/>
  <c r="P1044" i="6"/>
  <c r="Q1044" i="6" s="1"/>
  <c r="T1023" i="6"/>
  <c r="U1023" i="6" s="1"/>
  <c r="V1023" i="6" s="1"/>
  <c r="W1023" i="6" s="1"/>
  <c r="O1054" i="6"/>
  <c r="R1054" i="6" s="1"/>
  <c r="T1054" i="6" s="1"/>
  <c r="U1054" i="6" s="1"/>
  <c r="V1054" i="6" s="1"/>
  <c r="W1054" i="6" s="1"/>
  <c r="P1054" i="6"/>
  <c r="Q1054" i="6" s="1"/>
  <c r="O1030" i="6"/>
  <c r="R1030" i="6" s="1"/>
  <c r="T1030" i="6" s="1"/>
  <c r="U1030" i="6" s="1"/>
  <c r="V1030" i="6" s="1"/>
  <c r="W1030" i="6" s="1"/>
  <c r="P1030" i="6"/>
  <c r="Q1030" i="6" s="1"/>
  <c r="O1055" i="6"/>
  <c r="R1055" i="6" s="1"/>
  <c r="T1055" i="6" s="1"/>
  <c r="U1055" i="6" s="1"/>
  <c r="V1055" i="6" s="1"/>
  <c r="W1055" i="6" s="1"/>
  <c r="P1055" i="6"/>
  <c r="Q1055" i="6" s="1"/>
  <c r="O1034" i="6"/>
  <c r="R1034" i="6" s="1"/>
  <c r="T1034" i="6" s="1"/>
  <c r="U1034" i="6" s="1"/>
  <c r="V1034" i="6" s="1"/>
  <c r="W1034" i="6" s="1"/>
  <c r="P1034" i="6"/>
  <c r="Q1034" i="6" s="1"/>
  <c r="O1041" i="6"/>
  <c r="R1041" i="6" s="1"/>
  <c r="T1041" i="6" s="1"/>
  <c r="U1041" i="6" s="1"/>
  <c r="V1041" i="6" s="1"/>
  <c r="W1041" i="6" s="1"/>
  <c r="P1041" i="6"/>
  <c r="Q1041" i="6" s="1"/>
  <c r="O1038" i="6"/>
  <c r="R1038" i="6" s="1"/>
  <c r="T1038" i="6" s="1"/>
  <c r="U1038" i="6" s="1"/>
  <c r="V1038" i="6" s="1"/>
  <c r="W1038" i="6" s="1"/>
  <c r="P1038" i="6"/>
  <c r="Q1038" i="6" s="1"/>
  <c r="O1035" i="6"/>
  <c r="R1035" i="6" s="1"/>
  <c r="T1035" i="6" s="1"/>
  <c r="U1035" i="6" s="1"/>
  <c r="V1035" i="6" s="1"/>
  <c r="W1035" i="6" s="1"/>
  <c r="P1035" i="6"/>
  <c r="Q1035" i="6" s="1"/>
  <c r="O1032" i="6"/>
  <c r="R1032" i="6" s="1"/>
  <c r="T1032" i="6" s="1"/>
  <c r="U1032" i="6" s="1"/>
  <c r="V1032" i="6" s="1"/>
  <c r="W1032" i="6" s="1"/>
  <c r="P1032" i="6"/>
  <c r="Q1032" i="6" s="1"/>
  <c r="O1029" i="6"/>
  <c r="R1029" i="6" s="1"/>
  <c r="T1029" i="6" s="1"/>
  <c r="U1029" i="6" s="1"/>
  <c r="V1029" i="6" s="1"/>
  <c r="W1029" i="6" s="1"/>
  <c r="P1029" i="6"/>
  <c r="Q1029" i="6" s="1"/>
  <c r="O1026" i="6"/>
  <c r="R1026" i="6" s="1"/>
  <c r="T1026" i="6" s="1"/>
  <c r="U1026" i="6" s="1"/>
  <c r="V1026" i="6" s="1"/>
  <c r="W1026" i="6" s="1"/>
  <c r="P1026" i="6"/>
  <c r="Q1026" i="6" s="1"/>
  <c r="O1050" i="6"/>
  <c r="R1050" i="6" s="1"/>
  <c r="T1050" i="6" s="1"/>
  <c r="U1050" i="6" s="1"/>
  <c r="V1050" i="6" s="1"/>
  <c r="W1050" i="6" s="1"/>
  <c r="P1050" i="6"/>
  <c r="Q1050" i="6" s="1"/>
  <c r="O1036" i="6"/>
  <c r="R1036" i="6" s="1"/>
  <c r="T1036" i="6" s="1"/>
  <c r="U1036" i="6" s="1"/>
  <c r="V1036" i="6" s="1"/>
  <c r="W1036" i="6" s="1"/>
  <c r="P1036" i="6"/>
  <c r="Q1036" i="6" s="1"/>
  <c r="O1051" i="6"/>
  <c r="R1051" i="6" s="1"/>
  <c r="T1051" i="6" s="1"/>
  <c r="U1051" i="6" s="1"/>
  <c r="V1051" i="6" s="1"/>
  <c r="W1051" i="6" s="1"/>
  <c r="P1051" i="6"/>
  <c r="Q1051" i="6" s="1"/>
  <c r="O1037" i="6"/>
  <c r="R1037" i="6" s="1"/>
  <c r="T1037" i="6" s="1"/>
  <c r="U1037" i="6" s="1"/>
  <c r="V1037" i="6" s="1"/>
  <c r="W1037" i="6" s="1"/>
  <c r="P1037" i="6"/>
  <c r="Q1037" i="6" s="1"/>
  <c r="O1053" i="6"/>
  <c r="R1053" i="6" s="1"/>
  <c r="T1053" i="6" s="1"/>
  <c r="U1053" i="6" s="1"/>
  <c r="V1053" i="6" s="1"/>
  <c r="W1053" i="6" s="1"/>
  <c r="P1053" i="6"/>
  <c r="Q1053" i="6" s="1"/>
  <c r="O1049" i="6"/>
  <c r="R1049" i="6" s="1"/>
  <c r="T1049" i="6" s="1"/>
  <c r="U1049" i="6" s="1"/>
  <c r="V1049" i="6" s="1"/>
  <c r="W1049" i="6" s="1"/>
  <c r="P1049" i="6"/>
  <c r="Q1049" i="6" s="1"/>
  <c r="O1045" i="6"/>
  <c r="R1045" i="6" s="1"/>
  <c r="T1045" i="6" s="1"/>
  <c r="U1045" i="6" s="1"/>
  <c r="V1045" i="6" s="1"/>
  <c r="W1045" i="6" s="1"/>
  <c r="P1045" i="6"/>
  <c r="Q1045" i="6" s="1"/>
  <c r="P1025" i="6"/>
  <c r="Q1025" i="6" s="1"/>
  <c r="P1024" i="6"/>
  <c r="Q1024" i="6" s="1"/>
  <c r="P1023" i="6"/>
  <c r="Q1023" i="6" s="1"/>
  <c r="F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72" i="4"/>
  <c r="E72" i="4"/>
  <c r="J72" i="4"/>
  <c r="P72" i="4"/>
  <c r="T72" i="4" a="1"/>
  <c r="T72" i="4" s="1"/>
  <c r="V72" i="4"/>
  <c r="W72" i="4"/>
  <c r="AB72" i="4"/>
  <c r="AC72" i="4"/>
  <c r="AD72" i="4"/>
  <c r="D71" i="4"/>
  <c r="AK71" i="4" s="1"/>
  <c r="E71" i="4"/>
  <c r="J71" i="4"/>
  <c r="P71" i="4"/>
  <c r="T71" i="4" a="1"/>
  <c r="T71" i="4" s="1"/>
  <c r="V71" i="4"/>
  <c r="W71" i="4"/>
  <c r="AB71" i="4"/>
  <c r="AC71" i="4"/>
  <c r="AD71" i="4"/>
  <c r="D73" i="4"/>
  <c r="E73" i="4"/>
  <c r="J73" i="4"/>
  <c r="P73" i="4"/>
  <c r="T73" i="4" a="1"/>
  <c r="T73" i="4" s="1"/>
  <c r="V73" i="4"/>
  <c r="W73" i="4"/>
  <c r="AB73" i="4"/>
  <c r="AC73" i="4"/>
  <c r="AD73" i="4"/>
  <c r="D63" i="4"/>
  <c r="E63" i="4"/>
  <c r="J63" i="4"/>
  <c r="P63" i="4"/>
  <c r="T63" i="4" a="1"/>
  <c r="T63" i="4" s="1"/>
  <c r="V63" i="4"/>
  <c r="W63" i="4"/>
  <c r="AB63" i="4"/>
  <c r="AC63" i="4"/>
  <c r="AD63" i="4"/>
  <c r="D64" i="4"/>
  <c r="AK64" i="4" s="1"/>
  <c r="E64" i="4"/>
  <c r="J64" i="4"/>
  <c r="P64" i="4"/>
  <c r="T64" i="4" a="1"/>
  <c r="T64" i="4" s="1"/>
  <c r="V64" i="4"/>
  <c r="W64" i="4"/>
  <c r="AB64" i="4"/>
  <c r="AC64" i="4"/>
  <c r="AD64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N4" i="6"/>
  <c r="M4" i="6"/>
  <c r="D58" i="4"/>
  <c r="E58" i="4"/>
  <c r="J58" i="4"/>
  <c r="P58" i="4"/>
  <c r="T58" i="4" a="1"/>
  <c r="T58" i="4" s="1"/>
  <c r="V58" i="4"/>
  <c r="W58" i="4"/>
  <c r="AB58" i="4"/>
  <c r="AC58" i="4"/>
  <c r="AD58" i="4"/>
  <c r="D59" i="4"/>
  <c r="E59" i="4"/>
  <c r="J59" i="4"/>
  <c r="P59" i="4"/>
  <c r="T59" i="4" a="1"/>
  <c r="T59" i="4" s="1"/>
  <c r="V59" i="4"/>
  <c r="W59" i="4"/>
  <c r="AB59" i="4"/>
  <c r="AC59" i="4"/>
  <c r="AD59" i="4"/>
  <c r="D65" i="4"/>
  <c r="AK65" i="4" s="1"/>
  <c r="E65" i="4"/>
  <c r="J65" i="4"/>
  <c r="P65" i="4"/>
  <c r="T65" i="4" a="1"/>
  <c r="T65" i="4" s="1"/>
  <c r="V65" i="4"/>
  <c r="W65" i="4"/>
  <c r="AB65" i="4"/>
  <c r="AC65" i="4"/>
  <c r="AD65" i="4"/>
  <c r="M71" i="4" l="1"/>
  <c r="AK58" i="4"/>
  <c r="M58" i="4" s="1"/>
  <c r="O58" i="4" s="1"/>
  <c r="Q58" i="4" s="1"/>
  <c r="AG58" i="4" s="1"/>
  <c r="AK72" i="4"/>
  <c r="M72" i="4" s="1"/>
  <c r="O72" i="4" s="1"/>
  <c r="Q72" i="4" s="1"/>
  <c r="AG72" i="4" s="1"/>
  <c r="AK73" i="4"/>
  <c r="M73" i="4" s="1"/>
  <c r="O73" i="4" s="1"/>
  <c r="Q73" i="4" s="1"/>
  <c r="AG73" i="4" s="1"/>
  <c r="AK59" i="4"/>
  <c r="M59" i="4" s="1"/>
  <c r="O59" i="4" s="1"/>
  <c r="Q59" i="4" s="1"/>
  <c r="AG59" i="4" s="1"/>
  <c r="AK63" i="4"/>
  <c r="M63" i="4" s="1"/>
  <c r="O63" i="4" s="1"/>
  <c r="Q63" i="4" s="1"/>
  <c r="AG63" i="4" s="1"/>
  <c r="X72" i="4"/>
  <c r="Z72" i="4" s="1"/>
  <c r="M65" i="4"/>
  <c r="O65" i="4" s="1"/>
  <c r="Q65" i="4" s="1"/>
  <c r="AG65" i="4" s="1"/>
  <c r="M64" i="4"/>
  <c r="O64" i="4" s="1"/>
  <c r="Q64" i="4" s="1"/>
  <c r="AG64" i="4" s="1"/>
  <c r="O71" i="4"/>
  <c r="Q71" i="4" s="1"/>
  <c r="AG71" i="4" s="1"/>
  <c r="G38" i="10"/>
  <c r="X71" i="4"/>
  <c r="Z71" i="4" s="1"/>
  <c r="X63" i="4"/>
  <c r="Z63" i="4" s="1"/>
  <c r="X73" i="4"/>
  <c r="Z73" i="4" s="1"/>
  <c r="X64" i="4"/>
  <c r="Z64" i="4" s="1"/>
  <c r="P689" i="6"/>
  <c r="Q689" i="6" s="1"/>
  <c r="T668" i="6"/>
  <c r="U668" i="6" s="1"/>
  <c r="V668" i="6" s="1"/>
  <c r="W668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833" i="6"/>
  <c r="R833" i="6" s="1"/>
  <c r="T833" i="6" s="1"/>
  <c r="U833" i="6" s="1"/>
  <c r="V833" i="6" s="1"/>
  <c r="W833" i="6" s="1"/>
  <c r="P821" i="6"/>
  <c r="Q821" i="6" s="1"/>
  <c r="P785" i="6"/>
  <c r="Q785" i="6" s="1"/>
  <c r="O680" i="6"/>
  <c r="R680" i="6" s="1"/>
  <c r="T680" i="6" s="1"/>
  <c r="U680" i="6" s="1"/>
  <c r="V680" i="6" s="1"/>
  <c r="W680" i="6" s="1"/>
  <c r="P904" i="6"/>
  <c r="Q904" i="6" s="1"/>
  <c r="P608" i="6"/>
  <c r="Q608" i="6" s="1"/>
  <c r="O631" i="6"/>
  <c r="R631" i="6" s="1"/>
  <c r="T631" i="6" s="1"/>
  <c r="U631" i="6" s="1"/>
  <c r="V631" i="6" s="1"/>
  <c r="W631" i="6" s="1"/>
  <c r="O724" i="6"/>
  <c r="R724" i="6" s="1"/>
  <c r="T724" i="6" s="1"/>
  <c r="U724" i="6" s="1"/>
  <c r="V724" i="6" s="1"/>
  <c r="W724" i="6" s="1"/>
  <c r="O716" i="6"/>
  <c r="R716" i="6" s="1"/>
  <c r="T716" i="6" s="1"/>
  <c r="U716" i="6" s="1"/>
  <c r="V716" i="6" s="1"/>
  <c r="W716" i="6" s="1"/>
  <c r="P692" i="6"/>
  <c r="Q692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P870" i="6"/>
  <c r="Q870" i="6" s="1"/>
  <c r="P714" i="6"/>
  <c r="Q714" i="6" s="1"/>
  <c r="O933" i="6"/>
  <c r="R933" i="6" s="1"/>
  <c r="T933" i="6" s="1"/>
  <c r="U933" i="6" s="1"/>
  <c r="V933" i="6" s="1"/>
  <c r="W933" i="6" s="1"/>
  <c r="O705" i="6"/>
  <c r="R705" i="6" s="1"/>
  <c r="T705" i="6" s="1"/>
  <c r="U705" i="6" s="1"/>
  <c r="V705" i="6" s="1"/>
  <c r="W705" i="6" s="1"/>
  <c r="P1014" i="6"/>
  <c r="Q1014" i="6" s="1"/>
  <c r="P969" i="6"/>
  <c r="Q969" i="6" s="1"/>
  <c r="O849" i="6"/>
  <c r="R849" i="6" s="1"/>
  <c r="T849" i="6" s="1"/>
  <c r="U849" i="6" s="1"/>
  <c r="V849" i="6" s="1"/>
  <c r="W849" i="6" s="1"/>
  <c r="P981" i="6"/>
  <c r="Q981" i="6" s="1"/>
  <c r="P609" i="6"/>
  <c r="Q609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875" i="6"/>
  <c r="U875" i="6" s="1"/>
  <c r="V875" i="6" s="1"/>
  <c r="W875" i="6" s="1"/>
  <c r="T683" i="6"/>
  <c r="U683" i="6" s="1"/>
  <c r="V683" i="6" s="1"/>
  <c r="W683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P589" i="6"/>
  <c r="Q589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P787" i="6"/>
  <c r="Q787" i="6" s="1"/>
  <c r="O931" i="6"/>
  <c r="R931" i="6" s="1"/>
  <c r="T931" i="6" s="1"/>
  <c r="U931" i="6" s="1"/>
  <c r="V931" i="6" s="1"/>
  <c r="W931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O967" i="6"/>
  <c r="R967" i="6" s="1"/>
  <c r="T967" i="6" s="1"/>
  <c r="U967" i="6" s="1"/>
  <c r="V967" i="6" s="1"/>
  <c r="W967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859" i="6"/>
  <c r="Q859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870" i="6"/>
  <c r="U870" i="6" s="1"/>
  <c r="V870" i="6" s="1"/>
  <c r="W870" i="6" s="1"/>
  <c r="T821" i="6"/>
  <c r="U821" i="6" s="1"/>
  <c r="V821" i="6" s="1"/>
  <c r="W821" i="6" s="1"/>
  <c r="T568" i="6"/>
  <c r="U568" i="6" s="1"/>
  <c r="V568" i="6" s="1"/>
  <c r="W568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P997" i="6"/>
  <c r="Q997" i="6" s="1"/>
  <c r="P706" i="6"/>
  <c r="Q70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P829" i="6"/>
  <c r="Q829" i="6" s="1"/>
  <c r="O602" i="6"/>
  <c r="R602" i="6" s="1"/>
  <c r="T602" i="6" s="1"/>
  <c r="U602" i="6" s="1"/>
  <c r="V602" i="6" s="1"/>
  <c r="W602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603" i="6"/>
  <c r="Q603" i="6" s="1"/>
  <c r="O722" i="6"/>
  <c r="R722" i="6" s="1"/>
  <c r="T722" i="6" s="1"/>
  <c r="U722" i="6" s="1"/>
  <c r="V722" i="6" s="1"/>
  <c r="W722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903" i="6"/>
  <c r="R903" i="6" s="1"/>
  <c r="T903" i="6" s="1"/>
  <c r="U903" i="6" s="1"/>
  <c r="V903" i="6" s="1"/>
  <c r="W903" i="6" s="1"/>
  <c r="P903" i="6"/>
  <c r="Q903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790" i="6"/>
  <c r="R790" i="6" s="1"/>
  <c r="T790" i="6" s="1"/>
  <c r="U790" i="6" s="1"/>
  <c r="V790" i="6" s="1"/>
  <c r="W790" i="6" s="1"/>
  <c r="P790" i="6"/>
  <c r="Q790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645" i="6"/>
  <c r="U645" i="6" s="1"/>
  <c r="V645" i="6" s="1"/>
  <c r="W645" i="6" s="1"/>
  <c r="T972" i="6"/>
  <c r="U972" i="6" s="1"/>
  <c r="V972" i="6" s="1"/>
  <c r="W972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774" i="6"/>
  <c r="U774" i="6" s="1"/>
  <c r="V774" i="6" s="1"/>
  <c r="W774" i="6" s="1"/>
  <c r="T608" i="6"/>
  <c r="U608" i="6" s="1"/>
  <c r="V608" i="6" s="1"/>
  <c r="W608" i="6" s="1"/>
  <c r="T670" i="6"/>
  <c r="U670" i="6" s="1"/>
  <c r="V670" i="6" s="1"/>
  <c r="W670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890" i="6"/>
  <c r="U890" i="6" s="1"/>
  <c r="V890" i="6" s="1"/>
  <c r="W890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916" i="6"/>
  <c r="U916" i="6" s="1"/>
  <c r="V916" i="6" s="1"/>
  <c r="W916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719" i="6"/>
  <c r="R719" i="6" s="1"/>
  <c r="T719" i="6" s="1"/>
  <c r="U719" i="6" s="1"/>
  <c r="V719" i="6" s="1"/>
  <c r="W719" i="6" s="1"/>
  <c r="P719" i="6"/>
  <c r="Q719" i="6" s="1"/>
  <c r="P948" i="6"/>
  <c r="Q948" i="6" s="1"/>
  <c r="P683" i="6"/>
  <c r="Q683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852" i="6"/>
  <c r="Q852" i="6" s="1"/>
  <c r="O852" i="6"/>
  <c r="R852" i="6" s="1"/>
  <c r="T852" i="6" s="1"/>
  <c r="U852" i="6" s="1"/>
  <c r="V852" i="6" s="1"/>
  <c r="W852" i="6" s="1"/>
  <c r="O708" i="6"/>
  <c r="R708" i="6" s="1"/>
  <c r="T708" i="6" s="1"/>
  <c r="U708" i="6" s="1"/>
  <c r="V708" i="6" s="1"/>
  <c r="W708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875" i="6"/>
  <c r="Q875" i="6" s="1"/>
  <c r="O912" i="6"/>
  <c r="R912" i="6" s="1"/>
  <c r="T912" i="6" s="1"/>
  <c r="U912" i="6" s="1"/>
  <c r="V912" i="6" s="1"/>
  <c r="W912" i="6" s="1"/>
  <c r="P912" i="6"/>
  <c r="Q912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P1020" i="6"/>
  <c r="Q1020" i="6" s="1"/>
  <c r="P972" i="6"/>
  <c r="Q972" i="6" s="1"/>
  <c r="P1007" i="6"/>
  <c r="Q1007" i="6" s="1"/>
  <c r="O1007" i="6"/>
  <c r="R1007" i="6" s="1"/>
  <c r="T1007" i="6" s="1"/>
  <c r="U1007" i="6" s="1"/>
  <c r="V1007" i="6" s="1"/>
  <c r="W1007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P598" i="6"/>
  <c r="Q598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955" i="6"/>
  <c r="Q955" i="6" s="1"/>
  <c r="O955" i="6"/>
  <c r="R955" i="6" s="1"/>
  <c r="T955" i="6" s="1"/>
  <c r="U955" i="6" s="1"/>
  <c r="V955" i="6" s="1"/>
  <c r="W955" i="6" s="1"/>
  <c r="P965" i="6"/>
  <c r="Q965" i="6" s="1"/>
  <c r="O965" i="6"/>
  <c r="R965" i="6" s="1"/>
  <c r="T965" i="6" s="1"/>
  <c r="U965" i="6" s="1"/>
  <c r="V965" i="6" s="1"/>
  <c r="W965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P845" i="6"/>
  <c r="Q845" i="6" s="1"/>
  <c r="O845" i="6"/>
  <c r="R845" i="6" s="1"/>
  <c r="T845" i="6" s="1"/>
  <c r="U845" i="6" s="1"/>
  <c r="V845" i="6" s="1"/>
  <c r="W845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5" i="4"/>
  <c r="Z65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AK4" i="4" s="1"/>
  <c r="D5" i="4"/>
  <c r="D6" i="4"/>
  <c r="D7" i="4"/>
  <c r="D8" i="4"/>
  <c r="D9" i="4"/>
  <c r="D10" i="4"/>
  <c r="AK10" i="4" s="1"/>
  <c r="D11" i="4"/>
  <c r="D12" i="4"/>
  <c r="D13" i="4"/>
  <c r="D14" i="4"/>
  <c r="AK14" i="4" s="1"/>
  <c r="D15" i="4"/>
  <c r="AK15" i="4" s="1"/>
  <c r="D16" i="4"/>
  <c r="D17" i="4"/>
  <c r="D18" i="4"/>
  <c r="D19" i="4"/>
  <c r="D20" i="4"/>
  <c r="AK20" i="4" s="1"/>
  <c r="D21" i="4"/>
  <c r="AK21" i="4" s="1"/>
  <c r="D22" i="4"/>
  <c r="AK22" i="4" s="1"/>
  <c r="D23" i="4"/>
  <c r="AK23" i="4" s="1"/>
  <c r="D24" i="4"/>
  <c r="AK24" i="4" s="1"/>
  <c r="D25" i="4"/>
  <c r="D26" i="4"/>
  <c r="D27" i="4"/>
  <c r="AK27" i="4" s="1"/>
  <c r="D28" i="4"/>
  <c r="D29" i="4"/>
  <c r="D30" i="4"/>
  <c r="AK30" i="4" s="1"/>
  <c r="D31" i="4"/>
  <c r="D32" i="4"/>
  <c r="AK32" i="4" s="1"/>
  <c r="D33" i="4"/>
  <c r="D34" i="4"/>
  <c r="AK34" i="4" s="1"/>
  <c r="D35" i="4"/>
  <c r="AK35" i="4" s="1"/>
  <c r="D36" i="4"/>
  <c r="D37" i="4"/>
  <c r="AK37" i="4" s="1"/>
  <c r="D38" i="4"/>
  <c r="AK38" i="4" s="1"/>
  <c r="D39" i="4"/>
  <c r="AK39" i="4" s="1"/>
  <c r="D40" i="4"/>
  <c r="AK40" i="4" s="1"/>
  <c r="D41" i="4"/>
  <c r="D42" i="4"/>
  <c r="D43" i="4"/>
  <c r="D44" i="4"/>
  <c r="AK44" i="4" s="1"/>
  <c r="D45" i="4"/>
  <c r="AK45" i="4" s="1"/>
  <c r="D46" i="4"/>
  <c r="AK46" i="4" s="1"/>
  <c r="D47" i="4"/>
  <c r="D48" i="4"/>
  <c r="AK48" i="4" s="1"/>
  <c r="D49" i="4"/>
  <c r="D50" i="4"/>
  <c r="D51" i="4"/>
  <c r="AK51" i="4" s="1"/>
  <c r="D52" i="4"/>
  <c r="D53" i="4"/>
  <c r="AK53" i="4" s="1"/>
  <c r="D54" i="4"/>
  <c r="AK54" i="4" s="1"/>
  <c r="D55" i="4"/>
  <c r="AK55" i="4" s="1"/>
  <c r="D56" i="4"/>
  <c r="D57" i="4"/>
  <c r="D66" i="4"/>
  <c r="D67" i="4"/>
  <c r="D68" i="4"/>
  <c r="D69" i="4"/>
  <c r="AK69" i="4" s="1"/>
  <c r="D70" i="4"/>
  <c r="AK9" i="4" l="1"/>
  <c r="M9" i="4" s="1"/>
  <c r="AK56" i="4"/>
  <c r="AK8" i="4"/>
  <c r="M8" i="4" s="1"/>
  <c r="AK43" i="4"/>
  <c r="M43" i="4" s="1"/>
  <c r="AK31" i="4"/>
  <c r="M31" i="4" s="1"/>
  <c r="AK19" i="4"/>
  <c r="M19" i="4" s="1"/>
  <c r="AK7" i="4"/>
  <c r="M7" i="4" s="1"/>
  <c r="AK18" i="4"/>
  <c r="M18" i="4" s="1"/>
  <c r="AK6" i="4"/>
  <c r="M6" i="4" s="1"/>
  <c r="AK29" i="4"/>
  <c r="AK5" i="4"/>
  <c r="M5" i="4" s="1"/>
  <c r="AK52" i="4"/>
  <c r="M52" i="4" s="1"/>
  <c r="AK16" i="4"/>
  <c r="M16" i="4" s="1"/>
  <c r="AK33" i="4"/>
  <c r="M33" i="4" s="1"/>
  <c r="AK42" i="4"/>
  <c r="AK41" i="4"/>
  <c r="AK17" i="4"/>
  <c r="M17" i="4" s="1"/>
  <c r="AK28" i="4"/>
  <c r="M28" i="4" s="1"/>
  <c r="AK70" i="4"/>
  <c r="M70" i="4" s="1"/>
  <c r="AK50" i="4"/>
  <c r="AK26" i="4"/>
  <c r="AK49" i="4"/>
  <c r="M49" i="4" s="1"/>
  <c r="AK13" i="4"/>
  <c r="M13" i="4" s="1"/>
  <c r="AK68" i="4"/>
  <c r="M68" i="4" s="1"/>
  <c r="AK12" i="4"/>
  <c r="M12" i="4" s="1"/>
  <c r="AK66" i="4"/>
  <c r="M66" i="4" s="1"/>
  <c r="AK57" i="4"/>
  <c r="AK25" i="4"/>
  <c r="AK36" i="4"/>
  <c r="AK67" i="4"/>
  <c r="M67" i="4" s="1"/>
  <c r="AK47" i="4"/>
  <c r="AK11" i="4"/>
  <c r="M11" i="4" s="1"/>
  <c r="AF74" i="4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0" i="4" l="1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0" i="4"/>
  <c r="E69" i="4"/>
  <c r="E68" i="4"/>
  <c r="E67" i="4"/>
  <c r="E66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4" i="4"/>
  <c r="F94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4" i="4" l="1"/>
  <c r="F84" i="4" s="1"/>
  <c r="L18" i="9"/>
  <c r="M18" i="9" s="1"/>
  <c r="M2" i="9"/>
  <c r="J3" i="4"/>
  <c r="I74" i="4"/>
  <c r="H74" i="4"/>
  <c r="D3" i="4"/>
  <c r="AK3" i="4" s="1"/>
  <c r="M3" i="4" s="1"/>
  <c r="F4" i="6"/>
  <c r="F78" i="4" l="1"/>
  <c r="F93" i="4" s="1"/>
  <c r="F95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4" i="4"/>
  <c r="R74" i="4"/>
  <c r="F82" i="4"/>
  <c r="K74" i="4"/>
  <c r="F81" i="4" s="1"/>
  <c r="F79" i="4"/>
  <c r="F90" i="4" s="1"/>
  <c r="G74" i="4"/>
  <c r="F77" i="4" s="1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M69" i="4" s="1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J66" i="4"/>
  <c r="W57" i="4"/>
  <c r="V57" i="4"/>
  <c r="T57" i="4" a="1"/>
  <c r="T57" i="4" s="1"/>
  <c r="P57" i="4"/>
  <c r="J57" i="4"/>
  <c r="M57" i="4" s="1"/>
  <c r="W56" i="4"/>
  <c r="V56" i="4"/>
  <c r="T56" i="4" a="1"/>
  <c r="T56" i="4" s="1"/>
  <c r="P56" i="4"/>
  <c r="J56" i="4"/>
  <c r="M56" i="4" s="1"/>
  <c r="W55" i="4"/>
  <c r="V55" i="4"/>
  <c r="T55" i="4" a="1"/>
  <c r="T55" i="4" s="1"/>
  <c r="P55" i="4"/>
  <c r="J55" i="4"/>
  <c r="M55" i="4" s="1"/>
  <c r="W54" i="4"/>
  <c r="V54" i="4"/>
  <c r="T54" i="4" a="1"/>
  <c r="T54" i="4" s="1"/>
  <c r="P54" i="4"/>
  <c r="J54" i="4"/>
  <c r="M54" i="4" s="1"/>
  <c r="W53" i="4"/>
  <c r="V53" i="4"/>
  <c r="T53" i="4" a="1"/>
  <c r="T53" i="4" s="1"/>
  <c r="J53" i="4"/>
  <c r="M53" i="4" s="1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M51" i="4" s="1"/>
  <c r="W50" i="4"/>
  <c r="V50" i="4"/>
  <c r="T50" i="4" a="1"/>
  <c r="T50" i="4" s="1"/>
  <c r="P50" i="4"/>
  <c r="J50" i="4"/>
  <c r="M50" i="4" s="1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M48" i="4" s="1"/>
  <c r="W47" i="4"/>
  <c r="V47" i="4"/>
  <c r="T47" i="4" a="1"/>
  <c r="T47" i="4" s="1"/>
  <c r="P47" i="4"/>
  <c r="J47" i="4"/>
  <c r="M47" i="4" s="1"/>
  <c r="W46" i="4"/>
  <c r="V46" i="4"/>
  <c r="T46" i="4" a="1"/>
  <c r="T46" i="4" s="1"/>
  <c r="P46" i="4"/>
  <c r="J46" i="4"/>
  <c r="M46" i="4" s="1"/>
  <c r="W45" i="4"/>
  <c r="V45" i="4"/>
  <c r="T45" i="4" a="1"/>
  <c r="T45" i="4" s="1"/>
  <c r="P45" i="4"/>
  <c r="J45" i="4"/>
  <c r="M45" i="4" s="1"/>
  <c r="W44" i="4"/>
  <c r="V44" i="4"/>
  <c r="T44" i="4" a="1"/>
  <c r="T44" i="4" s="1"/>
  <c r="P44" i="4"/>
  <c r="J44" i="4"/>
  <c r="M44" i="4" s="1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M42" i="4" s="1"/>
  <c r="W41" i="4"/>
  <c r="V41" i="4"/>
  <c r="T41" i="4" a="1"/>
  <c r="T41" i="4" s="1"/>
  <c r="P41" i="4"/>
  <c r="J41" i="4"/>
  <c r="W40" i="4"/>
  <c r="V40" i="4"/>
  <c r="T40" i="4" a="1"/>
  <c r="T40" i="4" s="1"/>
  <c r="P40" i="4"/>
  <c r="J40" i="4"/>
  <c r="W39" i="4"/>
  <c r="V39" i="4"/>
  <c r="T39" i="4" a="1"/>
  <c r="T39" i="4" s="1"/>
  <c r="P39" i="4"/>
  <c r="J39" i="4"/>
  <c r="M39" i="4" s="1"/>
  <c r="W38" i="4"/>
  <c r="V38" i="4"/>
  <c r="T38" i="4" a="1"/>
  <c r="T38" i="4" s="1"/>
  <c r="P38" i="4"/>
  <c r="J38" i="4"/>
  <c r="M38" i="4" s="1"/>
  <c r="W37" i="4"/>
  <c r="V37" i="4"/>
  <c r="T37" i="4" a="1"/>
  <c r="T37" i="4" s="1"/>
  <c r="P37" i="4"/>
  <c r="J37" i="4"/>
  <c r="M37" i="4" s="1"/>
  <c r="W36" i="4"/>
  <c r="V36" i="4"/>
  <c r="T36" i="4" a="1"/>
  <c r="T36" i="4" s="1"/>
  <c r="P36" i="4"/>
  <c r="J36" i="4"/>
  <c r="M36" i="4" s="1"/>
  <c r="W35" i="4"/>
  <c r="V35" i="4"/>
  <c r="T35" i="4" a="1"/>
  <c r="T35" i="4" s="1"/>
  <c r="P35" i="4"/>
  <c r="J35" i="4"/>
  <c r="M35" i="4" s="1"/>
  <c r="W34" i="4"/>
  <c r="V34" i="4"/>
  <c r="T34" i="4" a="1"/>
  <c r="T34" i="4" s="1"/>
  <c r="P34" i="4"/>
  <c r="J34" i="4"/>
  <c r="M34" i="4" s="1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M32" i="4" s="1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M30" i="4" s="1"/>
  <c r="W29" i="4"/>
  <c r="V29" i="4"/>
  <c r="T29" i="4" a="1"/>
  <c r="T29" i="4" s="1"/>
  <c r="P29" i="4"/>
  <c r="J29" i="4"/>
  <c r="M29" i="4" s="1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M27" i="4" s="1"/>
  <c r="W26" i="4"/>
  <c r="V26" i="4"/>
  <c r="T26" i="4" a="1"/>
  <c r="T26" i="4" s="1"/>
  <c r="P26" i="4"/>
  <c r="J26" i="4"/>
  <c r="M26" i="4" s="1"/>
  <c r="W25" i="4"/>
  <c r="V25" i="4"/>
  <c r="T25" i="4" a="1"/>
  <c r="T25" i="4" s="1"/>
  <c r="P25" i="4"/>
  <c r="J25" i="4"/>
  <c r="M25" i="4" s="1"/>
  <c r="W24" i="4"/>
  <c r="V24" i="4"/>
  <c r="T24" i="4" a="1"/>
  <c r="T24" i="4" s="1"/>
  <c r="P24" i="4"/>
  <c r="J24" i="4"/>
  <c r="M24" i="4" s="1"/>
  <c r="W23" i="4"/>
  <c r="V23" i="4"/>
  <c r="T23" i="4" a="1"/>
  <c r="T23" i="4" s="1"/>
  <c r="P23" i="4"/>
  <c r="J23" i="4"/>
  <c r="M23" i="4" s="1"/>
  <c r="W22" i="4"/>
  <c r="V22" i="4"/>
  <c r="T22" i="4" a="1"/>
  <c r="T22" i="4" s="1"/>
  <c r="P22" i="4"/>
  <c r="J22" i="4"/>
  <c r="M22" i="4" s="1"/>
  <c r="W21" i="4"/>
  <c r="V21" i="4"/>
  <c r="T21" i="4" a="1"/>
  <c r="T21" i="4" s="1"/>
  <c r="P21" i="4"/>
  <c r="J21" i="4"/>
  <c r="M21" i="4" s="1"/>
  <c r="W20" i="4"/>
  <c r="V20" i="4"/>
  <c r="T20" i="4" a="1"/>
  <c r="T20" i="4" s="1"/>
  <c r="P20" i="4"/>
  <c r="J20" i="4"/>
  <c r="M20" i="4" s="1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M15" i="4" s="1"/>
  <c r="W14" i="4"/>
  <c r="V14" i="4"/>
  <c r="T14" i="4" a="1"/>
  <c r="T14" i="4" s="1"/>
  <c r="P14" i="4"/>
  <c r="J14" i="4"/>
  <c r="M14" i="4" s="1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M10" i="4" s="1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M4" i="4" s="1"/>
  <c r="W3" i="4"/>
  <c r="V3" i="4"/>
  <c r="T3" i="4" a="1"/>
  <c r="T3" i="4" s="1"/>
  <c r="P3" i="4"/>
  <c r="O41" i="4" l="1"/>
  <c r="M41" i="4"/>
  <c r="M40" i="4"/>
  <c r="O40" i="4" s="1"/>
  <c r="Q40" i="4" s="1"/>
  <c r="AG40" i="4" s="1"/>
  <c r="X42" i="4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8" i="4"/>
  <c r="Z68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3" i="4"/>
  <c r="Z3" i="4" s="1"/>
  <c r="X10" i="4"/>
  <c r="Z10" i="4" s="1"/>
  <c r="X26" i="4"/>
  <c r="Z26" i="4" s="1"/>
  <c r="X34" i="4"/>
  <c r="Z34" i="4" s="1"/>
  <c r="X67" i="4"/>
  <c r="Z67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70" i="4"/>
  <c r="Z70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9" i="4"/>
  <c r="AG49" i="4" s="1"/>
  <c r="X50" i="4"/>
  <c r="Z50" i="4" s="1"/>
  <c r="X21" i="4"/>
  <c r="Z21" i="4" s="1"/>
  <c r="X52" i="4"/>
  <c r="Z52" i="4" s="1"/>
  <c r="X66" i="4"/>
  <c r="Z66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6" i="4"/>
  <c r="P66" i="4" s="1"/>
  <c r="O6" i="4"/>
  <c r="O21" i="4"/>
  <c r="O27" i="4"/>
  <c r="O2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8" i="4"/>
  <c r="O30" i="4"/>
  <c r="X47" i="4"/>
  <c r="Z47" i="4" s="1"/>
  <c r="X7" i="4"/>
  <c r="Z7" i="4" s="1"/>
  <c r="O9" i="4"/>
  <c r="O15" i="4"/>
  <c r="O18" i="4"/>
  <c r="O26" i="4"/>
  <c r="O69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7" i="4"/>
  <c r="O70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4" i="4"/>
  <c r="J74" i="4"/>
  <c r="F80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9" i="4"/>
  <c r="Z69" i="4" s="1"/>
  <c r="X20" i="4"/>
  <c r="Z20" i="4" s="1"/>
  <c r="X40" i="4"/>
  <c r="Z40" i="4" s="1"/>
  <c r="X49" i="4"/>
  <c r="Z49" i="4" s="1"/>
  <c r="X53" i="4"/>
  <c r="Z53" i="4" s="1"/>
  <c r="W74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M74" i="4" l="1"/>
  <c r="F83" i="4" s="1"/>
  <c r="F85" i="4" s="1"/>
  <c r="V69" i="6"/>
  <c r="W69" i="6" s="1"/>
  <c r="P74" i="4"/>
  <c r="F86" i="4" s="1"/>
  <c r="Q35" i="4"/>
  <c r="AG35" i="4" s="1"/>
  <c r="Q43" i="4"/>
  <c r="AG43" i="4" s="1"/>
  <c r="Q4" i="4"/>
  <c r="AG4" i="4" s="1"/>
  <c r="Q25" i="4"/>
  <c r="AG25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9" i="4"/>
  <c r="AG69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7" i="4"/>
  <c r="AG67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8" i="4"/>
  <c r="AG68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70" i="4"/>
  <c r="AG70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6" i="4"/>
  <c r="AG66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4" i="4"/>
  <c r="Z74" i="4"/>
  <c r="X74" i="4"/>
  <c r="L1" i="6"/>
  <c r="R4" i="6"/>
  <c r="O2" i="6"/>
  <c r="N2" i="6" s="1"/>
  <c r="K2" i="6"/>
  <c r="AF2" i="6" s="1"/>
  <c r="Q2" i="6"/>
  <c r="P2" i="6"/>
  <c r="F87" i="4" l="1"/>
  <c r="AG74" i="4"/>
  <c r="Q74" i="4"/>
  <c r="T4" i="6"/>
  <c r="R2" i="6"/>
  <c r="F89" i="4" s="1"/>
  <c r="Q1" i="6"/>
  <c r="AG2" i="6"/>
  <c r="AH2" i="6" s="1"/>
  <c r="G87" i="4" l="1"/>
  <c r="R1" i="6"/>
  <c r="F91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<sst xmlns="http://schemas.openxmlformats.org/spreadsheetml/2006/main" count="9600" uniqueCount="954">
  <si>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</si>
  <si>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</si>
  <si>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</si>
  <si>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</si>
  <si>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</si>
  <si>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</si>
  <si>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</si>
  <si>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</si>
  <si>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</si>
  <si>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</si>
  <si>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</si>
  <si>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</si>
  <si>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</si>
  <si>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</si>
  <si>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</si>
  <si>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</si>
  <si>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</si>
  <si>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</si>
  <si>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</si>
  <si>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</si>
  <si>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</si>
  <si>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</si>
  <si>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</si>
  <si>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</si>
  <si>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</si>
  <si>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</si>
  <si>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</si>
  <si>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</si>
  <si>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</si>
  <si>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</si>
  <si>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</si>
  <si>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</si>
  <si>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</si>
  <si>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</si>
  <si>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</si>
  <si>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</si>
  <si>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</si>
  <si>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</si>
  <si>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</si>
  <si>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</si>
  <si>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</si>
  <si>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</si>
  <si>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</si>
  <si>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</si>
  <si>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</si>
  <si>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</si>
  <si>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</si>
  <si>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</si>
  <si>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</si>
  <si>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</si>
  <si>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</si>
  <si>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</si>
  <si>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</si>
  <si>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</si>
  <si>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</si>
  <si>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</si>
  <si>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</si>
  <si>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</si>
  <si>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</si>
  <si>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</si>
  <si>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</si>
  <si>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</si>
  <si>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</si>
  <si>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</si>
  <si>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</si>
  <si>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</si>
  <si>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</si>
  <si>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</si>
  <si>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</si>
  <si>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</si>
  <si>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</si>
  <si>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</si>
  <si>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</si>
  <si>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</si>
  <si>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</si>
  <si>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</si>
  <si>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</si>
  <si>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</si>
  <si>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</si>
  <si>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</si>
  <si>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</si>
  <si>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</si>
  <si>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</si>
  <si>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</si>
  <si>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</si>
  <si>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</si>
  <si>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</si>
  <si>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</si>
  <si>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</si>
  <si>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</si>
  <si>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</si>
  <si>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</si>
  <si>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</si>
  <si>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</si>
  <si>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</si>
  <si>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</si>
  <si>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</si>
  <si>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</si>
  <si>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</si>
  <si>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</si>
  <si>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</si>
  <si>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</si>
  <si>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</si>
  <si>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</si>
  <si>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</si>
  <si>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</si>
  <si>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</si>
  <si>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</si>
  <si>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</si>
  <si>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</si>
  <si>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</si>
  <si>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</si>
  <si>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</si>
  <si>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</si>
  <si>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</si>
  <si>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</si>
  <si>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</si>
  <si>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</si>
  <si>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</si>
  <si>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</si>
  <si>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</si>
  <si>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</si>
  <si>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</si>
  <si>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</si>
  <si>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</si>
  <si>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</si>
  <si>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</si>
  <si>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</si>
  <si>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</si>
  <si>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</si>
  <si>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</si>
  <si>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</si>
  <si>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</si>
  <si>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</si>
  <si>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</si>
  <si>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</si>
  <si>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</si>
  <si>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</si>
  <si>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</si>
  <si>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</si>
  <si>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</si>
  <si>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</si>
  <si>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</si>
  <si>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</si>
  <si>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</si>
  <si>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</si>
  <si>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</si>
  <si>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</si>
  <si>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</si>
  <si>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</si>
  <si>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</si>
  <si>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</si>
  <si>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</si>
  <si>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</si>
  <si>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</si>
  <si>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</si>
  <si>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</si>
  <si>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</si>
  <si>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</si>
  <si>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</si>
  <si>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</si>
  <si>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</si>
  <si>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</si>
  <si>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</si>
  <si>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</si>
  <si>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</si>
  <si>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</si>
  <si>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</si>
  <si>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</si>
  <si>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</si>
  <si>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</si>
  <si>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</si>
  <si>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</si>
  <si>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</si>
  <si>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</si>
  <si>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</si>
  <si>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</si>
  <si>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</si>
  <si>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</si>
  <si>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</si>
  <si>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</si>
  <si>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</si>
  <si>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</si>
  <si>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</si>
  <si>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</si>
  <si>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</si>
  <si>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</si>
  <si>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</si>
  <si>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</si>
  <si>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</si>
  <si>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</si>
  <si>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</si>
  <si>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</si>
  <si>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</si>
  <si>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</si>
  <si>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</si>
  <si>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</si>
  <si>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</si>
  <si>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</si>
  <si>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</si>
  <si>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</si>
  <si>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</si>
  <si>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</si>
  <si>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</si>
  <si>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</si>
  <si>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</si>
  <si>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</si>
  <si>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</si>
  <si>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</si>
  <si>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</si>
  <si>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</si>
  <si>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</si>
  <si>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</si>
  <si>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</si>
  <si>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</si>
  <si>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</si>
  <si>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</si>
  <si>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</si>
  <si>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</si>
  <si>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</si>
  <si>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</si>
  <si>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</si>
  <si>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</si>
  <si>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</si>
  <si>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</si>
  <si>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</si>
  <si>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</si>
  <si>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</si>
  <si>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</si>
  <si>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</si>
  <si>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</si>
  <si>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</si>
  <si>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</si>
  <si>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</si>
  <si>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</si>
  <si>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</si>
  <si>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</si>
  <si>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</si>
  <si>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</si>
  <si>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</si>
  <si>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</si>
  <si>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</si>
  <si>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</si>
  <si>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</si>
  <si>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</si>
  <si>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</si>
  <si>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</si>
  <si>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</si>
  <si>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</si>
  <si>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</si>
  <si>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</si>
  <si>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</si>
  <si>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</si>
  <si>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</si>
  <si>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</si>
  <si>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</si>
  <si>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</si>
  <si>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</si>
  <si>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</si>
  <si>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</si>
  <si>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</si>
  <si>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</si>
  <si>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</si>
  <si>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</si>
  <si>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</si>
  <si>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</si>
  <si>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</si>
  <si>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</si>
  <si>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</si>
  <si>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</si>
  <si>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</si>
  <si>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</si>
  <si>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</si>
  <si>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</si>
  <si>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</si>
  <si>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</si>
  <si>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</si>
  <si>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</si>
  <si>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</si>
  <si>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</si>
  <si>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</si>
  <si>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</si>
  <si>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</si>
  <si>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</si>
  <si>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</si>
  <si>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</si>
  <si>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</si>
  <si>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</si>
  <si>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</si>
  <si>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</si>
  <si>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</si>
  <si>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</si>
  <si>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</si>
  <si>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</si>
  <si>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</si>
  <si>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</si>
  <si>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</si>
  <si>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</si>
  <si>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</si>
  <si>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</si>
  <si>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</si>
  <si>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</si>
  <si>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</si>
  <si>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</si>
  <si>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</si>
  <si>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</si>
  <si>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</si>
  <si>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</si>
  <si>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</si>
  <si>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</si>
  <si>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</si>
  <si>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</si>
  <si>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</si>
  <si>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</si>
  <si>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</si>
  <si>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</si>
  <si>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</si>
  <si>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</si>
  <si>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</si>
  <si>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</si>
  <si>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</si>
  <si>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</si>
  <si>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</si>
  <si>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</si>
  <si>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</si>
  <si>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</si>
  <si>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</si>
  <si>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</si>
  <si>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</si>
  <si>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</si>
  <si>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</si>
  <si>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</si>
  <si>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</si>
  <si>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</si>
  <si>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</si>
  <si>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</si>
  <si>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</si>
  <si>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</si>
  <si>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</si>
  <si>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</si>
  <si>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</si>
  <si>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</si>
  <si>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</si>
  <si>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</si>
  <si>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</si>
  <si>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</si>
  <si>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</si>
  <si>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</si>
  <si>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</si>
  <si>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</si>
  <si>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</si>
  <si>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</si>
  <si>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</si>
  <si>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</si>
  <si>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</si>
  <si>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</si>
  <si>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</si>
  <si>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</si>
  <si>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</si>
  <si>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</si>
  <si>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</si>
  <si>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</si>
  <si>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</si>
  <si>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</si>
  <si>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</si>
  <si>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</si>
  <si>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</si>
  <si>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</si>
  <si>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</si>
  <si>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</si>
  <si>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</si>
  <si>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</si>
  <si>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</si>
  <si>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</si>
  <si>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</si>
  <si>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</si>
  <si>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</si>
  <si>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</si>
  <si>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</si>
  <si>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</si>
  <si>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</si>
  <si>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</si>
  <si>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</si>
  <si>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</si>
  <si>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</si>
  <si>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</si>
  <si>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</si>
  <si>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</si>
  <si>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</si>
  <si>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</si>
  <si>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</si>
  <si>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</si>
  <si>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</si>
  <si>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</si>
  <si>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</si>
  <si>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</si>
  <si>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</si>
  <si>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</si>
  <si>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</si>
  <si>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</si>
  <si>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</si>
  <si>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</si>
  <si>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</si>
  <si>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</si>
  <si>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</si>
  <si>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</si>
  <si>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</si>
  <si>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</si>
  <si>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</si>
  <si>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</si>
  <si>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</si>
  <si>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</si>
  <si>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</si>
  <si>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</si>
  <si>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</si>
  <si>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</si>
  <si>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</si>
  <si>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</si>
  <si>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</si>
  <si>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</si>
  <si>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</si>
  <si>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</si>
  <si>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</si>
  <si>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</si>
  <si>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</si>
  <si>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</si>
  <si>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</si>
  <si>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</si>
  <si>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</si>
  <si>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</si>
  <si>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</si>
  <si>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</si>
  <si>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</si>
  <si>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</si>
  <si>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</si>
  <si>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</si>
  <si>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</si>
  <si>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</si>
  <si>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</si>
  <si>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</si>
  <si>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</si>
  <si>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</si>
  <si>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</si>
  <si>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</si>
  <si>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</si>
  <si>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</si>
  <si>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</si>
  <si>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</si>
  <si>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</si>
  <si>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</si>
  <si>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</si>
  <si>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</si>
  <si>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</si>
  <si>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</si>
  <si>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</si>
  <si>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</si>
  <si>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</si>
  <si>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</si>
  <si>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</si>
  <si>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</si>
  <si>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</si>
  <si>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</si>
  <si>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</si>
  <si>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</si>
  <si>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</si>
  <si>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</si>
  <si>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</si>
  <si>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</si>
  <si>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</si>
  <si>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</si>
  <si>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</si>
  <si>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</si>
  <si>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</si>
  <si>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</si>
  <si>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</si>
  <si>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</si>
  <si>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</si>
  <si>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</si>
  <si>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</si>
  <si>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</si>
  <si>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</si>
  <si>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</si>
  <si>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</si>
  <si>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</si>
  <si>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</si>
  <si>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</si>
  <si>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</si>
  <si>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</si>
  <si>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</si>
  <si>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</si>
  <si>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</si>
  <si>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</si>
  <si>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</si>
  <si>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</si>
  <si>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</si>
  <si>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</si>
  <si>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</si>
  <si>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</si>
  <si>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</si>
  <si>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</si>
  <si>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</si>
  <si>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</si>
  <si>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</si>
  <si>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</si>
  <si>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</si>
  <si>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</si>
  <si>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</si>
  <si>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</si>
  <si>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</si>
  <si>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</si>
  <si>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</si>
  <si>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</si>
  <si>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</si>
  <si>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</si>
  <si>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</si>
  <si>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</si>
  <si>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</si>
  <si>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</si>
  <si>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</si>
  <si>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</si>
  <si>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</si>
  <si>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</si>
  <si>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</si>
  <si>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</si>
  <si>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</si>
  <si>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</si>
  <si>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</si>
  <si>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</si>
  <si>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</si>
  <si>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</si>
  <si>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</si>
  <si>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</si>
  <si>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</si>
  <si>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</si>
  <si>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</si>
  <si>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</si>
  <si>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</si>
  <si>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</si>
  <si>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</si>
  <si>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</si>
  <si>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</si>
  <si>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</si>
  <si>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</si>
  <si>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</si>
  <si>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</si>
  <si>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</si>
  <si>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</si>
  <si>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</si>
  <si>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</si>
  <si>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</si>
  <si>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</si>
  <si>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</si>
  <si>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</si>
  <si>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</si>
  <si>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</si>
  <si>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</si>
  <si>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</si>
  <si>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</si>
  <si>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</si>
  <si>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</si>
  <si>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</si>
  <si>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</si>
  <si>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</si>
  <si>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</si>
  <si>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</si>
  <si>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</si>
  <si>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</si>
  <si>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</si>
  <si>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</si>
  <si>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</si>
  <si>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</si>
  <si>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</si>
  <si>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</si>
  <si>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</si>
  <si>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</si>
  <si>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</si>
  <si>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</si>
  <si>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</si>
  <si>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</si>
  <si>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</si>
  <si>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</si>
  <si>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</si>
  <si>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</si>
  <si>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</si>
  <si>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</si>
  <si>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</si>
  <si>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</si>
  <si>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</si>
  <si>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</si>
  <si>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</si>
  <si>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</si>
  <si>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</si>
  <si>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</si>
  <si>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</si>
  <si>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</si>
  <si>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</si>
  <si>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</si>
  <si>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</si>
  <si>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</si>
  <si>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</si>
  <si>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</si>
  <si>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</si>
  <si>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</si>
  <si>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</si>
  <si>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</si>
  <si>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</si>
  <si>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</si>
  <si>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</si>
  <si>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</si>
  <si>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</si>
  <si>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</si>
  <si>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</si>
  <si>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</si>
  <si>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</si>
  <si>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</si>
  <si>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</si>
  <si>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</si>
  <si>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</si>
  <si>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</si>
  <si>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</si>
  <si>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</si>
  <si>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</si>
  <si>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</si>
  <si>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</si>
  <si>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</si>
  <si>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</si>
  <si>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</si>
  <si>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</si>
  <si>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</si>
  <si>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</si>
  <si>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</si>
  <si>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</si>
  <si>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</si>
  <si>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</si>
  <si>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</si>
  <si>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</si>
  <si>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</si>
  <si>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</si>
  <si>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</si>
  <si>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</si>
  <si>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</si>
  <si>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</si>
  <si>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</si>
  <si>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</si>
  <si>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</si>
  <si>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</si>
  <si>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</si>
  <si>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</si>
  <si>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</si>
  <si>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</si>
  <si>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</si>
  <si>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</si>
  <si>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</si>
  <si>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</si>
  <si>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</si>
  <si>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</si>
  <si>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</si>
  <si>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</si>
  <si>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</si>
  <si>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</si>
  <si>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</si>
  <si>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</si>
  <si>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</si>
  <si>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</si>
  <si>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</si>
  <si>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</si>
  <si>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</si>
  <si>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</si>
  <si>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</si>
  <si>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</si>
  <si>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</si>
  <si>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</si>
  <si>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</si>
  <si>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</si>
  <si>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</si>
  <si>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</si>
  <si>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</si>
  <si>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</si>
  <si>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</si>
  <si>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</si>
  <si>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</si>
  <si>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</si>
  <si>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</si>
  <si>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</si>
  <si>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</si>
  <si>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</si>
  <si>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</si>
  <si>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</si>
  <si>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</si>
  <si>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</si>
  <si>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</si>
  <si>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</si>
  <si>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</si>
  <si>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</si>
  <si>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</si>
  <si>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</si>
  <si>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</si>
  <si>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</si>
  <si>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</si>
  <si>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</si>
  <si>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</si>
  <si>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</si>
  <si>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</si>
  <si>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</si>
  <si>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</si>
  <si>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</si>
  <si>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</si>
  <si>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</si>
  <si>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</si>
  <si>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</si>
  <si>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</si>
  <si>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</si>
  <si>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</si>
  <si>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</si>
  <si>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</si>
  <si>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</si>
  <si>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</si>
  <si>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</si>
  <si>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</si>
  <si>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</si>
  <si>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</si>
  <si>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</si>
  <si>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</si>
  <si>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</si>
  <si>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</si>
  <si>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</si>
  <si>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</si>
  <si>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</si>
  <si>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</si>
  <si>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</si>
  <si>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</si>
  <si>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</si>
  <si>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</si>
  <si>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</si>
  <si>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</si>
  <si>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</si>
  <si>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</si>
  <si>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</si>
  <si>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</si>
  <si>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</si>
  <si>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</si>
  <si>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</si>
  <si>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</si>
  <si>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</si>
  <si>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</si>
  <si>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</si>
  <si>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</si>
  <si>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</si>
  <si>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</si>
  <si>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</si>
  <si>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</si>
  <si>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</si>
  <si>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</si>
  <si>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</si>
  <si>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</si>
  <si>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</si>
  <si>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</si>
  <si>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</si>
  <si>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</si>
  <si>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</si>
  <si>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</si>
  <si>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</si>
  <si>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</si>
  <si>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</si>
  <si>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</si>
  <si>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</si>
  <si>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</si>
  <si>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</si>
  <si>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</si>
  <si>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</si>
  <si>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</si>
  <si>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</si>
  <si>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</si>
  <si>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</si>
  <si>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</si>
  <si>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</si>
  <si>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</si>
  <si>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</si>
  <si>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</si>
  <si>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</si>
  <si>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</si>
  <si>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</si>
  <si>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</si>
  <si>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</si>
  <si>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</si>
  <si>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</si>
  <si>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</si>
  <si>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</si>
  <si>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</si>
  <si>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</si>
  <si>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</si>
  <si>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</si>
  <si>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</si>
  <si>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</si>
  <si>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</si>
  <si>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</si>
  <si>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</si>
  <si>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</si>
  <si>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</si>
  <si>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</si>
  <si>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</si>
  <si>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</si>
  <si>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</si>
  <si>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</si>
  <si>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</si>
  <si>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</si>
  <si>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</si>
  <si>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</si>
  <si>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</si>
  <si>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</si>
  <si>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</si>
  <si>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</si>
  <si>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</si>
  <si>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</si>
  <si>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</si>
  <si>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</si>
  <si>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</si>
  <si>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</si>
  <si>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</si>
  <si>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</si>
  <si>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</si>
  <si>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</si>
  <si>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</si>
  <si>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</si>
  <si>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</si>
  <si>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</si>
  <si>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</si>
  <si>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</si>
  <si>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</si>
  <si>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</si>
  <si>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</si>
  <si>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</si>
  <si>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</si>
  <si>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</si>
  <si>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</si>
  <si>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</si>
  <si>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</si>
  <si>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</si>
  <si>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</si>
  <si>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</si>
  <si>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</si>
  <si>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</si>
  <si>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</si>
  <si>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</si>
  <si>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</si>
  <si>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</si>
  <si>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</si>
  <si>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</si>
  <si>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</si>
  <si>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</si>
  <si>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</si>
  <si>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</si>
  <si>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</si>
  <si>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</si>
  <si>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</si>
  <si>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</si>
  <si>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</si>
  <si>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</si>
  <si>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</si>
  <si>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</si>
  <si>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</si>
  <si>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</si>
  <si>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</si>
  <si>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</si>
  <si>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</si>
  <si>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</si>
  <si>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</si>
  <si>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</si>
  <si>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</si>
  <si>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</si>
  <si>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</si>
  <si>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</si>
  <si>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</si>
  <si>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</si>
  <si>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</si>
  <si>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</si>
  <si>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</si>
  <si>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</si>
  <si>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</si>
  <si>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</si>
  <si>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</si>
  <si>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</si>
  <si>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</si>
  <si>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</si>
  <si>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</si>
  <si>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</si>
  <si>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</si>
  <si>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</si>
  <si>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</si>
  <si>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</si>
  <si>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</si>
  <si>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</si>
  <si>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</si>
  <si>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GANESH SINGH</t>
  </si>
  <si>
    <t>DEWAITHA DSK</t>
  </si>
  <si>
    <t>7309352971</t>
  </si>
  <si>
    <t>32532242824</t>
  </si>
  <si>
    <t>[20111] SUHWAL</t>
  </si>
  <si>
    <t>[64544] ASHUDHA DSK</t>
  </si>
  <si>
    <t>64544</t>
  </si>
  <si>
    <t>20111</t>
  </si>
  <si>
    <t>[20129] DEWAITHA DSK</t>
  </si>
  <si>
    <t>20129</t>
  </si>
  <si>
    <t>SUDHAR SINGH</t>
  </si>
  <si>
    <t>7992066260</t>
  </si>
  <si>
    <t>UBIN0546631</t>
  </si>
  <si>
    <t>466302010012219</t>
  </si>
  <si>
    <t>[60614] BAHPURA DSK</t>
  </si>
  <si>
    <t>60614</t>
  </si>
  <si>
    <t>PANAPUR DSK</t>
  </si>
  <si>
    <t>VIJAY BAHADUR SINGH</t>
  </si>
  <si>
    <t>9572833566</t>
  </si>
  <si>
    <t>73820700004430</t>
  </si>
  <si>
    <t>PUNB0MBGB06</t>
  </si>
  <si>
    <t>Can</t>
  </si>
  <si>
    <t>SR.NO</t>
  </si>
  <si>
    <t>PLANT</t>
  </si>
  <si>
    <t>SOCIETY NAME</t>
  </si>
  <si>
    <t>SAP CODE</t>
  </si>
  <si>
    <t>ITC CODE</t>
  </si>
  <si>
    <t>CAN</t>
  </si>
  <si>
    <t>TOTAL AMT</t>
  </si>
  <si>
    <t>Mr. SONU KUMAR</t>
  </si>
  <si>
    <t>MRS. SUMAN DEVI</t>
  </si>
  <si>
    <t>KRISHANA NAND SINGH</t>
  </si>
  <si>
    <t>ADIDI PANEY</t>
  </si>
  <si>
    <t>RAVI KUMAR</t>
  </si>
  <si>
    <t>ARVIND KUMAR</t>
  </si>
  <si>
    <t>MRS. USHA DEVI</t>
  </si>
  <si>
    <t>BADKI KULHARIYA</t>
  </si>
  <si>
    <t>JABURNA</t>
  </si>
  <si>
    <t>ISRI</t>
  </si>
  <si>
    <t>PANAPUR PURVY</t>
  </si>
  <si>
    <t>KALANI</t>
  </si>
  <si>
    <t>GOORA</t>
  </si>
  <si>
    <t>21-27-Aug</t>
  </si>
  <si>
    <t>28-03-Aug</t>
  </si>
  <si>
    <t>Total</t>
  </si>
  <si>
    <t>Opening Can Balance</t>
  </si>
  <si>
    <t>[60526] CHANDESH DSK</t>
  </si>
  <si>
    <t>60526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</si>
  <si>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</si>
  <si>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</si>
  <si>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</si>
  <si>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</si>
  <si>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</si>
  <si>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</si>
  <si>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</si>
  <si>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[20122]  NOUAN DSK</t>
  </si>
  <si>
    <t>[60611] AKHOLI DSK</t>
  </si>
  <si>
    <t>[64594] AKHOLI DSK</t>
  </si>
  <si>
    <t>60611</t>
  </si>
  <si>
    <t>64594</t>
  </si>
  <si>
    <t>20122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</si>
</sst>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  <numFmt numFmtId="171" formatCode="00"/>
  </numFmts>
  <fonts count="2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2" borderId="1" applyNumberFormat="0" applyFont="0" applyAlignment="0" applyProtection="0"/>
    <xf numFmtId="9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74">
    <xf numFmtId="0" fontId="0" fillId="0" borderId="0" xfId="0"/>
    <xf numFmtId="0" fontId="0" fillId="0" borderId="2" xfId="0" applyBorder="1"/>
    <xf numFmtId="0" fontId="5" fillId="0" borderId="0" xfId="3" applyAlignment="1">
      <alignment horizontal="center"/>
    </xf>
    <xf numFmtId="0" fontId="5" fillId="0" borderId="0" xfId="3"/>
    <xf numFmtId="0" fontId="5" fillId="0" borderId="0" xfId="3" applyAlignment="1">
      <alignment horizontal="left"/>
    </xf>
    <xf numFmtId="165" fontId="5" fillId="0" borderId="0" xfId="3" applyNumberFormat="1"/>
    <xf numFmtId="0" fontId="5" fillId="0" borderId="0" xfId="3" quotePrefix="1"/>
    <xf numFmtId="0" fontId="5" fillId="0" borderId="0" xfId="3" applyAlignment="1">
      <alignment wrapText="1"/>
    </xf>
    <xf numFmtId="0" fontId="5" fillId="0" borderId="3" xfId="3" applyBorder="1" applyAlignment="1">
      <alignment horizontal="center"/>
    </xf>
    <xf numFmtId="0" fontId="5" fillId="0" borderId="2" xfId="3" applyBorder="1" applyAlignment="1">
      <alignment horizontal="center"/>
    </xf>
    <xf numFmtId="0" fontId="5" fillId="0" borderId="3" xfId="3" applyBorder="1"/>
    <xf numFmtId="0" fontId="5" fillId="0" borderId="3" xfId="3" applyBorder="1" applyAlignment="1">
      <alignment horizontal="center" vertical="center"/>
    </xf>
    <xf numFmtId="1" fontId="5" fillId="0" borderId="3" xfId="3" applyNumberFormat="1" applyBorder="1" applyAlignment="1">
      <alignment horizontal="center"/>
    </xf>
    <xf numFmtId="165" fontId="5" fillId="5" borderId="3" xfId="4" applyNumberFormat="1" applyFont="1" applyFill="1" applyBorder="1" applyAlignment="1">
      <alignment horizontal="center" vertical="center"/>
    </xf>
    <xf numFmtId="165" fontId="9" fillId="5" borderId="3" xfId="4" applyNumberFormat="1" applyFont="1" applyFill="1" applyBorder="1" applyAlignment="1">
      <alignment horizontal="center" vertical="center"/>
    </xf>
    <xf numFmtId="165" fontId="5" fillId="5" borderId="3" xfId="3" applyNumberFormat="1" applyFill="1" applyBorder="1"/>
    <xf numFmtId="165" fontId="6" fillId="2" borderId="1" xfId="5" applyNumberFormat="1" applyFont="1" applyAlignment="1">
      <alignment horizontal="center"/>
    </xf>
    <xf numFmtId="0" fontId="5" fillId="0" borderId="2" xfId="3" quotePrefix="1" applyBorder="1" applyAlignment="1">
      <alignment horizontal="center"/>
    </xf>
    <xf numFmtId="0" fontId="5" fillId="0" borderId="2" xfId="3" quotePrefix="1" applyBorder="1"/>
    <xf numFmtId="0" fontId="5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5" fillId="0" borderId="2" xfId="3" applyBorder="1"/>
    <xf numFmtId="166" fontId="5" fillId="0" borderId="0" xfId="3" applyNumberFormat="1"/>
    <xf numFmtId="1" fontId="5" fillId="0" borderId="2" xfId="3" applyNumberFormat="1" applyBorder="1" applyAlignment="1">
      <alignment horizontal="center"/>
    </xf>
    <xf numFmtId="0" fontId="7" fillId="6" borderId="2" xfId="3" applyFont="1" applyFill="1" applyBorder="1" applyAlignment="1">
      <alignment horizontal="center"/>
    </xf>
    <xf numFmtId="0" fontId="7" fillId="6" borderId="2" xfId="3" applyFont="1" applyFill="1" applyBorder="1"/>
    <xf numFmtId="1" fontId="7" fillId="6" borderId="2" xfId="3" applyNumberFormat="1" applyFont="1" applyFill="1" applyBorder="1" applyAlignment="1">
      <alignment horizontal="center"/>
    </xf>
    <xf numFmtId="165" fontId="7" fillId="6" borderId="2" xfId="4" applyNumberFormat="1" applyFont="1" applyFill="1" applyBorder="1" applyAlignment="1">
      <alignment horizontal="center" vertical="center"/>
    </xf>
    <xf numFmtId="165" fontId="8" fillId="2" borderId="1" xfId="5" applyNumberFormat="1" applyFont="1" applyAlignment="1">
      <alignment horizontal="center" vertical="center"/>
    </xf>
    <xf numFmtId="1" fontId="5" fillId="0" borderId="0" xfId="3" applyNumberFormat="1"/>
    <xf numFmtId="43" fontId="0" fillId="0" borderId="0" xfId="4" applyFont="1" applyFill="1" applyBorder="1"/>
    <xf numFmtId="0" fontId="7" fillId="0" borderId="0" xfId="3" applyFont="1"/>
    <xf numFmtId="0" fontId="11" fillId="0" borderId="0" xfId="3" applyFont="1"/>
    <xf numFmtId="9" fontId="0" fillId="0" borderId="0" xfId="6" applyFont="1"/>
    <xf numFmtId="14" fontId="5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10" fillId="0" borderId="0" xfId="3" quotePrefix="1" applyFont="1"/>
    <xf numFmtId="0" fontId="12" fillId="7" borderId="2" xfId="0" applyFont="1" applyFill="1" applyBorder="1" applyAlignment="1">
      <alignment vertical="center" wrapText="1"/>
    </xf>
    <xf numFmtId="43" fontId="10" fillId="8" borderId="2" xfId="4" applyFont="1" applyFill="1" applyBorder="1" applyAlignment="1">
      <alignment horizontal="center" vertical="center" wrapText="1"/>
    </xf>
    <xf numFmtId="43" fontId="10" fillId="8" borderId="2" xfId="4" applyFont="1" applyFill="1" applyBorder="1" applyAlignment="1">
      <alignment horizontal="left" vertical="center" wrapText="1"/>
    </xf>
    <xf numFmtId="43" fontId="10" fillId="9" borderId="2" xfId="4" applyFont="1" applyFill="1" applyBorder="1" applyAlignment="1">
      <alignment horizontal="center" vertical="center" wrapText="1"/>
    </xf>
    <xf numFmtId="43" fontId="10" fillId="5" borderId="2" xfId="4" applyFont="1" applyFill="1" applyBorder="1" applyAlignment="1">
      <alignment horizontal="center" vertical="center" wrapText="1"/>
    </xf>
    <xf numFmtId="43" fontId="10" fillId="10" borderId="5" xfId="4" applyFont="1" applyFill="1" applyBorder="1" applyAlignment="1">
      <alignment horizontal="center" vertical="center" wrapText="1"/>
    </xf>
    <xf numFmtId="0" fontId="10" fillId="10" borderId="2" xfId="3" applyFont="1" applyFill="1" applyBorder="1" applyAlignment="1">
      <alignment horizontal="center" vertical="center" wrapText="1"/>
    </xf>
    <xf numFmtId="0" fontId="10" fillId="11" borderId="2" xfId="3" applyFont="1" applyFill="1" applyBorder="1" applyAlignment="1">
      <alignment horizontal="center" vertical="center" wrapText="1"/>
    </xf>
    <xf numFmtId="165" fontId="7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2" fillId="0" borderId="0" xfId="0" applyNumberFormat="1" applyFont="1"/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7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2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2" fillId="11" borderId="2" xfId="2" applyFont="1" applyFill="1" applyBorder="1"/>
    <xf numFmtId="43" fontId="12" fillId="11" borderId="2" xfId="0" applyNumberFormat="1" applyFont="1" applyFill="1" applyBorder="1"/>
    <xf numFmtId="1" fontId="7" fillId="11" borderId="2" xfId="0" applyNumberFormat="1" applyFont="1" applyFill="1" applyBorder="1" applyAlignment="1">
      <alignment horizontal="center" vertical="center"/>
    </xf>
    <xf numFmtId="43" fontId="12" fillId="11" borderId="2" xfId="0" applyNumberFormat="1" applyFont="1" applyFill="1" applyBorder="1" applyAlignment="1">
      <alignment horizontal="center"/>
    </xf>
    <xf numFmtId="2" fontId="7" fillId="11" borderId="2" xfId="0" applyNumberFormat="1" applyFont="1" applyFill="1" applyBorder="1" applyAlignment="1">
      <alignment horizontal="center" vertical="center"/>
    </xf>
    <xf numFmtId="2" fontId="12" fillId="11" borderId="2" xfId="0" applyNumberFormat="1" applyFont="1" applyFill="1" applyBorder="1" applyAlignment="1">
      <alignment horizontal="center"/>
    </xf>
    <xf numFmtId="0" fontId="8" fillId="0" borderId="0" xfId="9" applyFont="1"/>
    <xf numFmtId="0" fontId="5" fillId="0" borderId="0" xfId="9" applyAlignment="1">
      <alignment horizontal="center"/>
    </xf>
    <xf numFmtId="0" fontId="5" fillId="0" borderId="0" xfId="9"/>
    <xf numFmtId="1" fontId="5" fillId="0" borderId="6" xfId="9" applyNumberFormat="1" applyBorder="1"/>
    <xf numFmtId="0" fontId="5" fillId="8" borderId="2" xfId="9" applyFill="1" applyBorder="1" applyAlignment="1">
      <alignment horizontal="center" vertical="top"/>
    </xf>
    <xf numFmtId="0" fontId="5" fillId="8" borderId="7" xfId="9" applyFill="1" applyBorder="1" applyAlignment="1">
      <alignment horizontal="center" vertical="top"/>
    </xf>
    <xf numFmtId="0" fontId="5" fillId="8" borderId="8" xfId="9" applyFill="1" applyBorder="1" applyAlignment="1">
      <alignment horizontal="center" vertical="top"/>
    </xf>
    <xf numFmtId="0" fontId="5" fillId="8" borderId="9" xfId="9" applyFill="1" applyBorder="1" applyAlignment="1">
      <alignment horizontal="center" vertical="top"/>
    </xf>
    <xf numFmtId="0" fontId="5" fillId="8" borderId="10" xfId="9" applyFill="1" applyBorder="1" applyAlignment="1">
      <alignment horizontal="center" vertical="top"/>
    </xf>
    <xf numFmtId="0" fontId="8" fillId="8" borderId="7" xfId="9" applyFont="1" applyFill="1" applyBorder="1" applyAlignment="1">
      <alignment horizontal="center" vertical="top"/>
    </xf>
    <xf numFmtId="168" fontId="5" fillId="8" borderId="8" xfId="9" applyNumberFormat="1" applyFill="1" applyBorder="1" applyAlignment="1">
      <alignment horizontal="left" vertical="top"/>
    </xf>
    <xf numFmtId="0" fontId="5" fillId="0" borderId="2" xfId="9" applyBorder="1" applyAlignment="1">
      <alignment horizontal="center" vertical="top"/>
    </xf>
    <xf numFmtId="2" fontId="5" fillId="0" borderId="2" xfId="9" applyNumberFormat="1" applyBorder="1" applyAlignment="1">
      <alignment horizontal="center" vertical="center"/>
    </xf>
    <xf numFmtId="2" fontId="5" fillId="0" borderId="10" xfId="9" applyNumberFormat="1" applyBorder="1" applyAlignment="1">
      <alignment horizontal="center" vertical="center"/>
    </xf>
    <xf numFmtId="164" fontId="5" fillId="14" borderId="8" xfId="9" applyNumberFormat="1" applyFill="1" applyBorder="1" applyAlignment="1" applyProtection="1">
      <alignment horizontal="center" vertical="center" wrapText="1"/>
      <protection locked="0"/>
    </xf>
    <xf numFmtId="1" fontId="5" fillId="14" borderId="2" xfId="9" applyNumberFormat="1" applyFill="1" applyBorder="1" applyAlignment="1">
      <alignment horizontal="center" vertical="center"/>
    </xf>
    <xf numFmtId="2" fontId="5" fillId="14" borderId="2" xfId="9" applyNumberFormat="1" applyFill="1" applyBorder="1" applyAlignment="1" applyProtection="1">
      <alignment horizontal="center" vertical="center"/>
      <protection locked="0"/>
    </xf>
    <xf numFmtId="1" fontId="5" fillId="14" borderId="2" xfId="9" applyNumberFormat="1" applyFill="1" applyBorder="1" applyAlignment="1" applyProtection="1">
      <alignment horizontal="center" vertical="center"/>
      <protection locked="0"/>
    </xf>
    <xf numFmtId="2" fontId="5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5" fillId="0" borderId="8" xfId="9" quotePrefix="1" applyNumberFormat="1" applyBorder="1" applyAlignment="1" applyProtection="1">
      <alignment horizontal="center" vertical="center"/>
      <protection locked="0"/>
    </xf>
    <xf numFmtId="49" fontId="5" fillId="0" borderId="2" xfId="9" applyNumberFormat="1" applyBorder="1" applyAlignment="1" applyProtection="1">
      <alignment horizontal="center" vertical="center"/>
      <protection locked="0"/>
    </xf>
    <xf numFmtId="2" fontId="5" fillId="0" borderId="2" xfId="9" applyNumberFormat="1" applyBorder="1" applyAlignment="1" applyProtection="1">
      <alignment horizontal="center" vertical="center"/>
      <protection locked="0"/>
    </xf>
    <xf numFmtId="1" fontId="5" fillId="16" borderId="2" xfId="9" applyNumberFormat="1" applyFill="1" applyBorder="1" applyAlignment="1" applyProtection="1">
      <alignment horizontal="center" vertical="center"/>
      <protection locked="0"/>
    </xf>
    <xf numFmtId="2" fontId="5" fillId="16" borderId="2" xfId="9" applyNumberFormat="1" applyFill="1" applyBorder="1" applyAlignment="1" applyProtection="1">
      <alignment horizontal="center" vertical="center"/>
      <protection locked="0"/>
    </xf>
    <xf numFmtId="2" fontId="5" fillId="17" borderId="8" xfId="9" applyNumberFormat="1" applyFill="1" applyBorder="1" applyAlignment="1">
      <alignment horizontal="center" vertical="center"/>
    </xf>
    <xf numFmtId="2" fontId="5" fillId="17" borderId="2" xfId="9" applyNumberFormat="1" applyFill="1" applyBorder="1" applyAlignment="1">
      <alignment horizontal="center" vertical="center"/>
    </xf>
    <xf numFmtId="1" fontId="5" fillId="0" borderId="8" xfId="9" applyNumberFormat="1" applyBorder="1" applyAlignment="1" applyProtection="1">
      <alignment horizontal="center" vertical="center"/>
      <protection locked="0"/>
    </xf>
    <xf numFmtId="164" fontId="7" fillId="0" borderId="8" xfId="9" applyNumberFormat="1" applyFont="1" applyBorder="1"/>
    <xf numFmtId="164" fontId="7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7" fillId="0" borderId="7" xfId="12" applyNumberFormat="1" applyFont="1" applyBorder="1"/>
    <xf numFmtId="1" fontId="5" fillId="0" borderId="0" xfId="9" applyNumberFormat="1"/>
    <xf numFmtId="1" fontId="5" fillId="0" borderId="2" xfId="9" applyNumberFormat="1" applyBorder="1" applyAlignment="1">
      <alignment horizontal="center" vertical="center"/>
    </xf>
    <xf numFmtId="1" fontId="5" fillId="15" borderId="2" xfId="9" applyNumberFormat="1" applyFill="1" applyBorder="1" applyAlignment="1" applyProtection="1">
      <alignment horizontal="center" vertical="center"/>
      <protection locked="0"/>
    </xf>
    <xf numFmtId="2" fontId="5" fillId="15" borderId="2" xfId="9" applyNumberFormat="1" applyFill="1" applyBorder="1" applyAlignment="1" applyProtection="1">
      <alignment horizontal="center" vertical="center"/>
      <protection locked="0"/>
    </xf>
    <xf numFmtId="49" fontId="5" fillId="0" borderId="8" xfId="9" applyNumberFormat="1" applyBorder="1" applyAlignment="1" applyProtection="1">
      <alignment horizontal="center" vertical="center"/>
      <protection locked="0"/>
    </xf>
    <xf numFmtId="2" fontId="5" fillId="4" borderId="8" xfId="9" applyNumberFormat="1" applyFill="1" applyBorder="1" applyAlignment="1">
      <alignment horizontal="center" vertical="center"/>
    </xf>
    <xf numFmtId="2" fontId="5" fillId="4" borderId="2" xfId="9" applyNumberFormat="1" applyFill="1" applyBorder="1" applyAlignment="1">
      <alignment horizontal="center" vertical="center"/>
    </xf>
    <xf numFmtId="164" fontId="5" fillId="0" borderId="2" xfId="9" applyNumberFormat="1" applyBorder="1"/>
    <xf numFmtId="164" fontId="5" fillId="0" borderId="8" xfId="9" applyNumberFormat="1" applyBorder="1"/>
    <xf numFmtId="0" fontId="5" fillId="14" borderId="8" xfId="9" applyFill="1" applyBorder="1" applyAlignment="1" applyProtection="1">
      <alignment horizontal="center" vertical="center"/>
      <protection locked="0"/>
    </xf>
    <xf numFmtId="0" fontId="5" fillId="14" borderId="9" xfId="9" applyFill="1" applyBorder="1" applyAlignment="1" applyProtection="1">
      <alignment horizontal="center" vertical="center"/>
      <protection locked="0"/>
    </xf>
    <xf numFmtId="1" fontId="5" fillId="4" borderId="2" xfId="9" applyNumberFormat="1" applyFill="1" applyBorder="1" applyAlignment="1" applyProtection="1">
      <alignment horizontal="center" vertical="center"/>
      <protection locked="0"/>
    </xf>
    <xf numFmtId="2" fontId="5" fillId="4" borderId="2" xfId="9" applyNumberFormat="1" applyFill="1" applyBorder="1" applyAlignment="1" applyProtection="1">
      <alignment horizontal="center" vertical="center"/>
      <protection locked="0"/>
    </xf>
    <xf numFmtId="49" fontId="5" fillId="19" borderId="2" xfId="9" applyNumberFormat="1" applyFill="1" applyBorder="1" applyAlignment="1" applyProtection="1">
      <alignment horizontal="center" vertical="center"/>
      <protection locked="0"/>
    </xf>
    <xf numFmtId="0" fontId="5" fillId="14" borderId="9" xfId="9" quotePrefix="1" applyFill="1" applyBorder="1" applyAlignment="1" applyProtection="1">
      <alignment horizontal="center" vertical="center"/>
      <protection locked="0"/>
    </xf>
    <xf numFmtId="0" fontId="5" fillId="4" borderId="2" xfId="9" applyFill="1" applyBorder="1" applyAlignment="1">
      <alignment horizontal="center"/>
    </xf>
    <xf numFmtId="4" fontId="5" fillId="4" borderId="2" xfId="9" applyNumberFormat="1" applyFill="1" applyBorder="1" applyAlignment="1">
      <alignment horizontal="center"/>
    </xf>
    <xf numFmtId="0" fontId="5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5" fillId="0" borderId="2" xfId="9" applyNumberFormat="1" applyBorder="1" applyAlignment="1" applyProtection="1">
      <alignment horizontal="center" vertical="center"/>
      <protection locked="0"/>
    </xf>
    <xf numFmtId="167" fontId="7" fillId="0" borderId="2" xfId="12" applyNumberFormat="1" applyFont="1" applyBorder="1"/>
    <xf numFmtId="0" fontId="5" fillId="0" borderId="2" xfId="9" applyBorder="1" applyAlignment="1">
      <alignment horizontal="center"/>
    </xf>
    <xf numFmtId="0" fontId="5" fillId="14" borderId="2" xfId="9" quotePrefix="1" applyFill="1" applyBorder="1" applyAlignment="1" applyProtection="1">
      <alignment horizontal="center" vertical="center"/>
      <protection locked="0"/>
    </xf>
    <xf numFmtId="2" fontId="5" fillId="0" borderId="0" xfId="9" applyNumberFormat="1"/>
    <xf numFmtId="167" fontId="5" fillId="0" borderId="0" xfId="9" applyNumberFormat="1"/>
    <xf numFmtId="1" fontId="5" fillId="0" borderId="0" xfId="9" applyNumberFormat="1" applyAlignment="1">
      <alignment horizontal="center" vertical="center"/>
    </xf>
    <xf numFmtId="0" fontId="16" fillId="0" borderId="0" xfId="13"/>
    <xf numFmtId="0" fontId="5" fillId="4" borderId="2" xfId="8" applyBorder="1"/>
    <xf numFmtId="0" fontId="7" fillId="4" borderId="2" xfId="8" applyFont="1" applyBorder="1"/>
    <xf numFmtId="0" fontId="7" fillId="11" borderId="2" xfId="8" applyFont="1" applyFill="1" applyBorder="1"/>
    <xf numFmtId="0" fontId="7" fillId="11" borderId="2" xfId="8" applyFont="1" applyFill="1" applyBorder="1" applyAlignment="1">
      <alignment horizontal="center" vertical="center"/>
    </xf>
    <xf numFmtId="1" fontId="5" fillId="4" borderId="2" xfId="8" applyNumberFormat="1" applyBorder="1" applyAlignment="1">
      <alignment horizontal="center"/>
    </xf>
    <xf numFmtId="0" fontId="13" fillId="3" borderId="2" xfId="7" applyBorder="1" applyAlignment="1">
      <alignment horizontal="left"/>
    </xf>
    <xf numFmtId="1" fontId="7" fillId="4" borderId="2" xfId="8" applyNumberFormat="1" applyFont="1" applyBorder="1" applyAlignment="1">
      <alignment horizontal="center"/>
    </xf>
    <xf numFmtId="165" fontId="12" fillId="0" borderId="0" xfId="0" applyNumberFormat="1" applyFont="1"/>
    <xf numFmtId="0" fontId="17" fillId="3" borderId="2" xfId="7" applyFont="1" applyBorder="1" applyAlignment="1">
      <alignment horizontal="left"/>
    </xf>
    <xf numFmtId="1" fontId="13" fillId="3" borderId="2" xfId="7" applyNumberFormat="1" applyBorder="1" applyAlignment="1">
      <alignment horizontal="center"/>
    </xf>
    <xf numFmtId="1" fontId="17" fillId="3" borderId="2" xfId="7" applyNumberFormat="1" applyFont="1" applyBorder="1" applyAlignment="1">
      <alignment horizontal="center"/>
    </xf>
    <xf numFmtId="9" fontId="5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2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5" fillId="0" borderId="0" xfId="3" applyNumberFormat="1" applyAlignment="1">
      <alignment horizontal="center"/>
    </xf>
    <xf numFmtId="165" fontId="0" fillId="0" borderId="3" xfId="2" applyNumberFormat="1" applyFont="1" applyBorder="1"/>
    <xf numFmtId="165" fontId="19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2" fillId="11" borderId="5" xfId="0" applyFont="1" applyFill="1" applyBorder="1" applyAlignment="1">
      <alignment horizontal="center" vertical="center" wrapText="1"/>
    </xf>
    <xf numFmtId="1" fontId="12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7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7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5" fillId="0" borderId="2" xfId="9" applyNumberFormat="1" applyBorder="1" applyAlignment="1">
      <alignment horizontal="center" vertical="center"/>
    </xf>
    <xf numFmtId="164" fontId="5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20" fillId="7" borderId="29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0" fillId="19" borderId="2" xfId="0" applyFill="1" applyBorder="1"/>
    <xf numFmtId="0" fontId="0" fillId="19" borderId="2" xfId="0" applyFill="1" applyBorder="1" applyAlignment="1">
      <alignment horizontal="center" vertical="center"/>
    </xf>
    <xf numFmtId="0" fontId="0" fillId="19" borderId="2" xfId="0" applyFill="1" applyBorder="1" applyAlignment="1">
      <alignment vertical="center"/>
    </xf>
    <xf numFmtId="171" fontId="21" fillId="19" borderId="2" xfId="0" applyNumberFormat="1" applyFont="1" applyFill="1" applyBorder="1" applyAlignment="1">
      <alignment horizontal="center"/>
    </xf>
    <xf numFmtId="0" fontId="22" fillId="19" borderId="2" xfId="0" applyFont="1" applyFill="1" applyBorder="1" applyAlignment="1">
      <alignment vertical="center"/>
    </xf>
    <xf numFmtId="0" fontId="0" fillId="19" borderId="2" xfId="0" applyFill="1" applyBorder="1" applyAlignment="1">
      <alignment horizontal="right"/>
    </xf>
    <xf numFmtId="0" fontId="0" fillId="19" borderId="2" xfId="0" applyFill="1" applyBorder="1" applyAlignment="1">
      <alignment horizontal="left"/>
    </xf>
    <xf numFmtId="17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165" fontId="5" fillId="0" borderId="0" xfId="2" applyNumberFormat="1" applyFont="1"/>
    <xf numFmtId="0" fontId="2" fillId="0" borderId="0" xfId="3" applyFont="1" applyAlignment="1">
      <alignment wrapText="1"/>
    </xf>
    <xf numFmtId="0" fontId="1" fillId="4" borderId="2" xfId="8" applyFont="1" applyBorder="1"/>
    <xf numFmtId="0" fontId="5" fillId="8" borderId="13" xfId="9" applyFill="1" applyBorder="1" applyAlignment="1">
      <alignment horizontal="center"/>
    </xf>
    <xf numFmtId="0" fontId="5" fillId="8" borderId="14" xfId="9" applyFill="1" applyBorder="1" applyAlignment="1">
      <alignment horizontal="center"/>
    </xf>
    <xf numFmtId="0" fontId="5" fillId="8" borderId="15" xfId="9" applyFill="1" applyBorder="1" applyAlignment="1">
      <alignment horizontal="center"/>
    </xf>
    <xf numFmtId="0" fontId="5" fillId="8" borderId="13" xfId="9" applyFill="1" applyBorder="1" applyAlignment="1">
      <alignment horizontal="center" vertical="top"/>
    </xf>
    <xf numFmtId="0" fontId="5" fillId="8" borderId="14" xfId="9" applyFill="1" applyBorder="1" applyAlignment="1">
      <alignment horizontal="center" vertical="top"/>
    </xf>
    <xf numFmtId="0" fontId="5" fillId="8" borderId="15" xfId="9" applyFill="1" applyBorder="1" applyAlignment="1">
      <alignment horizontal="center" vertical="top"/>
    </xf>
    <xf numFmtId="0" fontId="5" fillId="8" borderId="16" xfId="9" applyFill="1" applyBorder="1" applyAlignment="1">
      <alignment horizontal="center" vertical="top"/>
    </xf>
    <xf numFmtId="0" fontId="14" fillId="8" borderId="13" xfId="9" applyFont="1" applyFill="1" applyBorder="1" applyAlignment="1">
      <alignment horizontal="center" vertical="center"/>
    </xf>
    <xf numFmtId="0" fontId="14" fillId="8" borderId="8" xfId="9" applyFont="1" applyFill="1" applyBorder="1" applyAlignment="1">
      <alignment horizontal="center" vertical="center"/>
    </xf>
    <xf numFmtId="0" fontId="14" fillId="8" borderId="14" xfId="9" applyFont="1" applyFill="1" applyBorder="1" applyAlignment="1">
      <alignment horizontal="center" vertical="center"/>
    </xf>
    <xf numFmtId="0" fontId="14" fillId="8" borderId="2" xfId="9" applyFont="1" applyFill="1" applyBorder="1" applyAlignment="1">
      <alignment horizontal="center" vertical="center"/>
    </xf>
    <xf numFmtId="0" fontId="5" fillId="8" borderId="14" xfId="9" applyFill="1" applyBorder="1" applyAlignment="1">
      <alignment horizontal="center" vertical="top" wrapText="1"/>
    </xf>
    <xf numFmtId="0" fontId="5" fillId="8" borderId="15" xfId="9" applyFill="1" applyBorder="1" applyAlignment="1">
      <alignment horizontal="center" vertical="top" wrapText="1"/>
    </xf>
    <xf numFmtId="0" fontId="4" fillId="8" borderId="13" xfId="9" applyFont="1" applyFill="1" applyBorder="1" applyAlignment="1">
      <alignment horizontal="center" vertical="top"/>
    </xf>
    <xf numFmtId="0" fontId="5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0.363000462959" createdVersion="8" refreshedVersion="8" minRefreshableVersion="3" recordCount="1256" xr:uid="{4B1F56EA-8AA7-4B34-A58C-E1262A18FC1C}">
  <cacheSource type="worksheet">
    <worksheetSource ref="A3:W1259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1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29] DEWAITHA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</sharedItems>
    </cacheField>
    <cacheField name="Old Code" numFmtId="0">
      <sharedItems count="71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20124"/>
        <s v="20125"/>
        <s v="20126"/>
        <s v="20127"/>
        <s v="20129"/>
        <s v="60526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9" count="71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124"/>
        <n v="10620125"/>
        <n v="10620126"/>
        <n v="10620127"/>
        <n v="10620129"/>
        <n v="10620072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3580"/>
    </cacheField>
    <cacheField name="Fat" numFmtId="0">
      <sharedItems containsSemiMixedTypes="0" containsString="0" containsNumber="1" minValue="3" maxValue="9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11100000000000002" maxValue="179"/>
    </cacheField>
    <cacheField name="Kg snf" numFmtId="164">
      <sharedItems containsSemiMixedTypes="0" containsString="0" containsNumber="1" minValue="0.17600000000000002" maxValue="304.3"/>
    </cacheField>
    <cacheField name="Rate/Kg" numFmtId="43">
      <sharedItems containsSemiMixedTypes="0" containsString="0" containsNumber="1" minValue="34.751112000000006" maxValue="79.325000000000003"/>
    </cacheField>
    <cacheField name="Amount" numFmtId="165">
      <sharedItems containsSemiMixedTypes="0" containsString="0" containsNumber="1" minValue="104.1579" maxValue="159242.62977000003"/>
    </cacheField>
    <cacheField name="FAT Rate" numFmtId="43">
      <sharedItems containsSemiMixedTypes="0" containsString="0" containsNumber="1" minValue="402.57869822485208" maxValue="511.77419354838713"/>
    </cacheField>
    <cacheField name="SNF Rate" numFmtId="43">
      <sharedItems containsSemiMixedTypes="0" containsString="0" containsNumber="1" minValue="268.38579881656807" maxValue="341.18279569892474"/>
    </cacheField>
    <cacheField name="Comm @ 1.75%" numFmtId="165">
      <sharedItems containsSemiMixedTypes="0" containsString="0" containsNumber="1" minValue="1.8227632500000002" maxValue="2786.7460209750006"/>
    </cacheField>
    <cacheField name="OH @ 3.75/kg" numFmtId="1">
      <sharedItems containsSemiMixedTypes="0" containsString="0" containsNumber="1" minValue="7.5" maxValue="13425"/>
    </cacheField>
    <cacheField name="Total Cost" numFmtId="165">
      <sharedItems containsSemiMixedTypes="0" containsString="0" containsNumber="1" minValue="113.48066324999999" maxValue="175454.37579097503"/>
    </cacheField>
    <cacheField name="Cost/Kg" numFmtId="43">
      <sharedItems containsSemiMixedTypes="0" containsString="0" containsNumber="1" minValue="39.109256460000005" maxValue="84.463187500000004"/>
    </cacheField>
    <cacheField name="FAT Rate2" numFmtId="43">
      <sharedItems containsSemiMixedTypes="0" containsString="0" containsNumber="1" minValue="442.48534482758623" maxValue="544.92379032258066"/>
    </cacheField>
    <cacheField name="SNF Rate2" numFmtId="43">
      <sharedItems containsSemiMixedTypes="0" containsString="0" containsNumber="1" minValue="294.99022988505749" maxValue="363.28252688172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6">
  <r>
    <s v="28/08/2026"/>
    <s v="M"/>
    <s v="[1062] RAMGADH"/>
    <s v="[8405] RAMGADH"/>
    <x v="0"/>
    <x v="0"/>
    <x v="0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9/08/2026"/>
    <s v="M"/>
    <s v="[1062] RAMGADH"/>
    <s v="[8405] RAMGADH"/>
    <x v="0"/>
    <x v="0"/>
    <x v="0"/>
    <s v="B"/>
    <n v="32"/>
    <n v="6.1"/>
    <n v="9"/>
    <n v="1.952"/>
    <n v="2.88"/>
    <n v="50.935000000000002"/>
    <n v="1629.92"/>
    <n v="420.95041322314052"/>
    <n v="280.63360881542701"/>
    <n v="28.523600000000005"/>
    <n v="120"/>
    <n v="1778.4436000000001"/>
    <n v="55.576362500000002"/>
    <n v="459.30878099173555"/>
    <n v="306.20585399449038"/>
  </r>
  <r>
    <s v="30/08/2026"/>
    <s v="M"/>
    <s v="[1062] RAMGADH"/>
    <s v="[8405] RAMGADH"/>
    <x v="0"/>
    <x v="0"/>
    <x v="0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31/08/2026"/>
    <s v="M"/>
    <s v="[1062] RAMGADH"/>
    <s v="[8405] RAMGADH"/>
    <x v="0"/>
    <x v="0"/>
    <x v="0"/>
    <s v="B"/>
    <n v="41"/>
    <n v="6"/>
    <n v="9"/>
    <n v="2.46"/>
    <n v="3.69"/>
    <n v="50.1"/>
    <n v="2054.1"/>
    <n v="417.5"/>
    <n v="278.33333333333331"/>
    <n v="35.946750000000002"/>
    <n v="153.75"/>
    <n v="2243.79675"/>
    <n v="54.726750000000003"/>
    <n v="456.05625000000003"/>
    <n v="304.03750000000002"/>
  </r>
  <r>
    <s v="01/09/2026"/>
    <s v="M"/>
    <s v="[1062] RAMGADH"/>
    <s v="[8405] RAMGADH"/>
    <x v="0"/>
    <x v="0"/>
    <x v="0"/>
    <s v="B"/>
    <n v="40"/>
    <n v="6.1"/>
    <n v="9"/>
    <n v="2.44"/>
    <n v="3.6"/>
    <n v="50.935000000000002"/>
    <n v="2037.4"/>
    <n v="420.95041322314052"/>
    <n v="280.63360881542701"/>
    <n v="35.654500000000006"/>
    <n v="150"/>
    <n v="2223.0545000000002"/>
    <n v="55.576362500000002"/>
    <n v="459.30878099173555"/>
    <n v="306.20585399449038"/>
  </r>
  <r>
    <s v="02/09/2026"/>
    <s v="M"/>
    <s v="[1062] RAMGADH"/>
    <s v="[8405] RAMGADH"/>
    <x v="0"/>
    <x v="0"/>
    <x v="0"/>
    <s v="B"/>
    <n v="41"/>
    <n v="6.6"/>
    <n v="9"/>
    <n v="2.7059999999999995"/>
    <n v="3.69"/>
    <n v="55.11"/>
    <n v="2259.5099999999998"/>
    <n v="437.38095238095235"/>
    <n v="291.58730158730157"/>
    <n v="39.541424999999997"/>
    <n v="153.75"/>
    <n v="2452.8014249999997"/>
    <n v="59.824424999999991"/>
    <n v="474.79702380952375"/>
    <n v="316.53134920634915"/>
  </r>
  <r>
    <s v="02/09/2026"/>
    <s v="M"/>
    <s v="[1062] RAMGADH"/>
    <s v="[8405] RAMGADH"/>
    <x v="0"/>
    <x v="0"/>
    <x v="0"/>
    <s v="C"/>
    <n v="6"/>
    <n v="3.4"/>
    <n v="8.4"/>
    <n v="0.20399999999999999"/>
    <n v="0.504"/>
    <n v="37.531167600000003"/>
    <n v="225.18700560000002"/>
    <n v="417.01297333333338"/>
    <n v="278.0086488888889"/>
    <n v="3.9407725980000006"/>
    <n v="22.5"/>
    <n v="251.62777819800002"/>
    <n v="41.937963033000003"/>
    <n v="465.97736703333339"/>
    <n v="310.65157802222228"/>
  </r>
  <r>
    <s v="28/08/2026"/>
    <s v="M"/>
    <s v="[1062] RAMGADH"/>
    <s v="[8404] CHANDESH"/>
    <x v="1"/>
    <x v="1"/>
    <x v="1"/>
    <s v="C"/>
    <n v="28"/>
    <n v="5.4"/>
    <n v="8.6"/>
    <n v="1.5120000000000002"/>
    <n v="2.4079999999999999"/>
    <n v="46.149181500000012"/>
    <n v="1292.1770820000004"/>
    <n v="414.5136062874252"/>
    <n v="276.34240419161682"/>
    <n v="22.613098935000007"/>
    <n v="105"/>
    <n v="1419.7901809350003"/>
    <n v="50.706792176250012"/>
    <n v="455.45022912799408"/>
    <n v="303.63348608532937"/>
  </r>
  <r>
    <s v="28/08/2026"/>
    <s v="E"/>
    <s v="[1062] RAMGADH"/>
    <s v="[8404] CHANDESH"/>
    <x v="1"/>
    <x v="1"/>
    <x v="1"/>
    <s v="C"/>
    <n v="68"/>
    <n v="3.1"/>
    <n v="8.1"/>
    <n v="2.1080000000000001"/>
    <n v="5.5079999999999991"/>
    <n v="35.446125899999998"/>
    <n v="2410.3365611999998"/>
    <n v="417.01324588235298"/>
    <n v="278.0088305882353"/>
    <n v="42.180889821000001"/>
    <n v="255"/>
    <n v="2707.5174510209999"/>
    <n v="39.816433103249999"/>
    <n v="468.42862474411766"/>
    <n v="312.28574982941177"/>
  </r>
  <r>
    <s v="29/08/2026"/>
    <s v="M"/>
    <s v="[1062] RAMGADH"/>
    <s v="[8404] CHANDESH"/>
    <x v="1"/>
    <x v="1"/>
    <x v="1"/>
    <s v="B"/>
    <n v="41"/>
    <n v="6.2"/>
    <n v="9"/>
    <n v="2.5420000000000003"/>
    <n v="3.69"/>
    <n v="51.77"/>
    <n v="2122.5700000000002"/>
    <n v="424.34426229508199"/>
    <n v="282.89617486338801"/>
    <n v="37.144975000000009"/>
    <n v="153.75"/>
    <n v="2313.4649750000003"/>
    <n v="56.425975000000008"/>
    <n v="462.50799180327874"/>
    <n v="308.33866120218585"/>
  </r>
  <r>
    <s v="29/08/2026"/>
    <s v="M"/>
    <s v="[1062] RAMGADH"/>
    <s v="[8404] CHANDESH"/>
    <x v="1"/>
    <x v="1"/>
    <x v="1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9/08/2026"/>
    <s v="E"/>
    <s v="[1062] RAMGADH"/>
    <s v="[8404] CHANDESH"/>
    <x v="1"/>
    <x v="1"/>
    <x v="1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29/08/2026"/>
    <s v="E"/>
    <s v="[1062] RAMGADH"/>
    <s v="[8404] CHANDESH"/>
    <x v="1"/>
    <x v="1"/>
    <x v="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30/08/2026"/>
    <s v="M"/>
    <s v="[1062] RAMGADH"/>
    <s v="[8404] CHANDESH"/>
    <x v="1"/>
    <x v="1"/>
    <x v="1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30/08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30/08/2026"/>
    <s v="E"/>
    <s v="[1062] RAMGADH"/>
    <s v="[8404] CHANDESH"/>
    <x v="1"/>
    <x v="1"/>
    <x v="1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30/08/2026"/>
    <s v="E"/>
    <s v="[1062] RAMGADH"/>
    <s v="[8404] CHANDESH"/>
    <x v="1"/>
    <x v="1"/>
    <x v="1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31/08/2026"/>
    <s v="M"/>
    <s v="[1062] RAMGADH"/>
    <s v="[8404] CHANDESH"/>
    <x v="1"/>
    <x v="1"/>
    <x v="1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31/08/2026"/>
    <s v="E"/>
    <s v="[1062] RAMGADH"/>
    <s v="[8404] CHANDESH"/>
    <x v="1"/>
    <x v="1"/>
    <x v="1"/>
    <s v="C"/>
    <n v="12"/>
    <n v="5.0999999999999996"/>
    <n v="8.3000000000000007"/>
    <n v="0.61199999999999999"/>
    <n v="0.99600000000000011"/>
    <n v="44.342153700000004"/>
    <n v="532.10584440000002"/>
    <n v="417.01084984326025"/>
    <n v="278.00723322884016"/>
    <n v="9.3118522770000016"/>
    <n v="45"/>
    <n v="586.41769667699998"/>
    <n v="48.868141389750001"/>
    <n v="459.57499739576804"/>
    <n v="306.38333159717871"/>
  </r>
  <r>
    <s v="01/09/2026"/>
    <s v="M"/>
    <s v="[1062] RAMGADH"/>
    <s v="[8404] CHANDESH"/>
    <x v="1"/>
    <x v="1"/>
    <x v="1"/>
    <s v="B"/>
    <n v="38"/>
    <n v="6.2"/>
    <n v="9"/>
    <n v="2.3559999999999999"/>
    <n v="3.42"/>
    <n v="51.77"/>
    <n v="1967.2600000000002"/>
    <n v="424.34426229508199"/>
    <n v="282.89617486338801"/>
    <n v="34.427050000000008"/>
    <n v="142.5"/>
    <n v="2144.1870500000005"/>
    <n v="56.425975000000015"/>
    <n v="462.5079918032788"/>
    <n v="308.33866120218585"/>
  </r>
  <r>
    <s v="01/09/2026"/>
    <s v="M"/>
    <s v="[1062] RAMGADH"/>
    <s v="[8404] CHANDESH"/>
    <x v="1"/>
    <x v="1"/>
    <x v="1"/>
    <s v="C"/>
    <n v="29"/>
    <n v="3.1"/>
    <n v="8"/>
    <n v="0.89900000000000002"/>
    <n v="2.3199999999999998"/>
    <n v="35.168112000000008"/>
    <n v="1019.8752480000003"/>
    <n v="417.01318577075102"/>
    <n v="278.00879051383401"/>
    <n v="17.847816840000007"/>
    <n v="108.75"/>
    <n v="1146.4730648400002"/>
    <n v="39.533553960000006"/>
    <n v="468.77731968379447"/>
    <n v="312.51821312252963"/>
  </r>
  <r>
    <s v="01/09/2026"/>
    <s v="E"/>
    <s v="[1062] RAMGADH"/>
    <s v="[8404] CHANDESH"/>
    <x v="1"/>
    <x v="1"/>
    <x v="1"/>
    <s v="B"/>
    <n v="31"/>
    <n v="6.1"/>
    <n v="9"/>
    <n v="1.891"/>
    <n v="2.79"/>
    <n v="50.935000000000002"/>
    <n v="1578.9850000000001"/>
    <n v="420.95041322314052"/>
    <n v="280.63360881542701"/>
    <n v="27.632237500000006"/>
    <n v="116.25"/>
    <n v="1722.8672375000001"/>
    <n v="55.576362500000002"/>
    <n v="459.30878099173555"/>
    <n v="306.20585399449038"/>
  </r>
  <r>
    <s v="01/09/2026"/>
    <s v="E"/>
    <s v="[1062] RAMGADH"/>
    <s v="[8404] CHANDESH"/>
    <x v="1"/>
    <x v="1"/>
    <x v="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2/09/2026"/>
    <s v="M"/>
    <s v="[1062] RAMGADH"/>
    <s v="[8404] CHANDESH"/>
    <x v="1"/>
    <x v="1"/>
    <x v="1"/>
    <s v="B"/>
    <n v="23"/>
    <n v="6"/>
    <n v="9"/>
    <n v="1.38"/>
    <n v="2.0699999999999998"/>
    <n v="50.1"/>
    <n v="1152.3"/>
    <n v="417.5"/>
    <n v="278.33333333333331"/>
    <n v="20.16525"/>
    <n v="86.25"/>
    <n v="1258.71525"/>
    <n v="54.726749999999996"/>
    <n v="456.05624999999998"/>
    <n v="304.03749999999997"/>
  </r>
  <r>
    <s v="02/09/2026"/>
    <s v="M"/>
    <s v="[1062] RAMGADH"/>
    <s v="[8404] CHANDESH"/>
    <x v="1"/>
    <x v="1"/>
    <x v="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9/2026"/>
    <s v="E"/>
    <s v="[1062] RAMGADH"/>
    <s v="[8404] CHANDESH"/>
    <x v="1"/>
    <x v="1"/>
    <x v="1"/>
    <s v="B"/>
    <n v="16"/>
    <n v="5.6"/>
    <n v="8.5"/>
    <n v="0.89599999999999991"/>
    <n v="1.36"/>
    <n v="45.357199999999999"/>
    <n v="725.71519999999998"/>
    <n v="402.57869822485208"/>
    <n v="268.38579881656807"/>
    <n v="12.700016000000002"/>
    <n v="60"/>
    <n v="798.41521599999999"/>
    <n v="49.900950999999999"/>
    <n v="442.90784911242605"/>
    <n v="295.27189940828401"/>
  </r>
  <r>
    <s v="03/09/2026"/>
    <s v="M"/>
    <s v="[1062] RAMGADH"/>
    <s v="[8404] CHANDESH"/>
    <x v="1"/>
    <x v="1"/>
    <x v="1"/>
    <s v="B"/>
    <n v="40"/>
    <n v="6.1"/>
    <n v="9"/>
    <n v="2.44"/>
    <n v="3.6"/>
    <n v="50.935000000000002"/>
    <n v="2037.4"/>
    <n v="420.95041322314052"/>
    <n v="280.63360881542701"/>
    <n v="35.654500000000006"/>
    <n v="150"/>
    <n v="2223.0545000000002"/>
    <n v="55.576362500000002"/>
    <n v="459.30878099173555"/>
    <n v="306.20585399449038"/>
  </r>
  <r>
    <s v="03/09/2026"/>
    <s v="M"/>
    <s v="[1062] RAMGADH"/>
    <s v="[8404] CHANDESH"/>
    <x v="1"/>
    <x v="1"/>
    <x v="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9/2026"/>
    <s v="E"/>
    <s v="[1062] RAMGADH"/>
    <s v="[8404] CHANDESH"/>
    <x v="1"/>
    <x v="1"/>
    <x v="1"/>
    <s v="B"/>
    <n v="37"/>
    <n v="6.3"/>
    <n v="8.4"/>
    <n v="2.331"/>
    <n v="3.1080000000000001"/>
    <n v="51.026849999999996"/>
    <n v="1887.9934499999999"/>
    <n v="428.79705882352943"/>
    <n v="285.86470588235295"/>
    <n v="33.039885375000004"/>
    <n v="138.75"/>
    <n v="2059.7833353749998"/>
    <n v="55.669819874999995"/>
    <n v="467.81361239495794"/>
    <n v="311.87574159663865"/>
  </r>
  <r>
    <s v="03/09/2026"/>
    <s v="E"/>
    <s v="[1062] RAMGADH"/>
    <s v="[8404] CHANDESH"/>
    <x v="1"/>
    <x v="1"/>
    <x v="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8/08/2026"/>
    <s v="M"/>
    <s v="[1062] RAMGADH"/>
    <s v="[8403] MOHANIA"/>
    <x v="2"/>
    <x v="2"/>
    <x v="2"/>
    <s v="C"/>
    <n v="8"/>
    <n v="3.8"/>
    <n v="8.3000000000000007"/>
    <n v="0.30399999999999999"/>
    <n v="0.66400000000000003"/>
    <n v="38.921153700000005"/>
    <n v="311.36922960000004"/>
    <n v="417.01236107142859"/>
    <n v="278.00824071428571"/>
    <n v="5.4489615180000008"/>
    <n v="30"/>
    <n v="346.81819111800007"/>
    <n v="43.352273889750009"/>
    <n v="464.48864881875005"/>
    <n v="309.65909921250005"/>
  </r>
  <r>
    <s v="28/08/2026"/>
    <s v="E"/>
    <s v="[1062] RAMGADH"/>
    <s v="[8403] MOHANIA"/>
    <x v="2"/>
    <x v="2"/>
    <x v="2"/>
    <s v="C"/>
    <n v="10"/>
    <n v="3.4"/>
    <n v="8"/>
    <n v="0.34"/>
    <n v="0.8"/>
    <n v="36.419112000000005"/>
    <n v="364.19112000000007"/>
    <n v="417.01273282442747"/>
    <n v="278.00848854961833"/>
    <n v="6.373344600000002"/>
    <n v="37.5"/>
    <n v="408.06446460000006"/>
    <n v="40.806446460000004"/>
    <n v="467.24938694656487"/>
    <n v="311.49959129770991"/>
  </r>
  <r>
    <s v="29/08/2026"/>
    <s v="M"/>
    <s v="[1062] RAMGADH"/>
    <s v="[8403] MOHANIA"/>
    <x v="2"/>
    <x v="2"/>
    <x v="2"/>
    <s v="C"/>
    <n v="34"/>
    <n v="4.8"/>
    <n v="8.3000000000000007"/>
    <n v="1.6319999999999999"/>
    <n v="2.8220000000000005"/>
    <n v="43.091153700000007"/>
    <n v="1465.0992258000001"/>
    <n v="417.01116483870976"/>
    <n v="278.00744322580653"/>
    <n v="25.639236451500004"/>
    <n v="127.5"/>
    <n v="1618.2384622515001"/>
    <n v="47.595248889750003"/>
    <n v="460.5991828040323"/>
    <n v="307.06612186935484"/>
  </r>
  <r>
    <s v="29/08/2026"/>
    <s v="E"/>
    <s v="[1062] RAMGADH"/>
    <s v="[8403] MOHANIA"/>
    <x v="2"/>
    <x v="2"/>
    <x v="2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30/08/2026"/>
    <s v="M"/>
    <s v="[1062] RAMGADH"/>
    <s v="[8403] MOHANIA"/>
    <x v="2"/>
    <x v="2"/>
    <x v="2"/>
    <s v="C"/>
    <n v="30"/>
    <n v="4.5999999999999996"/>
    <n v="8.4"/>
    <n v="1.38"/>
    <n v="2.52"/>
    <n v="42.535167600000008"/>
    <n v="1276.0550280000002"/>
    <n v="417.01144705882359"/>
    <n v="278.00763137254904"/>
    <n v="22.330962990000007"/>
    <n v="112.5"/>
    <n v="1410.8859909900002"/>
    <n v="47.029533033000007"/>
    <n v="461.07385326470592"/>
    <n v="307.38256884313728"/>
  </r>
  <r>
    <s v="30/08/2026"/>
    <s v="E"/>
    <s v="[1062] RAMGADH"/>
    <s v="[8403] MOHANIA"/>
    <x v="2"/>
    <x v="2"/>
    <x v="2"/>
    <s v="C"/>
    <n v="8"/>
    <n v="4.0999999999999996"/>
    <n v="8.5"/>
    <n v="0.32799999999999996"/>
    <n v="0.68"/>
    <n v="40.728181500000005"/>
    <n v="325.82545200000004"/>
    <n v="417.01209726962463"/>
    <n v="278.0080648464164"/>
    <n v="5.7019454100000013"/>
    <n v="30"/>
    <n v="361.52739741000005"/>
    <n v="45.190924676250006"/>
    <n v="462.70571340870316"/>
    <n v="308.47047560580211"/>
  </r>
  <r>
    <s v="31/08/2026"/>
    <s v="M"/>
    <s v="[1062] RAMGADH"/>
    <s v="[8403] MOHANIA"/>
    <x v="2"/>
    <x v="2"/>
    <x v="2"/>
    <s v="C"/>
    <n v="30"/>
    <n v="5.2"/>
    <n v="8.5"/>
    <n v="1.56"/>
    <n v="2.5499999999999998"/>
    <n v="45.315181500000008"/>
    <n v="1359.4554450000003"/>
    <n v="417.01087269938654"/>
    <n v="278.00724846625769"/>
    <n v="23.790470287500007"/>
    <n v="112.5"/>
    <n v="1495.7459152875003"/>
    <n v="49.858197176250009"/>
    <n v="458.81776542561352"/>
    <n v="305.87851028374234"/>
  </r>
  <r>
    <s v="31/08/2026"/>
    <s v="E"/>
    <s v="[1062] RAMGADH"/>
    <s v="[8403] MOHANIA"/>
    <x v="2"/>
    <x v="2"/>
    <x v="2"/>
    <s v="C"/>
    <n v="8"/>
    <n v="4.0999999999999996"/>
    <n v="8.5"/>
    <n v="0.32799999999999996"/>
    <n v="0.68"/>
    <n v="40.728181500000005"/>
    <n v="325.82545200000004"/>
    <n v="417.01209726962463"/>
    <n v="278.0080648464164"/>
    <n v="5.7019454100000013"/>
    <n v="30"/>
    <n v="361.52739741000005"/>
    <n v="45.190924676250006"/>
    <n v="462.70571340870316"/>
    <n v="308.47047560580211"/>
  </r>
  <r>
    <s v="01/09/2026"/>
    <s v="M"/>
    <s v="[1062] RAMGADH"/>
    <s v="[8403] MOHANIA"/>
    <x v="2"/>
    <x v="2"/>
    <x v="2"/>
    <s v="C"/>
    <n v="21"/>
    <n v="4.7"/>
    <n v="8.4"/>
    <n v="0.98699999999999999"/>
    <n v="1.764"/>
    <n v="42.95216760000001"/>
    <n v="901.99551960000019"/>
    <n v="417.01133592233015"/>
    <n v="278.00755728155343"/>
    <n v="15.784921593000005"/>
    <n v="78.75"/>
    <n v="996.53044119300023"/>
    <n v="47.453830533000009"/>
    <n v="460.71680129126219"/>
    <n v="307.14453419417481"/>
  </r>
  <r>
    <s v="01/09/2026"/>
    <s v="E"/>
    <s v="[1062] RAMGADH"/>
    <s v="[8403] MOHANIA"/>
    <x v="2"/>
    <x v="2"/>
    <x v="2"/>
    <s v="C"/>
    <n v="11"/>
    <n v="4.2"/>
    <n v="8.4"/>
    <n v="0.46200000000000002"/>
    <n v="0.92400000000000004"/>
    <n v="40.867167600000002"/>
    <n v="449.53884360000001"/>
    <n v="417.01191428571428"/>
    <n v="278.00794285714284"/>
    <n v="7.8669297630000008"/>
    <n v="41.25"/>
    <n v="498.65577336299998"/>
    <n v="45.332343033000001"/>
    <n v="462.57492890816326"/>
    <n v="308.38328593877549"/>
  </r>
  <r>
    <s v="02/09/2026"/>
    <s v="M"/>
    <s v="[1062] RAMGADH"/>
    <s v="[8403] MOHANIA"/>
    <x v="2"/>
    <x v="2"/>
    <x v="2"/>
    <s v="C"/>
    <n v="33"/>
    <n v="5"/>
    <n v="8.5"/>
    <n v="1.65"/>
    <n v="2.8050000000000002"/>
    <n v="44.481181500000005"/>
    <n v="1467.8789895000002"/>
    <n v="417.01107656250002"/>
    <n v="278.00738437500002"/>
    <n v="25.687882316250008"/>
    <n v="123.75"/>
    <n v="1617.3168718162501"/>
    <n v="49.009602176250006"/>
    <n v="459.46502040234378"/>
    <n v="306.3100136015625"/>
  </r>
  <r>
    <s v="02/09/2026"/>
    <s v="E"/>
    <s v="[1062] RAMGADH"/>
    <s v="[8403] MOHANIA"/>
    <x v="2"/>
    <x v="2"/>
    <x v="2"/>
    <s v="C"/>
    <n v="7"/>
    <n v="4.0999999999999996"/>
    <n v="8.5"/>
    <n v="0.28699999999999998"/>
    <n v="0.59499999999999997"/>
    <n v="40.728181500000005"/>
    <n v="285.09727050000004"/>
    <n v="417.01209726962463"/>
    <n v="278.0080648464164"/>
    <n v="4.9892022337500013"/>
    <n v="26.25"/>
    <n v="316.33647273375004"/>
    <n v="45.190924676250006"/>
    <n v="462.70571340870316"/>
    <n v="308.47047560580211"/>
  </r>
  <r>
    <s v="03/09/2026"/>
    <s v="M"/>
    <s v="[1062] RAMGADH"/>
    <s v="[8403] MOHANIA"/>
    <x v="2"/>
    <x v="2"/>
    <x v="2"/>
    <s v="C"/>
    <n v="31"/>
    <n v="4.4000000000000004"/>
    <n v="8.4"/>
    <n v="1.3640000000000001"/>
    <n v="2.6040000000000005"/>
    <n v="41.701167600000005"/>
    <n v="1292.7361956000002"/>
    <n v="417.01167600000002"/>
    <n v="278.00778400000002"/>
    <n v="22.622883423000005"/>
    <n v="116.25"/>
    <n v="1431.6090790230003"/>
    <n v="46.180938033000011"/>
    <n v="461.80938033000007"/>
    <n v="307.87292022000003"/>
  </r>
  <r>
    <s v="03/09/2026"/>
    <s v="E"/>
    <s v="[1062] RAMGADH"/>
    <s v="[8403] MOHANIA"/>
    <x v="2"/>
    <x v="2"/>
    <x v="2"/>
    <s v="C"/>
    <n v="11"/>
    <n v="3.9"/>
    <n v="8.5"/>
    <n v="0.42899999999999999"/>
    <n v="0.93500000000000005"/>
    <n v="39.894181500000002"/>
    <n v="438.83599650000002"/>
    <n v="417.01235017421601"/>
    <n v="278.00823344947736"/>
    <n v="7.6796299387500015"/>
    <n v="41.25"/>
    <n v="487.76562643875002"/>
    <n v="44.342329676250003"/>
    <n v="463.50867257404178"/>
    <n v="309.00578171602785"/>
  </r>
  <r>
    <s v="28/08/2026"/>
    <s v="M"/>
    <s v="[1062] RAMGADH"/>
    <s v="[8403] MOHANIA"/>
    <x v="3"/>
    <x v="3"/>
    <x v="3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28/08/2026"/>
    <s v="E"/>
    <s v="[1062] RAMGADH"/>
    <s v="[8403] MOHANIA"/>
    <x v="3"/>
    <x v="3"/>
    <x v="3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29/08/2026"/>
    <s v="M"/>
    <s v="[1062] RAMGADH"/>
    <s v="[8403] MOHANIA"/>
    <x v="3"/>
    <x v="3"/>
    <x v="3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29/08/2026"/>
    <s v="E"/>
    <s v="[1062] RAMGADH"/>
    <s v="[8403] MOHANIA"/>
    <x v="3"/>
    <x v="3"/>
    <x v="3"/>
    <s v="C"/>
    <n v="17"/>
    <n v="4.5"/>
    <n v="8.5"/>
    <n v="0.76500000000000001"/>
    <n v="1.4450000000000001"/>
    <n v="42.396181500000004"/>
    <n v="720.73508550000008"/>
    <n v="417.01162131147544"/>
    <n v="278.00774754098364"/>
    <n v="12.612863996250002"/>
    <n v="63.75"/>
    <n v="797.09794949625007"/>
    <n v="46.888114676250005"/>
    <n v="461.19457058606559"/>
    <n v="307.46304705737708"/>
  </r>
  <r>
    <s v="30/08/2026"/>
    <s v="M"/>
    <s v="[1062] RAMGADH"/>
    <s v="[8403] MOHANIA"/>
    <x v="3"/>
    <x v="3"/>
    <x v="3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30/08/2026"/>
    <s v="E"/>
    <s v="[1062] RAMGADH"/>
    <s v="[8403] MOHANIA"/>
    <x v="3"/>
    <x v="3"/>
    <x v="3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31/08/2026"/>
    <s v="M"/>
    <s v="[1062] RAMGADH"/>
    <s v="[8403] MOHANIA"/>
    <x v="3"/>
    <x v="3"/>
    <x v="3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31/08/2026"/>
    <s v="E"/>
    <s v="[1062] RAMGADH"/>
    <s v="[8403] MOHANIA"/>
    <x v="3"/>
    <x v="3"/>
    <x v="3"/>
    <s v="C"/>
    <n v="20"/>
    <n v="4.5999999999999996"/>
    <n v="8.5"/>
    <n v="0.92"/>
    <n v="1.7"/>
    <n v="42.813181499999999"/>
    <n v="856.26362999999992"/>
    <n v="417.01150811688308"/>
    <n v="278.00767207792205"/>
    <n v="14.984613525"/>
    <n v="75"/>
    <n v="946.24824352499991"/>
    <n v="47.312412176249993"/>
    <n v="460.83518353490251"/>
    <n v="307.22345568993501"/>
  </r>
  <r>
    <s v="01/09/2026"/>
    <s v="M"/>
    <s v="[1062] RAMGADH"/>
    <s v="[8403] MOHANIA"/>
    <x v="3"/>
    <x v="3"/>
    <x v="3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01/09/2026"/>
    <s v="E"/>
    <s v="[1062] RAMGADH"/>
    <s v="[8403] MOHANIA"/>
    <x v="3"/>
    <x v="3"/>
    <x v="3"/>
    <s v="B"/>
    <n v="15"/>
    <n v="5.6"/>
    <n v="9"/>
    <n v="0.84"/>
    <n v="1.35"/>
    <n v="46.76"/>
    <n v="701.4"/>
    <n v="403.10344827586209"/>
    <n v="268.73563218390808"/>
    <n v="12.274500000000002"/>
    <n v="56.25"/>
    <n v="769.92449999999997"/>
    <n v="51.328299999999999"/>
    <n v="442.48534482758623"/>
    <n v="294.99022988505749"/>
  </r>
  <r>
    <s v="02/09/2026"/>
    <s v="M"/>
    <s v="[1062] RAMGADH"/>
    <s v="[8403] MOHANIA"/>
    <x v="3"/>
    <x v="3"/>
    <x v="3"/>
    <s v="C"/>
    <n v="18"/>
    <n v="4.8"/>
    <n v="8.5"/>
    <n v="0.86399999999999988"/>
    <n v="1.53"/>
    <n v="43.647181500000002"/>
    <n v="785.64926700000001"/>
    <n v="417.0112882165605"/>
    <n v="278.00752547770702"/>
    <n v="13.748862172500001"/>
    <n v="67.5"/>
    <n v="866.89812917250003"/>
    <n v="48.161007176250003"/>
    <n v="460.13701123805731"/>
    <n v="306.75800749203819"/>
  </r>
  <r>
    <s v="02/09/2026"/>
    <s v="E"/>
    <s v="[1062] RAMGADH"/>
    <s v="[8403] MOHANIA"/>
    <x v="3"/>
    <x v="3"/>
    <x v="3"/>
    <s v="B"/>
    <n v="20"/>
    <n v="5.5"/>
    <n v="8.6"/>
    <n v="1.1000000000000001"/>
    <n v="1.72"/>
    <n v="46.566181499999999"/>
    <n v="931.32362999999998"/>
    <n v="414.53574035608312"/>
    <n v="276.35716023738877"/>
    <n v="16.298163525"/>
    <n v="75"/>
    <n v="1022.6217935249999"/>
    <n v="51.131089676249999"/>
    <n v="455.17290512982197"/>
    <n v="303.44860341988129"/>
  </r>
  <r>
    <s v="03/09/2026"/>
    <s v="M"/>
    <s v="[1062] RAMGADH"/>
    <s v="[8403] MOHANIA"/>
    <x v="3"/>
    <x v="3"/>
    <x v="3"/>
    <s v="B"/>
    <n v="15"/>
    <n v="5.5"/>
    <n v="8.6"/>
    <n v="0.82499999999999996"/>
    <n v="1.29"/>
    <n v="46.566181499999999"/>
    <n v="698.49272250000001"/>
    <n v="414.53574035608312"/>
    <n v="276.35716023738877"/>
    <n v="12.223622643750002"/>
    <n v="56.25"/>
    <n v="766.96634514375"/>
    <n v="51.131089676249999"/>
    <n v="455.17290512982197"/>
    <n v="303.44860341988129"/>
  </r>
  <r>
    <s v="03/09/2026"/>
    <s v="E"/>
    <s v="[1062] RAMGADH"/>
    <s v="[8403] MOHANIA"/>
    <x v="3"/>
    <x v="3"/>
    <x v="3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28/08/2026"/>
    <s v="M"/>
    <s v="[1062] RAMGADH"/>
    <s v="[8403] MOHANIA"/>
    <x v="4"/>
    <x v="4"/>
    <x v="4"/>
    <s v="C"/>
    <n v="4"/>
    <n v="4.4000000000000004"/>
    <n v="8.5"/>
    <n v="0.17600000000000002"/>
    <n v="0.34"/>
    <n v="41.97918150000001"/>
    <n v="167.91672600000004"/>
    <n v="417.01173675496693"/>
    <n v="278.00782450331127"/>
    <n v="2.938542705000001"/>
    <n v="15"/>
    <n v="185.85526870500004"/>
    <n v="46.463817176250011"/>
    <n v="461.56109777731791"/>
    <n v="307.70739851821196"/>
  </r>
  <r>
    <s v="28/08/2026"/>
    <s v="E"/>
    <s v="[1062] RAMGADH"/>
    <s v="[8403] MOHANIA"/>
    <x v="4"/>
    <x v="4"/>
    <x v="4"/>
    <s v="C"/>
    <n v="4"/>
    <n v="3.8"/>
    <n v="8.3000000000000007"/>
    <n v="0.152"/>
    <n v="0.33200000000000002"/>
    <n v="38.921153700000005"/>
    <n v="155.68461480000002"/>
    <n v="417.01236107142859"/>
    <n v="278.00824071428571"/>
    <n v="2.7244807590000004"/>
    <n v="15"/>
    <n v="173.40909555900004"/>
    <n v="43.352273889750009"/>
    <n v="464.48864881875005"/>
    <n v="309.65909921250005"/>
  </r>
  <r>
    <s v="29/08/2026"/>
    <s v="M"/>
    <s v="[1062] RAMGADH"/>
    <s v="[8403] MOHANIA"/>
    <x v="4"/>
    <x v="4"/>
    <x v="4"/>
    <s v="C"/>
    <n v="8"/>
    <n v="3.5"/>
    <n v="8.5"/>
    <n v="0.28000000000000003"/>
    <n v="0.68"/>
    <n v="38.226181500000003"/>
    <n v="305.80945200000002"/>
    <n v="417.01288909090908"/>
    <n v="278.00859272727274"/>
    <n v="5.3516654100000007"/>
    <n v="30"/>
    <n v="341.16111741000003"/>
    <n v="42.645139676250004"/>
    <n v="465.21970555909093"/>
    <n v="310.14647037272726"/>
  </r>
  <r>
    <s v="29/08/2026"/>
    <s v="E"/>
    <s v="[1062] RAMGADH"/>
    <s v="[8403] MOHANIA"/>
    <x v="4"/>
    <x v="4"/>
    <x v="4"/>
    <s v="C"/>
    <n v="4"/>
    <n v="3.5"/>
    <n v="8.5"/>
    <n v="0.14000000000000001"/>
    <n v="0.34"/>
    <n v="38.226181500000003"/>
    <n v="152.90472600000001"/>
    <n v="417.01288909090908"/>
    <n v="278.00859272727274"/>
    <n v="2.6758327050000004"/>
    <n v="15"/>
    <n v="170.58055870500002"/>
    <n v="42.645139676250004"/>
    <n v="465.21970555909093"/>
    <n v="310.14647037272726"/>
  </r>
  <r>
    <s v="30/08/2026"/>
    <s v="M"/>
    <s v="[1062] RAMGADH"/>
    <s v="[8403] MOHANIA"/>
    <x v="4"/>
    <x v="4"/>
    <x v="4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30/08/2026"/>
    <s v="E"/>
    <s v="[1062] RAMGADH"/>
    <s v="[8403] MOHANIA"/>
    <x v="4"/>
    <x v="4"/>
    <x v="4"/>
    <s v="C"/>
    <n v="4"/>
    <n v="4.4000000000000004"/>
    <n v="8.5"/>
    <n v="0.17600000000000002"/>
    <n v="0.34"/>
    <n v="41.97918150000001"/>
    <n v="167.91672600000004"/>
    <n v="417.01173675496693"/>
    <n v="278.00782450331127"/>
    <n v="2.938542705000001"/>
    <n v="15"/>
    <n v="185.85526870500004"/>
    <n v="46.463817176250011"/>
    <n v="461.56109777731791"/>
    <n v="307.70739851821196"/>
  </r>
  <r>
    <s v="31/08/2026"/>
    <s v="M"/>
    <s v="[1062] RAMGADH"/>
    <s v="[8403] MOHANIA"/>
    <x v="4"/>
    <x v="4"/>
    <x v="4"/>
    <s v="C"/>
    <n v="7"/>
    <n v="3.8"/>
    <n v="8.4"/>
    <n v="0.26599999999999996"/>
    <n v="0.58800000000000008"/>
    <n v="39.19916760000001"/>
    <n v="274.39417320000007"/>
    <n v="417.01242127659583"/>
    <n v="278.00828085106389"/>
    <n v="4.8018980310000012"/>
    <n v="26.25"/>
    <n v="305.44607123100008"/>
    <n v="43.635153033000009"/>
    <n v="464.20375567021284"/>
    <n v="309.46917044680856"/>
  </r>
  <r>
    <s v="31/08/2026"/>
    <s v="E"/>
    <s v="[1062] RAMGADH"/>
    <s v="[8403] MOHANIA"/>
    <x v="4"/>
    <x v="4"/>
    <x v="4"/>
    <s v="C"/>
    <n v="3"/>
    <n v="4.3"/>
    <n v="8.5"/>
    <n v="0.12899999999999998"/>
    <n v="0.255"/>
    <n v="41.562181500000001"/>
    <n v="124.6865445"/>
    <n v="417.01185451505017"/>
    <n v="278.00790301003343"/>
    <n v="2.1820145287500003"/>
    <n v="11.25"/>
    <n v="138.11855902874998"/>
    <n v="46.039519676249995"/>
    <n v="461.93498002926418"/>
    <n v="307.95665335284281"/>
  </r>
  <r>
    <s v="01/09/2026"/>
    <s v="M"/>
    <s v="[1062] RAMGADH"/>
    <s v="[8403] MOHANIA"/>
    <x v="4"/>
    <x v="4"/>
    <x v="4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01/09/2026"/>
    <s v="E"/>
    <s v="[1062] RAMGADH"/>
    <s v="[8403] MOHANIA"/>
    <x v="4"/>
    <x v="4"/>
    <x v="4"/>
    <s v="C"/>
    <n v="3"/>
    <n v="4.4000000000000004"/>
    <n v="8.5"/>
    <n v="0.13200000000000001"/>
    <n v="0.255"/>
    <n v="41.97918150000001"/>
    <n v="125.93754450000003"/>
    <n v="417.01173675496693"/>
    <n v="278.00782450331127"/>
    <n v="2.2039070287500007"/>
    <n v="11.25"/>
    <n v="139.39145152875003"/>
    <n v="46.463817176250011"/>
    <n v="461.56109777731791"/>
    <n v="307.70739851821196"/>
  </r>
  <r>
    <s v="02/09/2026"/>
    <s v="M"/>
    <s v="[1062] RAMGADH"/>
    <s v="[8403] MOHANIA"/>
    <x v="4"/>
    <x v="4"/>
    <x v="4"/>
    <s v="C"/>
    <n v="8"/>
    <n v="3.3"/>
    <n v="8.4"/>
    <n v="0.26400000000000001"/>
    <n v="0.67200000000000004"/>
    <n v="37.114167600000009"/>
    <n v="296.91334080000007"/>
    <n v="417.01311910112372"/>
    <n v="278.00874606741581"/>
    <n v="5.195983464000002"/>
    <n v="30"/>
    <n v="332.10932426400007"/>
    <n v="41.513665533000008"/>
    <n v="466.4456801460675"/>
    <n v="310.96378676404498"/>
  </r>
  <r>
    <s v="02/09/2026"/>
    <s v="E"/>
    <s v="[1062] RAMGADH"/>
    <s v="[8403] MOHANIA"/>
    <x v="4"/>
    <x v="4"/>
    <x v="4"/>
    <s v="C"/>
    <n v="3"/>
    <n v="3.9"/>
    <n v="8.5"/>
    <n v="0.11699999999999999"/>
    <n v="0.255"/>
    <n v="39.894181500000002"/>
    <n v="119.68254450000001"/>
    <n v="417.01235017421601"/>
    <n v="278.00823344947736"/>
    <n v="2.0944445287500004"/>
    <n v="11.25"/>
    <n v="133.02698902874999"/>
    <n v="44.342329676249996"/>
    <n v="463.50867257404173"/>
    <n v="309.0057817160278"/>
  </r>
  <r>
    <s v="03/09/2026"/>
    <s v="M"/>
    <s v="[1062] RAMGADH"/>
    <s v="[8403] MOHANIA"/>
    <x v="4"/>
    <x v="4"/>
    <x v="4"/>
    <s v="C"/>
    <n v="9"/>
    <n v="3.2"/>
    <n v="8.3000000000000007"/>
    <n v="0.28800000000000003"/>
    <n v="0.747"/>
    <n v="36.419153700000003"/>
    <n v="327.7723833"/>
    <n v="417.01321030534348"/>
    <n v="278.00880687022897"/>
    <n v="5.7360167077500002"/>
    <n v="33.75"/>
    <n v="367.25840000774997"/>
    <n v="40.80648888975"/>
    <n v="467.24987278339688"/>
    <n v="311.49991518893125"/>
  </r>
  <r>
    <s v="03/09/2026"/>
    <s v="E"/>
    <s v="[1062] RAMGADH"/>
    <s v="[8403] MOHANIA"/>
    <x v="4"/>
    <x v="4"/>
    <x v="4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29/08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29/08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30/08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30/08/2026"/>
    <s v="E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31/08/2026"/>
    <s v="M"/>
    <s v="[1062] RAMGADH"/>
    <s v="[8404] CHANDESH"/>
    <x v="5"/>
    <x v="5"/>
    <x v="5"/>
    <s v="C"/>
    <n v="1200"/>
    <n v="5"/>
    <n v="8.5"/>
    <n v="60"/>
    <n v="102"/>
    <n v="44.481181500000005"/>
    <n v="53377.417800000003"/>
    <n v="417.01107656250002"/>
    <n v="278.00738437500002"/>
    <n v="934.1048115000001"/>
    <n v="4500"/>
    <n v="58811.522611500004"/>
    <n v="49.009602176250006"/>
    <n v="459.46502040234378"/>
    <n v="306.3100136015625"/>
  </r>
  <r>
    <s v="31/08/2026"/>
    <s v="E"/>
    <s v="[1062] RAMGADH"/>
    <s v="[8404] CHANDESH"/>
    <x v="5"/>
    <x v="5"/>
    <x v="5"/>
    <s v="C"/>
    <n v="1450"/>
    <n v="5"/>
    <n v="8.5"/>
    <n v="72.5"/>
    <n v="123.25"/>
    <n v="44.481181500000005"/>
    <n v="64497.713175000004"/>
    <n v="417.01107656250002"/>
    <n v="278.00738437500002"/>
    <n v="1128.7099805625003"/>
    <n v="5437.5"/>
    <n v="71063.923155562501"/>
    <n v="49.009602176249999"/>
    <n v="459.46502040234373"/>
    <n v="306.3100136015625"/>
  </r>
  <r>
    <s v="02/09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02/09/2026"/>
    <s v="E"/>
    <s v="[1062] RAMGADH"/>
    <s v="[8404] CHANDESH"/>
    <x v="5"/>
    <x v="5"/>
    <x v="5"/>
    <s v="C"/>
    <n v="1580"/>
    <n v="5"/>
    <n v="8.5"/>
    <n v="79"/>
    <n v="134.30000000000001"/>
    <n v="44.481181500000005"/>
    <n v="70280.266770000002"/>
    <n v="417.01107656250002"/>
    <n v="278.00738437500002"/>
    <n v="1229.9046684750001"/>
    <n v="5925"/>
    <n v="77435.171438475008"/>
    <n v="49.009602176250006"/>
    <n v="459.46502040234378"/>
    <n v="306.3100136015625"/>
  </r>
  <r>
    <s v="03/09/2026"/>
    <s v="M"/>
    <s v="[1062] RAMGADH"/>
    <s v="[8404] CHANDESH"/>
    <x v="5"/>
    <x v="5"/>
    <x v="5"/>
    <s v="C"/>
    <n v="1200"/>
    <n v="5"/>
    <n v="8.5"/>
    <n v="60"/>
    <n v="102"/>
    <n v="44.481181500000005"/>
    <n v="53377.417800000003"/>
    <n v="417.01107656250002"/>
    <n v="278.00738437500002"/>
    <n v="934.1048115000001"/>
    <n v="4500"/>
    <n v="58811.522611500004"/>
    <n v="49.009602176250006"/>
    <n v="459.46502040234378"/>
    <n v="306.3100136015625"/>
  </r>
  <r>
    <s v="03/09/2026"/>
    <s v="E"/>
    <s v="[1062] RAMGADH"/>
    <s v="[8404] CHANDESH"/>
    <x v="5"/>
    <x v="5"/>
    <x v="5"/>
    <s v="C"/>
    <n v="3580"/>
    <n v="5"/>
    <n v="8.5"/>
    <n v="179"/>
    <n v="304.3"/>
    <n v="44.481181500000005"/>
    <n v="159242.62977000003"/>
    <n v="417.01107656250002"/>
    <n v="278.00738437500002"/>
    <n v="2786.7460209750006"/>
    <n v="13425"/>
    <n v="175454.37579097503"/>
    <n v="49.009602176250006"/>
    <n v="459.46502040234378"/>
    <n v="306.3100136015625"/>
  </r>
  <r>
    <s v="03/09/2026"/>
    <s v="E"/>
    <s v="[1062] RAMGADH"/>
    <s v="[8405] RAMGADH"/>
    <x v="6"/>
    <x v="6"/>
    <x v="6"/>
    <s v="C"/>
    <n v="300"/>
    <n v="5"/>
    <n v="8.5"/>
    <n v="15"/>
    <n v="25.5"/>
    <n v="44.481181500000005"/>
    <n v="13344.354450000001"/>
    <n v="417.01107656250002"/>
    <n v="278.00738437500002"/>
    <n v="233.52620287500002"/>
    <n v="1125"/>
    <n v="14702.880652875001"/>
    <n v="49.009602176250006"/>
    <n v="459.46502040234378"/>
    <n v="306.3100136015625"/>
  </r>
  <r>
    <s v="28/08/2026"/>
    <s v="M"/>
    <s v="[1062] RAMGADH"/>
    <s v="[8405] RAMGADH"/>
    <x v="7"/>
    <x v="7"/>
    <x v="7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28/08/2026"/>
    <s v="E"/>
    <s v="[1062] RAMGADH"/>
    <s v="[8405] RAMGADH"/>
    <x v="7"/>
    <x v="7"/>
    <x v="7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29/08/2026"/>
    <s v="M"/>
    <s v="[1062] RAMGADH"/>
    <s v="[8405] RAMGADH"/>
    <x v="7"/>
    <x v="7"/>
    <x v="7"/>
    <s v="C"/>
    <n v="12"/>
    <n v="4.5999999999999996"/>
    <n v="8.3000000000000007"/>
    <n v="0.55199999999999994"/>
    <n v="0.99600000000000011"/>
    <n v="42.257153700000003"/>
    <n v="507.08584440000004"/>
    <n v="417.01138519736844"/>
    <n v="278.00759013157898"/>
    <n v="8.8740022770000024"/>
    <n v="45"/>
    <n v="560.95984667700009"/>
    <n v="46.746653889750007"/>
    <n v="461.31566338569087"/>
    <n v="307.5437755904606"/>
  </r>
  <r>
    <s v="29/08/2026"/>
    <s v="E"/>
    <s v="[1062] RAMGADH"/>
    <s v="[8405] RAMGADH"/>
    <x v="7"/>
    <x v="7"/>
    <x v="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30/08/2026"/>
    <s v="M"/>
    <s v="[1062] RAMGADH"/>
    <s v="[8405] RAMGADH"/>
    <x v="7"/>
    <x v="7"/>
    <x v="7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30/08/2026"/>
    <s v="E"/>
    <s v="[1062] RAMGADH"/>
    <s v="[8405] RAMGADH"/>
    <x v="7"/>
    <x v="7"/>
    <x v="7"/>
    <s v="C"/>
    <n v="7"/>
    <n v="3.7"/>
    <n v="8.3000000000000007"/>
    <n v="0.25900000000000001"/>
    <n v="0.58100000000000007"/>
    <n v="38.504153700000003"/>
    <n v="269.52907590000001"/>
    <n v="417.01249494584835"/>
    <n v="278.00832996389892"/>
    <n v="4.7167588282500006"/>
    <n v="26.25"/>
    <n v="300.49583472825003"/>
    <n v="42.927976389750008"/>
    <n v="464.92393201895305"/>
    <n v="309.94928801263535"/>
  </r>
  <r>
    <s v="31/08/2026"/>
    <s v="M"/>
    <s v="[1062] RAMGADH"/>
    <s v="[8405] RAMGADH"/>
    <x v="7"/>
    <x v="7"/>
    <x v="7"/>
    <s v="C"/>
    <n v="10"/>
    <n v="4.4000000000000004"/>
    <n v="8.1999999999999993"/>
    <n v="0.44"/>
    <n v="0.82"/>
    <n v="41.145139800000003"/>
    <n v="411.45139800000004"/>
    <n v="417.01155202702705"/>
    <n v="278.00770135135139"/>
    <n v="7.2003994650000012"/>
    <n v="37.5"/>
    <n v="456.15179746500007"/>
    <n v="45.615179746500004"/>
    <n v="462.31601094425679"/>
    <n v="308.21067396283786"/>
  </r>
  <r>
    <s v="31/08/2026"/>
    <s v="E"/>
    <s v="[1062] RAMGADH"/>
    <s v="[8405] RAMGADH"/>
    <x v="7"/>
    <x v="7"/>
    <x v="7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01/09/2026"/>
    <s v="M"/>
    <s v="[1062] RAMGADH"/>
    <s v="[8405] RAMGADH"/>
    <x v="7"/>
    <x v="7"/>
    <x v="7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01/09/2026"/>
    <s v="E"/>
    <s v="[1062] RAMGADH"/>
    <s v="[8405] RAMGADH"/>
    <x v="7"/>
    <x v="7"/>
    <x v="7"/>
    <s v="C"/>
    <n v="6"/>
    <n v="3.3"/>
    <n v="8.1"/>
    <n v="0.19799999999999998"/>
    <n v="0.48599999999999993"/>
    <n v="36.280125900000002"/>
    <n v="217.68075540000001"/>
    <n v="417.0129413793104"/>
    <n v="278.00862758620696"/>
    <n v="3.8094132195000006"/>
    <n v="22.5"/>
    <n v="243.99016861950003"/>
    <n v="40.665028103250002"/>
    <n v="467.4141161293104"/>
    <n v="311.6094107528736"/>
  </r>
  <r>
    <s v="02/09/2026"/>
    <s v="M"/>
    <s v="[1062] RAMGADH"/>
    <s v="[8405] RAMGADH"/>
    <x v="7"/>
    <x v="7"/>
    <x v="7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02/09/2026"/>
    <s v="E"/>
    <s v="[1062] RAMGADH"/>
    <s v="[8405] RAMGADH"/>
    <x v="7"/>
    <x v="7"/>
    <x v="7"/>
    <s v="C"/>
    <n v="8"/>
    <n v="3.2"/>
    <n v="8.1"/>
    <n v="0.25600000000000001"/>
    <n v="0.64800000000000002"/>
    <n v="35.8631259"/>
    <n v="286.9050072"/>
    <n v="417.01309186046512"/>
    <n v="278.00872790697673"/>
    <n v="5.0208376260000005"/>
    <n v="30"/>
    <n v="321.925844826"/>
    <n v="40.24073060325"/>
    <n v="467.91547213081401"/>
    <n v="311.94364808720934"/>
  </r>
  <r>
    <s v="03/09/2026"/>
    <s v="M"/>
    <s v="[1062] RAMGADH"/>
    <s v="[8405] RAMGADH"/>
    <x v="7"/>
    <x v="7"/>
    <x v="7"/>
    <s v="C"/>
    <n v="12"/>
    <n v="4.5"/>
    <n v="8.3000000000000007"/>
    <n v="0.54"/>
    <n v="0.99600000000000011"/>
    <n v="41.840153700000002"/>
    <n v="502.08184440000002"/>
    <n v="417.01149867109638"/>
    <n v="278.00766578073092"/>
    <n v="8.7864322770000012"/>
    <n v="45"/>
    <n v="555.86827667700004"/>
    <n v="46.322356389750006"/>
    <n v="461.68461518023264"/>
    <n v="307.78974345348843"/>
  </r>
  <r>
    <s v="03/09/2026"/>
    <s v="E"/>
    <s v="[1062] RAMGADH"/>
    <s v="[8405] RAMGADH"/>
    <x v="7"/>
    <x v="7"/>
    <x v="7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28/08/2026"/>
    <s v="M"/>
    <s v="[1062] RAMGADH"/>
    <s v="[8403] MOHANIA"/>
    <x v="8"/>
    <x v="8"/>
    <x v="8"/>
    <s v="C"/>
    <n v="16"/>
    <n v="3.8"/>
    <n v="8.4"/>
    <n v="0.60799999999999998"/>
    <n v="1.3440000000000001"/>
    <n v="39.19916760000001"/>
    <n v="627.18668160000016"/>
    <n v="417.01242127659583"/>
    <n v="278.00828085106389"/>
    <n v="10.975766928000004"/>
    <n v="60"/>
    <n v="698.16244852800014"/>
    <n v="43.635153033000009"/>
    <n v="464.20375567021284"/>
    <n v="309.46917044680856"/>
  </r>
  <r>
    <s v="28/08/2026"/>
    <s v="E"/>
    <s v="[1062] RAMGADH"/>
    <s v="[8403] MOHANIA"/>
    <x v="8"/>
    <x v="8"/>
    <x v="8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29/08/2026"/>
    <s v="M"/>
    <s v="[1062] RAMGADH"/>
    <s v="[8403] MOHANIA"/>
    <x v="8"/>
    <x v="8"/>
    <x v="8"/>
    <s v="C"/>
    <n v="34"/>
    <n v="4.0999999999999996"/>
    <n v="8.3000000000000007"/>
    <n v="1.3939999999999997"/>
    <n v="2.8220000000000005"/>
    <n v="40.172153700000003"/>
    <n v="1365.8532258"/>
    <n v="417.01197612456752"/>
    <n v="278.00798408304502"/>
    <n v="23.902431451500004"/>
    <n v="127.5"/>
    <n v="1517.2556572515"/>
    <n v="44.625166389749999"/>
    <n v="463.23702134688585"/>
    <n v="308.82468089792388"/>
  </r>
  <r>
    <s v="29/08/2026"/>
    <s v="E"/>
    <s v="[1062] RAMGADH"/>
    <s v="[8403] MOHANIA"/>
    <x v="8"/>
    <x v="8"/>
    <x v="8"/>
    <s v="C"/>
    <n v="29"/>
    <n v="3.9"/>
    <n v="8.3000000000000007"/>
    <n v="1.131"/>
    <n v="2.407"/>
    <n v="39.338153700000007"/>
    <n v="1140.8064573000001"/>
    <n v="417.01223003533573"/>
    <n v="278.00815335689049"/>
    <n v="19.964113002750004"/>
    <n v="108.75"/>
    <n v="1269.5205703027502"/>
    <n v="43.776571389750011"/>
    <n v="464.0625942376326"/>
    <n v="309.37506282508838"/>
  </r>
  <r>
    <s v="30/08/2026"/>
    <s v="M"/>
    <s v="[1062] RAMGADH"/>
    <s v="[8403] MOHANIA"/>
    <x v="8"/>
    <x v="8"/>
    <x v="8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30/08/2026"/>
    <s v="E"/>
    <s v="[1062] RAMGADH"/>
    <s v="[8403] MOHANIA"/>
    <x v="8"/>
    <x v="8"/>
    <x v="8"/>
    <s v="C"/>
    <n v="26"/>
    <n v="4"/>
    <n v="8.1999999999999993"/>
    <n v="1.04"/>
    <n v="2.1319999999999997"/>
    <n v="39.477139800000003"/>
    <n v="1026.4056348000001"/>
    <n v="417.0120401408451"/>
    <n v="278.00802676056338"/>
    <n v="17.962098609000005"/>
    <n v="97.5"/>
    <n v="1141.8677334090003"/>
    <n v="43.917989746500012"/>
    <n v="463.92242689964803"/>
    <n v="309.28161793309869"/>
  </r>
  <r>
    <s v="31/08/2026"/>
    <s v="M"/>
    <s v="[1062] RAMGADH"/>
    <s v="[8403] MOHANIA"/>
    <x v="8"/>
    <x v="8"/>
    <x v="8"/>
    <s v="C"/>
    <n v="34"/>
    <n v="4"/>
    <n v="8.4"/>
    <n v="1.36"/>
    <n v="2.8560000000000003"/>
    <n v="40.033167600000006"/>
    <n v="1361.1276984000001"/>
    <n v="417.01216250000004"/>
    <n v="278.00810833333338"/>
    <n v="23.819734722000003"/>
    <n v="127.5"/>
    <n v="1512.4474331220001"/>
    <n v="44.483748033000005"/>
    <n v="463.37237534375004"/>
    <n v="308.91491689583336"/>
  </r>
  <r>
    <s v="31/08/2026"/>
    <s v="E"/>
    <s v="[1062] RAMGADH"/>
    <s v="[8403] MOHANIA"/>
    <x v="8"/>
    <x v="8"/>
    <x v="8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01/09/2026"/>
    <s v="M"/>
    <s v="[1062] RAMGADH"/>
    <s v="[8403] MOHANIA"/>
    <x v="8"/>
    <x v="8"/>
    <x v="8"/>
    <s v="C"/>
    <n v="34"/>
    <n v="4.5"/>
    <n v="8.5"/>
    <n v="1.53"/>
    <n v="2.89"/>
    <n v="42.396181500000004"/>
    <n v="1441.4701710000002"/>
    <n v="417.01162131147544"/>
    <n v="278.00774754098364"/>
    <n v="25.225727992500005"/>
    <n v="127.5"/>
    <n v="1594.1958989925001"/>
    <n v="46.888114676250005"/>
    <n v="461.19457058606559"/>
    <n v="307.46304705737708"/>
  </r>
  <r>
    <s v="01/09/2026"/>
    <s v="E"/>
    <s v="[1062] RAMGADH"/>
    <s v="[8403] MOHANIA"/>
    <x v="8"/>
    <x v="8"/>
    <x v="8"/>
    <s v="C"/>
    <n v="23"/>
    <n v="4.3"/>
    <n v="8.3000000000000007"/>
    <n v="0.98899999999999988"/>
    <n v="1.909"/>
    <n v="41.006153699999999"/>
    <n v="943.14153509999994"/>
    <n v="417.0117325423729"/>
    <n v="278.00782169491526"/>
    <n v="16.504976864250001"/>
    <n v="86.25"/>
    <n v="1045.8965119642498"/>
    <n v="45.473761389749995"/>
    <n v="462.44503108220334"/>
    <n v="308.29668738813558"/>
  </r>
  <r>
    <s v="02/09/2026"/>
    <s v="M"/>
    <s v="[1062] RAMGADH"/>
    <s v="[8403] MOHANIA"/>
    <x v="8"/>
    <x v="8"/>
    <x v="8"/>
    <s v="C"/>
    <n v="35"/>
    <n v="4.0999999999999996"/>
    <n v="8.4"/>
    <n v="1.4350000000000001"/>
    <n v="2.94"/>
    <n v="40.4501676"/>
    <n v="1415.755866"/>
    <n v="417.01203711340207"/>
    <n v="278.00802474226805"/>
    <n v="24.775727655000001"/>
    <n v="131.25"/>
    <n v="1571.7815936550001"/>
    <n v="44.908045532999999"/>
    <n v="462.96954157731955"/>
    <n v="308.64636105154636"/>
  </r>
  <r>
    <s v="02/09/2026"/>
    <s v="E"/>
    <s v="[1062] RAMGADH"/>
    <s v="[8403] MOHANIA"/>
    <x v="8"/>
    <x v="8"/>
    <x v="8"/>
    <s v="C"/>
    <n v="22"/>
    <n v="3.9"/>
    <n v="8.3000000000000007"/>
    <n v="0.85799999999999998"/>
    <n v="1.8260000000000003"/>
    <n v="39.338153700000007"/>
    <n v="865.43938140000012"/>
    <n v="417.01223003533573"/>
    <n v="278.00815335689049"/>
    <n v="15.145189174500004"/>
    <n v="82.5"/>
    <n v="963.08457057450016"/>
    <n v="43.776571389750011"/>
    <n v="464.0625942376326"/>
    <n v="309.37506282508838"/>
  </r>
  <r>
    <s v="03/09/2026"/>
    <s v="M"/>
    <s v="[1062] RAMGADH"/>
    <s v="[8403] MOHANIA"/>
    <x v="8"/>
    <x v="8"/>
    <x v="8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03/09/2026"/>
    <s v="E"/>
    <s v="[1062] RAMGADH"/>
    <s v="[8403] MOHANIA"/>
    <x v="8"/>
    <x v="8"/>
    <x v="8"/>
    <s v="C"/>
    <n v="22"/>
    <n v="4.2"/>
    <n v="8.4"/>
    <n v="0.92400000000000004"/>
    <n v="1.8480000000000001"/>
    <n v="40.867167600000002"/>
    <n v="899.07768720000001"/>
    <n v="417.01191428571428"/>
    <n v="278.00794285714284"/>
    <n v="15.733859526000002"/>
    <n v="82.5"/>
    <n v="997.31154672599996"/>
    <n v="45.332343033000001"/>
    <n v="462.57492890816326"/>
    <n v="308.38328593877549"/>
  </r>
  <r>
    <s v="01/09/2026"/>
    <s v="M"/>
    <s v="[1062] RAMGADH"/>
    <s v="[8401] DURGAWATI"/>
    <x v="9"/>
    <x v="9"/>
    <x v="9"/>
    <s v="C"/>
    <n v="700"/>
    <n v="5"/>
    <n v="8.1999999999999993"/>
    <n v="35"/>
    <n v="57.399999999999991"/>
    <n v="43.647139800000005"/>
    <n v="30552.997860000003"/>
    <n v="417.01088980891728"/>
    <n v="278.00725987261154"/>
    <n v="534.67746255000009"/>
    <n v="2625"/>
    <n v="33712.67532255"/>
    <n v="48.160964746499999"/>
    <n v="460.13660585828029"/>
    <n v="306.75773723885351"/>
  </r>
  <r>
    <s v="01/09/2026"/>
    <s v="E"/>
    <s v="[1062] RAMGADH"/>
    <s v="[8401] DURGAWATI"/>
    <x v="9"/>
    <x v="9"/>
    <x v="9"/>
    <s v="C"/>
    <n v="700"/>
    <n v="5"/>
    <n v="8.1999999999999993"/>
    <n v="35"/>
    <n v="57.399999999999991"/>
    <n v="43.647139800000005"/>
    <n v="30552.997860000003"/>
    <n v="417.01088980891728"/>
    <n v="278.00725987261154"/>
    <n v="534.67746255000009"/>
    <n v="2625"/>
    <n v="33712.67532255"/>
    <n v="48.160964746499999"/>
    <n v="460.13660585828029"/>
    <n v="306.75773723885351"/>
  </r>
  <r>
    <s v="02/09/2026"/>
    <s v="M"/>
    <s v="[1062] RAMGADH"/>
    <s v="[8401] DURGAWATI"/>
    <x v="9"/>
    <x v="9"/>
    <x v="9"/>
    <s v="C"/>
    <n v="620"/>
    <n v="5"/>
    <n v="8.1999999999999993"/>
    <n v="31"/>
    <n v="50.84"/>
    <n v="43.647139800000005"/>
    <n v="27061.226676000002"/>
    <n v="417.01088980891728"/>
    <n v="278.00725987261154"/>
    <n v="473.57146683000008"/>
    <n v="2325"/>
    <n v="29859.798142830001"/>
    <n v="48.160964746499999"/>
    <n v="460.13660585828029"/>
    <n v="306.75773723885351"/>
  </r>
  <r>
    <s v="03/09/2026"/>
    <s v="E"/>
    <s v="[1062] RAMGADH"/>
    <s v="[8401] DURGAWATI"/>
    <x v="9"/>
    <x v="9"/>
    <x v="9"/>
    <s v="C"/>
    <n v="1230"/>
    <n v="5"/>
    <n v="8"/>
    <n v="61.5"/>
    <n v="98.4"/>
    <n v="43.09111200000001"/>
    <n v="53002.067760000013"/>
    <n v="417.01076129032271"/>
    <n v="278.00717419354845"/>
    <n v="927.53618580000034"/>
    <n v="4612.5"/>
    <n v="58542.103945800016"/>
    <n v="47.595206460000014"/>
    <n v="460.59877219354854"/>
    <n v="307.06584812903236"/>
  </r>
  <r>
    <s v="28/08/2026"/>
    <s v="E"/>
    <s v="[1062] RAMGADH"/>
    <s v="[8402] RAMPUR"/>
    <x v="10"/>
    <x v="10"/>
    <x v="10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9/08/2026"/>
    <s v="E"/>
    <s v="[1062] RAMGADH"/>
    <s v="[8402] RAMPUR"/>
    <x v="10"/>
    <x v="10"/>
    <x v="10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30/08/2026"/>
    <s v="E"/>
    <s v="[1062] RAMGADH"/>
    <s v="[8402] RAMPUR"/>
    <x v="10"/>
    <x v="10"/>
    <x v="10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31/08/2026"/>
    <s v="M"/>
    <s v="[1062] RAMGADH"/>
    <s v="[8402] RAMPUR"/>
    <x v="10"/>
    <x v="10"/>
    <x v="10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31/08/2026"/>
    <s v="E"/>
    <s v="[1062] RAMGADH"/>
    <s v="[8402] RAMPUR"/>
    <x v="10"/>
    <x v="10"/>
    <x v="10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1/09/2026"/>
    <s v="M"/>
    <s v="[1062] RAMGADH"/>
    <s v="[8402] RAMPUR"/>
    <x v="10"/>
    <x v="10"/>
    <x v="10"/>
    <s v="B"/>
    <n v="16"/>
    <n v="7.7"/>
    <n v="9"/>
    <n v="1.232"/>
    <n v="1.44"/>
    <n v="64.295000000000002"/>
    <n v="1028.72"/>
    <n v="469.30656934306569"/>
    <n v="312.87104622871044"/>
    <n v="18.002600000000001"/>
    <n v="60"/>
    <n v="1106.7226000000001"/>
    <n v="69.170162500000004"/>
    <n v="504.89169708029198"/>
    <n v="336.59446472019465"/>
  </r>
  <r>
    <s v="01/09/2026"/>
    <s v="E"/>
    <s v="[1062] RAMGADH"/>
    <s v="[8402] RAMPUR"/>
    <x v="10"/>
    <x v="10"/>
    <x v="10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02/09/2026"/>
    <s v="M"/>
    <s v="[1062] RAMGADH"/>
    <s v="[8402] RAMPUR"/>
    <x v="10"/>
    <x v="10"/>
    <x v="10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02/09/2026"/>
    <s v="E"/>
    <s v="[1062] RAMGADH"/>
    <s v="[8402] RAMPUR"/>
    <x v="10"/>
    <x v="10"/>
    <x v="10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03/09/2026"/>
    <s v="M"/>
    <s v="[1062] RAMGADH"/>
    <s v="[8402] RAMPUR"/>
    <x v="10"/>
    <x v="10"/>
    <x v="10"/>
    <s v="B"/>
    <n v="9"/>
    <n v="8.4"/>
    <n v="9"/>
    <n v="0.75600000000000012"/>
    <n v="0.81"/>
    <n v="70.14"/>
    <n v="631.26"/>
    <n v="487.08333333333326"/>
    <n v="324.72222222222217"/>
    <n v="11.04705"/>
    <n v="33.75"/>
    <n v="676.05705"/>
    <n v="75.117450000000005"/>
    <n v="521.64895833333333"/>
    <n v="347.76597222222222"/>
  </r>
  <r>
    <s v="03/09/2026"/>
    <s v="E"/>
    <s v="[1062] RAMGADH"/>
    <s v="[8402] RAMPUR"/>
    <x v="10"/>
    <x v="10"/>
    <x v="10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28/08/2026"/>
    <s v="M"/>
    <s v="[1062] RAMGADH"/>
    <s v="[8404] CHANDESH"/>
    <x v="11"/>
    <x v="11"/>
    <x v="11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28/08/2026"/>
    <s v="M"/>
    <s v="[1062] RAMGADH"/>
    <s v="[8404] CHANDESH"/>
    <x v="11"/>
    <x v="11"/>
    <x v="11"/>
    <s v="C"/>
    <n v="34"/>
    <n v="3.8"/>
    <n v="8.3000000000000007"/>
    <n v="1.2919999999999998"/>
    <n v="2.8220000000000005"/>
    <n v="38.921153700000005"/>
    <n v="1323.3192258000001"/>
    <n v="417.01236107142859"/>
    <n v="278.00824071428571"/>
    <n v="23.158086451500004"/>
    <n v="127.5"/>
    <n v="1473.9773122515001"/>
    <n v="43.352273889750002"/>
    <n v="464.48864881874999"/>
    <n v="309.6590992125"/>
  </r>
  <r>
    <s v="28/08/2026"/>
    <s v="E"/>
    <s v="[1062] RAMGADH"/>
    <s v="[8404] CHANDESH"/>
    <x v="11"/>
    <x v="11"/>
    <x v="11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28/08/2026"/>
    <s v="E"/>
    <s v="[1062] RAMGADH"/>
    <s v="[8404] CHANDESH"/>
    <x v="11"/>
    <x v="11"/>
    <x v="11"/>
    <s v="C"/>
    <n v="35"/>
    <n v="3.6"/>
    <n v="8.5"/>
    <n v="1.26"/>
    <n v="2.9750000000000001"/>
    <n v="38.643181500000004"/>
    <n v="1352.5113525000002"/>
    <n v="417.01274999999998"/>
    <n v="278.00849999999997"/>
    <n v="23.668948668750005"/>
    <n v="131.25"/>
    <n v="1507.4303011687502"/>
    <n v="43.069437176250005"/>
    <n v="464.77809902428061"/>
    <n v="309.85206601618705"/>
  </r>
  <r>
    <s v="29/08/2026"/>
    <s v="M"/>
    <s v="[1062] RAMGADH"/>
    <s v="[8404] CHANDESH"/>
    <x v="11"/>
    <x v="11"/>
    <x v="11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9/08/2026"/>
    <s v="M"/>
    <s v="[1062] RAMGADH"/>
    <s v="[8404] CHANDESH"/>
    <x v="11"/>
    <x v="11"/>
    <x v="11"/>
    <s v="C"/>
    <n v="35"/>
    <n v="4"/>
    <n v="8.3000000000000007"/>
    <n v="1.4"/>
    <n v="2.9049999999999998"/>
    <n v="39.755153700000008"/>
    <n v="1391.4303795000003"/>
    <n v="417.01210174825178"/>
    <n v="278.00806783216785"/>
    <n v="24.350031641250009"/>
    <n v="131.25"/>
    <n v="1547.0304111412504"/>
    <n v="44.200868889750012"/>
    <n v="463.64547786451061"/>
    <n v="309.09698524300705"/>
  </r>
  <r>
    <s v="29/08/2026"/>
    <s v="E"/>
    <s v="[1062] RAMGADH"/>
    <s v="[8404] CHANDESH"/>
    <x v="11"/>
    <x v="11"/>
    <x v="11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29/08/2026"/>
    <s v="E"/>
    <s v="[1062] RAMGADH"/>
    <s v="[8404] CHANDESH"/>
    <x v="11"/>
    <x v="11"/>
    <x v="11"/>
    <s v="C"/>
    <n v="24"/>
    <n v="3.9"/>
    <n v="8.4"/>
    <n v="0.93599999999999994"/>
    <n v="2.016"/>
    <n v="39.616167600000011"/>
    <n v="950.78802240000027"/>
    <n v="417.01229052631589"/>
    <n v="278.0081936842106"/>
    <n v="16.638790392000008"/>
    <n v="90"/>
    <n v="1057.4268127920002"/>
    <n v="44.05945053300001"/>
    <n v="463.78368982105275"/>
    <n v="309.18912654736852"/>
  </r>
  <r>
    <s v="30/08/2026"/>
    <s v="M"/>
    <s v="[1062] RAMGADH"/>
    <s v="[8404] CHANDESH"/>
    <x v="11"/>
    <x v="11"/>
    <x v="11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30/08/2026"/>
    <s v="M"/>
    <s v="[1062] RAMGADH"/>
    <s v="[8404] CHANDESH"/>
    <x v="11"/>
    <x v="11"/>
    <x v="11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30/08/2026"/>
    <s v="E"/>
    <s v="[1062] RAMGADH"/>
    <s v="[8404] CHANDESH"/>
    <x v="11"/>
    <x v="11"/>
    <x v="11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30/08/2026"/>
    <s v="E"/>
    <s v="[1062] RAMGADH"/>
    <s v="[8404] CHANDESH"/>
    <x v="11"/>
    <x v="11"/>
    <x v="11"/>
    <s v="C"/>
    <n v="22"/>
    <n v="4.2"/>
    <n v="8.5"/>
    <n v="0.92400000000000004"/>
    <n v="1.87"/>
    <n v="41.145181500000007"/>
    <n v="905.19399300000009"/>
    <n v="417.01197466216217"/>
    <n v="278.00798310810814"/>
    <n v="15.840894877500004"/>
    <n v="82.5"/>
    <n v="1003.5348878775001"/>
    <n v="45.615222176250001"/>
    <n v="462.31644097550668"/>
    <n v="308.21096065033777"/>
  </r>
  <r>
    <s v="31/08/2026"/>
    <s v="M"/>
    <s v="[1062] RAMGADH"/>
    <s v="[8404] CHANDESH"/>
    <x v="11"/>
    <x v="11"/>
    <x v="11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31/08/2026"/>
    <s v="M"/>
    <s v="[1062] RAMGADH"/>
    <s v="[8404] CHANDESH"/>
    <x v="11"/>
    <x v="11"/>
    <x v="11"/>
    <s v="C"/>
    <n v="36"/>
    <n v="4"/>
    <n v="8.4"/>
    <n v="1.44"/>
    <n v="3.0240000000000005"/>
    <n v="40.033167600000006"/>
    <n v="1441.1940336000002"/>
    <n v="417.01216250000004"/>
    <n v="278.00810833333338"/>
    <n v="25.220895588000008"/>
    <n v="135"/>
    <n v="1601.4149291880003"/>
    <n v="44.483748033000012"/>
    <n v="463.37237534375009"/>
    <n v="308.91491689583341"/>
  </r>
  <r>
    <s v="31/08/2026"/>
    <s v="E"/>
    <s v="[1062] RAMGADH"/>
    <s v="[8404] CHANDESH"/>
    <x v="11"/>
    <x v="11"/>
    <x v="11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31/08/2026"/>
    <s v="E"/>
    <s v="[1062] RAMGADH"/>
    <s v="[8404] CHANDESH"/>
    <x v="11"/>
    <x v="11"/>
    <x v="11"/>
    <s v="C"/>
    <n v="19"/>
    <n v="3.7"/>
    <n v="8.1"/>
    <n v="0.70299999999999996"/>
    <n v="1.5390000000000001"/>
    <n v="37.948125900000008"/>
    <n v="721.01439210000012"/>
    <n v="417.01237252747262"/>
    <n v="278.00824835164843"/>
    <n v="12.617751861750003"/>
    <n v="71.25"/>
    <n v="804.8821439617501"/>
    <n v="42.362218103250008"/>
    <n v="465.51888025549459"/>
    <n v="310.34592017032975"/>
  </r>
  <r>
    <s v="01/09/2026"/>
    <s v="M"/>
    <s v="[1062] RAMGADH"/>
    <s v="[8404] CHANDESH"/>
    <x v="11"/>
    <x v="11"/>
    <x v="11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01/09/2026"/>
    <s v="M"/>
    <s v="[1062] RAMGADH"/>
    <s v="[8404] CHANDESH"/>
    <x v="11"/>
    <x v="11"/>
    <x v="11"/>
    <s v="C"/>
    <n v="30"/>
    <n v="3.8"/>
    <n v="8.1999999999999993"/>
    <n v="1.1399999999999999"/>
    <n v="2.4599999999999995"/>
    <n v="38.6431398"/>
    <n v="1159.2941940000001"/>
    <n v="417.01230000000004"/>
    <n v="278.00820000000004"/>
    <n v="20.287648395000001"/>
    <n v="112.5"/>
    <n v="1292.081842395"/>
    <n v="43.069394746500002"/>
    <n v="464.77764114928061"/>
    <n v="309.85176076618706"/>
  </r>
  <r>
    <s v="01/09/2026"/>
    <s v="E"/>
    <s v="[1062] RAMGADH"/>
    <s v="[8404] CHANDESH"/>
    <x v="11"/>
    <x v="11"/>
    <x v="11"/>
    <s v="B"/>
    <n v="19"/>
    <n v="6.6"/>
    <n v="9"/>
    <n v="1.254"/>
    <n v="1.71"/>
    <n v="55.11"/>
    <n v="1047.0899999999999"/>
    <n v="437.38095238095235"/>
    <n v="291.58730158730157"/>
    <n v="18.324075000000001"/>
    <n v="71.25"/>
    <n v="1136.6640749999999"/>
    <n v="59.824424999999998"/>
    <n v="474.79702380952381"/>
    <n v="316.5313492063492"/>
  </r>
  <r>
    <s v="01/09/2026"/>
    <s v="E"/>
    <s v="[1062] RAMGADH"/>
    <s v="[8404] CHANDESH"/>
    <x v="11"/>
    <x v="11"/>
    <x v="11"/>
    <s v="C"/>
    <n v="32"/>
    <n v="3.5"/>
    <n v="8.1999999999999993"/>
    <n v="1.1200000000000001"/>
    <n v="2.6239999999999997"/>
    <n v="37.392139800000002"/>
    <n v="1196.5484736000001"/>
    <n v="417.01271152416359"/>
    <n v="278.00847434944239"/>
    <n v="20.939598288000003"/>
    <n v="120"/>
    <n v="1337.4880718880001"/>
    <n v="41.796502246500005"/>
    <n v="466.13199531412641"/>
    <n v="310.75466354275096"/>
  </r>
  <r>
    <s v="02/09/2026"/>
    <s v="M"/>
    <s v="[1062] RAMGADH"/>
    <s v="[8404] CHANDESH"/>
    <x v="11"/>
    <x v="11"/>
    <x v="11"/>
    <s v="B"/>
    <n v="22"/>
    <n v="6.3"/>
    <n v="9"/>
    <n v="1.3859999999999999"/>
    <n v="1.98"/>
    <n v="52.604999999999997"/>
    <n v="1157.31"/>
    <n v="427.6829268292683"/>
    <n v="285.1219512195122"/>
    <n v="20.252925000000001"/>
    <n v="82.5"/>
    <n v="1260.062925"/>
    <n v="57.2755875"/>
    <n v="465.6551829268293"/>
    <n v="310.43678861788618"/>
  </r>
  <r>
    <s v="02/09/2026"/>
    <s v="M"/>
    <s v="[1062] RAMGADH"/>
    <s v="[8404] CHANDESH"/>
    <x v="11"/>
    <x v="11"/>
    <x v="11"/>
    <s v="C"/>
    <n v="36"/>
    <n v="3.9"/>
    <n v="8.3000000000000007"/>
    <n v="1.4040000000000001"/>
    <n v="2.988"/>
    <n v="39.338153700000007"/>
    <n v="1416.1735332000003"/>
    <n v="417.01223003533573"/>
    <n v="278.00815335689049"/>
    <n v="24.783036831000008"/>
    <n v="135"/>
    <n v="1575.9565700310004"/>
    <n v="43.776571389750011"/>
    <n v="464.0625942376326"/>
    <n v="309.37506282508838"/>
  </r>
  <r>
    <s v="02/09/2026"/>
    <s v="E"/>
    <s v="[1062] RAMGADH"/>
    <s v="[8404] CHANDESH"/>
    <x v="11"/>
    <x v="11"/>
    <x v="11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02/09/2026"/>
    <s v="E"/>
    <s v="[1062] RAMGADH"/>
    <s v="[8404] CHANDESH"/>
    <x v="11"/>
    <x v="11"/>
    <x v="11"/>
    <s v="C"/>
    <n v="31"/>
    <n v="3.6"/>
    <n v="8.1"/>
    <n v="1.1160000000000001"/>
    <n v="2.5110000000000001"/>
    <n v="37.531125900000006"/>
    <n v="1163.4649029000002"/>
    <n v="417.01251000000008"/>
    <n v="278.00834000000003"/>
    <n v="20.360635800750007"/>
    <n v="116.25"/>
    <n v="1300.0755387007503"/>
    <n v="41.937920603250006"/>
    <n v="465.97689559166673"/>
    <n v="310.6512637277778"/>
  </r>
  <r>
    <s v="03/09/2026"/>
    <s v="M"/>
    <s v="[1062] RAMGADH"/>
    <s v="[8404] CHANDESH"/>
    <x v="11"/>
    <x v="11"/>
    <x v="11"/>
    <s v="B"/>
    <n v="26"/>
    <n v="5.8"/>
    <n v="9"/>
    <n v="1.5079999999999998"/>
    <n v="2.34"/>
    <n v="48.43"/>
    <n v="1259.18"/>
    <n v="410.42372881355936"/>
    <n v="273.61581920903956"/>
    <n v="22.035650000000004"/>
    <n v="97.5"/>
    <n v="1378.7156500000001"/>
    <n v="53.027525000000004"/>
    <n v="449.38580508474581"/>
    <n v="299.59053672316389"/>
  </r>
  <r>
    <s v="03/09/2026"/>
    <s v="M"/>
    <s v="[1062] RAMGADH"/>
    <s v="[8404] CHANDESH"/>
    <x v="11"/>
    <x v="11"/>
    <x v="11"/>
    <s v="C"/>
    <n v="40"/>
    <n v="3.9"/>
    <n v="8.3000000000000007"/>
    <n v="1.56"/>
    <n v="3.32"/>
    <n v="39.338153700000007"/>
    <n v="1573.5261480000004"/>
    <n v="417.01223003533573"/>
    <n v="278.00815335689049"/>
    <n v="27.53670759000001"/>
    <n v="150"/>
    <n v="1751.0628555900005"/>
    <n v="43.776571389750011"/>
    <n v="464.0625942376326"/>
    <n v="309.37506282508838"/>
  </r>
  <r>
    <s v="03/09/2026"/>
    <s v="E"/>
    <s v="[1062] RAMGADH"/>
    <s v="[8404] CHANDESH"/>
    <x v="11"/>
    <x v="11"/>
    <x v="11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03/09/2026"/>
    <s v="E"/>
    <s v="[1062] RAMGADH"/>
    <s v="[8404] CHANDESH"/>
    <x v="11"/>
    <x v="11"/>
    <x v="11"/>
    <s v="C"/>
    <n v="36"/>
    <n v="3.7"/>
    <n v="8.1999999999999993"/>
    <n v="1.3320000000000001"/>
    <n v="2.952"/>
    <n v="38.226139799999999"/>
    <n v="1376.1410327999999"/>
    <n v="417.01243418181815"/>
    <n v="278.00828945454543"/>
    <n v="24.082468074000001"/>
    <n v="135"/>
    <n v="1535.2235008739999"/>
    <n v="42.645097246500001"/>
    <n v="465.21924268909089"/>
    <n v="310.14616179272724"/>
  </r>
  <r>
    <s v="30/08/2026"/>
    <s v="M"/>
    <s v="[1062] RAMGADH"/>
    <s v="[8402] RAMPUR"/>
    <x v="12"/>
    <x v="12"/>
    <x v="1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31/08/2026"/>
    <s v="E"/>
    <s v="[1062] RAMGADH"/>
    <s v="[8402] RAMPUR"/>
    <x v="12"/>
    <x v="12"/>
    <x v="12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8/08/2026"/>
    <s v="M"/>
    <s v="[1062] RAMGADH"/>
    <s v="[8403] MOHANIA"/>
    <x v="13"/>
    <x v="13"/>
    <x v="13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28/08/2026"/>
    <s v="E"/>
    <s v="[1062] RAMGADH"/>
    <s v="[8403] MOHANIA"/>
    <x v="13"/>
    <x v="13"/>
    <x v="13"/>
    <s v="C"/>
    <n v="27"/>
    <n v="4"/>
    <n v="8.1999999999999993"/>
    <n v="1.08"/>
    <n v="2.214"/>
    <n v="39.477139800000003"/>
    <n v="1065.8827746000002"/>
    <n v="417.0120401408451"/>
    <n v="278.00802676056338"/>
    <n v="18.652948555500004"/>
    <n v="101.25"/>
    <n v="1185.7857231555001"/>
    <n v="43.917989746500005"/>
    <n v="463.92242689964797"/>
    <n v="309.28161793309863"/>
  </r>
  <r>
    <s v="29/08/2026"/>
    <s v="M"/>
    <s v="[1062] RAMGADH"/>
    <s v="[8403] MOHANIA"/>
    <x v="13"/>
    <x v="13"/>
    <x v="13"/>
    <s v="C"/>
    <n v="24"/>
    <n v="4.5"/>
    <n v="8.3000000000000007"/>
    <n v="1.08"/>
    <n v="1.9920000000000002"/>
    <n v="41.840153700000002"/>
    <n v="1004.1636888"/>
    <n v="417.01149867109638"/>
    <n v="278.00766578073092"/>
    <n v="17.572864554000002"/>
    <n v="90"/>
    <n v="1111.7365533540001"/>
    <n v="46.322356389750006"/>
    <n v="461.68461518023264"/>
    <n v="307.78974345348843"/>
  </r>
  <r>
    <s v="29/08/2026"/>
    <s v="E"/>
    <s v="[1062] RAMGADH"/>
    <s v="[8403] MOHANIA"/>
    <x v="13"/>
    <x v="13"/>
    <x v="13"/>
    <s v="C"/>
    <n v="27"/>
    <n v="4.3"/>
    <n v="8.4"/>
    <n v="1.161"/>
    <n v="2.2680000000000002"/>
    <n v="41.284167600000004"/>
    <n v="1114.6725252000001"/>
    <n v="417.01179393939395"/>
    <n v="278.00786262626264"/>
    <n v="19.506769191000004"/>
    <n v="101.25"/>
    <n v="1235.4292943910002"/>
    <n v="45.756640533000009"/>
    <n v="462.18828821212128"/>
    <n v="308.12552547474752"/>
  </r>
  <r>
    <s v="30/08/2026"/>
    <s v="M"/>
    <s v="[1062] RAMGADH"/>
    <s v="[8403] MOHANIA"/>
    <x v="13"/>
    <x v="13"/>
    <x v="13"/>
    <s v="C"/>
    <n v="24"/>
    <n v="4.5"/>
    <n v="8.1999999999999993"/>
    <n v="1.08"/>
    <n v="1.9679999999999997"/>
    <n v="41.562139799999997"/>
    <n v="997.49135519999993"/>
    <n v="417.01143612040136"/>
    <n v="278.00762408026759"/>
    <n v="17.456098716"/>
    <n v="90"/>
    <n v="1104.9474539159999"/>
    <n v="46.039477246499992"/>
    <n v="461.934554312709"/>
    <n v="307.956369541806"/>
  </r>
  <r>
    <s v="30/08/2026"/>
    <s v="E"/>
    <s v="[1062] RAMGADH"/>
    <s v="[8403] MOHANIA"/>
    <x v="13"/>
    <x v="13"/>
    <x v="13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31/08/2026"/>
    <s v="M"/>
    <s v="[1062] RAMGADH"/>
    <s v="[8403] MOHANIA"/>
    <x v="13"/>
    <x v="13"/>
    <x v="13"/>
    <s v="C"/>
    <n v="25"/>
    <n v="5"/>
    <n v="8.4"/>
    <n v="1.25"/>
    <n v="2.1"/>
    <n v="44.203167600000008"/>
    <n v="1105.0791900000002"/>
    <n v="417.01101509433965"/>
    <n v="278.00734339622642"/>
    <n v="19.338885825000006"/>
    <n v="93.75"/>
    <n v="1218.1680758250002"/>
    <n v="48.726723033000006"/>
    <n v="459.6860663490566"/>
    <n v="306.45737756603774"/>
  </r>
  <r>
    <s v="31/08/2026"/>
    <s v="E"/>
    <s v="[1062] RAMGADH"/>
    <s v="[8403] MOHANIA"/>
    <x v="13"/>
    <x v="13"/>
    <x v="13"/>
    <s v="C"/>
    <n v="16"/>
    <n v="4.5"/>
    <n v="8.3000000000000007"/>
    <n v="0.72"/>
    <n v="1.3280000000000001"/>
    <n v="41.840153700000002"/>
    <n v="669.44245920000003"/>
    <n v="417.01149867109638"/>
    <n v="278.00766578073092"/>
    <n v="11.715243036000002"/>
    <n v="60"/>
    <n v="741.15770223599998"/>
    <n v="46.322356389749999"/>
    <n v="461.68461518023258"/>
    <n v="307.78974345348837"/>
  </r>
  <r>
    <s v="01/09/2026"/>
    <s v="M"/>
    <s v="[1062] RAMGADH"/>
    <s v="[8403] MOHANIA"/>
    <x v="13"/>
    <x v="13"/>
    <x v="13"/>
    <s v="C"/>
    <n v="34"/>
    <n v="4.5999999999999996"/>
    <n v="8.4"/>
    <n v="1.5639999999999998"/>
    <n v="2.8560000000000003"/>
    <n v="42.535167600000008"/>
    <n v="1446.1956984000003"/>
    <n v="417.01144705882359"/>
    <n v="278.00763137254904"/>
    <n v="25.308424722000009"/>
    <n v="127.5"/>
    <n v="1599.0041231220002"/>
    <n v="47.029533033000007"/>
    <n v="461.07385326470592"/>
    <n v="307.38256884313728"/>
  </r>
  <r>
    <s v="01/09/2026"/>
    <s v="E"/>
    <s v="[1062] RAMGADH"/>
    <s v="[8403] MOHANIA"/>
    <x v="13"/>
    <x v="13"/>
    <x v="13"/>
    <s v="C"/>
    <n v="22"/>
    <n v="4"/>
    <n v="8"/>
    <n v="0.88"/>
    <n v="1.76"/>
    <n v="38.921112000000008"/>
    <n v="856.2644640000002"/>
    <n v="417.01191428571434"/>
    <n v="278.00794285714289"/>
    <n v="14.984628120000005"/>
    <n v="82.5"/>
    <n v="953.74909212000023"/>
    <n v="43.352231460000013"/>
    <n v="464.48819421428584"/>
    <n v="309.65879614285723"/>
  </r>
  <r>
    <s v="02/09/2026"/>
    <s v="M"/>
    <s v="[1062] RAMGADH"/>
    <s v="[8403] MOHANIA"/>
    <x v="13"/>
    <x v="13"/>
    <x v="13"/>
    <s v="B"/>
    <n v="24"/>
    <n v="5.5"/>
    <n v="8.5"/>
    <n v="1.32"/>
    <n v="2.04"/>
    <n v="46.566181499999999"/>
    <n v="1117.588356"/>
    <n v="417.01058059701495"/>
    <n v="278.00705373134332"/>
    <n v="19.557796230000001"/>
    <n v="90"/>
    <n v="1227.1461522300001"/>
    <n v="51.131089676250006"/>
    <n v="457.89035530970153"/>
    <n v="305.26023687313437"/>
  </r>
  <r>
    <s v="02/09/2026"/>
    <s v="E"/>
    <s v="[1062] RAMGADH"/>
    <s v="[8403] MOHANIA"/>
    <x v="13"/>
    <x v="13"/>
    <x v="13"/>
    <s v="C"/>
    <n v="19"/>
    <n v="4"/>
    <n v="8.1999999999999993"/>
    <n v="0.76"/>
    <n v="1.5579999999999998"/>
    <n v="39.477139800000003"/>
    <n v="750.06565620000003"/>
    <n v="417.0120401408451"/>
    <n v="278.00802676056338"/>
    <n v="13.126148983500002"/>
    <n v="71.25"/>
    <n v="834.44180518350004"/>
    <n v="43.917989746500005"/>
    <n v="463.92242689964797"/>
    <n v="309.28161793309863"/>
  </r>
  <r>
    <s v="03/09/2026"/>
    <s v="M"/>
    <s v="[1062] RAMGADH"/>
    <s v="[8403] MOHANIA"/>
    <x v="13"/>
    <x v="13"/>
    <x v="13"/>
    <s v="C"/>
    <n v="25"/>
    <n v="4.5999999999999996"/>
    <n v="8.4"/>
    <n v="1.1499999999999999"/>
    <n v="2.1"/>
    <n v="42.535167600000008"/>
    <n v="1063.3791900000001"/>
    <n v="417.01144705882359"/>
    <n v="278.00763137254904"/>
    <n v="18.609135825000003"/>
    <n v="93.75"/>
    <n v="1175.7383258250002"/>
    <n v="47.029533033000007"/>
    <n v="461.07385326470592"/>
    <n v="307.38256884313728"/>
  </r>
  <r>
    <s v="03/09/2026"/>
    <s v="E"/>
    <s v="[1062] RAMGADH"/>
    <s v="[8403] MOHANIA"/>
    <x v="13"/>
    <x v="13"/>
    <x v="13"/>
    <s v="C"/>
    <n v="18"/>
    <n v="3.8"/>
    <n v="8.4"/>
    <n v="0.68399999999999994"/>
    <n v="1.5120000000000002"/>
    <n v="39.19916760000001"/>
    <n v="705.58501680000018"/>
    <n v="417.01242127659583"/>
    <n v="278.00828085106389"/>
    <n v="12.347737794000004"/>
    <n v="67.5"/>
    <n v="785.43275459400024"/>
    <n v="43.635153033000016"/>
    <n v="464.20375567021296"/>
    <n v="309.46917044680862"/>
  </r>
  <r>
    <s v="28/08/2026"/>
    <s v="M"/>
    <s v="[1062] RAMGADH"/>
    <s v="[8405] RAMGADH"/>
    <x v="14"/>
    <x v="14"/>
    <x v="14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8/08/2026"/>
    <s v="M"/>
    <s v="[1062] RAMGADH"/>
    <s v="[8405] RAMGADH"/>
    <x v="14"/>
    <x v="14"/>
    <x v="14"/>
    <s v="C"/>
    <n v="18"/>
    <n v="3.6"/>
    <n v="8.3000000000000007"/>
    <n v="0.64800000000000002"/>
    <n v="1.494"/>
    <n v="38.087153700000009"/>
    <n v="685.56876660000012"/>
    <n v="417.01263175182481"/>
    <n v="278.00842116788323"/>
    <n v="11.997453415500003"/>
    <n v="67.5"/>
    <n v="765.06622001550011"/>
    <n v="42.503678889750006"/>
    <n v="465.36874696806569"/>
    <n v="310.24583131204378"/>
  </r>
  <r>
    <s v="28/08/2026"/>
    <s v="E"/>
    <s v="[1062] RAMGADH"/>
    <s v="[8405] RAMGADH"/>
    <x v="14"/>
    <x v="14"/>
    <x v="14"/>
    <s v="B"/>
    <n v="12"/>
    <n v="5.6"/>
    <n v="9"/>
    <n v="0.67199999999999993"/>
    <n v="1.08"/>
    <n v="46.76"/>
    <n v="561.12"/>
    <n v="403.10344827586209"/>
    <n v="268.73563218390808"/>
    <n v="9.8196000000000012"/>
    <n v="45"/>
    <n v="615.93960000000004"/>
    <n v="51.328300000000006"/>
    <n v="442.48534482758629"/>
    <n v="294.99022988505754"/>
  </r>
  <r>
    <s v="28/08/2026"/>
    <s v="E"/>
    <s v="[1062] RAMGADH"/>
    <s v="[8405] RAMGADH"/>
    <x v="14"/>
    <x v="14"/>
    <x v="14"/>
    <s v="C"/>
    <n v="29"/>
    <n v="3.2"/>
    <n v="8.4"/>
    <n v="0.92800000000000016"/>
    <n v="2.4360000000000004"/>
    <n v="36.697167600000007"/>
    <n v="1064.2178604000003"/>
    <n v="417.01326818181826"/>
    <n v="278.00884545454551"/>
    <n v="18.623812557000008"/>
    <n v="108.75"/>
    <n v="1191.5916729570004"/>
    <n v="41.089368033000014"/>
    <n v="466.92463673863654"/>
    <n v="311.28309115909104"/>
  </r>
  <r>
    <s v="29/08/2026"/>
    <s v="M"/>
    <s v="[1062] RAMGADH"/>
    <s v="[8405] RAMGADH"/>
    <x v="14"/>
    <x v="14"/>
    <x v="14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29/08/2026"/>
    <s v="M"/>
    <s v="[1062] RAMGADH"/>
    <s v="[8405] RAMGADH"/>
    <x v="14"/>
    <x v="14"/>
    <x v="14"/>
    <s v="C"/>
    <n v="19"/>
    <n v="3.5"/>
    <n v="8.1999999999999993"/>
    <n v="0.66500000000000004"/>
    <n v="1.5579999999999998"/>
    <n v="37.392139800000002"/>
    <n v="710.45065620000003"/>
    <n v="417.01271152416359"/>
    <n v="278.00847434944239"/>
    <n v="12.432886483500001"/>
    <n v="71.25"/>
    <n v="794.13354268350008"/>
    <n v="41.796502246500005"/>
    <n v="466.13199531412641"/>
    <n v="310.75466354275096"/>
  </r>
  <r>
    <s v="29/08/2026"/>
    <s v="E"/>
    <s v="[1062] RAMGADH"/>
    <s v="[8405] RAMGADH"/>
    <x v="14"/>
    <x v="14"/>
    <x v="14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29/08/2026"/>
    <s v="E"/>
    <s v="[1062] RAMGADH"/>
    <s v="[8405] RAMGADH"/>
    <x v="14"/>
    <x v="14"/>
    <x v="14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30/08/2026"/>
    <s v="M"/>
    <s v="[1062] RAMGADH"/>
    <s v="[8405] RAMGADH"/>
    <x v="14"/>
    <x v="14"/>
    <x v="14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30/08/2026"/>
    <s v="M"/>
    <s v="[1062] RAMGADH"/>
    <s v="[8405] RAMGADH"/>
    <x v="14"/>
    <x v="14"/>
    <x v="14"/>
    <s v="C"/>
    <n v="28"/>
    <n v="3.1"/>
    <n v="8.1999999999999993"/>
    <n v="0.86799999999999999"/>
    <n v="2.2959999999999998"/>
    <n v="35.724139800000003"/>
    <n v="1000.2759144000001"/>
    <n v="417.0133050583658"/>
    <n v="278.00887003891052"/>
    <n v="17.504828502000006"/>
    <n v="105"/>
    <n v="1122.7807429020002"/>
    <n v="40.099312246500006"/>
    <n v="468.08535696303505"/>
    <n v="312.05690464202337"/>
  </r>
  <r>
    <s v="30/08/2026"/>
    <s v="E"/>
    <s v="[1062] RAMGADH"/>
    <s v="[8405] RAMGADH"/>
    <x v="14"/>
    <x v="14"/>
    <x v="14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30/08/2026"/>
    <s v="E"/>
    <s v="[1062] RAMGADH"/>
    <s v="[8405] RAMGADH"/>
    <x v="14"/>
    <x v="14"/>
    <x v="14"/>
    <s v="C"/>
    <n v="19"/>
    <n v="3.1"/>
    <n v="8.3000000000000007"/>
    <n v="0.58899999999999997"/>
    <n v="1.5770000000000002"/>
    <n v="36.002153700000008"/>
    <n v="684.04092030000015"/>
    <n v="417.01336332046338"/>
    <n v="278.00890888030892"/>
    <n v="11.970716105250004"/>
    <n v="71.25"/>
    <n v="767.2616364052501"/>
    <n v="40.382191389750005"/>
    <n v="467.74739061486486"/>
    <n v="311.83159374324322"/>
  </r>
  <r>
    <s v="31/08/2026"/>
    <s v="M"/>
    <s v="[1062] RAMGADH"/>
    <s v="[8405] RAMGADH"/>
    <x v="14"/>
    <x v="14"/>
    <x v="14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31/08/2026"/>
    <s v="M"/>
    <s v="[1062] RAMGADH"/>
    <s v="[8405] RAMGADH"/>
    <x v="14"/>
    <x v="14"/>
    <x v="14"/>
    <s v="C"/>
    <n v="25"/>
    <n v="3.5"/>
    <n v="8.4"/>
    <n v="0.875"/>
    <n v="2.1"/>
    <n v="37.948167600000005"/>
    <n v="948.70419000000015"/>
    <n v="417.01283076923085"/>
    <n v="278.00855384615392"/>
    <n v="16.602323325000004"/>
    <n v="93.75"/>
    <n v="1059.0565133250002"/>
    <n v="42.362260533000011"/>
    <n v="465.51934651648367"/>
    <n v="310.34623101098913"/>
  </r>
  <r>
    <s v="31/08/2026"/>
    <s v="E"/>
    <s v="[1062] RAMGADH"/>
    <s v="[8405] RAMGADH"/>
    <x v="14"/>
    <x v="14"/>
    <x v="14"/>
    <s v="B"/>
    <n v="9"/>
    <n v="5.5"/>
    <n v="8.8000000000000007"/>
    <n v="0.495"/>
    <n v="0.79200000000000004"/>
    <n v="46.566181499999999"/>
    <n v="419.09563349999996"/>
    <n v="409.67315102639293"/>
    <n v="273.11543401759531"/>
    <n v="7.3341735862500004"/>
    <n v="33.75"/>
    <n v="460.17980708624998"/>
    <n v="51.131089676249999"/>
    <n v="449.83363351539589"/>
    <n v="299.88908901026394"/>
  </r>
  <r>
    <s v="31/08/2026"/>
    <s v="E"/>
    <s v="[1062] RAMGADH"/>
    <s v="[8405] RAMGADH"/>
    <x v="14"/>
    <x v="14"/>
    <x v="14"/>
    <s v="C"/>
    <n v="14"/>
    <n v="3.2"/>
    <n v="8.3000000000000007"/>
    <n v="0.44800000000000006"/>
    <n v="1.1620000000000001"/>
    <n v="36.419153700000003"/>
    <n v="509.86815180000002"/>
    <n v="417.01321030534348"/>
    <n v="278.00880687022897"/>
    <n v="8.9226926565000007"/>
    <n v="52.5"/>
    <n v="571.29084445650005"/>
    <n v="40.806488889750007"/>
    <n v="467.24987278339694"/>
    <n v="311.49991518893131"/>
  </r>
  <r>
    <s v="01/09/2026"/>
    <s v="M"/>
    <s v="[1062] RAMGADH"/>
    <s v="[8405] RAMGADH"/>
    <x v="14"/>
    <x v="14"/>
    <x v="14"/>
    <s v="B"/>
    <n v="30"/>
    <n v="6"/>
    <n v="9"/>
    <n v="1.8"/>
    <n v="2.7"/>
    <n v="50.1"/>
    <n v="1503"/>
    <n v="417.5"/>
    <n v="278.33333333333331"/>
    <n v="26.302500000000002"/>
    <n v="112.5"/>
    <n v="1641.8025"/>
    <n v="54.726750000000003"/>
    <n v="456.05625000000003"/>
    <n v="304.03750000000002"/>
  </r>
  <r>
    <s v="01/09/2026"/>
    <s v="M"/>
    <s v="[1062] RAMGADH"/>
    <s v="[8405] RAMGADH"/>
    <x v="14"/>
    <x v="14"/>
    <x v="14"/>
    <s v="C"/>
    <n v="23"/>
    <n v="3.6"/>
    <n v="8.3000000000000007"/>
    <n v="0.82799999999999996"/>
    <n v="1.909"/>
    <n v="38.087153700000009"/>
    <n v="876.00453510000023"/>
    <n v="417.01263175182481"/>
    <n v="278.00842116788323"/>
    <n v="15.330079364250006"/>
    <n v="86.25"/>
    <n v="977.58461446425019"/>
    <n v="42.503678889750006"/>
    <n v="465.36874696806569"/>
    <n v="310.24583131204378"/>
  </r>
  <r>
    <s v="01/09/2026"/>
    <s v="E"/>
    <s v="[1062] RAMGADH"/>
    <s v="[8405] RAMGADH"/>
    <x v="14"/>
    <x v="14"/>
    <x v="14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02/09/2026"/>
    <s v="M"/>
    <s v="[1062] RAMGADH"/>
    <s v="[8405] RAMGADH"/>
    <x v="14"/>
    <x v="14"/>
    <x v="14"/>
    <s v="B"/>
    <n v="32"/>
    <n v="6.1"/>
    <n v="9"/>
    <n v="1.952"/>
    <n v="2.88"/>
    <n v="50.935000000000002"/>
    <n v="1629.92"/>
    <n v="420.95041322314052"/>
    <n v="280.63360881542701"/>
    <n v="28.523600000000005"/>
    <n v="120"/>
    <n v="1778.4436000000001"/>
    <n v="55.576362500000002"/>
    <n v="459.30878099173555"/>
    <n v="306.20585399449038"/>
  </r>
  <r>
    <s v="02/09/2026"/>
    <s v="M"/>
    <s v="[1062] RAMGADH"/>
    <s v="[8405] RAMGADH"/>
    <x v="14"/>
    <x v="14"/>
    <x v="14"/>
    <s v="C"/>
    <n v="27"/>
    <n v="3.5"/>
    <n v="8.3000000000000007"/>
    <n v="0.94499999999999995"/>
    <n v="2.2410000000000001"/>
    <n v="37.670153700000007"/>
    <n v="1017.0941499000002"/>
    <n v="417.01277158671587"/>
    <n v="278.00851439114393"/>
    <n v="17.799147623250004"/>
    <n v="101.25"/>
    <n v="1136.1432975232501"/>
    <n v="42.079381389750004"/>
    <n v="465.82341021863465"/>
    <n v="310.54894014575643"/>
  </r>
  <r>
    <s v="02/09/2026"/>
    <s v="E"/>
    <s v="[1062] RAMGADH"/>
    <s v="[8405] RAMGADH"/>
    <x v="14"/>
    <x v="14"/>
    <x v="14"/>
    <s v="B"/>
    <n v="14"/>
    <n v="5.5"/>
    <n v="8.4"/>
    <n v="0.77"/>
    <n v="1.1760000000000002"/>
    <n v="46.288167600000008"/>
    <n v="648.03434640000012"/>
    <n v="417.01051891891899"/>
    <n v="278.00701261261264"/>
    <n v="11.340601062000003"/>
    <n v="52.5"/>
    <n v="711.87494746200014"/>
    <n v="50.848210533000007"/>
    <n v="458.09198678378385"/>
    <n v="305.39465785585588"/>
  </r>
  <r>
    <s v="02/09/2026"/>
    <s v="E"/>
    <s v="[1062] RAMGADH"/>
    <s v="[8405] RAMGADH"/>
    <x v="14"/>
    <x v="14"/>
    <x v="14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03/09/2026"/>
    <s v="M"/>
    <s v="[1062] RAMGADH"/>
    <s v="[8405] RAMGADH"/>
    <x v="14"/>
    <x v="14"/>
    <x v="14"/>
    <s v="B"/>
    <n v="29"/>
    <n v="6.1"/>
    <n v="9"/>
    <n v="1.7689999999999997"/>
    <n v="2.61"/>
    <n v="50.935000000000002"/>
    <n v="1477.115"/>
    <n v="420.95041322314052"/>
    <n v="280.63360881542701"/>
    <n v="25.849512500000003"/>
    <n v="108.75"/>
    <n v="1611.7145125"/>
    <n v="55.576362500000002"/>
    <n v="459.30878099173555"/>
    <n v="306.20585399449038"/>
  </r>
  <r>
    <s v="03/09/2026"/>
    <s v="M"/>
    <s v="[1062] RAMGADH"/>
    <s v="[8405] RAMGADH"/>
    <x v="14"/>
    <x v="14"/>
    <x v="14"/>
    <s v="C"/>
    <n v="34"/>
    <n v="3.5"/>
    <n v="8.4"/>
    <n v="1.19"/>
    <n v="2.8560000000000003"/>
    <n v="37.948167600000005"/>
    <n v="1290.2376984000002"/>
    <n v="417.01283076923085"/>
    <n v="278.00855384615392"/>
    <n v="22.579159722000007"/>
    <n v="127.5"/>
    <n v="1440.3168581220002"/>
    <n v="42.362260533000004"/>
    <n v="465.51934651648355"/>
    <n v="310.34623101098902"/>
  </r>
  <r>
    <s v="03/09/2026"/>
    <s v="E"/>
    <s v="[1062] RAMGADH"/>
    <s v="[8405] RAMGADH"/>
    <x v="14"/>
    <x v="14"/>
    <x v="14"/>
    <s v="C"/>
    <n v="30"/>
    <n v="3.7"/>
    <n v="8.5"/>
    <n v="1.1100000000000001"/>
    <n v="2.5499999999999998"/>
    <n v="39.060181500000006"/>
    <n v="1171.8054450000002"/>
    <n v="417.0126138790036"/>
    <n v="278.00840925266908"/>
    <n v="20.506595287500005"/>
    <n v="112.5"/>
    <n v="1304.8120402875002"/>
    <n v="43.493734676250007"/>
    <n v="464.34592181049823"/>
    <n v="309.56394787366548"/>
  </r>
  <r>
    <s v="28/08/2026"/>
    <s v="E"/>
    <s v="[1062] RAMGADH"/>
    <s v="[8404] CHANDESH"/>
    <x v="15"/>
    <x v="15"/>
    <x v="15"/>
    <s v="C"/>
    <n v="42"/>
    <n v="4.5"/>
    <n v="8.5"/>
    <n v="1.89"/>
    <n v="3.57"/>
    <n v="42.396181500000004"/>
    <n v="1780.6396230000003"/>
    <n v="417.01162131147544"/>
    <n v="278.00774754098364"/>
    <n v="31.161193402500007"/>
    <n v="157.5"/>
    <n v="1969.3008164025002"/>
    <n v="46.888114676250005"/>
    <n v="461.19457058606559"/>
    <n v="307.46304705737708"/>
  </r>
  <r>
    <s v="29/08/2026"/>
    <s v="M"/>
    <s v="[1062] RAMGADH"/>
    <s v="[8404] CHANDESH"/>
    <x v="15"/>
    <x v="15"/>
    <x v="15"/>
    <s v="B"/>
    <n v="5"/>
    <n v="8.6"/>
    <n v="9"/>
    <n v="0.43"/>
    <n v="0.45"/>
    <n v="71.809999999999988"/>
    <n v="359.04999999999995"/>
    <n v="491.84931506849313"/>
    <n v="327.89954337899542"/>
    <n v="6.2833749999999995"/>
    <n v="18.75"/>
    <n v="384.08337499999993"/>
    <n v="76.816674999999989"/>
    <n v="526.14160958904108"/>
    <n v="350.76107305936074"/>
  </r>
  <r>
    <s v="29/08/2026"/>
    <s v="M"/>
    <s v="[1062] RAMGADH"/>
    <s v="[8404] CHANDESH"/>
    <x v="15"/>
    <x v="15"/>
    <x v="15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29/08/2026"/>
    <s v="E"/>
    <s v="[1062] RAMGADH"/>
    <s v="[8404] CHANDESH"/>
    <x v="15"/>
    <x v="15"/>
    <x v="15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29/08/2026"/>
    <s v="E"/>
    <s v="[1062] RAMGADH"/>
    <s v="[8404] CHANDESH"/>
    <x v="15"/>
    <x v="15"/>
    <x v="15"/>
    <s v="C"/>
    <n v="23"/>
    <n v="4"/>
    <n v="8.4"/>
    <n v="0.92"/>
    <n v="1.9320000000000002"/>
    <n v="40.033167600000006"/>
    <n v="920.76285480000013"/>
    <n v="417.01216250000004"/>
    <n v="278.00810833333338"/>
    <n v="16.113349959000004"/>
    <n v="86.25"/>
    <n v="1023.1262047590001"/>
    <n v="44.483748033000005"/>
    <n v="463.37237534375004"/>
    <n v="308.91491689583336"/>
  </r>
  <r>
    <s v="30/08/2026"/>
    <s v="M"/>
    <s v="[1062] RAMGADH"/>
    <s v="[8404] CHANDESH"/>
    <x v="15"/>
    <x v="15"/>
    <x v="15"/>
    <s v="B"/>
    <n v="6"/>
    <n v="8.5"/>
    <n v="9"/>
    <n v="0.51"/>
    <n v="0.54"/>
    <n v="70.975000000000009"/>
    <n v="425.85"/>
    <n v="489.48275862068965"/>
    <n v="326.32183908045977"/>
    <n v="7.4523750000000009"/>
    <n v="22.5"/>
    <n v="455.80237500000004"/>
    <n v="75.967062500000011"/>
    <n v="523.91077586206893"/>
    <n v="349.27385057471264"/>
  </r>
  <r>
    <s v="30/08/2026"/>
    <s v="M"/>
    <s v="[1062] RAMGADH"/>
    <s v="[8404] CHANDESH"/>
    <x v="15"/>
    <x v="15"/>
    <x v="15"/>
    <s v="C"/>
    <n v="27"/>
    <n v="3.7"/>
    <n v="8.3000000000000007"/>
    <n v="0.99900000000000011"/>
    <n v="2.2410000000000001"/>
    <n v="38.504153700000003"/>
    <n v="1039.6121499000001"/>
    <n v="417.01249494584835"/>
    <n v="278.00832996389892"/>
    <n v="18.193212623250002"/>
    <n v="101.25"/>
    <n v="1159.0553625232501"/>
    <n v="42.92797638975"/>
    <n v="464.923932018953"/>
    <n v="309.94928801263535"/>
  </r>
  <r>
    <s v="30/08/2026"/>
    <s v="E"/>
    <s v="[1062] RAMGADH"/>
    <s v="[8404] CHANDESH"/>
    <x v="15"/>
    <x v="15"/>
    <x v="15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30/08/2026"/>
    <s v="E"/>
    <s v="[1062] RAMGADH"/>
    <s v="[8404] CHANDESH"/>
    <x v="15"/>
    <x v="15"/>
    <x v="15"/>
    <s v="C"/>
    <n v="23"/>
    <n v="4.2"/>
    <n v="8.5"/>
    <n v="0.96600000000000008"/>
    <n v="1.9550000000000001"/>
    <n v="41.145181500000007"/>
    <n v="946.33917450000013"/>
    <n v="417.01197466216217"/>
    <n v="278.00798310810814"/>
    <n v="16.560935553750003"/>
    <n v="86.25"/>
    <n v="1049.15011005375"/>
    <n v="45.615222176250001"/>
    <n v="462.31644097550668"/>
    <n v="308.21096065033777"/>
  </r>
  <r>
    <s v="31/08/2026"/>
    <s v="M"/>
    <s v="[1062] RAMGADH"/>
    <s v="[8404] CHANDESH"/>
    <x v="15"/>
    <x v="15"/>
    <x v="15"/>
    <s v="B"/>
    <n v="5"/>
    <n v="8.6"/>
    <n v="9"/>
    <n v="0.43"/>
    <n v="0.45"/>
    <n v="71.809999999999988"/>
    <n v="359.04999999999995"/>
    <n v="491.84931506849313"/>
    <n v="327.89954337899542"/>
    <n v="6.2833749999999995"/>
    <n v="18.75"/>
    <n v="384.08337499999993"/>
    <n v="76.816674999999989"/>
    <n v="526.14160958904108"/>
    <n v="350.76107305936074"/>
  </r>
  <r>
    <s v="31/08/2026"/>
    <s v="M"/>
    <s v="[1062] RAMGADH"/>
    <s v="[8404] CHANDESH"/>
    <x v="15"/>
    <x v="15"/>
    <x v="15"/>
    <s v="C"/>
    <n v="24"/>
    <n v="3.6"/>
    <n v="8.4"/>
    <n v="0.8640000000000001"/>
    <n v="2.016"/>
    <n v="38.365167600000007"/>
    <n v="920.76402240000016"/>
    <n v="417.01269130434792"/>
    <n v="278.00846086956528"/>
    <n v="16.113370392000004"/>
    <n v="90"/>
    <n v="1026.8773927920001"/>
    <n v="42.786558033000006"/>
    <n v="465.07128296739137"/>
    <n v="310.04752197826093"/>
  </r>
  <r>
    <s v="31/08/2026"/>
    <s v="E"/>
    <s v="[1062] RAMGADH"/>
    <s v="[8404] CHANDESH"/>
    <x v="15"/>
    <x v="15"/>
    <x v="15"/>
    <s v="B"/>
    <n v="17"/>
    <n v="5.5"/>
    <n v="8.8000000000000007"/>
    <n v="0.93500000000000005"/>
    <n v="1.4960000000000002"/>
    <n v="46.566181499999999"/>
    <n v="791.62508549999995"/>
    <n v="409.67315102639293"/>
    <n v="273.11543401759531"/>
    <n v="13.85343899625"/>
    <n v="63.75"/>
    <n v="869.22852449624997"/>
    <n v="51.131089676249999"/>
    <n v="449.83363351539589"/>
    <n v="299.88908901026394"/>
  </r>
  <r>
    <s v="01/09/2026"/>
    <s v="M"/>
    <s v="[1062] RAMGADH"/>
    <s v="[8404] CHANDESH"/>
    <x v="15"/>
    <x v="15"/>
    <x v="15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01/09/2026"/>
    <s v="M"/>
    <s v="[1062] RAMGADH"/>
    <s v="[8404] CHANDESH"/>
    <x v="15"/>
    <x v="15"/>
    <x v="15"/>
    <s v="C"/>
    <n v="21"/>
    <n v="3.6"/>
    <n v="8.5"/>
    <n v="0.75600000000000012"/>
    <n v="1.7849999999999999"/>
    <n v="38.643181500000004"/>
    <n v="811.50681150000014"/>
    <n v="417.01274999999998"/>
    <n v="278.00849999999997"/>
    <n v="14.201369201250003"/>
    <n v="78.75"/>
    <n v="904.45818070125017"/>
    <n v="43.069437176250005"/>
    <n v="464.77809902428061"/>
    <n v="309.85206601618705"/>
  </r>
  <r>
    <s v="01/09/2026"/>
    <s v="E"/>
    <s v="[1062] RAMGADH"/>
    <s v="[8404] CHANDESH"/>
    <x v="15"/>
    <x v="15"/>
    <x v="15"/>
    <s v="B"/>
    <n v="7"/>
    <n v="7.6"/>
    <n v="9"/>
    <n v="0.53199999999999992"/>
    <n v="0.63"/>
    <n v="63.46"/>
    <n v="444.22"/>
    <n v="466.61764705882348"/>
    <n v="311.07843137254901"/>
    <n v="7.7738500000000013"/>
    <n v="26.25"/>
    <n v="478.24385000000001"/>
    <n v="68.320549999999997"/>
    <n v="502.35698529411758"/>
    <n v="334.90465686274507"/>
  </r>
  <r>
    <s v="01/09/2026"/>
    <s v="E"/>
    <s v="[1062] RAMGADH"/>
    <s v="[8404] CHANDESH"/>
    <x v="15"/>
    <x v="15"/>
    <x v="15"/>
    <s v="C"/>
    <n v="25"/>
    <n v="4.2"/>
    <n v="8.3000000000000007"/>
    <n v="1.05"/>
    <n v="2.0750000000000002"/>
    <n v="40.589153700000004"/>
    <n v="1014.7288425000002"/>
    <n v="417.01185308219181"/>
    <n v="278.00790205479456"/>
    <n v="17.757754743750006"/>
    <n v="93.75"/>
    <n v="1126.2365972437501"/>
    <n v="45.049463889750001"/>
    <n v="462.83695777140406"/>
    <n v="308.55797184760269"/>
  </r>
  <r>
    <s v="02/09/2026"/>
    <s v="M"/>
    <s v="[1062] RAMGADH"/>
    <s v="[8404] CHANDESH"/>
    <x v="15"/>
    <x v="15"/>
    <x v="15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02/09/2026"/>
    <s v="M"/>
    <s v="[1062] RAMGADH"/>
    <s v="[8404] CHANDESH"/>
    <x v="15"/>
    <x v="15"/>
    <x v="15"/>
    <s v="C"/>
    <n v="20"/>
    <n v="3.7"/>
    <n v="8.5"/>
    <n v="0.74"/>
    <n v="1.7"/>
    <n v="39.060181500000006"/>
    <n v="781.20363000000009"/>
    <n v="417.0126138790036"/>
    <n v="278.00840925266908"/>
    <n v="13.671063525000003"/>
    <n v="75"/>
    <n v="869.87469352500011"/>
    <n v="43.493734676250007"/>
    <n v="464.34592181049823"/>
    <n v="309.56394787366548"/>
  </r>
  <r>
    <s v="02/09/2026"/>
    <s v="E"/>
    <s v="[1062] RAMGADH"/>
    <s v="[8404] CHANDESH"/>
    <x v="15"/>
    <x v="15"/>
    <x v="15"/>
    <s v="B"/>
    <n v="9"/>
    <n v="6.4"/>
    <n v="8.8000000000000007"/>
    <n v="0.57600000000000007"/>
    <n v="0.79200000000000004"/>
    <n v="52.9056"/>
    <n v="476.15039999999999"/>
    <n v="431.29565217391303"/>
    <n v="287.53043478260867"/>
    <n v="8.3326320000000003"/>
    <n v="33.75"/>
    <n v="518.23303199999998"/>
    <n v="57.581447999999995"/>
    <n v="469.4139782608695"/>
    <n v="312.94265217391302"/>
  </r>
  <r>
    <s v="02/09/2026"/>
    <s v="E"/>
    <s v="[1062] RAMGADH"/>
    <s v="[8404] CHANDESH"/>
    <x v="15"/>
    <x v="15"/>
    <x v="15"/>
    <s v="C"/>
    <n v="28"/>
    <n v="3.8"/>
    <n v="8.1999999999999993"/>
    <n v="1.0639999999999998"/>
    <n v="2.2959999999999998"/>
    <n v="38.6431398"/>
    <n v="1082.0079144000001"/>
    <n v="417.01230000000004"/>
    <n v="278.00820000000004"/>
    <n v="18.935138502000004"/>
    <n v="105"/>
    <n v="1205.9430529020001"/>
    <n v="43.069394746500002"/>
    <n v="464.77764114928061"/>
    <n v="309.85176076618706"/>
  </r>
  <r>
    <s v="03/09/2026"/>
    <s v="M"/>
    <s v="[1062] RAMGADH"/>
    <s v="[8404] CHANDESH"/>
    <x v="15"/>
    <x v="15"/>
    <x v="15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03/09/2026"/>
    <s v="M"/>
    <s v="[1062] RAMGADH"/>
    <s v="[8404] CHANDESH"/>
    <x v="15"/>
    <x v="15"/>
    <x v="15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03/09/2026"/>
    <s v="E"/>
    <s v="[1062] RAMGADH"/>
    <s v="[8404] CHANDESH"/>
    <x v="15"/>
    <x v="15"/>
    <x v="15"/>
    <s v="B"/>
    <n v="6"/>
    <n v="7.6"/>
    <n v="9"/>
    <n v="0.45599999999999996"/>
    <n v="0.54"/>
    <n v="63.46"/>
    <n v="380.76"/>
    <n v="466.61764705882348"/>
    <n v="311.07843137254901"/>
    <n v="6.6633000000000004"/>
    <n v="22.5"/>
    <n v="409.92329999999998"/>
    <n v="68.320549999999997"/>
    <n v="502.35698529411758"/>
    <n v="334.90465686274507"/>
  </r>
  <r>
    <s v="03/09/2026"/>
    <s v="E"/>
    <s v="[1062] RAMGADH"/>
    <s v="[8404] CHANDESH"/>
    <x v="15"/>
    <x v="15"/>
    <x v="15"/>
    <s v="C"/>
    <n v="22"/>
    <n v="4.3"/>
    <n v="8.1999999999999993"/>
    <n v="0.94599999999999995"/>
    <n v="1.8039999999999998"/>
    <n v="40.728139799999994"/>
    <n v="896.01907559999984"/>
    <n v="417.01167030716726"/>
    <n v="278.00778020477816"/>
    <n v="15.680333822999998"/>
    <n v="82.5"/>
    <n v="994.19940942299979"/>
    <n v="45.190882246499989"/>
    <n v="462.70527897440269"/>
    <n v="308.47018598293511"/>
  </r>
  <r>
    <s v="28/08/2026"/>
    <s v="M"/>
    <s v="[1062] RAMGADH"/>
    <s v="[8404] CHANDESH"/>
    <x v="16"/>
    <x v="16"/>
    <x v="16"/>
    <s v="C"/>
    <n v="19"/>
    <n v="3.4"/>
    <n v="8.5"/>
    <n v="0.64599999999999991"/>
    <n v="1.615"/>
    <n v="37.809181500000008"/>
    <n v="718.3744485000002"/>
    <n v="417.01303125000004"/>
    <n v="278.00868750000001"/>
    <n v="12.571552848750004"/>
    <n v="71.25"/>
    <n v="802.1960013487502"/>
    <n v="42.220842176250009"/>
    <n v="465.67105341452213"/>
    <n v="310.44736894301474"/>
  </r>
  <r>
    <s v="28/08/2026"/>
    <s v="E"/>
    <s v="[1062] RAMGADH"/>
    <s v="[8404] CHANDESH"/>
    <x v="16"/>
    <x v="16"/>
    <x v="16"/>
    <s v="C"/>
    <n v="22"/>
    <n v="3.4"/>
    <n v="8.5"/>
    <n v="0.748"/>
    <n v="1.87"/>
    <n v="37.809181500000008"/>
    <n v="831.80199300000015"/>
    <n v="417.01303125000004"/>
    <n v="278.00868750000001"/>
    <n v="14.556534877500004"/>
    <n v="82.5"/>
    <n v="928.85852787750014"/>
    <n v="42.220842176250009"/>
    <n v="465.67105341452213"/>
    <n v="310.44736894301474"/>
  </r>
  <r>
    <s v="29/08/2026"/>
    <s v="M"/>
    <s v="[1062] RAMGADH"/>
    <s v="[8404] CHANDESH"/>
    <x v="16"/>
    <x v="16"/>
    <x v="16"/>
    <s v="C"/>
    <n v="20"/>
    <n v="3.7"/>
    <n v="8.5"/>
    <n v="0.74"/>
    <n v="1.7"/>
    <n v="39.060181500000006"/>
    <n v="781.20363000000009"/>
    <n v="417.0126138790036"/>
    <n v="278.00840925266908"/>
    <n v="13.671063525000003"/>
    <n v="75"/>
    <n v="869.87469352500011"/>
    <n v="43.493734676250007"/>
    <n v="464.34592181049823"/>
    <n v="309.56394787366548"/>
  </r>
  <r>
    <s v="29/08/2026"/>
    <s v="E"/>
    <s v="[1062] RAMGADH"/>
    <s v="[8404] CHANDESH"/>
    <x v="16"/>
    <x v="16"/>
    <x v="16"/>
    <s v="C"/>
    <n v="22"/>
    <n v="3.8"/>
    <n v="8.5"/>
    <n v="0.83599999999999997"/>
    <n v="1.87"/>
    <n v="39.4771815"/>
    <n v="868.49799299999995"/>
    <n v="417.0124806338028"/>
    <n v="278.00832042253518"/>
    <n v="15.1987148775"/>
    <n v="82.5"/>
    <n v="966.19670787749999"/>
    <n v="43.918032176250001"/>
    <n v="463.92287510123236"/>
    <n v="309.28191673415489"/>
  </r>
  <r>
    <s v="30/08/2026"/>
    <s v="M"/>
    <s v="[1062] RAMGADH"/>
    <s v="[8404] CHANDESH"/>
    <x v="16"/>
    <x v="16"/>
    <x v="16"/>
    <s v="C"/>
    <n v="20"/>
    <n v="3.5"/>
    <n v="8.4"/>
    <n v="0.7"/>
    <n v="1.68"/>
    <n v="37.948167600000005"/>
    <n v="758.9633520000001"/>
    <n v="417.01283076923085"/>
    <n v="278.00855384615392"/>
    <n v="13.281858660000003"/>
    <n v="75"/>
    <n v="847.24521066000011"/>
    <n v="42.362260533000004"/>
    <n v="465.51934651648355"/>
    <n v="310.34623101098902"/>
  </r>
  <r>
    <s v="30/08/2026"/>
    <s v="E"/>
    <s v="[1062] RAMGADH"/>
    <s v="[8404] CHANDESH"/>
    <x v="16"/>
    <x v="16"/>
    <x v="16"/>
    <s v="C"/>
    <n v="19"/>
    <n v="3.3"/>
    <n v="8.4"/>
    <n v="0.627"/>
    <n v="1.5959999999999999"/>
    <n v="37.114167600000009"/>
    <n v="705.16918440000018"/>
    <n v="417.01311910112372"/>
    <n v="278.00874606741581"/>
    <n v="12.340460727000004"/>
    <n v="71.25"/>
    <n v="788.75964512700023"/>
    <n v="41.513665533000015"/>
    <n v="466.44568014606762"/>
    <n v="310.9637867640451"/>
  </r>
  <r>
    <s v="31/08/2026"/>
    <s v="M"/>
    <s v="[1062] RAMGADH"/>
    <s v="[8404] CHANDESH"/>
    <x v="16"/>
    <x v="16"/>
    <x v="16"/>
    <s v="C"/>
    <n v="20"/>
    <n v="3.2"/>
    <n v="8.4"/>
    <n v="0.64"/>
    <n v="1.68"/>
    <n v="36.697167600000007"/>
    <n v="733.94335200000012"/>
    <n v="417.01326818181826"/>
    <n v="278.00884545454551"/>
    <n v="12.844008660000004"/>
    <n v="75"/>
    <n v="821.7873606600001"/>
    <n v="41.089368033000007"/>
    <n v="466.92463673863648"/>
    <n v="311.28309115909099"/>
  </r>
  <r>
    <s v="31/08/2026"/>
    <s v="E"/>
    <s v="[1062] RAMGADH"/>
    <s v="[8404] CHANDESH"/>
    <x v="16"/>
    <x v="16"/>
    <x v="16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01/09/2026"/>
    <s v="M"/>
    <s v="[1062] RAMGADH"/>
    <s v="[8404] CHANDESH"/>
    <x v="16"/>
    <x v="16"/>
    <x v="16"/>
    <s v="C"/>
    <n v="16"/>
    <n v="3"/>
    <n v="8.4"/>
    <n v="0.48"/>
    <n v="1.3440000000000001"/>
    <n v="35.863167600000004"/>
    <n v="573.81068160000007"/>
    <n v="417.01357674418614"/>
    <n v="278.00905116279074"/>
    <n v="10.041686928000003"/>
    <n v="60"/>
    <n v="643.85236852800006"/>
    <n v="40.240773033000004"/>
    <n v="467.91596550000008"/>
    <n v="311.94397700000007"/>
  </r>
  <r>
    <s v="01/09/2026"/>
    <s v="E"/>
    <s v="[1062] RAMGADH"/>
    <s v="[8404] CHANDESH"/>
    <x v="16"/>
    <x v="16"/>
    <x v="16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02/09/2026"/>
    <s v="M"/>
    <s v="[1062] RAMGADH"/>
    <s v="[8404] CHANDESH"/>
    <x v="16"/>
    <x v="16"/>
    <x v="16"/>
    <s v="C"/>
    <n v="16"/>
    <n v="3.1"/>
    <n v="8.4"/>
    <n v="0.496"/>
    <n v="1.3440000000000001"/>
    <n v="36.280167600000006"/>
    <n v="580.48268160000009"/>
    <n v="417.01342068965528"/>
    <n v="278.00894712643685"/>
    <n v="10.158446928000002"/>
    <n v="60"/>
    <n v="650.64112852800008"/>
    <n v="40.665070533000005"/>
    <n v="467.41460382758629"/>
    <n v="311.60973588505755"/>
  </r>
  <r>
    <s v="02/09/2026"/>
    <s v="E"/>
    <s v="[1062] RAMGADH"/>
    <s v="[8404] CHANDESH"/>
    <x v="16"/>
    <x v="16"/>
    <x v="16"/>
    <s v="C"/>
    <n v="20"/>
    <n v="3.5"/>
    <n v="8.4"/>
    <n v="0.7"/>
    <n v="1.68"/>
    <n v="37.948167600000005"/>
    <n v="758.9633520000001"/>
    <n v="417.01283076923085"/>
    <n v="278.00855384615392"/>
    <n v="13.281858660000003"/>
    <n v="75"/>
    <n v="847.24521066000011"/>
    <n v="42.362260533000004"/>
    <n v="465.51934651648355"/>
    <n v="310.34623101098902"/>
  </r>
  <r>
    <s v="03/09/2026"/>
    <s v="M"/>
    <s v="[1062] RAMGADH"/>
    <s v="[8404] CHANDESH"/>
    <x v="16"/>
    <x v="16"/>
    <x v="16"/>
    <s v="C"/>
    <n v="15"/>
    <n v="3.1"/>
    <n v="8.4"/>
    <n v="0.46500000000000002"/>
    <n v="1.26"/>
    <n v="36.280167600000006"/>
    <n v="544.20251400000006"/>
    <n v="417.01342068965528"/>
    <n v="278.00894712643685"/>
    <n v="9.5235439950000025"/>
    <n v="56.25"/>
    <n v="609.97605799500002"/>
    <n v="40.665070532999998"/>
    <n v="467.41460382758623"/>
    <n v="311.60973588505749"/>
  </r>
  <r>
    <s v="03/09/2026"/>
    <s v="E"/>
    <s v="[1062] RAMGADH"/>
    <s v="[8404] CHANDESH"/>
    <x v="16"/>
    <x v="16"/>
    <x v="16"/>
    <s v="C"/>
    <n v="17"/>
    <n v="3.3"/>
    <n v="8.5"/>
    <n v="0.56099999999999994"/>
    <n v="1.4450000000000001"/>
    <n v="37.392181500000007"/>
    <n v="635.6670855000001"/>
    <n v="417.0131765799257"/>
    <n v="278.00878438661715"/>
    <n v="11.124173996250002"/>
    <n v="63.75"/>
    <n v="710.54125949625006"/>
    <n v="41.796544676250001"/>
    <n v="466.1324685083643"/>
    <n v="310.75497900557622"/>
  </r>
  <r>
    <s v="28/08/2026"/>
    <s v="M"/>
    <s v="[1062] RAMGADH"/>
    <s v="[8405] RAMGADH"/>
    <x v="17"/>
    <x v="17"/>
    <x v="17"/>
    <s v="C"/>
    <n v="31"/>
    <n v="3.6"/>
    <n v="8.5"/>
    <n v="1.1160000000000001"/>
    <n v="2.6349999999999998"/>
    <n v="38.643181500000004"/>
    <n v="1197.9386265000001"/>
    <n v="417.01274999999998"/>
    <n v="278.00849999999997"/>
    <n v="20.963925963750004"/>
    <n v="116.25"/>
    <n v="1335.15255246375"/>
    <n v="43.069437176249998"/>
    <n v="464.77809902428049"/>
    <n v="309.852066016187"/>
  </r>
  <r>
    <s v="28/08/2026"/>
    <s v="E"/>
    <s v="[1062] RAMGADH"/>
    <s v="[8405] RAMGADH"/>
    <x v="17"/>
    <x v="17"/>
    <x v="17"/>
    <s v="B"/>
    <n v="3"/>
    <n v="5.8"/>
    <n v="8.6"/>
    <n v="0.17399999999999999"/>
    <n v="0.25799999999999995"/>
    <n v="47.461399999999998"/>
    <n v="142.38419999999999"/>
    <n v="411.51502890173413"/>
    <n v="274.34335260115608"/>
    <n v="2.4917235"/>
    <n v="11.25"/>
    <n v="156.1259235"/>
    <n v="52.041974500000002"/>
    <n v="451.23099277456657"/>
    <n v="300.82066184971103"/>
  </r>
  <r>
    <s v="28/08/2026"/>
    <s v="E"/>
    <s v="[1062] RAMGADH"/>
    <s v="[8405] RAMGADH"/>
    <x v="17"/>
    <x v="17"/>
    <x v="17"/>
    <s v="C"/>
    <n v="37"/>
    <n v="3.6"/>
    <n v="8.5"/>
    <n v="1.3320000000000001"/>
    <n v="3.145"/>
    <n v="38.643181500000004"/>
    <n v="1429.7977155000001"/>
    <n v="417.01274999999998"/>
    <n v="278.00849999999997"/>
    <n v="25.021460021250004"/>
    <n v="138.75"/>
    <n v="1593.5691755212501"/>
    <n v="43.069437176250005"/>
    <n v="464.77809902428061"/>
    <n v="309.85206601618705"/>
  </r>
  <r>
    <s v="29/08/2026"/>
    <s v="M"/>
    <s v="[1062] RAMGADH"/>
    <s v="[8405] RAMGADH"/>
    <x v="17"/>
    <x v="17"/>
    <x v="17"/>
    <s v="C"/>
    <n v="42"/>
    <n v="3"/>
    <n v="8.5"/>
    <n v="1.26"/>
    <n v="3.57"/>
    <n v="36.141181500000002"/>
    <n v="1517.929623"/>
    <n v="417.01363269230768"/>
    <n v="278.00908846153845"/>
    <n v="26.563768402500003"/>
    <n v="157.5"/>
    <n v="1701.9933914025"/>
    <n v="40.523652176250003"/>
    <n v="467.58060203365386"/>
    <n v="311.72040135576924"/>
  </r>
  <r>
    <s v="29/08/2026"/>
    <s v="E"/>
    <s v="[1062] RAMGADH"/>
    <s v="[8405] RAMGADH"/>
    <x v="17"/>
    <x v="17"/>
    <x v="17"/>
    <s v="B"/>
    <n v="2"/>
    <n v="7.2"/>
    <n v="9"/>
    <n v="0.14400000000000002"/>
    <n v="0.18"/>
    <n v="60.120000000000005"/>
    <n v="120.24000000000001"/>
    <n v="455.4545454545455"/>
    <n v="303.63636363636368"/>
    <n v="2.1042000000000005"/>
    <n v="7.5"/>
    <n v="129.8442"/>
    <n v="64.9221"/>
    <n v="491.83409090909089"/>
    <n v="327.88939393939393"/>
  </r>
  <r>
    <s v="29/08/2026"/>
    <s v="E"/>
    <s v="[1062] RAMGADH"/>
    <s v="[8405] RAMGADH"/>
    <x v="17"/>
    <x v="17"/>
    <x v="17"/>
    <s v="C"/>
    <n v="39"/>
    <n v="3.6"/>
    <n v="8.5"/>
    <n v="1.4040000000000001"/>
    <n v="3.3149999999999999"/>
    <n v="38.643181500000004"/>
    <n v="1507.0840785000003"/>
    <n v="417.01274999999998"/>
    <n v="278.00849999999997"/>
    <n v="26.373971373750006"/>
    <n v="146.25"/>
    <n v="1679.7080498737503"/>
    <n v="43.069437176250005"/>
    <n v="464.77809902428061"/>
    <n v="309.85206601618705"/>
  </r>
  <r>
    <s v="30/08/2026"/>
    <s v="M"/>
    <s v="[1062] RAMGADH"/>
    <s v="[8405] RAMGADH"/>
    <x v="17"/>
    <x v="17"/>
    <x v="17"/>
    <s v="C"/>
    <n v="40"/>
    <n v="4.0999999999999996"/>
    <n v="8.5"/>
    <n v="1.64"/>
    <n v="3.4"/>
    <n v="40.728181500000005"/>
    <n v="1629.1272600000002"/>
    <n v="417.01209726962463"/>
    <n v="278.0080648464164"/>
    <n v="28.509727050000006"/>
    <n v="150"/>
    <n v="1807.6369870500002"/>
    <n v="45.190924676250006"/>
    <n v="462.70571340870316"/>
    <n v="308.47047560580211"/>
  </r>
  <r>
    <s v="30/08/2026"/>
    <s v="E"/>
    <s v="[1062] RAMGADH"/>
    <s v="[8405] RAMGADH"/>
    <x v="17"/>
    <x v="17"/>
    <x v="17"/>
    <s v="B"/>
    <n v="2"/>
    <n v="6.3"/>
    <n v="8.8000000000000007"/>
    <n v="0.126"/>
    <n v="0.17600000000000002"/>
    <n v="52.078949999999999"/>
    <n v="104.1579"/>
    <n v="428.04616438356163"/>
    <n v="285.36410958904111"/>
    <n v="1.8227632500000002"/>
    <n v="7.5"/>
    <n v="113.48066324999999"/>
    <n v="56.740331624999996"/>
    <n v="466.35889006849311"/>
    <n v="310.90592671232872"/>
  </r>
  <r>
    <s v="30/08/2026"/>
    <s v="E"/>
    <s v="[1062] RAMGADH"/>
    <s v="[8405] RAMGADH"/>
    <x v="17"/>
    <x v="17"/>
    <x v="17"/>
    <s v="C"/>
    <n v="38"/>
    <n v="3.5"/>
    <n v="8.5"/>
    <n v="1.33"/>
    <n v="3.23"/>
    <n v="38.226181500000003"/>
    <n v="1452.5948970000002"/>
    <n v="417.01288909090908"/>
    <n v="278.00859272727274"/>
    <n v="25.420410697500007"/>
    <n v="142.5"/>
    <n v="1620.5153076975002"/>
    <n v="42.645139676250004"/>
    <n v="465.21970555909093"/>
    <n v="310.14647037272726"/>
  </r>
  <r>
    <s v="31/08/2026"/>
    <s v="M"/>
    <s v="[1062] RAMGADH"/>
    <s v="[8405] RAMGADH"/>
    <x v="17"/>
    <x v="17"/>
    <x v="17"/>
    <s v="C"/>
    <n v="40"/>
    <n v="3.3"/>
    <n v="8.5"/>
    <n v="1.32"/>
    <n v="3.4"/>
    <n v="37.392181500000007"/>
    <n v="1495.6872600000002"/>
    <n v="417.0131765799257"/>
    <n v="278.00878438661715"/>
    <n v="26.174527050000005"/>
    <n v="150"/>
    <n v="1671.8617870500002"/>
    <n v="41.796544676250008"/>
    <n v="466.13246850836435"/>
    <n v="310.75497900557622"/>
  </r>
  <r>
    <s v="31/08/2026"/>
    <s v="E"/>
    <s v="[1062] RAMGADH"/>
    <s v="[8405] RAMGADH"/>
    <x v="17"/>
    <x v="17"/>
    <x v="17"/>
    <s v="B"/>
    <n v="2"/>
    <n v="6.9"/>
    <n v="9"/>
    <n v="0.13800000000000001"/>
    <n v="0.18"/>
    <n v="57.615000000000002"/>
    <n v="115.23"/>
    <n v="446.62790697674421"/>
    <n v="297.75193798449612"/>
    <n v="2.0165250000000001"/>
    <n v="7.5"/>
    <n v="124.74652500000001"/>
    <n v="62.373262500000003"/>
    <n v="483.51366279069771"/>
    <n v="322.34244186046516"/>
  </r>
  <r>
    <s v="31/08/2026"/>
    <s v="E"/>
    <s v="[1062] RAMGADH"/>
    <s v="[8405] RAMGADH"/>
    <x v="17"/>
    <x v="17"/>
    <x v="17"/>
    <s v="C"/>
    <n v="40"/>
    <n v="3.5"/>
    <n v="8.4"/>
    <n v="1.4"/>
    <n v="3.36"/>
    <n v="37.948167600000005"/>
    <n v="1517.9267040000002"/>
    <n v="417.01283076923085"/>
    <n v="278.00855384615392"/>
    <n v="26.563717320000006"/>
    <n v="150"/>
    <n v="1694.4904213200002"/>
    <n v="42.362260533000004"/>
    <n v="465.51934651648355"/>
    <n v="310.34623101098902"/>
  </r>
  <r>
    <s v="01/09/2026"/>
    <s v="M"/>
    <s v="[1062] RAMGADH"/>
    <s v="[8405] RAMGADH"/>
    <x v="17"/>
    <x v="17"/>
    <x v="17"/>
    <s v="C"/>
    <n v="40"/>
    <n v="3.8"/>
    <n v="8.5"/>
    <n v="1.52"/>
    <n v="3.4"/>
    <n v="39.4771815"/>
    <n v="1579.08726"/>
    <n v="417.0124806338028"/>
    <n v="278.00832042253518"/>
    <n v="27.634027050000004"/>
    <n v="150"/>
    <n v="1756.72128705"/>
    <n v="43.918032176250001"/>
    <n v="463.92287510123236"/>
    <n v="309.28191673415489"/>
  </r>
  <r>
    <s v="01/09/2026"/>
    <s v="E"/>
    <s v="[1062] RAMGADH"/>
    <s v="[8405] RAMGADH"/>
    <x v="17"/>
    <x v="17"/>
    <x v="17"/>
    <s v="C"/>
    <n v="41"/>
    <n v="3.8"/>
    <n v="8.5"/>
    <n v="1.5579999999999998"/>
    <n v="3.4849999999999999"/>
    <n v="39.4771815"/>
    <n v="1618.5644414999999"/>
    <n v="417.0124806338028"/>
    <n v="278.00832042253518"/>
    <n v="28.324877726250001"/>
    <n v="153.75"/>
    <n v="1800.6393192262499"/>
    <n v="43.918032176249994"/>
    <n v="463.92287510123231"/>
    <n v="309.28191673415489"/>
  </r>
  <r>
    <s v="02/09/2026"/>
    <s v="M"/>
    <s v="[1062] RAMGADH"/>
    <s v="[8405] RAMGADH"/>
    <x v="17"/>
    <x v="17"/>
    <x v="17"/>
    <s v="C"/>
    <n v="40"/>
    <n v="3.5"/>
    <n v="8.5"/>
    <n v="1.4"/>
    <n v="3.4"/>
    <n v="38.226181500000003"/>
    <n v="1529.0472600000001"/>
    <n v="417.01288909090908"/>
    <n v="278.00859272727274"/>
    <n v="26.758327050000002"/>
    <n v="150"/>
    <n v="1705.80558705"/>
    <n v="42.645139676249997"/>
    <n v="465.21970555909081"/>
    <n v="310.14647037272721"/>
  </r>
  <r>
    <s v="02/09/2026"/>
    <s v="E"/>
    <s v="[1062] RAMGADH"/>
    <s v="[8405] RAMGADH"/>
    <x v="17"/>
    <x v="17"/>
    <x v="17"/>
    <s v="C"/>
    <n v="42"/>
    <n v="3.2"/>
    <n v="8.5"/>
    <n v="1.3440000000000001"/>
    <n v="3.57"/>
    <n v="36.975181500000005"/>
    <n v="1552.9576230000002"/>
    <n v="417.01332518796994"/>
    <n v="278.00888345864661"/>
    <n v="27.176758402500006"/>
    <n v="157.5"/>
    <n v="1737.6343814025004"/>
    <n v="41.372247176250006"/>
    <n v="466.60429146146623"/>
    <n v="311.06952764097747"/>
  </r>
  <r>
    <s v="29/08/2026"/>
    <s v="M"/>
    <s v="[1062] RAMGADH"/>
    <s v="[8405] RAMGADH"/>
    <x v="18"/>
    <x v="18"/>
    <x v="18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30/08/2026"/>
    <s v="M"/>
    <s v="[1062] RAMGADH"/>
    <s v="[8405] RAMGADH"/>
    <x v="18"/>
    <x v="18"/>
    <x v="18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31/08/2026"/>
    <s v="M"/>
    <s v="[1062] RAMGADH"/>
    <s v="[8405] RAMGADH"/>
    <x v="18"/>
    <x v="18"/>
    <x v="18"/>
    <s v="B"/>
    <n v="8"/>
    <n v="7.4"/>
    <n v="9"/>
    <n v="0.59200000000000008"/>
    <n v="0.72"/>
    <n v="61.790000000000006"/>
    <n v="494.32000000000005"/>
    <n v="461.11940298507466"/>
    <n v="307.41293532338312"/>
    <n v="8.6506000000000025"/>
    <n v="30"/>
    <n v="532.9706000000001"/>
    <n v="66.621325000000013"/>
    <n v="497.17406716417918"/>
    <n v="331.44937810945277"/>
  </r>
  <r>
    <s v="01/09/2026"/>
    <s v="M"/>
    <s v="[1062] RAMGADH"/>
    <s v="[8405] RAMGADH"/>
    <x v="18"/>
    <x v="18"/>
    <x v="18"/>
    <s v="B"/>
    <n v="36"/>
    <n v="7.2"/>
    <n v="9"/>
    <n v="2.5920000000000001"/>
    <n v="3.24"/>
    <n v="60.120000000000005"/>
    <n v="2164.3200000000002"/>
    <n v="455.4545454545455"/>
    <n v="303.63636363636368"/>
    <n v="37.875600000000006"/>
    <n v="135"/>
    <n v="2337.1956"/>
    <n v="64.9221"/>
    <n v="491.83409090909089"/>
    <n v="327.88939393939393"/>
  </r>
  <r>
    <s v="01/09/2026"/>
    <s v="M"/>
    <s v="[1062] RAMGADH"/>
    <s v="[8405] RAMGADH"/>
    <x v="18"/>
    <x v="18"/>
    <x v="18"/>
    <s v="C"/>
    <n v="25"/>
    <n v="4"/>
    <n v="8.4"/>
    <n v="1"/>
    <n v="2.1"/>
    <n v="40.033167600000006"/>
    <n v="1000.8291900000002"/>
    <n v="417.01216250000004"/>
    <n v="278.00810833333338"/>
    <n v="17.514510825000006"/>
    <n v="93.75"/>
    <n v="1112.0937008250003"/>
    <n v="44.483748033000012"/>
    <n v="463.37237534375009"/>
    <n v="308.91491689583341"/>
  </r>
  <r>
    <s v="02/09/2026"/>
    <s v="M"/>
    <s v="[1062] RAMGADH"/>
    <s v="[8405] RAMGADH"/>
    <x v="18"/>
    <x v="18"/>
    <x v="18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28/08/2026"/>
    <s v="M"/>
    <s v="[1062] RAMGADH"/>
    <s v="[8404] CHANDESH"/>
    <x v="19"/>
    <x v="19"/>
    <x v="19"/>
    <s v="B"/>
    <n v="5"/>
    <n v="6.3"/>
    <n v="9"/>
    <n v="0.315"/>
    <n v="0.45"/>
    <n v="52.604999999999997"/>
    <n v="263.02499999999998"/>
    <n v="427.6829268292683"/>
    <n v="285.1219512195122"/>
    <n v="4.6029375000000003"/>
    <n v="18.75"/>
    <n v="286.37793749999997"/>
    <n v="57.275587499999993"/>
    <n v="465.65518292682924"/>
    <n v="310.43678861788618"/>
  </r>
  <r>
    <s v="28/08/2026"/>
    <s v="E"/>
    <s v="[1062] RAMGADH"/>
    <s v="[8404] CHANDESH"/>
    <x v="19"/>
    <x v="19"/>
    <x v="19"/>
    <s v="B"/>
    <n v="9"/>
    <n v="5.6"/>
    <n v="9"/>
    <n v="0.504"/>
    <n v="0.81"/>
    <n v="46.76"/>
    <n v="420.84"/>
    <n v="403.10344827586209"/>
    <n v="268.73563218390808"/>
    <n v="7.3647"/>
    <n v="33.75"/>
    <n v="461.9547"/>
    <n v="51.328299999999999"/>
    <n v="442.48534482758623"/>
    <n v="294.99022988505749"/>
  </r>
  <r>
    <s v="29/08/2026"/>
    <s v="M"/>
    <s v="[1062] RAMGADH"/>
    <s v="[8404] CHANDESH"/>
    <x v="19"/>
    <x v="19"/>
    <x v="19"/>
    <s v="C"/>
    <n v="5"/>
    <n v="5.2"/>
    <n v="8.5"/>
    <n v="0.26"/>
    <n v="0.42499999999999999"/>
    <n v="45.315181500000008"/>
    <n v="226.57590750000003"/>
    <n v="417.01087269938654"/>
    <n v="278.00724846625769"/>
    <n v="3.965078381250001"/>
    <n v="18.75"/>
    <n v="249.29098588125004"/>
    <n v="49.858197176250009"/>
    <n v="458.81776542561352"/>
    <n v="305.87851028374234"/>
  </r>
  <r>
    <s v="29/08/2026"/>
    <s v="E"/>
    <s v="[1062] RAMGADH"/>
    <s v="[8404] CHANDESH"/>
    <x v="19"/>
    <x v="19"/>
    <x v="19"/>
    <s v="B"/>
    <n v="8"/>
    <n v="5.7"/>
    <n v="8.8000000000000007"/>
    <n v="0.45600000000000002"/>
    <n v="0.70400000000000007"/>
    <n v="47.119050000000001"/>
    <n v="376.95240000000001"/>
    <n v="407.3693083573487"/>
    <n v="271.57953890489915"/>
    <n v="6.5966670000000009"/>
    <n v="30"/>
    <n v="413.54906700000004"/>
    <n v="51.693633375000005"/>
    <n v="446.91902053314124"/>
    <n v="297.94601368876084"/>
  </r>
  <r>
    <s v="30/08/2026"/>
    <s v="M"/>
    <s v="[1062] RAMGADH"/>
    <s v="[8404] CHANDESH"/>
    <x v="19"/>
    <x v="19"/>
    <x v="19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30/08/2026"/>
    <s v="E"/>
    <s v="[1062] RAMGADH"/>
    <s v="[8404] CHANDESH"/>
    <x v="19"/>
    <x v="19"/>
    <x v="19"/>
    <s v="B"/>
    <n v="9"/>
    <n v="5.5"/>
    <n v="8.8000000000000007"/>
    <n v="0.495"/>
    <n v="0.79200000000000004"/>
    <n v="46.566181499999999"/>
    <n v="419.09563349999996"/>
    <n v="409.67315102639293"/>
    <n v="273.11543401759531"/>
    <n v="7.3341735862500004"/>
    <n v="33.75"/>
    <n v="460.17980708624998"/>
    <n v="51.131089676249999"/>
    <n v="449.83363351539589"/>
    <n v="299.88908901026394"/>
  </r>
  <r>
    <s v="31/08/2026"/>
    <s v="M"/>
    <s v="[1062] RAMGADH"/>
    <s v="[8404] CHANDESH"/>
    <x v="19"/>
    <x v="19"/>
    <x v="19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31/08/2026"/>
    <s v="E"/>
    <s v="[1062] RAMGADH"/>
    <s v="[8404] CHANDESH"/>
    <x v="19"/>
    <x v="19"/>
    <x v="19"/>
    <s v="C"/>
    <n v="8"/>
    <n v="4.9000000000000004"/>
    <n v="8.5"/>
    <n v="0.39200000000000002"/>
    <n v="0.68"/>
    <n v="44.064181500000004"/>
    <n v="352.51345200000003"/>
    <n v="417.01118138801263"/>
    <n v="278.00745425867507"/>
    <n v="6.1689854100000012"/>
    <n v="30"/>
    <n v="388.68243741000003"/>
    <n v="48.585304676250004"/>
    <n v="459.79783605283916"/>
    <n v="306.53189070189279"/>
  </r>
  <r>
    <s v="01/09/2026"/>
    <s v="M"/>
    <s v="[1062] RAMGADH"/>
    <s v="[8404] CHANDESH"/>
    <x v="19"/>
    <x v="19"/>
    <x v="19"/>
    <s v="C"/>
    <n v="9"/>
    <n v="4.3"/>
    <n v="8.1999999999999993"/>
    <n v="0.38699999999999996"/>
    <n v="0.73799999999999999"/>
    <n v="40.728139799999994"/>
    <n v="366.55325819999996"/>
    <n v="417.01167030716726"/>
    <n v="278.00778020477816"/>
    <n v="6.4146820184999997"/>
    <n v="33.75"/>
    <n v="406.71794021849996"/>
    <n v="45.190882246499996"/>
    <n v="462.70527897440275"/>
    <n v="308.47018598293516"/>
  </r>
  <r>
    <s v="01/09/2026"/>
    <s v="E"/>
    <s v="[1062] RAMGADH"/>
    <s v="[8404] CHANDESH"/>
    <x v="19"/>
    <x v="19"/>
    <x v="19"/>
    <s v="B"/>
    <n v="6"/>
    <n v="5.6"/>
    <n v="8.5"/>
    <n v="0.33599999999999997"/>
    <n v="0.51"/>
    <n v="45.357199999999999"/>
    <n v="272.14319999999998"/>
    <n v="402.57869822485208"/>
    <n v="268.38579881656807"/>
    <n v="4.7625060000000001"/>
    <n v="22.5"/>
    <n v="299.40570600000001"/>
    <n v="49.900950999999999"/>
    <n v="442.90784911242605"/>
    <n v="295.27189940828401"/>
  </r>
  <r>
    <s v="02/09/2026"/>
    <s v="M"/>
    <s v="[1062] RAMGADH"/>
    <s v="[8404] CHANDESH"/>
    <x v="19"/>
    <x v="19"/>
    <x v="19"/>
    <s v="C"/>
    <n v="6"/>
    <n v="3.5"/>
    <n v="8.3000000000000007"/>
    <n v="0.21"/>
    <n v="0.49800000000000005"/>
    <n v="37.670153700000007"/>
    <n v="226.02092220000003"/>
    <n v="417.01277158671587"/>
    <n v="278.00851439114393"/>
    <n v="3.955366138500001"/>
    <n v="22.5"/>
    <n v="252.47628833850004"/>
    <n v="42.079381389750004"/>
    <n v="465.82341021863465"/>
    <n v="310.54894014575643"/>
  </r>
  <r>
    <s v="02/09/2026"/>
    <s v="E"/>
    <s v="[1062] RAMGADH"/>
    <s v="[8404] CHANDESH"/>
    <x v="19"/>
    <x v="19"/>
    <x v="19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03/09/2026"/>
    <s v="M"/>
    <s v="[1062] RAMGADH"/>
    <s v="[8404] CHANDESH"/>
    <x v="19"/>
    <x v="19"/>
    <x v="19"/>
    <s v="C"/>
    <n v="9"/>
    <n v="4.2"/>
    <n v="8.3000000000000007"/>
    <n v="0.37800000000000006"/>
    <n v="0.747"/>
    <n v="40.589153700000004"/>
    <n v="365.30238330000003"/>
    <n v="417.01185308219181"/>
    <n v="278.00790205479456"/>
    <n v="6.3927917077500007"/>
    <n v="33.75"/>
    <n v="405.44517500775004"/>
    <n v="45.049463889750001"/>
    <n v="462.83695777140406"/>
    <n v="308.55797184760269"/>
  </r>
  <r>
    <s v="03/09/2026"/>
    <s v="E"/>
    <s v="[1062] RAMGADH"/>
    <s v="[8404] CHANDESH"/>
    <x v="19"/>
    <x v="19"/>
    <x v="19"/>
    <s v="C"/>
    <n v="8"/>
    <n v="5.3"/>
    <n v="8.5"/>
    <n v="0.42399999999999999"/>
    <n v="0.68"/>
    <n v="45.732181500000003"/>
    <n v="365.85745200000002"/>
    <n v="417.01077355623107"/>
    <n v="278.00718237082071"/>
    <n v="6.4025054100000007"/>
    <n v="30"/>
    <n v="402.25995741000003"/>
    <n v="50.282494676250003"/>
    <n v="458.50299096884504"/>
    <n v="305.66866064589669"/>
  </r>
  <r>
    <s v="28/08/2026"/>
    <s v="M"/>
    <s v="[1062] RAMGADH"/>
    <s v="[8404] CHANDESH"/>
    <x v="20"/>
    <x v="20"/>
    <x v="20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29/08/2026"/>
    <s v="M"/>
    <s v="[1062] RAMGADH"/>
    <s v="[8404] CHANDESH"/>
    <x v="20"/>
    <x v="20"/>
    <x v="20"/>
    <s v="B"/>
    <n v="9"/>
    <n v="7.4"/>
    <n v="9"/>
    <n v="0.66600000000000004"/>
    <n v="0.81"/>
    <n v="61.790000000000006"/>
    <n v="556.11"/>
    <n v="461.11940298507466"/>
    <n v="307.41293532338312"/>
    <n v="9.7319250000000004"/>
    <n v="33.75"/>
    <n v="599.59192500000006"/>
    <n v="66.621325000000013"/>
    <n v="497.17406716417918"/>
    <n v="331.44937810945277"/>
  </r>
  <r>
    <s v="29/08/2026"/>
    <s v="E"/>
    <s v="[1062] RAMGADH"/>
    <s v="[8404] CHANDESH"/>
    <x v="20"/>
    <x v="20"/>
    <x v="20"/>
    <s v="C"/>
    <n v="84"/>
    <n v="3.9"/>
    <n v="8.1999999999999993"/>
    <n v="3.2759999999999998"/>
    <n v="6.8879999999999999"/>
    <n v="39.060139800000002"/>
    <n v="3281.0517432000001"/>
    <n v="417.01216868327407"/>
    <n v="278.00811245551603"/>
    <n v="57.418405506000006"/>
    <n v="315"/>
    <n v="3653.4701487060001"/>
    <n v="43.493692246500004"/>
    <n v="464.34546882384348"/>
    <n v="309.5636458825623"/>
  </r>
  <r>
    <s v="30/08/2026"/>
    <s v="M"/>
    <s v="[1062] RAMGADH"/>
    <s v="[8404] CHANDESH"/>
    <x v="20"/>
    <x v="20"/>
    <x v="20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30/08/2026"/>
    <s v="E"/>
    <s v="[1062] RAMGADH"/>
    <s v="[8404] CHANDESH"/>
    <x v="20"/>
    <x v="20"/>
    <x v="20"/>
    <s v="B"/>
    <n v="39"/>
    <n v="5.5"/>
    <n v="8.6"/>
    <n v="2.145"/>
    <n v="3.3539999999999996"/>
    <n v="46.566181499999999"/>
    <n v="1816.0810784999999"/>
    <n v="414.53574035608312"/>
    <n v="276.35716023738877"/>
    <n v="31.781418873750003"/>
    <n v="146.25"/>
    <n v="1994.1124973737499"/>
    <n v="51.131089676249999"/>
    <n v="455.17290512982197"/>
    <n v="303.44860341988129"/>
  </r>
  <r>
    <s v="30/08/2026"/>
    <s v="E"/>
    <s v="[1062] RAMGADH"/>
    <s v="[8404] CHANDESH"/>
    <x v="20"/>
    <x v="20"/>
    <x v="2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31/08/2026"/>
    <s v="M"/>
    <s v="[1062] RAMGADH"/>
    <s v="[8404] CHANDESH"/>
    <x v="20"/>
    <x v="20"/>
    <x v="20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31/08/2026"/>
    <s v="M"/>
    <s v="[1062] RAMGADH"/>
    <s v="[8404] CHANDESH"/>
    <x v="20"/>
    <x v="20"/>
    <x v="20"/>
    <s v="C"/>
    <n v="41"/>
    <n v="3.7"/>
    <n v="8"/>
    <n v="1.5170000000000001"/>
    <n v="3.28"/>
    <n v="37.670112000000003"/>
    <n v="1544.474592"/>
    <n v="417.0123099630996"/>
    <n v="278.0082066420664"/>
    <n v="27.028305360000004"/>
    <n v="153.75"/>
    <n v="1725.2528973600001"/>
    <n v="42.079338960000001"/>
    <n v="465.82294051660512"/>
    <n v="310.5486270110701"/>
  </r>
  <r>
    <s v="31/08/2026"/>
    <s v="E"/>
    <s v="[1062] RAMGADH"/>
    <s v="[8404] CHANDESH"/>
    <x v="20"/>
    <x v="20"/>
    <x v="20"/>
    <s v="B"/>
    <n v="36"/>
    <n v="5.5"/>
    <n v="8.5"/>
    <n v="1.98"/>
    <n v="3.06"/>
    <n v="46.566181499999999"/>
    <n v="1676.3825339999999"/>
    <n v="417.01058059701495"/>
    <n v="278.00705373134332"/>
    <n v="29.336694345000002"/>
    <n v="135"/>
    <n v="1840.7192283449999"/>
    <n v="51.131089676249999"/>
    <n v="457.89035530970148"/>
    <n v="305.26023687313432"/>
  </r>
  <r>
    <s v="31/08/2026"/>
    <s v="E"/>
    <s v="[1062] RAMGADH"/>
    <s v="[8404] CHANDESH"/>
    <x v="20"/>
    <x v="20"/>
    <x v="20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1/09/2026"/>
    <s v="M"/>
    <s v="[1062] RAMGADH"/>
    <s v="[8404] CHANDESH"/>
    <x v="20"/>
    <x v="20"/>
    <x v="20"/>
    <s v="B"/>
    <n v="28"/>
    <n v="5.5"/>
    <n v="8.4"/>
    <n v="1.54"/>
    <n v="2.3520000000000003"/>
    <n v="46.288167600000008"/>
    <n v="1296.0686928000002"/>
    <n v="417.01051891891899"/>
    <n v="278.00701261261264"/>
    <n v="22.681202124000006"/>
    <n v="105"/>
    <n v="1423.7498949240003"/>
    <n v="50.848210533000007"/>
    <n v="458.09198678378385"/>
    <n v="305.39465785585588"/>
  </r>
  <r>
    <s v="01/09/2026"/>
    <s v="M"/>
    <s v="[1062] RAMGADH"/>
    <s v="[8404] CHANDESH"/>
    <x v="20"/>
    <x v="20"/>
    <x v="2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1/09/2026"/>
    <s v="E"/>
    <s v="[1062] RAMGADH"/>
    <s v="[8404] CHANDESH"/>
    <x v="20"/>
    <x v="20"/>
    <x v="20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01/09/2026"/>
    <s v="E"/>
    <s v="[1062] RAMGADH"/>
    <s v="[8404] CHANDESH"/>
    <x v="20"/>
    <x v="20"/>
    <x v="20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02/09/2026"/>
    <s v="M"/>
    <s v="[1062] RAMGADH"/>
    <s v="[8404] CHANDESH"/>
    <x v="20"/>
    <x v="20"/>
    <x v="20"/>
    <s v="B"/>
    <n v="41"/>
    <n v="5.7"/>
    <n v="8.8000000000000007"/>
    <n v="2.3370000000000002"/>
    <n v="3.6080000000000001"/>
    <n v="47.119050000000001"/>
    <n v="1931.88105"/>
    <n v="407.3693083573487"/>
    <n v="271.57953890489915"/>
    <n v="33.807918375"/>
    <n v="153.75"/>
    <n v="2119.4389683750001"/>
    <n v="51.693633375000005"/>
    <n v="446.91902053314124"/>
    <n v="297.94601368876084"/>
  </r>
  <r>
    <s v="02/09/2026"/>
    <s v="M"/>
    <s v="[1062] RAMGADH"/>
    <s v="[8404] CHANDESH"/>
    <x v="20"/>
    <x v="20"/>
    <x v="20"/>
    <s v="C"/>
    <n v="52"/>
    <n v="3.1"/>
    <n v="8.1"/>
    <n v="1.6120000000000001"/>
    <n v="4.2119999999999997"/>
    <n v="35.446125899999998"/>
    <n v="1843.1985467999998"/>
    <n v="417.01324588235298"/>
    <n v="278.0088305882353"/>
    <n v="32.255974569000003"/>
    <n v="195"/>
    <n v="2070.4545213689998"/>
    <n v="39.816433103249999"/>
    <n v="468.42862474411766"/>
    <n v="312.28574982941177"/>
  </r>
  <r>
    <s v="02/09/2026"/>
    <s v="E"/>
    <s v="[1062] RAMGADH"/>
    <s v="[8404] CHANDESH"/>
    <x v="20"/>
    <x v="20"/>
    <x v="20"/>
    <s v="B"/>
    <n v="40"/>
    <n v="5.5"/>
    <n v="8.4"/>
    <n v="2.2000000000000002"/>
    <n v="3.36"/>
    <n v="46.288167600000008"/>
    <n v="1851.5267040000003"/>
    <n v="417.01051891891899"/>
    <n v="278.00701261261264"/>
    <n v="32.40171732000001"/>
    <n v="150"/>
    <n v="2033.9284213200003"/>
    <n v="50.848210533000007"/>
    <n v="458.09198678378385"/>
    <n v="305.39465785585588"/>
  </r>
  <r>
    <s v="02/09/2026"/>
    <s v="E"/>
    <s v="[1062] RAMGADH"/>
    <s v="[8404] CHANDESH"/>
    <x v="20"/>
    <x v="20"/>
    <x v="20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3/09/2026"/>
    <s v="M"/>
    <s v="[1062] RAMGADH"/>
    <s v="[8404] CHANDESH"/>
    <x v="20"/>
    <x v="20"/>
    <x v="20"/>
    <s v="B"/>
    <n v="47"/>
    <n v="6"/>
    <n v="8.5"/>
    <n v="2.82"/>
    <n v="3.9950000000000001"/>
    <n v="48.597000000000001"/>
    <n v="2284.0590000000002"/>
    <n v="416.54571428571427"/>
    <n v="277.69714285714286"/>
    <n v="39.971032500000007"/>
    <n v="176.25"/>
    <n v="2500.2800325000003"/>
    <n v="53.197447500000003"/>
    <n v="455.97812142857146"/>
    <n v="303.98541428571428"/>
  </r>
  <r>
    <s v="03/09/2026"/>
    <s v="M"/>
    <s v="[1062] RAMGADH"/>
    <s v="[8404] CHANDESH"/>
    <x v="20"/>
    <x v="20"/>
    <x v="20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3/09/2026"/>
    <s v="E"/>
    <s v="[1062] RAMGADH"/>
    <s v="[8404] CHANDESH"/>
    <x v="20"/>
    <x v="20"/>
    <x v="20"/>
    <s v="C"/>
    <n v="74"/>
    <n v="4.0999999999999996"/>
    <n v="8.1999999999999993"/>
    <n v="3.0339999999999998"/>
    <n v="6.0679999999999996"/>
    <n v="39.894139799999998"/>
    <n v="2952.1663451999998"/>
    <n v="417.01191428571434"/>
    <n v="278.00794285714289"/>
    <n v="51.662911041000001"/>
    <n v="277.5"/>
    <n v="3281.3292562409997"/>
    <n v="44.342287246499993"/>
    <n v="463.50822905749129"/>
    <n v="309.00548603832755"/>
  </r>
  <r>
    <s v="28/08/2026"/>
    <s v="M"/>
    <s v="[1062] RAMGADH"/>
    <s v="[8404] CHANDESH"/>
    <x v="21"/>
    <x v="21"/>
    <x v="21"/>
    <s v="B"/>
    <n v="12"/>
    <n v="8.6"/>
    <n v="9"/>
    <n v="1.0319999999999998"/>
    <n v="1.08"/>
    <n v="71.809999999999988"/>
    <n v="861.7199999999998"/>
    <n v="491.84931506849313"/>
    <n v="327.89954337899542"/>
    <n v="15.080099999999998"/>
    <n v="45"/>
    <n v="921.80009999999982"/>
    <n v="76.816674999999989"/>
    <n v="526.14160958904108"/>
    <n v="350.76107305936074"/>
  </r>
  <r>
    <s v="28/08/2026"/>
    <s v="E"/>
    <s v="[1062] RAMGADH"/>
    <s v="[8404] CHANDESH"/>
    <x v="21"/>
    <x v="21"/>
    <x v="21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9/08/2026"/>
    <s v="M"/>
    <s v="[1062] RAMGADH"/>
    <s v="[8404] CHANDESH"/>
    <x v="21"/>
    <x v="21"/>
    <x v="21"/>
    <s v="B"/>
    <n v="55"/>
    <n v="7.6"/>
    <n v="9"/>
    <n v="4.18"/>
    <n v="4.95"/>
    <n v="63.46"/>
    <n v="3490.3"/>
    <n v="466.61764705882348"/>
    <n v="311.07843137254901"/>
    <n v="61.080250000000007"/>
    <n v="206.25"/>
    <n v="3757.6302500000002"/>
    <n v="68.320549999999997"/>
    <n v="502.35698529411758"/>
    <n v="334.90465686274507"/>
  </r>
  <r>
    <s v="29/08/2026"/>
    <s v="E"/>
    <s v="[1062] RAMGADH"/>
    <s v="[8404] CHANDESH"/>
    <x v="21"/>
    <x v="21"/>
    <x v="21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29/08/2026"/>
    <s v="E"/>
    <s v="[1062] RAMGADH"/>
    <s v="[8404] CHANDESH"/>
    <x v="21"/>
    <x v="21"/>
    <x v="21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30/08/2026"/>
    <s v="M"/>
    <s v="[1062] RAMGADH"/>
    <s v="[8404] CHANDESH"/>
    <x v="21"/>
    <x v="21"/>
    <x v="21"/>
    <s v="B"/>
    <n v="26"/>
    <n v="7.6"/>
    <n v="9"/>
    <n v="1.976"/>
    <n v="2.34"/>
    <n v="63.46"/>
    <n v="1649.96"/>
    <n v="466.61764705882348"/>
    <n v="311.07843137254901"/>
    <n v="28.874300000000002"/>
    <n v="97.5"/>
    <n v="1776.3343"/>
    <n v="68.320549999999997"/>
    <n v="502.35698529411758"/>
    <n v="334.90465686274507"/>
  </r>
  <r>
    <s v="30/08/2026"/>
    <s v="E"/>
    <s v="[1062] RAMGADH"/>
    <s v="[8404] CHANDESH"/>
    <x v="21"/>
    <x v="21"/>
    <x v="21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30/08/2026"/>
    <s v="E"/>
    <s v="[1062] RAMGADH"/>
    <s v="[8404] CHANDESH"/>
    <x v="21"/>
    <x v="21"/>
    <x v="21"/>
    <s v="C"/>
    <n v="51"/>
    <n v="3.3"/>
    <n v="8"/>
    <n v="1.6829999999999998"/>
    <n v="4.08"/>
    <n v="36.002112000000004"/>
    <n v="1836.1077120000002"/>
    <n v="417.01288030888031"/>
    <n v="278.00858687258687"/>
    <n v="32.131884960000008"/>
    <n v="191.25"/>
    <n v="2059.4895969600002"/>
    <n v="40.382148960000002"/>
    <n v="467.74689915057911"/>
    <n v="311.83126610038607"/>
  </r>
  <r>
    <s v="31/08/2026"/>
    <s v="M"/>
    <s v="[1062] RAMGADH"/>
    <s v="[8404] CHANDESH"/>
    <x v="21"/>
    <x v="21"/>
    <x v="21"/>
    <s v="B"/>
    <n v="35"/>
    <n v="8"/>
    <n v="9"/>
    <n v="2.8"/>
    <n v="3.15"/>
    <n v="66.8"/>
    <n v="2338"/>
    <n v="477.14285714285705"/>
    <n v="318.09523809523802"/>
    <n v="40.915000000000006"/>
    <n v="131.25"/>
    <n v="2510.165"/>
    <n v="71.718999999999994"/>
    <n v="512.27857142857135"/>
    <n v="341.51904761904757"/>
  </r>
  <r>
    <s v="31/08/2026"/>
    <s v="M"/>
    <s v="[1062] RAMGADH"/>
    <s v="[8404] CHANDESH"/>
    <x v="21"/>
    <x v="21"/>
    <x v="21"/>
    <s v="C"/>
    <n v="70"/>
    <n v="3.4"/>
    <n v="8"/>
    <n v="2.38"/>
    <n v="5.6"/>
    <n v="36.419112000000005"/>
    <n v="2549.3378400000006"/>
    <n v="417.01273282442747"/>
    <n v="278.00848854961833"/>
    <n v="44.613412200000013"/>
    <n v="262.5"/>
    <n v="2856.4512522000005"/>
    <n v="40.806446460000004"/>
    <n v="467.24938694656487"/>
    <n v="311.49959129770991"/>
  </r>
  <r>
    <s v="31/08/2026"/>
    <s v="E"/>
    <s v="[1062] RAMGADH"/>
    <s v="[8404] CHANDESH"/>
    <x v="21"/>
    <x v="21"/>
    <x v="21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31/08/2026"/>
    <s v="E"/>
    <s v="[1062] RAMGADH"/>
    <s v="[8404] CHANDESH"/>
    <x v="21"/>
    <x v="21"/>
    <x v="21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01/09/2026"/>
    <s v="M"/>
    <s v="[1062] RAMGADH"/>
    <s v="[8404] CHANDESH"/>
    <x v="21"/>
    <x v="21"/>
    <x v="21"/>
    <s v="B"/>
    <n v="22"/>
    <n v="7.7"/>
    <n v="9"/>
    <n v="1.694"/>
    <n v="1.98"/>
    <n v="64.295000000000002"/>
    <n v="1414.49"/>
    <n v="469.30656934306569"/>
    <n v="312.87104622871044"/>
    <n v="24.753575000000001"/>
    <n v="82.5"/>
    <n v="1521.743575"/>
    <n v="69.170162500000004"/>
    <n v="504.89169708029198"/>
    <n v="336.59446472019465"/>
  </r>
  <r>
    <s v="01/09/2026"/>
    <s v="M"/>
    <s v="[1062] RAMGADH"/>
    <s v="[8404] CHANDESH"/>
    <x v="21"/>
    <x v="21"/>
    <x v="21"/>
    <s v="C"/>
    <n v="61"/>
    <n v="3.7"/>
    <n v="8.1"/>
    <n v="2.2570000000000001"/>
    <n v="4.9409999999999998"/>
    <n v="37.948125900000008"/>
    <n v="2314.8356799000003"/>
    <n v="417.01237252747262"/>
    <n v="278.00824835164843"/>
    <n v="40.509624398250011"/>
    <n v="228.75"/>
    <n v="2584.0953042982501"/>
    <n v="42.362218103250001"/>
    <n v="465.51888025549454"/>
    <n v="310.34592017032969"/>
  </r>
  <r>
    <s v="01/09/2026"/>
    <s v="E"/>
    <s v="[1062] RAMGADH"/>
    <s v="[8404] CHANDESH"/>
    <x v="21"/>
    <x v="21"/>
    <x v="21"/>
    <s v="B"/>
    <n v="20"/>
    <n v="6.7"/>
    <n v="9"/>
    <n v="1.34"/>
    <n v="1.8"/>
    <n v="55.945"/>
    <n v="1118.9000000000001"/>
    <n v="440.51181102362204"/>
    <n v="293.67454068241472"/>
    <n v="19.580750000000002"/>
    <n v="75"/>
    <n v="1213.4807500000002"/>
    <n v="60.674037500000011"/>
    <n v="477.74832677165364"/>
    <n v="318.49888451443576"/>
  </r>
  <r>
    <s v="01/09/2026"/>
    <s v="E"/>
    <s v="[1062] RAMGADH"/>
    <s v="[8404] CHANDESH"/>
    <x v="21"/>
    <x v="21"/>
    <x v="21"/>
    <s v="C"/>
    <n v="65"/>
    <n v="3.4"/>
    <n v="8"/>
    <n v="2.21"/>
    <n v="5.2"/>
    <n v="36.419112000000005"/>
    <n v="2367.2422800000004"/>
    <n v="417.01273282442747"/>
    <n v="278.00848854961833"/>
    <n v="41.426739900000008"/>
    <n v="243.75"/>
    <n v="2652.4190199000004"/>
    <n v="40.806446460000004"/>
    <n v="467.24938694656487"/>
    <n v="311.49959129770991"/>
  </r>
  <r>
    <s v="02/09/2026"/>
    <s v="M"/>
    <s v="[1062] RAMGADH"/>
    <s v="[8404] CHANDESH"/>
    <x v="21"/>
    <x v="21"/>
    <x v="21"/>
    <s v="B"/>
    <n v="20"/>
    <n v="7.9"/>
    <n v="9"/>
    <n v="1.58"/>
    <n v="1.8"/>
    <n v="65.965000000000003"/>
    <n v="1319.3000000000002"/>
    <n v="474.56834532374097"/>
    <n v="316.37889688249396"/>
    <n v="23.087750000000007"/>
    <n v="75"/>
    <n v="1417.3877500000001"/>
    <n v="70.869387500000002"/>
    <n v="509.85170863309349"/>
    <n v="339.901139088729"/>
  </r>
  <r>
    <s v="02/09/2026"/>
    <s v="M"/>
    <s v="[1062] RAMGADH"/>
    <s v="[8404] CHANDESH"/>
    <x v="21"/>
    <x v="21"/>
    <x v="21"/>
    <s v="C"/>
    <n v="60"/>
    <n v="3.6"/>
    <n v="8.1999999999999993"/>
    <n v="2.16"/>
    <n v="4.919999999999999"/>
    <n v="37.809139800000004"/>
    <n v="2268.5483880000002"/>
    <n v="417.01257132352941"/>
    <n v="278.00838088235292"/>
    <n v="39.699596790000008"/>
    <n v="225"/>
    <n v="2533.2479847900004"/>
    <n v="42.220799746500006"/>
    <n v="465.67058543933825"/>
    <n v="310.44705695955884"/>
  </r>
  <r>
    <s v="02/09/2026"/>
    <s v="E"/>
    <s v="[1062] RAMGADH"/>
    <s v="[8404] CHANDESH"/>
    <x v="21"/>
    <x v="21"/>
    <x v="21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02/09/2026"/>
    <s v="E"/>
    <s v="[1062] RAMGADH"/>
    <s v="[8404] CHANDESH"/>
    <x v="21"/>
    <x v="21"/>
    <x v="21"/>
    <s v="C"/>
    <n v="68"/>
    <n v="3.8"/>
    <n v="8.3000000000000007"/>
    <n v="2.5839999999999996"/>
    <n v="5.644000000000001"/>
    <n v="38.921153700000005"/>
    <n v="2646.6384516000003"/>
    <n v="417.01236107142859"/>
    <n v="278.00824071428571"/>
    <n v="46.316172903000009"/>
    <n v="255"/>
    <n v="2947.9546245030001"/>
    <n v="43.352273889750002"/>
    <n v="464.48864881874999"/>
    <n v="309.6590992125"/>
  </r>
  <r>
    <s v="03/09/2026"/>
    <s v="M"/>
    <s v="[1062] RAMGADH"/>
    <s v="[8404] CHANDESH"/>
    <x v="21"/>
    <x v="21"/>
    <x v="21"/>
    <s v="B"/>
    <n v="36"/>
    <n v="7"/>
    <n v="9"/>
    <n v="2.52"/>
    <n v="3.24"/>
    <n v="58.45"/>
    <n v="2104.2000000000003"/>
    <n v="449.61538461538464"/>
    <n v="299.74358974358978"/>
    <n v="36.82350000000001"/>
    <n v="135"/>
    <n v="2276.0235000000002"/>
    <n v="63.222875000000009"/>
    <n v="486.32980769230772"/>
    <n v="324.21987179487184"/>
  </r>
  <r>
    <s v="03/09/2026"/>
    <s v="M"/>
    <s v="[1062] RAMGADH"/>
    <s v="[8404] CHANDESH"/>
    <x v="21"/>
    <x v="21"/>
    <x v="21"/>
    <s v="C"/>
    <n v="71"/>
    <n v="3.6"/>
    <n v="8.1"/>
    <n v="2.556"/>
    <n v="5.7510000000000003"/>
    <n v="37.531125900000006"/>
    <n v="2664.7099389000005"/>
    <n v="417.01251000000008"/>
    <n v="278.00834000000003"/>
    <n v="46.632423930750015"/>
    <n v="266.25"/>
    <n v="2977.5923628307505"/>
    <n v="41.937920603250006"/>
    <n v="465.97689559166673"/>
    <n v="310.6512637277778"/>
  </r>
  <r>
    <s v="03/09/2026"/>
    <s v="E"/>
    <s v="[1062] RAMGADH"/>
    <s v="[8404] CHANDESH"/>
    <x v="21"/>
    <x v="21"/>
    <x v="21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3/09/2026"/>
    <s v="E"/>
    <s v="[1062] RAMGADH"/>
    <s v="[8404] CHANDESH"/>
    <x v="21"/>
    <x v="21"/>
    <x v="21"/>
    <s v="C"/>
    <n v="59"/>
    <n v="3.2"/>
    <n v="8"/>
    <n v="1.8880000000000001"/>
    <n v="4.72"/>
    <n v="35.585112000000002"/>
    <n v="2099.521608"/>
    <n v="417.01303124999998"/>
    <n v="278.00868750000001"/>
    <n v="36.741628140000003"/>
    <n v="221.25"/>
    <n v="2357.5132361400001"/>
    <n v="39.957851460000001"/>
    <n v="468.25607179687495"/>
    <n v="312.17071453124998"/>
  </r>
  <r>
    <s v="28/08/2026"/>
    <s v="M"/>
    <s v="[1062] RAMGADH"/>
    <s v="[8404] CHANDESH"/>
    <x v="22"/>
    <x v="22"/>
    <x v="22"/>
    <s v="C"/>
    <n v="7"/>
    <n v="3.8"/>
    <n v="8.4"/>
    <n v="0.26599999999999996"/>
    <n v="0.58800000000000008"/>
    <n v="39.19916760000001"/>
    <n v="274.39417320000007"/>
    <n v="417.01242127659583"/>
    <n v="278.00828085106389"/>
    <n v="4.8018980310000012"/>
    <n v="26.25"/>
    <n v="305.44607123100008"/>
    <n v="43.635153033000009"/>
    <n v="464.20375567021284"/>
    <n v="309.46917044680856"/>
  </r>
  <r>
    <s v="28/08/2026"/>
    <s v="E"/>
    <s v="[1062] RAMGADH"/>
    <s v="[8404] CHANDESH"/>
    <x v="22"/>
    <x v="22"/>
    <x v="22"/>
    <s v="C"/>
    <n v="18"/>
    <n v="4.5999999999999996"/>
    <n v="8.5"/>
    <n v="0.82799999999999996"/>
    <n v="1.53"/>
    <n v="42.813181499999999"/>
    <n v="770.63726699999995"/>
    <n v="417.01150811688308"/>
    <n v="278.00767207792205"/>
    <n v="13.486152172500001"/>
    <n v="67.5"/>
    <n v="851.62341917250001"/>
    <n v="47.31241217625"/>
    <n v="460.83518353490257"/>
    <n v="307.22345568993507"/>
  </r>
  <r>
    <s v="29/08/2026"/>
    <s v="M"/>
    <s v="[1062] RAMGADH"/>
    <s v="[8404] CHANDESH"/>
    <x v="22"/>
    <x v="22"/>
    <x v="22"/>
    <s v="C"/>
    <n v="21"/>
    <n v="4.8"/>
    <n v="8.5"/>
    <n v="1.008"/>
    <n v="1.7849999999999999"/>
    <n v="43.647181500000002"/>
    <n v="916.59081150000009"/>
    <n v="417.0112882165605"/>
    <n v="278.00752547770702"/>
    <n v="16.040339201250003"/>
    <n v="78.75"/>
    <n v="1011.3811507012501"/>
    <n v="48.16100717625001"/>
    <n v="460.13701123805737"/>
    <n v="306.75800749203825"/>
  </r>
  <r>
    <s v="29/08/2026"/>
    <s v="E"/>
    <s v="[1062] RAMGADH"/>
    <s v="[8404] CHANDESH"/>
    <x v="22"/>
    <x v="22"/>
    <x v="22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30/08/2026"/>
    <s v="M"/>
    <s v="[1062] RAMGADH"/>
    <s v="[8404] CHANDESH"/>
    <x v="22"/>
    <x v="22"/>
    <x v="22"/>
    <s v="C"/>
    <n v="18"/>
    <n v="4.5"/>
    <n v="8.5"/>
    <n v="0.81"/>
    <n v="1.53"/>
    <n v="42.396181500000004"/>
    <n v="763.13126700000009"/>
    <n v="417.01162131147544"/>
    <n v="278.00774754098364"/>
    <n v="13.354797172500003"/>
    <n v="67.5"/>
    <n v="843.98606417250005"/>
    <n v="46.888114676250005"/>
    <n v="461.19457058606559"/>
    <n v="307.46304705737708"/>
  </r>
  <r>
    <s v="30/08/2026"/>
    <s v="E"/>
    <s v="[1062] RAMGADH"/>
    <s v="[8404] CHANDESH"/>
    <x v="22"/>
    <x v="22"/>
    <x v="22"/>
    <s v="C"/>
    <n v="14"/>
    <n v="5.0999999999999996"/>
    <n v="8.5"/>
    <n v="0.71399999999999997"/>
    <n v="1.19"/>
    <n v="44.898181500000007"/>
    <n v="628.57454100000007"/>
    <n v="417.01097368421063"/>
    <n v="278.00731578947375"/>
    <n v="11.000054467500002"/>
    <n v="52.5"/>
    <n v="692.0745954675001"/>
    <n v="49.433899676250007"/>
    <n v="459.13838708591339"/>
    <n v="306.09225805727561"/>
  </r>
  <r>
    <s v="31/08/2026"/>
    <s v="M"/>
    <s v="[1062] RAMGADH"/>
    <s v="[8404] CHANDESH"/>
    <x v="22"/>
    <x v="22"/>
    <x v="22"/>
    <s v="C"/>
    <n v="23"/>
    <n v="4.9000000000000004"/>
    <n v="8.5"/>
    <n v="1.127"/>
    <n v="1.9550000000000001"/>
    <n v="44.064181500000004"/>
    <n v="1013.4761745000001"/>
    <n v="417.01118138801263"/>
    <n v="278.00745425867507"/>
    <n v="17.735833053750003"/>
    <n v="86.25"/>
    <n v="1117.46200755375"/>
    <n v="48.585304676250004"/>
    <n v="459.79783605283916"/>
    <n v="306.53189070189279"/>
  </r>
  <r>
    <s v="31/08/2026"/>
    <s v="E"/>
    <s v="[1062] RAMGADH"/>
    <s v="[8404] CHANDESH"/>
    <x v="22"/>
    <x v="22"/>
    <x v="22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01/09/2026"/>
    <s v="M"/>
    <s v="[1062] RAMGADH"/>
    <s v="[8404] CHANDESH"/>
    <x v="22"/>
    <x v="22"/>
    <x v="22"/>
    <s v="C"/>
    <n v="25"/>
    <n v="4.4000000000000004"/>
    <n v="8.5"/>
    <n v="1.1000000000000001"/>
    <n v="2.125"/>
    <n v="41.97918150000001"/>
    <n v="1049.4795375000003"/>
    <n v="417.01173675496693"/>
    <n v="278.00782450331127"/>
    <n v="18.365891906250006"/>
    <n v="93.75"/>
    <n v="1161.5954294062503"/>
    <n v="46.463817176250011"/>
    <n v="461.56109777731791"/>
    <n v="307.70739851821196"/>
  </r>
  <r>
    <s v="01/09/2026"/>
    <s v="E"/>
    <s v="[1062] RAMGADH"/>
    <s v="[8404] CHANDESH"/>
    <x v="22"/>
    <x v="22"/>
    <x v="22"/>
    <s v="B"/>
    <n v="19"/>
    <n v="5.5"/>
    <n v="8.5"/>
    <n v="1.0449999999999999"/>
    <n v="1.615"/>
    <n v="46.566181499999999"/>
    <n v="884.75744850000001"/>
    <n v="417.01058059701495"/>
    <n v="278.00705373134332"/>
    <n v="15.483255348750001"/>
    <n v="71.25"/>
    <n v="971.49070384875006"/>
    <n v="51.131089676250006"/>
    <n v="457.89035530970153"/>
    <n v="305.26023687313437"/>
  </r>
  <r>
    <s v="02/09/2026"/>
    <s v="M"/>
    <s v="[1062] RAMGADH"/>
    <s v="[8404] CHANDESH"/>
    <x v="22"/>
    <x v="22"/>
    <x v="22"/>
    <s v="C"/>
    <n v="23"/>
    <n v="4.7"/>
    <n v="8.5"/>
    <n v="1.0810000000000002"/>
    <n v="1.9550000000000001"/>
    <n v="43.2301815"/>
    <n v="994.29417450000005"/>
    <n v="417.01139710610931"/>
    <n v="278.00759807073956"/>
    <n v="17.400148053750002"/>
    <n v="86.25"/>
    <n v="1097.94432255375"/>
    <n v="47.736709676250001"/>
    <n v="460.48272999598072"/>
    <n v="306.98848666398715"/>
  </r>
  <r>
    <s v="02/09/2026"/>
    <s v="E"/>
    <s v="[1062] RAMGADH"/>
    <s v="[8404] CHANDESH"/>
    <x v="22"/>
    <x v="22"/>
    <x v="22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03/09/2026"/>
    <s v="M"/>
    <s v="[1062] RAMGADH"/>
    <s v="[8404] CHANDESH"/>
    <x v="22"/>
    <x v="22"/>
    <x v="22"/>
    <s v="C"/>
    <n v="24"/>
    <n v="4.4000000000000004"/>
    <n v="8.5"/>
    <n v="1.056"/>
    <n v="2.04"/>
    <n v="41.97918150000001"/>
    <n v="1007.5003560000002"/>
    <n v="417.01173675496693"/>
    <n v="278.00782450331127"/>
    <n v="17.631256230000005"/>
    <n v="90"/>
    <n v="1115.1316122300002"/>
    <n v="46.463817176250011"/>
    <n v="461.56109777731791"/>
    <n v="307.70739851821196"/>
  </r>
  <r>
    <s v="03/09/2026"/>
    <s v="E"/>
    <s v="[1062] RAMGADH"/>
    <s v="[8404] CHANDESH"/>
    <x v="22"/>
    <x v="22"/>
    <x v="22"/>
    <s v="C"/>
    <n v="18"/>
    <n v="4.5"/>
    <n v="8.5"/>
    <n v="0.81"/>
    <n v="1.53"/>
    <n v="42.396181500000004"/>
    <n v="763.13126700000009"/>
    <n v="417.01162131147544"/>
    <n v="278.00774754098364"/>
    <n v="13.354797172500003"/>
    <n v="67.5"/>
    <n v="843.98606417250005"/>
    <n v="46.888114676250005"/>
    <n v="461.19457058606559"/>
    <n v="307.46304705737708"/>
  </r>
  <r>
    <s v="28/08/2026"/>
    <s v="M"/>
    <s v="[1062] RAMGADH"/>
    <s v="[8405] RAMGADH"/>
    <x v="23"/>
    <x v="23"/>
    <x v="23"/>
    <s v="B"/>
    <n v="69"/>
    <n v="5.6"/>
    <n v="8.8000000000000007"/>
    <n v="3.8639999999999999"/>
    <n v="6.0720000000000001"/>
    <n v="46.292400000000001"/>
    <n v="3194.1756"/>
    <n v="403.71279069767445"/>
    <n v="269.14186046511628"/>
    <n v="55.898073000000004"/>
    <n v="258.75"/>
    <n v="3508.8236729999999"/>
    <n v="50.852516999999999"/>
    <n v="443.48125290697675"/>
    <n v="295.65416860465115"/>
  </r>
  <r>
    <s v="28/08/2026"/>
    <s v="E"/>
    <s v="[1062] RAMGADH"/>
    <s v="[8405] RAMGADH"/>
    <x v="23"/>
    <x v="23"/>
    <x v="23"/>
    <s v="B"/>
    <n v="56"/>
    <n v="5.6"/>
    <n v="9"/>
    <n v="3.1359999999999997"/>
    <n v="5.04"/>
    <n v="46.76"/>
    <n v="2618.56"/>
    <n v="403.10344827586209"/>
    <n v="268.73563218390808"/>
    <n v="45.824800000000003"/>
    <n v="210"/>
    <n v="2874.3847999999998"/>
    <n v="51.328299999999999"/>
    <n v="442.48534482758623"/>
    <n v="294.99022988505749"/>
  </r>
  <r>
    <s v="28/08/2026"/>
    <s v="E"/>
    <s v="[1062] RAMGADH"/>
    <s v="[8405] RAMGADH"/>
    <x v="23"/>
    <x v="23"/>
    <x v="23"/>
    <s v="C"/>
    <n v="41"/>
    <n v="3.2"/>
    <n v="8.5"/>
    <n v="1.3120000000000003"/>
    <n v="3.4849999999999999"/>
    <n v="36.975181500000005"/>
    <n v="1515.9824415000003"/>
    <n v="417.01332518796994"/>
    <n v="278.00888345864661"/>
    <n v="26.529692726250008"/>
    <n v="153.75"/>
    <n v="1696.2621342262503"/>
    <n v="41.372247176250006"/>
    <n v="466.60429146146623"/>
    <n v="311.06952764097747"/>
  </r>
  <r>
    <s v="29/08/2026"/>
    <s v="M"/>
    <s v="[1062] RAMGADH"/>
    <s v="[8405] RAMGADH"/>
    <x v="23"/>
    <x v="23"/>
    <x v="23"/>
    <s v="B"/>
    <n v="96"/>
    <n v="6"/>
    <n v="9"/>
    <n v="5.76"/>
    <n v="8.64"/>
    <n v="50.1"/>
    <n v="4809.6000000000004"/>
    <n v="417.5"/>
    <n v="278.33333333333331"/>
    <n v="84.168000000000021"/>
    <n v="360"/>
    <n v="5253.768"/>
    <n v="54.726750000000003"/>
    <n v="456.05625000000003"/>
    <n v="304.03750000000002"/>
  </r>
  <r>
    <s v="29/08/2026"/>
    <s v="E"/>
    <s v="[1062] RAMGADH"/>
    <s v="[8405] RAMGADH"/>
    <x v="23"/>
    <x v="23"/>
    <x v="23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29/08/2026"/>
    <s v="E"/>
    <s v="[1062] RAMGADH"/>
    <s v="[8405] RAMGADH"/>
    <x v="23"/>
    <x v="23"/>
    <x v="23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30/08/2026"/>
    <s v="M"/>
    <s v="[1062] RAMGADH"/>
    <s v="[8405] RAMGADH"/>
    <x v="23"/>
    <x v="23"/>
    <x v="23"/>
    <s v="B"/>
    <n v="83"/>
    <n v="6"/>
    <n v="9"/>
    <n v="4.9800000000000004"/>
    <n v="7.47"/>
    <n v="50.1"/>
    <n v="4158.3"/>
    <n v="417.5"/>
    <n v="278.33333333333331"/>
    <n v="72.770250000000004"/>
    <n v="311.25"/>
    <n v="4542.3202500000007"/>
    <n v="54.72675000000001"/>
    <n v="456.05625000000009"/>
    <n v="304.03750000000008"/>
  </r>
  <r>
    <s v="30/08/2026"/>
    <s v="E"/>
    <s v="[1062] RAMGADH"/>
    <s v="[8405] RAMGADH"/>
    <x v="23"/>
    <x v="23"/>
    <x v="23"/>
    <s v="B"/>
    <n v="41"/>
    <n v="5.5"/>
    <n v="8.8000000000000007"/>
    <n v="2.2549999999999999"/>
    <n v="3.6080000000000001"/>
    <n v="46.566181499999999"/>
    <n v="1909.2134415"/>
    <n v="409.67315102639293"/>
    <n v="273.11543401759531"/>
    <n v="33.411235226250007"/>
    <n v="153.75"/>
    <n v="2096.3746767262501"/>
    <n v="51.131089676249999"/>
    <n v="449.83363351539589"/>
    <n v="299.88908901026394"/>
  </r>
  <r>
    <s v="30/08/2026"/>
    <s v="E"/>
    <s v="[1062] RAMGADH"/>
    <s v="[8405] RAMGADH"/>
    <x v="23"/>
    <x v="23"/>
    <x v="23"/>
    <s v="C"/>
    <n v="40"/>
    <n v="3.4"/>
    <n v="8.4"/>
    <n v="1.36"/>
    <n v="3.36"/>
    <n v="37.531167600000003"/>
    <n v="1501.2467040000001"/>
    <n v="417.01297333333338"/>
    <n v="278.0086488888889"/>
    <n v="26.271817320000004"/>
    <n v="150"/>
    <n v="1677.5185213200002"/>
    <n v="41.937963033000003"/>
    <n v="465.97736703333339"/>
    <n v="310.65157802222228"/>
  </r>
  <r>
    <s v="31/08/2026"/>
    <s v="M"/>
    <s v="[1062] RAMGADH"/>
    <s v="[8405] RAMGADH"/>
    <x v="23"/>
    <x v="23"/>
    <x v="23"/>
    <s v="B"/>
    <n v="79"/>
    <n v="5.7"/>
    <n v="9"/>
    <n v="4.5030000000000001"/>
    <n v="7.11"/>
    <n v="47.594999999999999"/>
    <n v="3760.0050000000001"/>
    <n v="406.79487179487182"/>
    <n v="271.19658119658123"/>
    <n v="65.800087500000004"/>
    <n v="296.25"/>
    <n v="4122.0550874999999"/>
    <n v="52.177912499999998"/>
    <n v="445.9650641025641"/>
    <n v="297.31004273504271"/>
  </r>
  <r>
    <s v="31/08/2026"/>
    <s v="E"/>
    <s v="[1062] RAMGADH"/>
    <s v="[8405] RAMGADH"/>
    <x v="23"/>
    <x v="23"/>
    <x v="23"/>
    <s v="B"/>
    <n v="37"/>
    <n v="5.6"/>
    <n v="9"/>
    <n v="2.0720000000000001"/>
    <n v="3.33"/>
    <n v="46.76"/>
    <n v="1730.12"/>
    <n v="403.10344827586209"/>
    <n v="268.73563218390808"/>
    <n v="30.277100000000001"/>
    <n v="138.75"/>
    <n v="1899.1470999999999"/>
    <n v="51.328299999999999"/>
    <n v="442.48534482758623"/>
    <n v="294.99022988505749"/>
  </r>
  <r>
    <s v="31/08/2026"/>
    <s v="E"/>
    <s v="[1062] RAMGADH"/>
    <s v="[8405] RAMGADH"/>
    <x v="23"/>
    <x v="23"/>
    <x v="23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01/09/2026"/>
    <s v="M"/>
    <s v="[1062] RAMGADH"/>
    <s v="[8405] RAMGADH"/>
    <x v="23"/>
    <x v="23"/>
    <x v="23"/>
    <s v="B"/>
    <n v="91"/>
    <n v="5.5"/>
    <n v="8.8000000000000007"/>
    <n v="5.0049999999999999"/>
    <n v="8.0080000000000009"/>
    <n v="46.566181499999999"/>
    <n v="4237.5225165000002"/>
    <n v="409.67315102639293"/>
    <n v="273.11543401759531"/>
    <n v="74.156644038750017"/>
    <n v="341.25"/>
    <n v="4652.9291605387498"/>
    <n v="51.131089676249999"/>
    <n v="449.83363351539589"/>
    <n v="299.88908901026394"/>
  </r>
  <r>
    <s v="01/09/2026"/>
    <s v="E"/>
    <s v="[1062] RAMGADH"/>
    <s v="[8405] RAMGADH"/>
    <x v="23"/>
    <x v="23"/>
    <x v="23"/>
    <s v="B"/>
    <n v="38"/>
    <n v="5.5"/>
    <n v="8.8000000000000007"/>
    <n v="2.09"/>
    <n v="3.3440000000000003"/>
    <n v="46.566181499999999"/>
    <n v="1769.514897"/>
    <n v="409.67315102639293"/>
    <n v="273.11543401759531"/>
    <n v="30.966510697500002"/>
    <n v="142.5"/>
    <n v="1942.9814076975001"/>
    <n v="51.131089676250006"/>
    <n v="449.83363351539595"/>
    <n v="299.88908901026394"/>
  </r>
  <r>
    <s v="01/09/2026"/>
    <s v="E"/>
    <s v="[1062] RAMGADH"/>
    <s v="[8405] RAMGADH"/>
    <x v="23"/>
    <x v="23"/>
    <x v="23"/>
    <s v="C"/>
    <n v="34"/>
    <n v="3.5"/>
    <n v="8.3000000000000007"/>
    <n v="1.19"/>
    <n v="2.8220000000000005"/>
    <n v="37.670153700000007"/>
    <n v="1280.7852258000003"/>
    <n v="417.01277158671587"/>
    <n v="278.00851439114393"/>
    <n v="22.413741451500005"/>
    <n v="127.5"/>
    <n v="1430.6989672515003"/>
    <n v="42.079381389750012"/>
    <n v="465.82341021863471"/>
    <n v="310.54894014575649"/>
  </r>
  <r>
    <s v="02/09/2026"/>
    <s v="M"/>
    <s v="[1062] RAMGADH"/>
    <s v="[8405] RAMGADH"/>
    <x v="23"/>
    <x v="23"/>
    <x v="23"/>
    <s v="B"/>
    <n v="77"/>
    <n v="5.6"/>
    <n v="9"/>
    <n v="4.3120000000000003"/>
    <n v="6.93"/>
    <n v="46.76"/>
    <n v="3600.52"/>
    <n v="403.10344827586209"/>
    <n v="268.73563218390808"/>
    <n v="63.009100000000004"/>
    <n v="288.75"/>
    <n v="3952.2790999999997"/>
    <n v="51.328299999999999"/>
    <n v="442.48534482758623"/>
    <n v="294.99022988505749"/>
  </r>
  <r>
    <s v="02/09/2026"/>
    <s v="M"/>
    <s v="[1062] RAMGADH"/>
    <s v="[8405] RAMGADH"/>
    <x v="23"/>
    <x v="23"/>
    <x v="23"/>
    <s v="C"/>
    <n v="82"/>
    <n v="3.3"/>
    <n v="8.4"/>
    <n v="2.7059999999999995"/>
    <n v="6.8880000000000008"/>
    <n v="37.114167600000009"/>
    <n v="3043.3617432000005"/>
    <n v="417.01311910112372"/>
    <n v="278.00874606741581"/>
    <n v="53.258830506000017"/>
    <n v="307.5"/>
    <n v="3404.1205737060004"/>
    <n v="41.513665533000008"/>
    <n v="466.4456801460675"/>
    <n v="310.96378676404498"/>
  </r>
  <r>
    <s v="02/09/2026"/>
    <s v="E"/>
    <s v="[1062] RAMGADH"/>
    <s v="[8405] RAMGADH"/>
    <x v="23"/>
    <x v="23"/>
    <x v="23"/>
    <s v="B"/>
    <n v="40"/>
    <n v="5.5"/>
    <n v="8.6"/>
    <n v="2.2000000000000002"/>
    <n v="3.44"/>
    <n v="46.566181499999999"/>
    <n v="1862.64726"/>
    <n v="414.53574035608312"/>
    <n v="276.35716023738877"/>
    <n v="32.596327049999999"/>
    <n v="150"/>
    <n v="2045.2435870499999"/>
    <n v="51.131089676249999"/>
    <n v="455.17290512982197"/>
    <n v="303.44860341988129"/>
  </r>
  <r>
    <s v="02/09/2026"/>
    <s v="E"/>
    <s v="[1062] RAMGADH"/>
    <s v="[8405] RAMGADH"/>
    <x v="23"/>
    <x v="23"/>
    <x v="23"/>
    <s v="C"/>
    <n v="36"/>
    <n v="3.5"/>
    <n v="8.5"/>
    <n v="1.26"/>
    <n v="3.06"/>
    <n v="38.226181500000003"/>
    <n v="1376.1425340000001"/>
    <n v="417.01288909090908"/>
    <n v="278.00859272727274"/>
    <n v="24.082494345000004"/>
    <n v="135"/>
    <n v="1535.2250283450001"/>
    <n v="42.645139676250004"/>
    <n v="465.21970555909093"/>
    <n v="310.14647037272726"/>
  </r>
  <r>
    <s v="03/09/2026"/>
    <s v="M"/>
    <s v="[1062] RAMGADH"/>
    <s v="[8405] RAMGADH"/>
    <x v="23"/>
    <x v="23"/>
    <x v="23"/>
    <s v="B"/>
    <n v="84"/>
    <n v="5.6"/>
    <n v="9"/>
    <n v="4.7039999999999997"/>
    <n v="7.56"/>
    <n v="46.76"/>
    <n v="3927.8399999999997"/>
    <n v="403.10344827586209"/>
    <n v="268.73563218390808"/>
    <n v="68.737200000000001"/>
    <n v="315"/>
    <n v="4311.5771999999997"/>
    <n v="51.328299999999999"/>
    <n v="442.48534482758623"/>
    <n v="294.99022988505749"/>
  </r>
  <r>
    <s v="03/09/2026"/>
    <s v="M"/>
    <s v="[1062] RAMGADH"/>
    <s v="[8405] RAMGADH"/>
    <x v="23"/>
    <x v="23"/>
    <x v="23"/>
    <s v="C"/>
    <n v="83"/>
    <n v="3.3"/>
    <n v="8.1999999999999993"/>
    <n v="2.7389999999999999"/>
    <n v="6.8059999999999992"/>
    <n v="36.558139799999999"/>
    <n v="3034.3256034000001"/>
    <n v="417.0130015209125"/>
    <n v="278.00866768060831"/>
    <n v="53.100698059500004"/>
    <n v="311.25"/>
    <n v="3398.6763014594999"/>
    <n v="40.947907246500002"/>
    <n v="467.08639444676805"/>
    <n v="311.39092963117872"/>
  </r>
  <r>
    <s v="03/09/2026"/>
    <s v="E"/>
    <s v="[1062] RAMGADH"/>
    <s v="[8405] RAMGADH"/>
    <x v="23"/>
    <x v="23"/>
    <x v="23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s v="03/09/2026"/>
    <s v="E"/>
    <s v="[1062] RAMGADH"/>
    <s v="[8405] RAMGADH"/>
    <x v="23"/>
    <x v="23"/>
    <x v="23"/>
    <s v="C"/>
    <n v="28"/>
    <n v="3.8"/>
    <n v="8.5"/>
    <n v="1.0639999999999998"/>
    <n v="2.38"/>
    <n v="39.4771815"/>
    <n v="1105.3610819999999"/>
    <n v="417.0124806338028"/>
    <n v="278.00832042253518"/>
    <n v="19.343818935000002"/>
    <n v="105"/>
    <n v="1229.7049009349998"/>
    <n v="43.918032176249994"/>
    <n v="463.92287510123231"/>
    <n v="309.28191673415489"/>
  </r>
  <r>
    <s v="28/08/2026"/>
    <s v="E"/>
    <s v="[1062] RAMGADH"/>
    <s v="[8402] RAMPUR"/>
    <x v="24"/>
    <x v="24"/>
    <x v="24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29/08/2026"/>
    <s v="M"/>
    <s v="[1062] RAMGADH"/>
    <s v="[8402] RAMPUR"/>
    <x v="24"/>
    <x v="24"/>
    <x v="24"/>
    <s v="B"/>
    <n v="17"/>
    <n v="6.8"/>
    <n v="8.5"/>
    <n v="1.1559999999999999"/>
    <n v="1.4450000000000001"/>
    <n v="55.076599999999999"/>
    <n v="936.30219999999997"/>
    <n v="441.79090909090905"/>
    <n v="294.5272727272727"/>
    <n v="16.385288500000001"/>
    <n v="63.75"/>
    <n v="1016.4374885"/>
    <n v="59.790440499999995"/>
    <n v="479.60246390374323"/>
    <n v="319.7349759358288"/>
  </r>
  <r>
    <s v="30/08/2026"/>
    <s v="M"/>
    <s v="[1062] RAMGADH"/>
    <s v="[8402] RAMPUR"/>
    <x v="24"/>
    <x v="24"/>
    <x v="24"/>
    <s v="B"/>
    <n v="8"/>
    <n v="6.2"/>
    <n v="8.5"/>
    <n v="0.496"/>
    <n v="0.68"/>
    <n v="50.216900000000003"/>
    <n v="401.73520000000002"/>
    <n v="423.1761235955056"/>
    <n v="282.11741573033709"/>
    <n v="7.0303660000000008"/>
    <n v="30"/>
    <n v="438.76556600000004"/>
    <n v="54.845695750000004"/>
    <n v="462.18282935393262"/>
    <n v="308.12188623595506"/>
  </r>
  <r>
    <s v="30/08/2026"/>
    <s v="E"/>
    <s v="[1062] RAMGADH"/>
    <s v="[8402] RAMPUR"/>
    <x v="24"/>
    <x v="24"/>
    <x v="24"/>
    <s v="B"/>
    <n v="10"/>
    <n v="5.8"/>
    <n v="8.5"/>
    <n v="0.57999999999999996"/>
    <n v="0.85"/>
    <n v="46.9771"/>
    <n v="469.77100000000002"/>
    <n v="409.68401162790695"/>
    <n v="273.12267441860462"/>
    <n v="8.2209925000000013"/>
    <n v="37.5"/>
    <n v="515.49199250000004"/>
    <n v="51.549199250000001"/>
    <n v="449.55697020348839"/>
    <n v="299.70464680232561"/>
  </r>
  <r>
    <s v="31/08/2026"/>
    <s v="M"/>
    <s v="[1062] RAMGADH"/>
    <s v="[8402] RAMPUR"/>
    <x v="24"/>
    <x v="24"/>
    <x v="24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31/08/2026"/>
    <s v="E"/>
    <s v="[1062] RAMGADH"/>
    <s v="[8402] RAMPUR"/>
    <x v="24"/>
    <x v="24"/>
    <x v="24"/>
    <s v="B"/>
    <n v="9"/>
    <n v="6.4"/>
    <n v="8.5"/>
    <n v="0.57600000000000007"/>
    <n v="0.76500000000000001"/>
    <n v="51.836799999999997"/>
    <n v="466.53119999999996"/>
    <n v="429.58674033149168"/>
    <n v="286.39116022099444"/>
    <n v="8.1642960000000002"/>
    <n v="33.75"/>
    <n v="508.44549599999993"/>
    <n v="56.493943999999992"/>
    <n v="468.18185635359106"/>
    <n v="312.12123756906072"/>
  </r>
  <r>
    <s v="01/09/2026"/>
    <s v="M"/>
    <s v="[1062] RAMGADH"/>
    <s v="[8402] RAMPUR"/>
    <x v="24"/>
    <x v="24"/>
    <x v="24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02/09/2026"/>
    <s v="M"/>
    <s v="[1062] RAMGADH"/>
    <s v="[8402] RAMPUR"/>
    <x v="24"/>
    <x v="24"/>
    <x v="24"/>
    <s v="B"/>
    <n v="13"/>
    <n v="6.4"/>
    <n v="8.6"/>
    <n v="0.83200000000000007"/>
    <n v="1.1179999999999999"/>
    <n v="52.371199999999995"/>
    <n v="680.82559999999989"/>
    <n v="431.6307692307692"/>
    <n v="287.75384615384615"/>
    <n v="11.914448"/>
    <n v="48.75"/>
    <n v="741.49004799999989"/>
    <n v="57.03769599999999"/>
    <n v="470.09090109890104"/>
    <n v="313.39393406593405"/>
  </r>
  <r>
    <s v="02/09/2026"/>
    <s v="E"/>
    <s v="[1062] RAMGADH"/>
    <s v="[8402] RAMPUR"/>
    <x v="24"/>
    <x v="24"/>
    <x v="24"/>
    <s v="C"/>
    <n v="7"/>
    <n v="5"/>
    <n v="8.1"/>
    <n v="0.35"/>
    <n v="0.56699999999999995"/>
    <n v="43.3691259"/>
    <n v="303.58388130000003"/>
    <n v="417.01082596153844"/>
    <n v="278.00721730769231"/>
    <n v="5.312717922750001"/>
    <n v="26.25"/>
    <n v="335.14659922275001"/>
    <n v="47.87808560325"/>
    <n v="460.36620772355764"/>
    <n v="306.91080514903842"/>
  </r>
  <r>
    <s v="03/09/2026"/>
    <s v="M"/>
    <s v="[1062] RAMGADH"/>
    <s v="[8402] RAMPUR"/>
    <x v="24"/>
    <x v="24"/>
    <x v="24"/>
    <s v="B"/>
    <n v="14"/>
    <n v="8"/>
    <n v="8.6"/>
    <n v="1.1200000000000001"/>
    <n v="1.204"/>
    <n v="65.463999999999999"/>
    <n v="916.49599999999998"/>
    <n v="476.67961165048541"/>
    <n v="317.78640776699029"/>
    <n v="16.038680000000003"/>
    <n v="52.5"/>
    <n v="985.03467999999998"/>
    <n v="70.359619999999993"/>
    <n v="512.32733009708727"/>
    <n v="341.55155339805816"/>
  </r>
  <r>
    <s v="29/08/2026"/>
    <s v="M"/>
    <s v="[1062] RAMGADH"/>
    <s v="[8402] RAMPUR"/>
    <x v="25"/>
    <x v="25"/>
    <x v="25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29/08/2026"/>
    <s v="E"/>
    <s v="[1062] RAMGADH"/>
    <s v="[8402] RAMPUR"/>
    <x v="25"/>
    <x v="25"/>
    <x v="25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30/08/2026"/>
    <s v="M"/>
    <s v="[1062] RAMGADH"/>
    <s v="[8402] RAMPUR"/>
    <x v="25"/>
    <x v="25"/>
    <x v="25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31/08/2026"/>
    <s v="M"/>
    <s v="[1062] RAMGADH"/>
    <s v="[8402] RAMPUR"/>
    <x v="25"/>
    <x v="25"/>
    <x v="25"/>
    <s v="C"/>
    <n v="21"/>
    <n v="4"/>
    <n v="9"/>
    <n v="0.84"/>
    <n v="1.89"/>
    <n v="40.311181500000004"/>
    <n v="846.53481150000005"/>
    <n v="403.11181500000004"/>
    <n v="268.74121000000002"/>
    <n v="14.814359201250003"/>
    <n v="78.75"/>
    <n v="940.09917070125005"/>
    <n v="44.766627176250005"/>
    <n v="447.6662717625"/>
    <n v="298.44418117499998"/>
  </r>
  <r>
    <s v="31/08/2026"/>
    <s v="E"/>
    <s v="[1062] RAMGADH"/>
    <s v="[8402] RAMPUR"/>
    <x v="25"/>
    <x v="25"/>
    <x v="25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01/09/2026"/>
    <s v="M"/>
    <s v="[1062] RAMGADH"/>
    <s v="[8402] RAMPUR"/>
    <x v="25"/>
    <x v="25"/>
    <x v="25"/>
    <s v="C"/>
    <n v="9"/>
    <n v="4.3"/>
    <n v="8"/>
    <n v="0.38699999999999996"/>
    <n v="0.72"/>
    <n v="40.172111999999998"/>
    <n v="361.54900799999996"/>
    <n v="417.01154325259517"/>
    <n v="278.0076955017301"/>
    <n v="6.3271076399999995"/>
    <n v="33.75"/>
    <n v="401.62611563999997"/>
    <n v="44.625123959999996"/>
    <n v="463.23658089965397"/>
    <n v="308.82438726643596"/>
  </r>
  <r>
    <s v="02/09/2026"/>
    <s v="M"/>
    <s v="[1062] RAMGADH"/>
    <s v="[8402] RAMPUR"/>
    <x v="25"/>
    <x v="25"/>
    <x v="25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2/09/2026"/>
    <s v="E"/>
    <s v="[1062] RAMGADH"/>
    <s v="[8402] RAMPUR"/>
    <x v="25"/>
    <x v="25"/>
    <x v="25"/>
    <s v="C"/>
    <n v="10"/>
    <n v="4.5"/>
    <n v="8"/>
    <n v="0.45"/>
    <n v="0.8"/>
    <n v="41.006112000000002"/>
    <n v="410.06112000000002"/>
    <n v="417.01130847457631"/>
    <n v="278.00753898305089"/>
    <n v="7.1760696000000008"/>
    <n v="37.5"/>
    <n v="454.73718960000002"/>
    <n v="45.473718959999999"/>
    <n v="462.44459959322035"/>
    <n v="308.29639972881358"/>
  </r>
  <r>
    <s v="03/09/2026"/>
    <s v="M"/>
    <s v="[1062] RAMGADH"/>
    <s v="[8402] RAMPUR"/>
    <x v="25"/>
    <x v="25"/>
    <x v="25"/>
    <s v="C"/>
    <n v="17"/>
    <n v="3.7"/>
    <n v="8"/>
    <n v="0.629"/>
    <n v="1.36"/>
    <n v="37.670112000000003"/>
    <n v="640.39190400000007"/>
    <n v="417.0123099630996"/>
    <n v="278.0082066420664"/>
    <n v="11.206858320000002"/>
    <n v="63.75"/>
    <n v="715.34876232000011"/>
    <n v="42.079338960000008"/>
    <n v="465.82294051660517"/>
    <n v="310.5486270110701"/>
  </r>
  <r>
    <s v="03/09/2026"/>
    <s v="E"/>
    <s v="[1062] RAMGADH"/>
    <s v="[8402] RAMPUR"/>
    <x v="25"/>
    <x v="25"/>
    <x v="25"/>
    <s v="C"/>
    <n v="16"/>
    <n v="3.8"/>
    <n v="8.1"/>
    <n v="0.60799999999999998"/>
    <n v="1.296"/>
    <n v="38.365125900000002"/>
    <n v="613.84201440000004"/>
    <n v="417.01223804347831"/>
    <n v="278.00815869565218"/>
    <n v="10.742235252000002"/>
    <n v="60"/>
    <n v="684.58424965200004"/>
    <n v="42.786515603250002"/>
    <n v="465.07082177445653"/>
    <n v="310.04721451630434"/>
  </r>
  <r>
    <s v="29/08/2026"/>
    <s v="E"/>
    <s v="[1062] RAMGADH"/>
    <s v="[8402] RAMPUR"/>
    <x v="26"/>
    <x v="26"/>
    <x v="26"/>
    <s v="B"/>
    <n v="20"/>
    <n v="5.5"/>
    <n v="8.4"/>
    <n v="1.1000000000000001"/>
    <n v="1.68"/>
    <n v="46.288167600000008"/>
    <n v="925.76335200000017"/>
    <n v="417.01051891891899"/>
    <n v="278.00701261261264"/>
    <n v="16.200858660000005"/>
    <n v="75"/>
    <n v="1016.9642106600002"/>
    <n v="50.848210533000007"/>
    <n v="458.09198678378385"/>
    <n v="305.39465785585588"/>
  </r>
  <r>
    <s v="31/08/2026"/>
    <s v="E"/>
    <s v="[1062] RAMGADH"/>
    <s v="[8402] RAMPUR"/>
    <x v="26"/>
    <x v="26"/>
    <x v="26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02/09/2026"/>
    <s v="E"/>
    <s v="[1062] RAMGADH"/>
    <s v="[8402] RAMPUR"/>
    <x v="26"/>
    <x v="26"/>
    <x v="26"/>
    <s v="C"/>
    <n v="19"/>
    <n v="4.2"/>
    <n v="8.1999999999999993"/>
    <n v="0.79799999999999993"/>
    <n v="1.5579999999999998"/>
    <n v="40.311139799999999"/>
    <n v="765.91165620000004"/>
    <n v="417.01179103448277"/>
    <n v="278.00786068965516"/>
    <n v="13.403453983500002"/>
    <n v="71.25"/>
    <n v="850.5651101835"/>
    <n v="44.766584746500001"/>
    <n v="463.10260082586211"/>
    <n v="308.73506721724141"/>
  </r>
  <r>
    <s v="03/09/2026"/>
    <s v="E"/>
    <s v="[1062] RAMGADH"/>
    <s v="[8402] RAMPUR"/>
    <x v="26"/>
    <x v="26"/>
    <x v="26"/>
    <s v="C"/>
    <n v="17"/>
    <n v="4.7"/>
    <n v="8.5"/>
    <n v="0.79900000000000004"/>
    <n v="1.4450000000000001"/>
    <n v="43.2301815"/>
    <n v="734.91308549999997"/>
    <n v="417.01139710610931"/>
    <n v="278.00759807073956"/>
    <n v="12.860978996250001"/>
    <n v="63.75"/>
    <n v="811.52406449624993"/>
    <n v="47.736709676249994"/>
    <n v="460.48272999598061"/>
    <n v="306.98848666398709"/>
  </r>
  <r>
    <s v="28/08/2026"/>
    <s v="M"/>
    <s v="[1062] RAMGADH"/>
    <s v="[8402] RAMPUR"/>
    <x v="27"/>
    <x v="27"/>
    <x v="27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28/08/2026"/>
    <s v="E"/>
    <s v="[1062] RAMGADH"/>
    <s v="[8402] RAMPUR"/>
    <x v="27"/>
    <x v="27"/>
    <x v="27"/>
    <s v="C"/>
    <n v="15"/>
    <n v="4.0999999999999996"/>
    <n v="8.5"/>
    <n v="0.61499999999999988"/>
    <n v="1.2749999999999999"/>
    <n v="40.728181500000005"/>
    <n v="610.92272250000008"/>
    <n v="417.01209726962463"/>
    <n v="278.0080648464164"/>
    <n v="10.691147643750002"/>
    <n v="56.25"/>
    <n v="677.86387014375009"/>
    <n v="45.190924676250006"/>
    <n v="462.70571340870316"/>
    <n v="308.47047560580211"/>
  </r>
  <r>
    <s v="29/08/2026"/>
    <s v="M"/>
    <s v="[1062] RAMGADH"/>
    <s v="[8402] RAMPUR"/>
    <x v="27"/>
    <x v="27"/>
    <x v="27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29/08/2026"/>
    <s v="E"/>
    <s v="[1062] RAMGADH"/>
    <s v="[8402] RAMPUR"/>
    <x v="27"/>
    <x v="27"/>
    <x v="27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30/08/2026"/>
    <s v="M"/>
    <s v="[1062] RAMGADH"/>
    <s v="[8402] RAMPUR"/>
    <x v="27"/>
    <x v="27"/>
    <x v="27"/>
    <s v="B"/>
    <n v="28"/>
    <n v="5.7"/>
    <n v="9"/>
    <n v="1.5959999999999999"/>
    <n v="2.52"/>
    <n v="47.594999999999999"/>
    <n v="1332.6599999999999"/>
    <n v="406.79487179487182"/>
    <n v="271.19658119658123"/>
    <n v="23.321549999999998"/>
    <n v="105"/>
    <n v="1460.98155"/>
    <n v="52.177912499999998"/>
    <n v="445.9650641025641"/>
    <n v="297.31004273504271"/>
  </r>
  <r>
    <s v="30/08/2026"/>
    <s v="E"/>
    <s v="[1062] RAMGADH"/>
    <s v="[8402] RAMPUR"/>
    <x v="27"/>
    <x v="27"/>
    <x v="27"/>
    <s v="B"/>
    <n v="12"/>
    <n v="5.7"/>
    <n v="9"/>
    <n v="0.68400000000000005"/>
    <n v="1.08"/>
    <n v="47.594999999999999"/>
    <n v="571.14"/>
    <n v="406.79487179487182"/>
    <n v="271.19658119658123"/>
    <n v="9.9949500000000011"/>
    <n v="45"/>
    <n v="626.13495"/>
    <n v="52.177912499999998"/>
    <n v="445.9650641025641"/>
    <n v="297.31004273504271"/>
  </r>
  <r>
    <s v="31/08/2026"/>
    <s v="M"/>
    <s v="[1062] RAMGADH"/>
    <s v="[8402] RAMPUR"/>
    <x v="27"/>
    <x v="27"/>
    <x v="27"/>
    <s v="B"/>
    <n v="31"/>
    <n v="5.9"/>
    <n v="9"/>
    <n v="1.829"/>
    <n v="2.79"/>
    <n v="49.265000000000001"/>
    <n v="1527.2149999999999"/>
    <n v="413.99159663865549"/>
    <n v="275.99439775910366"/>
    <n v="26.726262500000001"/>
    <n v="116.25"/>
    <n v="1670.1912625"/>
    <n v="53.877137499999996"/>
    <n v="452.74905462184876"/>
    <n v="301.83270308123252"/>
  </r>
  <r>
    <s v="31/08/2026"/>
    <s v="E"/>
    <s v="[1062] RAMGADH"/>
    <s v="[8402] RAMPUR"/>
    <x v="27"/>
    <x v="27"/>
    <x v="27"/>
    <s v="B"/>
    <n v="16"/>
    <n v="5.5"/>
    <n v="8.8000000000000007"/>
    <n v="0.88"/>
    <n v="1.4080000000000001"/>
    <n v="46.566181499999999"/>
    <n v="745.05890399999998"/>
    <n v="409.67315102639293"/>
    <n v="273.11543401759531"/>
    <n v="13.03853082"/>
    <n v="60"/>
    <n v="818.09743481999999"/>
    <n v="51.131089676249999"/>
    <n v="449.83363351539589"/>
    <n v="299.88908901026394"/>
  </r>
  <r>
    <s v="01/09/2026"/>
    <s v="M"/>
    <s v="[1062] RAMGADH"/>
    <s v="[8402] RAMPUR"/>
    <x v="27"/>
    <x v="27"/>
    <x v="27"/>
    <s v="B"/>
    <n v="29"/>
    <n v="5.8"/>
    <n v="9"/>
    <n v="1.6819999999999999"/>
    <n v="2.61"/>
    <n v="48.43"/>
    <n v="1404.47"/>
    <n v="410.42372881355936"/>
    <n v="273.61581920903956"/>
    <n v="24.578225000000003"/>
    <n v="108.75"/>
    <n v="1537.798225"/>
    <n v="53.027524999999997"/>
    <n v="449.38580508474575"/>
    <n v="299.59053672316384"/>
  </r>
  <r>
    <s v="01/09/2026"/>
    <s v="E"/>
    <s v="[1062] RAMGADH"/>
    <s v="[8402] RAMPUR"/>
    <x v="27"/>
    <x v="27"/>
    <x v="27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02/09/2026"/>
    <s v="M"/>
    <s v="[1062] RAMGADH"/>
    <s v="[8402] RAMPUR"/>
    <x v="27"/>
    <x v="27"/>
    <x v="27"/>
    <s v="B"/>
    <n v="25"/>
    <n v="5.9"/>
    <n v="9"/>
    <n v="1.4750000000000001"/>
    <n v="2.25"/>
    <n v="49.265000000000001"/>
    <n v="1231.625"/>
    <n v="413.99159663865549"/>
    <n v="275.99439775910366"/>
    <n v="21.553437500000001"/>
    <n v="93.75"/>
    <n v="1346.9284375"/>
    <n v="53.877137499999996"/>
    <n v="452.74905462184876"/>
    <n v="301.83270308123252"/>
  </r>
  <r>
    <s v="02/09/2026"/>
    <s v="E"/>
    <s v="[1062] RAMGADH"/>
    <s v="[8402] RAMPUR"/>
    <x v="27"/>
    <x v="27"/>
    <x v="27"/>
    <s v="B"/>
    <n v="13"/>
    <n v="5.8"/>
    <n v="9"/>
    <n v="0.75399999999999989"/>
    <n v="1.17"/>
    <n v="48.43"/>
    <n v="629.59"/>
    <n v="410.42372881355936"/>
    <n v="273.61581920903956"/>
    <n v="11.017825000000002"/>
    <n v="48.75"/>
    <n v="689.35782500000005"/>
    <n v="53.027525000000004"/>
    <n v="449.38580508474581"/>
    <n v="299.59053672316389"/>
  </r>
  <r>
    <s v="03/09/2026"/>
    <s v="M"/>
    <s v="[1062] RAMGADH"/>
    <s v="[8402] RAMPUR"/>
    <x v="27"/>
    <x v="27"/>
    <x v="27"/>
    <s v="B"/>
    <n v="32"/>
    <n v="5.6"/>
    <n v="9"/>
    <n v="1.7919999999999998"/>
    <n v="2.88"/>
    <n v="46.76"/>
    <n v="1496.32"/>
    <n v="403.10344827586209"/>
    <n v="268.73563218390808"/>
    <n v="26.185600000000001"/>
    <n v="120"/>
    <n v="1642.5056"/>
    <n v="51.328299999999999"/>
    <n v="442.48534482758623"/>
    <n v="294.99022988505749"/>
  </r>
  <r>
    <s v="03/09/2026"/>
    <s v="E"/>
    <s v="[1062] RAMGADH"/>
    <s v="[8402] RAMPUR"/>
    <x v="27"/>
    <x v="27"/>
    <x v="27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8/08/2026"/>
    <s v="E"/>
    <s v="[1062] RAMGADH"/>
    <s v="[8404] CHANDESH"/>
    <x v="28"/>
    <x v="28"/>
    <x v="28"/>
    <s v="C"/>
    <n v="14"/>
    <n v="4.5999999999999996"/>
    <n v="8.5"/>
    <n v="0.64399999999999991"/>
    <n v="1.19"/>
    <n v="42.813181499999999"/>
    <n v="599.38454100000001"/>
    <n v="417.01150811688308"/>
    <n v="278.00767207792205"/>
    <n v="10.489229467500001"/>
    <n v="52.5"/>
    <n v="662.37377046749998"/>
    <n v="47.31241217625"/>
    <n v="460.83518353490257"/>
    <n v="307.22345568993507"/>
  </r>
  <r>
    <s v="29/08/2026"/>
    <s v="M"/>
    <s v="[1062] RAMGADH"/>
    <s v="[8404] CHANDESH"/>
    <x v="28"/>
    <x v="28"/>
    <x v="28"/>
    <s v="B"/>
    <n v="58"/>
    <n v="6.7"/>
    <n v="9"/>
    <n v="3.8860000000000001"/>
    <n v="5.22"/>
    <n v="55.945"/>
    <n v="3244.81"/>
    <n v="440.51181102362204"/>
    <n v="293.67454068241472"/>
    <n v="56.784175000000005"/>
    <n v="217.5"/>
    <n v="3519.0941750000002"/>
    <n v="60.674037500000004"/>
    <n v="477.74832677165358"/>
    <n v="318.4988845144357"/>
  </r>
  <r>
    <s v="29/08/2026"/>
    <s v="M"/>
    <s v="[1062] RAMGADH"/>
    <s v="[8404] CHANDESH"/>
    <x v="28"/>
    <x v="28"/>
    <x v="28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29/08/2026"/>
    <s v="E"/>
    <s v="[1062] RAMGADH"/>
    <s v="[8404] CHANDESH"/>
    <x v="28"/>
    <x v="28"/>
    <x v="28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30/08/2026"/>
    <s v="M"/>
    <s v="[1062] RAMGADH"/>
    <s v="[8404] CHANDESH"/>
    <x v="28"/>
    <x v="28"/>
    <x v="28"/>
    <s v="B"/>
    <n v="59"/>
    <n v="6.4"/>
    <n v="9"/>
    <n v="3.7760000000000002"/>
    <n v="5.31"/>
    <n v="53.44"/>
    <n v="3152.96"/>
    <n v="430.96774193548384"/>
    <n v="287.31182795698925"/>
    <n v="55.176800000000007"/>
    <n v="221.25"/>
    <n v="3429.3868000000002"/>
    <n v="58.125200000000007"/>
    <n v="468.75161290322586"/>
    <n v="312.50107526881726"/>
  </r>
  <r>
    <s v="30/08/2026"/>
    <s v="M"/>
    <s v="[1062] RAMGADH"/>
    <s v="[8404] CHANDESH"/>
    <x v="28"/>
    <x v="28"/>
    <x v="28"/>
    <s v="C"/>
    <n v="62"/>
    <n v="3.6"/>
    <n v="8"/>
    <n v="2.2320000000000002"/>
    <n v="4.96"/>
    <n v="37.253112000000009"/>
    <n v="2309.6929440000004"/>
    <n v="417.01244776119404"/>
    <n v="278.00829850746271"/>
    <n v="40.419626520000008"/>
    <n v="232.5"/>
    <n v="2582.6125705200002"/>
    <n v="41.65504146"/>
    <n v="466.28777753731333"/>
    <n v="310.85851835820887"/>
  </r>
  <r>
    <s v="31/08/2026"/>
    <s v="M"/>
    <s v="[1062] RAMGADH"/>
    <s v="[8404] CHANDESH"/>
    <x v="28"/>
    <x v="28"/>
    <x v="28"/>
    <s v="B"/>
    <n v="61"/>
    <n v="5.9"/>
    <n v="9"/>
    <n v="3.5990000000000002"/>
    <n v="5.49"/>
    <n v="49.265000000000001"/>
    <n v="3005.165"/>
    <n v="413.99159663865549"/>
    <n v="275.99439775910366"/>
    <n v="52.590387500000006"/>
    <n v="228.75"/>
    <n v="3286.5053874999999"/>
    <n v="53.877137499999996"/>
    <n v="452.74905462184876"/>
    <n v="301.83270308123252"/>
  </r>
  <r>
    <s v="31/08/2026"/>
    <s v="M"/>
    <s v="[1062] RAMGADH"/>
    <s v="[8404] CHANDESH"/>
    <x v="28"/>
    <x v="28"/>
    <x v="28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01/09/2026"/>
    <s v="M"/>
    <s v="[1062] RAMGADH"/>
    <s v="[8404] CHANDESH"/>
    <x v="28"/>
    <x v="28"/>
    <x v="28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01/09/2026"/>
    <s v="M"/>
    <s v="[1062] RAMGADH"/>
    <s v="[8404] CHANDESH"/>
    <x v="28"/>
    <x v="28"/>
    <x v="28"/>
    <s v="C"/>
    <n v="33"/>
    <n v="3.4"/>
    <n v="8"/>
    <n v="1.1220000000000001"/>
    <n v="2.64"/>
    <n v="36.419112000000005"/>
    <n v="1201.8306960000002"/>
    <n v="417.01273282442747"/>
    <n v="278.00848854961833"/>
    <n v="21.032037180000007"/>
    <n v="123.75"/>
    <n v="1346.6127331800003"/>
    <n v="40.806446460000011"/>
    <n v="467.24938694656493"/>
    <n v="311.49959129770997"/>
  </r>
  <r>
    <s v="02/09/2026"/>
    <s v="M"/>
    <s v="[1062] RAMGADH"/>
    <s v="[8404] CHANDESH"/>
    <x v="28"/>
    <x v="28"/>
    <x v="28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s v="02/09/2026"/>
    <s v="M"/>
    <s v="[1062] RAMGADH"/>
    <s v="[8404] CHANDESH"/>
    <x v="28"/>
    <x v="28"/>
    <x v="28"/>
    <s v="C"/>
    <n v="60"/>
    <n v="3.2"/>
    <n v="8.1"/>
    <n v="1.92"/>
    <n v="4.8600000000000003"/>
    <n v="35.8631259"/>
    <n v="2151.787554"/>
    <n v="417.01309186046512"/>
    <n v="278.00872790697673"/>
    <n v="37.656282195000003"/>
    <n v="225"/>
    <n v="2414.4438361950001"/>
    <n v="40.24073060325"/>
    <n v="467.91547213081401"/>
    <n v="311.94364808720934"/>
  </r>
  <r>
    <s v="02/09/2026"/>
    <s v="E"/>
    <s v="[1062] RAMGADH"/>
    <s v="[8404] CHANDESH"/>
    <x v="28"/>
    <x v="28"/>
    <x v="28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3/09/2026"/>
    <s v="M"/>
    <s v="[1062] RAMGADH"/>
    <s v="[8404] CHANDESH"/>
    <x v="28"/>
    <x v="28"/>
    <x v="28"/>
    <s v="B"/>
    <n v="69"/>
    <n v="5.9"/>
    <n v="9"/>
    <n v="4.0710000000000006"/>
    <n v="6.21"/>
    <n v="49.265000000000001"/>
    <n v="3399.2849999999999"/>
    <n v="413.99159663865549"/>
    <n v="275.99439775910366"/>
    <n v="59.4874875"/>
    <n v="258.75"/>
    <n v="3717.5224874999999"/>
    <n v="53.877137499999996"/>
    <n v="452.74905462184876"/>
    <n v="301.83270308123252"/>
  </r>
  <r>
    <s v="03/09/2026"/>
    <s v="M"/>
    <s v="[1062] RAMGADH"/>
    <s v="[8404] CHANDESH"/>
    <x v="28"/>
    <x v="28"/>
    <x v="28"/>
    <s v="C"/>
    <n v="70"/>
    <n v="3.4"/>
    <n v="8.1"/>
    <n v="2.38"/>
    <n v="5.67"/>
    <n v="36.697125900000003"/>
    <n v="2568.7988130000003"/>
    <n v="417.01279431818188"/>
    <n v="278.00852954545456"/>
    <n v="44.953979227500007"/>
    <n v="262.5"/>
    <n v="2876.2527922275003"/>
    <n v="41.089325603250003"/>
    <n v="466.92415458238645"/>
    <n v="311.28276972159097"/>
  </r>
  <r>
    <s v="03/09/2026"/>
    <s v="E"/>
    <s v="[1062] RAMGADH"/>
    <s v="[8404] CHANDESH"/>
    <x v="28"/>
    <x v="28"/>
    <x v="28"/>
    <s v="B"/>
    <n v="11"/>
    <n v="6"/>
    <n v="9"/>
    <n v="0.66"/>
    <n v="0.99"/>
    <n v="50.1"/>
    <n v="551.1"/>
    <n v="417.5"/>
    <n v="278.33333333333331"/>
    <n v="9.6442500000000013"/>
    <n v="41.25"/>
    <n v="601.99424999999997"/>
    <n v="54.726749999999996"/>
    <n v="456.05624999999998"/>
    <n v="304.03749999999997"/>
  </r>
  <r>
    <s v="28/08/2026"/>
    <s v="M"/>
    <s v="[1062] RAMGADH"/>
    <s v="[8405] RAMGADH"/>
    <x v="29"/>
    <x v="29"/>
    <x v="29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28/08/2026"/>
    <s v="M"/>
    <s v="[1062] RAMGADH"/>
    <s v="[8405] RAMGADH"/>
    <x v="29"/>
    <x v="29"/>
    <x v="29"/>
    <s v="C"/>
    <n v="16"/>
    <n v="4.3"/>
    <n v="8.5"/>
    <n v="0.68799999999999994"/>
    <n v="1.36"/>
    <n v="41.562181500000001"/>
    <n v="664.99490400000002"/>
    <n v="417.01185451505017"/>
    <n v="278.00790301003343"/>
    <n v="11.637410820000001"/>
    <n v="60"/>
    <n v="736.63231482000003"/>
    <n v="46.039519676250002"/>
    <n v="461.93498002926424"/>
    <n v="307.95665335284281"/>
  </r>
  <r>
    <s v="28/08/2026"/>
    <s v="E"/>
    <s v="[1062] RAMGADH"/>
    <s v="[8405] RAMGADH"/>
    <x v="29"/>
    <x v="29"/>
    <x v="29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8/08/2026"/>
    <s v="E"/>
    <s v="[1062] RAMGADH"/>
    <s v="[8405] RAMGADH"/>
    <x v="29"/>
    <x v="29"/>
    <x v="29"/>
    <s v="C"/>
    <n v="33"/>
    <n v="4.2"/>
    <n v="8.4"/>
    <n v="1.3859999999999999"/>
    <n v="2.7719999999999998"/>
    <n v="40.867167600000002"/>
    <n v="1348.6165308"/>
    <n v="417.01191428571428"/>
    <n v="278.00794285714284"/>
    <n v="23.600789289000002"/>
    <n v="123.75"/>
    <n v="1495.9673200889999"/>
    <n v="45.332343033000001"/>
    <n v="462.57492890816326"/>
    <n v="308.38328593877549"/>
  </r>
  <r>
    <s v="29/08/2026"/>
    <s v="M"/>
    <s v="[1062] RAMGADH"/>
    <s v="[8405] RAMGADH"/>
    <x v="29"/>
    <x v="29"/>
    <x v="29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29/08/2026"/>
    <s v="M"/>
    <s v="[1062] RAMGADH"/>
    <s v="[8405] RAMGADH"/>
    <x v="29"/>
    <x v="29"/>
    <x v="29"/>
    <s v="C"/>
    <n v="30"/>
    <n v="4"/>
    <n v="8.4"/>
    <n v="1.2"/>
    <n v="2.52"/>
    <n v="40.033167600000006"/>
    <n v="1200.9950280000003"/>
    <n v="417.01216250000004"/>
    <n v="278.00810833333338"/>
    <n v="21.017412990000008"/>
    <n v="112.5"/>
    <n v="1334.5124409900002"/>
    <n v="44.483748033000005"/>
    <n v="463.37237534375004"/>
    <n v="308.91491689583336"/>
  </r>
  <r>
    <s v="29/08/2026"/>
    <s v="E"/>
    <s v="[1062] RAMGADH"/>
    <s v="[8405] RAMGADH"/>
    <x v="29"/>
    <x v="29"/>
    <x v="29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9/08/2026"/>
    <s v="E"/>
    <s v="[1062] RAMGADH"/>
    <s v="[8405] RAMGADH"/>
    <x v="29"/>
    <x v="29"/>
    <x v="29"/>
    <s v="C"/>
    <n v="13"/>
    <n v="4"/>
    <n v="8.1999999999999993"/>
    <n v="0.52"/>
    <n v="1.0659999999999998"/>
    <n v="39.477139800000003"/>
    <n v="513.20281740000007"/>
    <n v="417.0120401408451"/>
    <n v="278.00802676056338"/>
    <n v="8.9810493045000026"/>
    <n v="48.75"/>
    <n v="570.93386670450013"/>
    <n v="43.917989746500012"/>
    <n v="463.92242689964803"/>
    <n v="309.28161793309869"/>
  </r>
  <r>
    <s v="30/08/2026"/>
    <s v="M"/>
    <s v="[1062] RAMGADH"/>
    <s v="[8405] RAMGADH"/>
    <x v="29"/>
    <x v="29"/>
    <x v="29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30/08/2026"/>
    <s v="M"/>
    <s v="[1062] RAMGADH"/>
    <s v="[8405] RAMGADH"/>
    <x v="29"/>
    <x v="29"/>
    <x v="29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30/08/2026"/>
    <s v="E"/>
    <s v="[1062] RAMGADH"/>
    <s v="[8405] RAMGADH"/>
    <x v="29"/>
    <x v="29"/>
    <x v="29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30/08/2026"/>
    <s v="E"/>
    <s v="[1062] RAMGADH"/>
    <s v="[8405] RAMGADH"/>
    <x v="29"/>
    <x v="29"/>
    <x v="29"/>
    <s v="C"/>
    <n v="17"/>
    <n v="3.9"/>
    <n v="8.5"/>
    <n v="0.66299999999999992"/>
    <n v="1.4450000000000001"/>
    <n v="39.894181500000002"/>
    <n v="678.20108550000009"/>
    <n v="417.01235017421601"/>
    <n v="278.00823344947736"/>
    <n v="11.868518996250003"/>
    <n v="63.75"/>
    <n v="753.81960449625012"/>
    <n v="44.34232967625001"/>
    <n v="463.50867257404184"/>
    <n v="309.00578171602791"/>
  </r>
  <r>
    <s v="31/08/2026"/>
    <s v="M"/>
    <s v="[1062] RAMGADH"/>
    <s v="[8405] RAMGADH"/>
    <x v="29"/>
    <x v="29"/>
    <x v="29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31/08/2026"/>
    <s v="M"/>
    <s v="[1062] RAMGADH"/>
    <s v="[8405] RAMGADH"/>
    <x v="29"/>
    <x v="29"/>
    <x v="29"/>
    <s v="C"/>
    <n v="38"/>
    <n v="4.3"/>
    <n v="8.1999999999999993"/>
    <n v="1.6340000000000001"/>
    <n v="3.1159999999999997"/>
    <n v="40.728139799999994"/>
    <n v="1547.6693123999999"/>
    <n v="417.01167030716726"/>
    <n v="278.00778020477816"/>
    <n v="27.084212966999999"/>
    <n v="142.5"/>
    <n v="1717.2535253669998"/>
    <n v="45.190882246499996"/>
    <n v="462.70527897440275"/>
    <n v="308.47018598293516"/>
  </r>
  <r>
    <s v="31/08/2026"/>
    <s v="E"/>
    <s v="[1062] RAMGADH"/>
    <s v="[8405] RAMGADH"/>
    <x v="29"/>
    <x v="29"/>
    <x v="29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31/08/2026"/>
    <s v="E"/>
    <s v="[1062] RAMGADH"/>
    <s v="[8405] RAMGADH"/>
    <x v="29"/>
    <x v="29"/>
    <x v="29"/>
    <s v="C"/>
    <n v="16"/>
    <n v="4.3"/>
    <n v="8.3000000000000007"/>
    <n v="0.68799999999999994"/>
    <n v="1.3280000000000001"/>
    <n v="41.006153699999999"/>
    <n v="656.09845919999998"/>
    <n v="417.0117325423729"/>
    <n v="278.00782169491526"/>
    <n v="11.481723036"/>
    <n v="60"/>
    <n v="727.58018223599993"/>
    <n v="45.473761389749995"/>
    <n v="462.44503108220334"/>
    <n v="308.29668738813558"/>
  </r>
  <r>
    <s v="01/09/2026"/>
    <s v="M"/>
    <s v="[1062] RAMGADH"/>
    <s v="[8405] RAMGADH"/>
    <x v="29"/>
    <x v="29"/>
    <x v="29"/>
    <s v="B"/>
    <n v="5"/>
    <n v="6.8"/>
    <n v="9"/>
    <n v="0.34"/>
    <n v="0.45"/>
    <n v="56.78"/>
    <n v="283.89999999999998"/>
    <n v="443.59375"/>
    <n v="295.72916666666669"/>
    <n v="4.9682500000000003"/>
    <n v="18.75"/>
    <n v="307.61824999999999"/>
    <n v="61.523649999999996"/>
    <n v="480.65351562499995"/>
    <n v="320.4356770833333"/>
  </r>
  <r>
    <s v="01/09/2026"/>
    <s v="M"/>
    <s v="[1062] RAMGADH"/>
    <s v="[8405] RAMGADH"/>
    <x v="29"/>
    <x v="29"/>
    <x v="29"/>
    <s v="C"/>
    <n v="52"/>
    <n v="3.9"/>
    <n v="8.1999999999999993"/>
    <n v="2.028"/>
    <n v="4.2639999999999993"/>
    <n v="39.060139800000002"/>
    <n v="2031.1272696000001"/>
    <n v="417.01216868327407"/>
    <n v="278.00811245551603"/>
    <n v="35.544727218000006"/>
    <n v="195"/>
    <n v="2261.671996818"/>
    <n v="43.493692246500004"/>
    <n v="464.34546882384348"/>
    <n v="309.5636458825623"/>
  </r>
  <r>
    <s v="01/09/2026"/>
    <s v="E"/>
    <s v="[1062] RAMGADH"/>
    <s v="[8405] RAMGADH"/>
    <x v="29"/>
    <x v="29"/>
    <x v="29"/>
    <s v="B"/>
    <n v="11"/>
    <n v="7.5"/>
    <n v="9"/>
    <n v="0.82499999999999996"/>
    <n v="0.99"/>
    <n v="62.625"/>
    <n v="688.875"/>
    <n v="463.88888888888886"/>
    <n v="309.25925925925924"/>
    <n v="12.055312500000001"/>
    <n v="41.25"/>
    <n v="742.18031250000001"/>
    <n v="67.470937500000005"/>
    <n v="499.78472222222223"/>
    <n v="333.18981481481484"/>
  </r>
  <r>
    <s v="01/09/2026"/>
    <s v="E"/>
    <s v="[1062] RAMGADH"/>
    <s v="[8405] RAMGADH"/>
    <x v="29"/>
    <x v="29"/>
    <x v="29"/>
    <s v="C"/>
    <n v="23"/>
    <n v="3.9"/>
    <n v="8.4"/>
    <n v="0.89700000000000002"/>
    <n v="1.9320000000000002"/>
    <n v="39.616167600000011"/>
    <n v="911.17185480000023"/>
    <n v="417.01229052631589"/>
    <n v="278.0081936842106"/>
    <n v="15.945507459000005"/>
    <n v="86.25"/>
    <n v="1013.3673622590002"/>
    <n v="44.05945053300001"/>
    <n v="463.78368982105275"/>
    <n v="309.18912654736852"/>
  </r>
  <r>
    <s v="02/09/2026"/>
    <s v="M"/>
    <s v="[1062] RAMGADH"/>
    <s v="[8405] RAMGADH"/>
    <x v="29"/>
    <x v="29"/>
    <x v="29"/>
    <s v="B"/>
    <n v="11"/>
    <n v="8.1999999999999993"/>
    <n v="9"/>
    <n v="0.90199999999999991"/>
    <n v="0.99"/>
    <n v="68.469999999999985"/>
    <n v="753.16999999999985"/>
    <n v="482.18309859154925"/>
    <n v="321.45539906103284"/>
    <n v="13.180474999999998"/>
    <n v="41.25"/>
    <n v="807.60047499999985"/>
    <n v="73.418224999999993"/>
    <n v="517.02975352112674"/>
    <n v="344.68650234741784"/>
  </r>
  <r>
    <s v="02/09/2026"/>
    <s v="M"/>
    <s v="[1062] RAMGADH"/>
    <s v="[8405] RAMGADH"/>
    <x v="29"/>
    <x v="29"/>
    <x v="29"/>
    <s v="C"/>
    <n v="44"/>
    <n v="4.0999999999999996"/>
    <n v="8.5"/>
    <n v="1.8039999999999998"/>
    <n v="3.74"/>
    <n v="40.728181500000005"/>
    <n v="1792.0399860000002"/>
    <n v="417.01209726962463"/>
    <n v="278.0080648464164"/>
    <n v="31.360699755000006"/>
    <n v="165"/>
    <n v="1988.4006857550003"/>
    <n v="45.190924676250006"/>
    <n v="462.70571340870316"/>
    <n v="308.47047560580211"/>
  </r>
  <r>
    <s v="02/09/2026"/>
    <s v="E"/>
    <s v="[1062] RAMGADH"/>
    <s v="[8405] RAMGADH"/>
    <x v="29"/>
    <x v="29"/>
    <x v="29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02/09/2026"/>
    <s v="E"/>
    <s v="[1062] RAMGADH"/>
    <s v="[8405] RAMGADH"/>
    <x v="29"/>
    <x v="29"/>
    <x v="29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03/09/2026"/>
    <s v="M"/>
    <s v="[1062] RAMGADH"/>
    <s v="[8405] RAMGADH"/>
    <x v="29"/>
    <x v="29"/>
    <x v="29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03/09/2026"/>
    <s v="M"/>
    <s v="[1062] RAMGADH"/>
    <s v="[8405] RAMGADH"/>
    <x v="29"/>
    <x v="29"/>
    <x v="29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3/09/2026"/>
    <s v="E"/>
    <s v="[1062] RAMGADH"/>
    <s v="[8405] RAMGADH"/>
    <x v="29"/>
    <x v="29"/>
    <x v="29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03/09/2026"/>
    <s v="E"/>
    <s v="[1062] RAMGADH"/>
    <s v="[8405] RAMGADH"/>
    <x v="29"/>
    <x v="29"/>
    <x v="29"/>
    <s v="C"/>
    <n v="22"/>
    <n v="3.8"/>
    <n v="8.4"/>
    <n v="0.83599999999999997"/>
    <n v="1.8480000000000001"/>
    <n v="39.19916760000001"/>
    <n v="862.38168720000021"/>
    <n v="417.01242127659583"/>
    <n v="278.00828085106389"/>
    <n v="15.091679526000005"/>
    <n v="82.5"/>
    <n v="959.97336672600022"/>
    <n v="43.635153033000009"/>
    <n v="464.20375567021284"/>
    <n v="309.46917044680856"/>
  </r>
  <r>
    <s v="28/08/2026"/>
    <s v="M"/>
    <s v="[1062] RAMGADH"/>
    <s v="[8405] RAMGADH"/>
    <x v="30"/>
    <x v="30"/>
    <x v="30"/>
    <s v="B"/>
    <n v="43"/>
    <n v="6.2"/>
    <n v="9"/>
    <n v="2.6660000000000004"/>
    <n v="3.87"/>
    <n v="51.77"/>
    <n v="2226.11"/>
    <n v="424.34426229508199"/>
    <n v="282.89617486338801"/>
    <n v="38.956925000000005"/>
    <n v="161.25"/>
    <n v="2426.3169250000001"/>
    <n v="56.425975000000001"/>
    <n v="462.50799180327868"/>
    <n v="308.33866120218579"/>
  </r>
  <r>
    <s v="28/08/2026"/>
    <s v="M"/>
    <s v="[1062] RAMGADH"/>
    <s v="[8405] RAMGADH"/>
    <x v="30"/>
    <x v="30"/>
    <x v="30"/>
    <s v="C"/>
    <n v="17"/>
    <n v="4"/>
    <n v="8.5"/>
    <n v="0.68"/>
    <n v="1.4450000000000001"/>
    <n v="40.311181500000004"/>
    <n v="685.29008550000003"/>
    <n v="417.0122224137931"/>
    <n v="278.00814827586208"/>
    <n v="11.992576496250003"/>
    <n v="63.75"/>
    <n v="761.03266199625"/>
    <n v="44.766627176249997"/>
    <n v="463.10303975431026"/>
    <n v="308.73535983620684"/>
  </r>
  <r>
    <s v="28/08/2026"/>
    <s v="E"/>
    <s v="[1062] RAMGADH"/>
    <s v="[8405] RAMGADH"/>
    <x v="30"/>
    <x v="30"/>
    <x v="30"/>
    <s v="B"/>
    <n v="41"/>
    <n v="6.5"/>
    <n v="9"/>
    <n v="2.665"/>
    <n v="3.69"/>
    <n v="54.274999999999999"/>
    <n v="2225.2750000000001"/>
    <n v="434.2"/>
    <n v="289.46666666666664"/>
    <n v="38.942312500000007"/>
    <n v="153.75"/>
    <n v="2417.9673124999999"/>
    <n v="58.974812499999999"/>
    <n v="471.79849999999999"/>
    <n v="314.53233333333333"/>
  </r>
  <r>
    <s v="28/08/2026"/>
    <s v="E"/>
    <s v="[1062] RAMGADH"/>
    <s v="[8405] RAMGADH"/>
    <x v="30"/>
    <x v="30"/>
    <x v="30"/>
    <s v="C"/>
    <n v="30"/>
    <n v="3.6"/>
    <n v="8.5"/>
    <n v="1.08"/>
    <n v="2.5499999999999998"/>
    <n v="38.643181500000004"/>
    <n v="1159.2954450000002"/>
    <n v="417.01274999999998"/>
    <n v="278.00849999999997"/>
    <n v="20.287670287500006"/>
    <n v="112.5"/>
    <n v="1292.0831152875003"/>
    <n v="43.069437176250013"/>
    <n v="464.77809902428066"/>
    <n v="309.85206601618711"/>
  </r>
  <r>
    <s v="29/08/2026"/>
    <s v="M"/>
    <s v="[1062] RAMGADH"/>
    <s v="[8405] RAMGADH"/>
    <x v="30"/>
    <x v="30"/>
    <x v="30"/>
    <s v="B"/>
    <n v="58"/>
    <n v="6.8"/>
    <n v="9"/>
    <n v="3.944"/>
    <n v="5.22"/>
    <n v="56.78"/>
    <n v="3293.2400000000002"/>
    <n v="443.59375"/>
    <n v="295.72916666666669"/>
    <n v="57.631700000000009"/>
    <n v="217.5"/>
    <n v="3568.3717000000001"/>
    <n v="61.523650000000004"/>
    <n v="480.65351562500001"/>
    <n v="320.43567708333336"/>
  </r>
  <r>
    <s v="29/08/2026"/>
    <s v="M"/>
    <s v="[1062] RAMGADH"/>
    <s v="[8405] RAMGADH"/>
    <x v="30"/>
    <x v="30"/>
    <x v="30"/>
    <s v="C"/>
    <n v="29"/>
    <n v="4.5"/>
    <n v="8.5"/>
    <n v="1.3049999999999999"/>
    <n v="2.4649999999999999"/>
    <n v="42.396181500000004"/>
    <n v="1229.4892635000001"/>
    <n v="417.01162131147544"/>
    <n v="278.00774754098364"/>
    <n v="21.516062111250005"/>
    <n v="108.75"/>
    <n v="1359.7553256112501"/>
    <n v="46.888114676250005"/>
    <n v="461.19457058606559"/>
    <n v="307.46304705737708"/>
  </r>
  <r>
    <s v="29/08/2026"/>
    <s v="E"/>
    <s v="[1062] RAMGADH"/>
    <s v="[8405] RAMGADH"/>
    <x v="30"/>
    <x v="30"/>
    <x v="30"/>
    <s v="B"/>
    <n v="39"/>
    <n v="6.3"/>
    <n v="9"/>
    <n v="2.4569999999999999"/>
    <n v="3.51"/>
    <n v="52.604999999999997"/>
    <n v="2051.5949999999998"/>
    <n v="427.6829268292683"/>
    <n v="285.1219512195122"/>
    <n v="35.902912499999999"/>
    <n v="146.25"/>
    <n v="2233.7479125"/>
    <n v="57.2755875"/>
    <n v="465.6551829268293"/>
    <n v="310.43678861788618"/>
  </r>
  <r>
    <s v="29/08/2026"/>
    <s v="E"/>
    <s v="[1062] RAMGADH"/>
    <s v="[8405] RAMGADH"/>
    <x v="30"/>
    <x v="30"/>
    <x v="30"/>
    <s v="C"/>
    <n v="14"/>
    <n v="3.3"/>
    <n v="8.1999999999999993"/>
    <n v="0.46199999999999997"/>
    <n v="1.1479999999999999"/>
    <n v="36.558139799999999"/>
    <n v="511.8139572"/>
    <n v="417.0130015209125"/>
    <n v="278.00866768060831"/>
    <n v="8.9567442510000017"/>
    <n v="52.5"/>
    <n v="573.27070145100004"/>
    <n v="40.947907246500002"/>
    <n v="467.08639444676805"/>
    <n v="311.39092963117872"/>
  </r>
  <r>
    <s v="30/08/2026"/>
    <s v="M"/>
    <s v="[1062] RAMGADH"/>
    <s v="[8405] RAMGADH"/>
    <x v="30"/>
    <x v="30"/>
    <x v="30"/>
    <s v="B"/>
    <n v="22"/>
    <n v="6"/>
    <n v="9"/>
    <n v="1.32"/>
    <n v="1.98"/>
    <n v="50.1"/>
    <n v="1102.2"/>
    <n v="417.5"/>
    <n v="278.33333333333331"/>
    <n v="19.288500000000003"/>
    <n v="82.5"/>
    <n v="1203.9884999999999"/>
    <n v="54.726749999999996"/>
    <n v="456.05624999999998"/>
    <n v="304.03749999999997"/>
  </r>
  <r>
    <s v="30/08/2026"/>
    <s v="M"/>
    <s v="[1062] RAMGADH"/>
    <s v="[8405] RAMGADH"/>
    <x v="30"/>
    <x v="30"/>
    <x v="30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30/08/2026"/>
    <s v="E"/>
    <s v="[1062] RAMGADH"/>
    <s v="[8405] RAMGADH"/>
    <x v="30"/>
    <x v="30"/>
    <x v="30"/>
    <s v="B"/>
    <n v="41"/>
    <n v="6.4"/>
    <n v="9"/>
    <n v="2.6240000000000006"/>
    <n v="3.69"/>
    <n v="53.44"/>
    <n v="2191.04"/>
    <n v="430.96774193548384"/>
    <n v="287.31182795698925"/>
    <n v="38.343200000000003"/>
    <n v="153.75"/>
    <n v="2383.1331999999998"/>
    <n v="58.125199999999992"/>
    <n v="468.75161290322575"/>
    <n v="312.50107526881715"/>
  </r>
  <r>
    <s v="30/08/2026"/>
    <s v="E"/>
    <s v="[1062] RAMGADH"/>
    <s v="[8405] RAMGADH"/>
    <x v="30"/>
    <x v="30"/>
    <x v="30"/>
    <s v="C"/>
    <n v="17"/>
    <n v="3.7"/>
    <n v="8.4"/>
    <n v="0.629"/>
    <n v="1.4280000000000002"/>
    <n v="38.782167600000008"/>
    <n v="659.29684920000011"/>
    <n v="417.01255483870978"/>
    <n v="278.00836989247318"/>
    <n v="11.537694861000004"/>
    <n v="63.75"/>
    <n v="734.58454406100009"/>
    <n v="43.210855533000007"/>
    <n v="464.63285519354849"/>
    <n v="309.75523679569898"/>
  </r>
  <r>
    <s v="31/08/2026"/>
    <s v="M"/>
    <s v="[1062] RAMGADH"/>
    <s v="[8405] RAMGADH"/>
    <x v="30"/>
    <x v="30"/>
    <x v="30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31/08/2026"/>
    <s v="M"/>
    <s v="[1062] RAMGADH"/>
    <s v="[8405] RAMGADH"/>
    <x v="30"/>
    <x v="30"/>
    <x v="30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31/08/2026"/>
    <s v="E"/>
    <s v="[1062] RAMGADH"/>
    <s v="[8405] RAMGADH"/>
    <x v="30"/>
    <x v="30"/>
    <x v="30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31/08/2026"/>
    <s v="E"/>
    <s v="[1062] RAMGADH"/>
    <s v="[8405] RAMGADH"/>
    <x v="30"/>
    <x v="30"/>
    <x v="30"/>
    <s v="C"/>
    <n v="12"/>
    <n v="4"/>
    <n v="8.5"/>
    <n v="0.48"/>
    <n v="1.02"/>
    <n v="40.311181500000004"/>
    <n v="483.73417800000004"/>
    <n v="417.0122224137931"/>
    <n v="278.00814827586208"/>
    <n v="8.4653481150000012"/>
    <n v="45"/>
    <n v="537.19952611500003"/>
    <n v="44.766627176250005"/>
    <n v="463.10303975431032"/>
    <n v="308.7353598362069"/>
  </r>
  <r>
    <s v="01/09/2026"/>
    <s v="M"/>
    <s v="[1062] RAMGADH"/>
    <s v="[8405] RAMGADH"/>
    <x v="30"/>
    <x v="30"/>
    <x v="30"/>
    <s v="B"/>
    <n v="27"/>
    <n v="6.3"/>
    <n v="9"/>
    <n v="1.7009999999999998"/>
    <n v="2.4300000000000002"/>
    <n v="52.604999999999997"/>
    <n v="1420.3349999999998"/>
    <n v="427.6829268292683"/>
    <n v="285.1219512195122"/>
    <n v="24.855862500000001"/>
    <n v="101.25"/>
    <n v="1546.4408624999999"/>
    <n v="57.275587499999993"/>
    <n v="465.65518292682924"/>
    <n v="310.43678861788618"/>
  </r>
  <r>
    <s v="01/09/2026"/>
    <s v="M"/>
    <s v="[1062] RAMGADH"/>
    <s v="[8405] RAMGADH"/>
    <x v="30"/>
    <x v="30"/>
    <x v="30"/>
    <s v="C"/>
    <n v="17"/>
    <n v="4.3"/>
    <n v="8.1999999999999993"/>
    <n v="0.73099999999999998"/>
    <n v="1.3939999999999997"/>
    <n v="40.728139799999994"/>
    <n v="692.37837659999991"/>
    <n v="417.01167030716726"/>
    <n v="278.00778020477816"/>
    <n v="12.116621590499999"/>
    <n v="63.75"/>
    <n v="768.24499819049993"/>
    <n v="45.190882246499996"/>
    <n v="462.70527897440275"/>
    <n v="308.47018598293516"/>
  </r>
  <r>
    <s v="01/09/2026"/>
    <s v="E"/>
    <s v="[1062] RAMGADH"/>
    <s v="[8405] RAMGADH"/>
    <x v="30"/>
    <x v="30"/>
    <x v="30"/>
    <s v="B"/>
    <n v="33"/>
    <n v="7.4"/>
    <n v="9"/>
    <n v="2.4420000000000002"/>
    <n v="2.97"/>
    <n v="61.790000000000006"/>
    <n v="2039.0700000000002"/>
    <n v="461.11940298507466"/>
    <n v="307.41293532338312"/>
    <n v="35.68372500000001"/>
    <n v="123.75"/>
    <n v="2198.503725"/>
    <n v="66.621324999999999"/>
    <n v="497.17406716417906"/>
    <n v="331.44937810945271"/>
  </r>
  <r>
    <s v="01/09/2026"/>
    <s v="E"/>
    <s v="[1062] RAMGADH"/>
    <s v="[8405] RAMGADH"/>
    <x v="30"/>
    <x v="30"/>
    <x v="30"/>
    <s v="C"/>
    <n v="9"/>
    <n v="3.8"/>
    <n v="8.1999999999999993"/>
    <n v="0.34199999999999997"/>
    <n v="0.73799999999999999"/>
    <n v="38.6431398"/>
    <n v="347.78825819999997"/>
    <n v="417.01230000000004"/>
    <n v="278.00820000000004"/>
    <n v="6.0862945184999999"/>
    <n v="33.75"/>
    <n v="387.62455271849996"/>
    <n v="43.069394746499995"/>
    <n v="464.77764114928056"/>
    <n v="309.85176076618706"/>
  </r>
  <r>
    <s v="02/09/2026"/>
    <s v="M"/>
    <s v="[1062] RAMGADH"/>
    <s v="[8405] RAMGADH"/>
    <x v="30"/>
    <x v="30"/>
    <x v="30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02/09/2026"/>
    <s v="M"/>
    <s v="[1062] RAMGADH"/>
    <s v="[8405] RAMGADH"/>
    <x v="30"/>
    <x v="30"/>
    <x v="30"/>
    <s v="C"/>
    <n v="16"/>
    <n v="4"/>
    <n v="8.5"/>
    <n v="0.64"/>
    <n v="1.36"/>
    <n v="40.311181500000004"/>
    <n v="644.97890400000006"/>
    <n v="417.0122224137931"/>
    <n v="278.00814827586208"/>
    <n v="11.287130820000002"/>
    <n v="60"/>
    <n v="716.26603482000007"/>
    <n v="44.766627176250005"/>
    <n v="463.10303975431032"/>
    <n v="308.7353598362069"/>
  </r>
  <r>
    <s v="02/09/2026"/>
    <s v="E"/>
    <s v="[1062] RAMGADH"/>
    <s v="[8405] RAMGADH"/>
    <x v="30"/>
    <x v="30"/>
    <x v="30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2/09/2026"/>
    <s v="E"/>
    <s v="[1062] RAMGADH"/>
    <s v="[8405] RAMGADH"/>
    <x v="30"/>
    <x v="30"/>
    <x v="30"/>
    <s v="C"/>
    <n v="24"/>
    <n v="4.8"/>
    <n v="8.5"/>
    <n v="1.1519999999999999"/>
    <n v="2.04"/>
    <n v="43.647181500000002"/>
    <n v="1047.5323560000002"/>
    <n v="417.0112882165605"/>
    <n v="278.00752547770702"/>
    <n v="18.331816230000005"/>
    <n v="90"/>
    <n v="1155.8641722300001"/>
    <n v="48.161007176250003"/>
    <n v="460.13701123805731"/>
    <n v="306.75800749203819"/>
  </r>
  <r>
    <s v="03/09/2026"/>
    <s v="M"/>
    <s v="[1062] RAMGADH"/>
    <s v="[8405] RAMGADH"/>
    <x v="30"/>
    <x v="30"/>
    <x v="30"/>
    <s v="B"/>
    <n v="51"/>
    <n v="6.8"/>
    <n v="9"/>
    <n v="3.468"/>
    <n v="4.59"/>
    <n v="56.78"/>
    <n v="2895.78"/>
    <n v="443.59375"/>
    <n v="295.72916666666669"/>
    <n v="50.676150000000007"/>
    <n v="191.25"/>
    <n v="3137.70615"/>
    <n v="61.523649999999996"/>
    <n v="480.65351562499995"/>
    <n v="320.4356770833333"/>
  </r>
  <r>
    <s v="03/09/2026"/>
    <s v="M"/>
    <s v="[1062] RAMGADH"/>
    <s v="[8405] RAMGADH"/>
    <x v="30"/>
    <x v="30"/>
    <x v="30"/>
    <s v="C"/>
    <n v="27"/>
    <n v="4.5999999999999996"/>
    <n v="8.5"/>
    <n v="1.242"/>
    <n v="2.2949999999999999"/>
    <n v="42.813181499999999"/>
    <n v="1155.9559004999999"/>
    <n v="417.01150811688308"/>
    <n v="278.00767207792205"/>
    <n v="20.229228258749998"/>
    <n v="101.25"/>
    <n v="1277.4351287587499"/>
    <n v="47.31241217625"/>
    <n v="460.83518353490257"/>
    <n v="307.22345568993507"/>
  </r>
  <r>
    <s v="03/09/2026"/>
    <s v="E"/>
    <s v="[1062] RAMGADH"/>
    <s v="[8405] RAMGADH"/>
    <x v="30"/>
    <x v="30"/>
    <x v="30"/>
    <s v="B"/>
    <n v="52"/>
    <n v="6.7"/>
    <n v="9"/>
    <n v="3.4840000000000004"/>
    <n v="4.68"/>
    <n v="55.945"/>
    <n v="2909.14"/>
    <n v="440.51181102362204"/>
    <n v="293.67454068241472"/>
    <n v="50.909950000000002"/>
    <n v="195"/>
    <n v="3155.0499500000001"/>
    <n v="60.674037500000004"/>
    <n v="477.74832677165358"/>
    <n v="318.4988845144357"/>
  </r>
  <r>
    <s v="03/09/2026"/>
    <s v="E"/>
    <s v="[1062] RAMGADH"/>
    <s v="[8405] RAMGADH"/>
    <x v="30"/>
    <x v="30"/>
    <x v="30"/>
    <s v="C"/>
    <n v="16"/>
    <n v="3.8"/>
    <n v="8.5"/>
    <n v="0.60799999999999998"/>
    <n v="1.36"/>
    <n v="39.4771815"/>
    <n v="631.63490400000001"/>
    <n v="417.0124806338028"/>
    <n v="278.00832042253518"/>
    <n v="11.053610820000001"/>
    <n v="60"/>
    <n v="702.68851482000002"/>
    <n v="43.918032176250001"/>
    <n v="463.92287510123236"/>
    <n v="309.28191673415489"/>
  </r>
  <r>
    <s v="28/08/2026"/>
    <s v="M"/>
    <s v="[1062] RAMGADH"/>
    <s v="[8405] RAMGADH"/>
    <x v="31"/>
    <x v="31"/>
    <x v="31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28/08/2026"/>
    <s v="E"/>
    <s v="[1062] RAMGADH"/>
    <s v="[8405] RAMGADH"/>
    <x v="31"/>
    <x v="31"/>
    <x v="31"/>
    <s v="C"/>
    <n v="13"/>
    <n v="3.5"/>
    <n v="8.5"/>
    <n v="0.45500000000000002"/>
    <n v="1.105"/>
    <n v="38.226181500000003"/>
    <n v="496.94035950000006"/>
    <n v="417.01288909090908"/>
    <n v="278.00859272727274"/>
    <n v="8.6964562912500014"/>
    <n v="48.75"/>
    <n v="554.38681579125"/>
    <n v="42.645139676249997"/>
    <n v="465.21970555909081"/>
    <n v="310.14647037272721"/>
  </r>
  <r>
    <s v="29/08/2026"/>
    <s v="M"/>
    <s v="[1062] RAMGADH"/>
    <s v="[8405] RAMGADH"/>
    <x v="31"/>
    <x v="31"/>
    <x v="31"/>
    <s v="B"/>
    <n v="40"/>
    <n v="6.3"/>
    <n v="9"/>
    <n v="2.52"/>
    <n v="3.6"/>
    <n v="52.604999999999997"/>
    <n v="2104.1999999999998"/>
    <n v="427.6829268292683"/>
    <n v="285.1219512195122"/>
    <n v="36.823500000000003"/>
    <n v="150"/>
    <n v="2291.0234999999998"/>
    <n v="57.275587499999993"/>
    <n v="465.65518292682924"/>
    <n v="310.43678861788618"/>
  </r>
  <r>
    <s v="29/08/2026"/>
    <s v="M"/>
    <s v="[1062] RAMGADH"/>
    <s v="[8405] RAMGADH"/>
    <x v="31"/>
    <x v="31"/>
    <x v="3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9/08/2026"/>
    <s v="E"/>
    <s v="[1062] RAMGADH"/>
    <s v="[8405] RAMGADH"/>
    <x v="31"/>
    <x v="31"/>
    <x v="31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30/08/2026"/>
    <s v="M"/>
    <s v="[1062] RAMGADH"/>
    <s v="[8405] RAMGADH"/>
    <x v="31"/>
    <x v="31"/>
    <x v="31"/>
    <s v="B"/>
    <n v="33"/>
    <n v="6.8"/>
    <n v="9"/>
    <n v="2.2440000000000002"/>
    <n v="2.97"/>
    <n v="56.78"/>
    <n v="1873.74"/>
    <n v="443.59375"/>
    <n v="295.72916666666669"/>
    <n v="32.79045"/>
    <n v="123.75"/>
    <n v="2030.28045"/>
    <n v="61.523649999999996"/>
    <n v="480.65351562499995"/>
    <n v="320.4356770833333"/>
  </r>
  <r>
    <s v="30/08/2026"/>
    <s v="M"/>
    <s v="[1062] RAMGADH"/>
    <s v="[8405] RAMGADH"/>
    <x v="31"/>
    <x v="31"/>
    <x v="31"/>
    <s v="C"/>
    <n v="32"/>
    <n v="3.2"/>
    <n v="8.1999999999999993"/>
    <n v="1.024"/>
    <n v="2.6239999999999997"/>
    <n v="36.141139799999998"/>
    <n v="1156.5164735999999"/>
    <n v="417.0131515384615"/>
    <n v="278.00876769230769"/>
    <n v="20.239038288"/>
    <n v="120"/>
    <n v="1296.755511888"/>
    <n v="40.5236097465"/>
    <n v="467.58011245961535"/>
    <n v="311.72007497307692"/>
  </r>
  <r>
    <s v="30/08/2026"/>
    <s v="E"/>
    <s v="[1062] RAMGADH"/>
    <s v="[8405] RAMGADH"/>
    <x v="31"/>
    <x v="31"/>
    <x v="31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31/08/2026"/>
    <s v="M"/>
    <s v="[1062] RAMGADH"/>
    <s v="[8405] RAMGADH"/>
    <x v="31"/>
    <x v="31"/>
    <x v="31"/>
    <s v="B"/>
    <n v="38"/>
    <n v="6.1"/>
    <n v="9"/>
    <n v="2.3179999999999996"/>
    <n v="3.42"/>
    <n v="50.935000000000002"/>
    <n v="1935.5300000000002"/>
    <n v="420.95041322314052"/>
    <n v="280.63360881542701"/>
    <n v="33.871775000000007"/>
    <n v="142.5"/>
    <n v="2111.9017750000003"/>
    <n v="55.576362500000009"/>
    <n v="459.3087809917356"/>
    <n v="306.20585399449038"/>
  </r>
  <r>
    <s v="31/08/2026"/>
    <s v="M"/>
    <s v="[1062] RAMGADH"/>
    <s v="[8405] RAMGADH"/>
    <x v="31"/>
    <x v="31"/>
    <x v="31"/>
    <s v="C"/>
    <n v="27"/>
    <n v="3.1"/>
    <n v="8.1999999999999993"/>
    <n v="0.83700000000000008"/>
    <n v="2.214"/>
    <n v="35.724139800000003"/>
    <n v="964.55177460000004"/>
    <n v="417.0133050583658"/>
    <n v="278.00887003891052"/>
    <n v="16.879656055500003"/>
    <n v="101.25"/>
    <n v="1082.6814306555"/>
    <n v="40.099312246499998"/>
    <n v="468.085356963035"/>
    <n v="312.05690464202331"/>
  </r>
  <r>
    <s v="31/08/2026"/>
    <s v="E"/>
    <s v="[1062] RAMGADH"/>
    <s v="[8405] RAMGADH"/>
    <x v="31"/>
    <x v="31"/>
    <x v="31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01/09/2026"/>
    <s v="M"/>
    <s v="[1062] RAMGADH"/>
    <s v="[8405] RAMGADH"/>
    <x v="31"/>
    <x v="31"/>
    <x v="31"/>
    <s v="B"/>
    <n v="40"/>
    <n v="5.8"/>
    <n v="9"/>
    <n v="2.3199999999999998"/>
    <n v="3.6"/>
    <n v="48.43"/>
    <n v="1937.2"/>
    <n v="410.42372881355936"/>
    <n v="273.61581920903956"/>
    <n v="33.901000000000003"/>
    <n v="150"/>
    <n v="2121.1010000000001"/>
    <n v="53.027525000000004"/>
    <n v="449.38580508474581"/>
    <n v="299.59053672316389"/>
  </r>
  <r>
    <s v="01/09/2026"/>
    <s v="M"/>
    <s v="[1062] RAMGADH"/>
    <s v="[8405] RAMGADH"/>
    <x v="31"/>
    <x v="31"/>
    <x v="31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01/09/2026"/>
    <s v="E"/>
    <s v="[1062] RAMGADH"/>
    <s v="[8405] RAMGADH"/>
    <x v="31"/>
    <x v="31"/>
    <x v="31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2/09/2026"/>
    <s v="M"/>
    <s v="[1062] RAMGADH"/>
    <s v="[8405] RAMGADH"/>
    <x v="31"/>
    <x v="31"/>
    <x v="31"/>
    <s v="B"/>
    <n v="41"/>
    <n v="6.4"/>
    <n v="9"/>
    <n v="2.6240000000000006"/>
    <n v="3.69"/>
    <n v="53.44"/>
    <n v="2191.04"/>
    <n v="430.96774193548384"/>
    <n v="287.31182795698925"/>
    <n v="38.343200000000003"/>
    <n v="153.75"/>
    <n v="2383.1331999999998"/>
    <n v="58.125199999999992"/>
    <n v="468.75161290322575"/>
    <n v="312.50107526881715"/>
  </r>
  <r>
    <s v="02/09/2026"/>
    <s v="M"/>
    <s v="[1062] RAMGADH"/>
    <s v="[8405] RAMGADH"/>
    <x v="31"/>
    <x v="31"/>
    <x v="31"/>
    <s v="C"/>
    <n v="60"/>
    <n v="3.1"/>
    <n v="8.1"/>
    <n v="1.86"/>
    <n v="4.8600000000000003"/>
    <n v="35.446125899999998"/>
    <n v="2126.767554"/>
    <n v="417.01324588235298"/>
    <n v="278.0088305882353"/>
    <n v="37.218432195000005"/>
    <n v="225"/>
    <n v="2388.9859861949999"/>
    <n v="39.816433103249999"/>
    <n v="468.42862474411766"/>
    <n v="312.28574982941177"/>
  </r>
  <r>
    <s v="02/09/2026"/>
    <s v="E"/>
    <s v="[1062] RAMGADH"/>
    <s v="[8405] RAMGADH"/>
    <x v="31"/>
    <x v="31"/>
    <x v="31"/>
    <s v="C"/>
    <n v="32"/>
    <n v="3.6"/>
    <n v="8.1999999999999993"/>
    <n v="1.1520000000000001"/>
    <n v="2.6239999999999997"/>
    <n v="37.809139800000004"/>
    <n v="1209.8924736000001"/>
    <n v="417.01257132352941"/>
    <n v="278.00838088235292"/>
    <n v="21.173118288000005"/>
    <n v="120"/>
    <n v="1351.0655918880002"/>
    <n v="42.220799746500006"/>
    <n v="465.67058543933825"/>
    <n v="310.44705695955884"/>
  </r>
  <r>
    <s v="03/09/2026"/>
    <s v="M"/>
    <s v="[1062] RAMGADH"/>
    <s v="[8405] RAMGADH"/>
    <x v="31"/>
    <x v="31"/>
    <x v="31"/>
    <s v="B"/>
    <n v="61"/>
    <n v="5.8"/>
    <n v="8.5"/>
    <n v="3.5380000000000003"/>
    <n v="5.1849999999999996"/>
    <n v="46.9771"/>
    <n v="2865.6030999999998"/>
    <n v="409.68401162790695"/>
    <n v="273.12267441860462"/>
    <n v="50.148054250000001"/>
    <n v="228.75"/>
    <n v="3144.5011542499997"/>
    <n v="51.549199249999994"/>
    <n v="449.55697020348833"/>
    <n v="299.70464680232556"/>
  </r>
  <r>
    <s v="03/09/2026"/>
    <s v="M"/>
    <s v="[1062] RAMGADH"/>
    <s v="[8405] RAMGADH"/>
    <x v="31"/>
    <x v="31"/>
    <x v="31"/>
    <s v="C"/>
    <n v="65"/>
    <n v="3"/>
    <n v="8"/>
    <n v="1.95"/>
    <n v="5.2"/>
    <n v="34.751112000000006"/>
    <n v="2258.8222800000003"/>
    <n v="417.01334400000002"/>
    <n v="278.00889599999999"/>
    <n v="39.529389900000012"/>
    <n v="243.75"/>
    <n v="2542.1016699000002"/>
    <n v="39.109256460000005"/>
    <n v="469.31107752000003"/>
    <n v="312.87405168000004"/>
  </r>
  <r>
    <s v="03/09/2026"/>
    <s v="E"/>
    <s v="[1062] RAMGADH"/>
    <s v="[8405] RAMGADH"/>
    <x v="31"/>
    <x v="31"/>
    <x v="31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28/08/2026"/>
    <s v="M"/>
    <s v="[1062] RAMGADH"/>
    <s v="[8405] RAMGADH"/>
    <x v="32"/>
    <x v="32"/>
    <x v="32"/>
    <s v="B"/>
    <n v="4"/>
    <n v="5.5"/>
    <n v="8.4"/>
    <n v="0.22"/>
    <n v="0.33600000000000002"/>
    <n v="46.288167600000008"/>
    <n v="185.15267040000003"/>
    <n v="417.01051891891899"/>
    <n v="278.00701261261264"/>
    <n v="3.2401717320000007"/>
    <n v="15"/>
    <n v="203.39284213200003"/>
    <n v="50.848210533000007"/>
    <n v="458.09198678378385"/>
    <n v="305.39465785585588"/>
  </r>
  <r>
    <s v="28/08/2026"/>
    <s v="E"/>
    <s v="[1062] RAMGADH"/>
    <s v="[8405] RAMGADH"/>
    <x v="32"/>
    <x v="32"/>
    <x v="32"/>
    <s v="B"/>
    <n v="19"/>
    <n v="5.5"/>
    <n v="8.4"/>
    <n v="1.0449999999999999"/>
    <n v="1.5959999999999999"/>
    <n v="46.288167600000008"/>
    <n v="879.47518440000022"/>
    <n v="417.01051891891899"/>
    <n v="278.00701261261264"/>
    <n v="15.390815727000005"/>
    <n v="71.25"/>
    <n v="966.11600012700023"/>
    <n v="50.848210533000014"/>
    <n v="458.09198678378391"/>
    <n v="305.39465785585594"/>
  </r>
  <r>
    <s v="29/08/2026"/>
    <s v="M"/>
    <s v="[1062] RAMGADH"/>
    <s v="[8405] RAMGADH"/>
    <x v="32"/>
    <x v="32"/>
    <x v="32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29/08/2026"/>
    <s v="E"/>
    <s v="[1062] RAMGADH"/>
    <s v="[8405] RAMGADH"/>
    <x v="32"/>
    <x v="32"/>
    <x v="32"/>
    <s v="C"/>
    <n v="10"/>
    <n v="5.0999999999999996"/>
    <n v="8.5"/>
    <n v="0.51"/>
    <n v="0.85"/>
    <n v="44.898181500000007"/>
    <n v="448.9818150000001"/>
    <n v="417.01097368421063"/>
    <n v="278.00731578947375"/>
    <n v="7.8571817625000024"/>
    <n v="37.5"/>
    <n v="494.33899676250007"/>
    <n v="49.433899676250007"/>
    <n v="459.13838708591339"/>
    <n v="306.09225805727561"/>
  </r>
  <r>
    <s v="30/08/2026"/>
    <s v="M"/>
    <s v="[1062] RAMGADH"/>
    <s v="[8405] RAMGADH"/>
    <x v="32"/>
    <x v="32"/>
    <x v="3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30/08/2026"/>
    <s v="E"/>
    <s v="[1062] RAMGADH"/>
    <s v="[8405] RAMGADH"/>
    <x v="32"/>
    <x v="32"/>
    <x v="32"/>
    <s v="B"/>
    <n v="12"/>
    <n v="5.6"/>
    <n v="8.5"/>
    <n v="0.67199999999999993"/>
    <n v="1.02"/>
    <n v="45.357199999999999"/>
    <n v="544.28639999999996"/>
    <n v="402.57869822485208"/>
    <n v="268.38579881656807"/>
    <n v="9.5250120000000003"/>
    <n v="45"/>
    <n v="598.81141200000002"/>
    <n v="49.900950999999999"/>
    <n v="442.90784911242605"/>
    <n v="295.27189940828401"/>
  </r>
  <r>
    <s v="31/08/2026"/>
    <s v="M"/>
    <s v="[1062] RAMGADH"/>
    <s v="[8405] RAMGADH"/>
    <x v="32"/>
    <x v="32"/>
    <x v="3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31/08/2026"/>
    <s v="E"/>
    <s v="[1062] RAMGADH"/>
    <s v="[8405] RAMGADH"/>
    <x v="32"/>
    <x v="32"/>
    <x v="32"/>
    <s v="B"/>
    <n v="6"/>
    <n v="5.7"/>
    <n v="8.4"/>
    <n v="0.34200000000000003"/>
    <n v="0.504"/>
    <n v="46.167149999999999"/>
    <n v="277.00290000000001"/>
    <n v="408.55884955752208"/>
    <n v="272.37256637168139"/>
    <n v="4.8475507500000008"/>
    <n v="22.5"/>
    <n v="304.35045074999999"/>
    <n v="50.725075124999996"/>
    <n v="448.89447013274332"/>
    <n v="299.26298008849557"/>
  </r>
  <r>
    <s v="01/09/2026"/>
    <s v="M"/>
    <s v="[1062] RAMGADH"/>
    <s v="[8405] RAMGADH"/>
    <x v="32"/>
    <x v="32"/>
    <x v="32"/>
    <s v="C"/>
    <n v="14"/>
    <n v="4.0999999999999996"/>
    <n v="8.3000000000000007"/>
    <n v="0.57399999999999995"/>
    <n v="1.1620000000000001"/>
    <n v="40.172153700000003"/>
    <n v="562.41015179999999"/>
    <n v="417.01197612456752"/>
    <n v="278.00798408304502"/>
    <n v="9.8421776565000005"/>
    <n v="52.5"/>
    <n v="624.75232945649998"/>
    <n v="44.625166389749999"/>
    <n v="463.23702134688585"/>
    <n v="308.82468089792388"/>
  </r>
  <r>
    <s v="01/09/2026"/>
    <s v="E"/>
    <s v="[1062] RAMGADH"/>
    <s v="[8405] RAMGADH"/>
    <x v="32"/>
    <x v="32"/>
    <x v="32"/>
    <s v="C"/>
    <n v="11"/>
    <n v="3.7"/>
    <n v="8"/>
    <n v="0.40700000000000003"/>
    <n v="0.88"/>
    <n v="37.670112000000003"/>
    <n v="414.37123200000002"/>
    <n v="417.0123099630996"/>
    <n v="278.0082066420664"/>
    <n v="7.2514965600000014"/>
    <n v="41.25"/>
    <n v="462.87272856000004"/>
    <n v="42.079338960000001"/>
    <n v="465.82294051660512"/>
    <n v="310.5486270110701"/>
  </r>
  <r>
    <s v="02/09/2026"/>
    <s v="M"/>
    <s v="[1062] RAMGADH"/>
    <s v="[8405] RAMGADH"/>
    <x v="32"/>
    <x v="32"/>
    <x v="32"/>
    <s v="B"/>
    <n v="12"/>
    <n v="5.8"/>
    <n v="8.5"/>
    <n v="0.69599999999999995"/>
    <n v="1.02"/>
    <n v="46.9771"/>
    <n v="563.72519999999997"/>
    <n v="409.68401162790695"/>
    <n v="273.12267441860462"/>
    <n v="9.8651910000000012"/>
    <n v="45"/>
    <n v="618.59039099999995"/>
    <n v="51.549199249999994"/>
    <n v="449.55697020348833"/>
    <n v="299.70464680232556"/>
  </r>
  <r>
    <s v="02/09/2026"/>
    <s v="E"/>
    <s v="[1062] RAMGADH"/>
    <s v="[8405] RAMGADH"/>
    <x v="32"/>
    <x v="32"/>
    <x v="32"/>
    <s v="C"/>
    <n v="12"/>
    <n v="4.7"/>
    <n v="8.1"/>
    <n v="0.56400000000000006"/>
    <n v="0.97199999999999986"/>
    <n v="42.118125900000003"/>
    <n v="505.41751080000006"/>
    <n v="417.01114752475246"/>
    <n v="278.00743168316831"/>
    <n v="8.8448064390000027"/>
    <n v="45"/>
    <n v="559.26231723900003"/>
    <n v="46.605193103250002"/>
    <n v="461.43755547772275"/>
    <n v="307.62503698514848"/>
  </r>
  <r>
    <s v="03/09/2026"/>
    <s v="M"/>
    <s v="[1062] RAMGADH"/>
    <s v="[8405] RAMGADH"/>
    <x v="32"/>
    <x v="32"/>
    <x v="32"/>
    <s v="C"/>
    <n v="10"/>
    <n v="5.2"/>
    <n v="8.1"/>
    <n v="0.52"/>
    <n v="0.81"/>
    <n v="44.203125900000003"/>
    <n v="442.03125900000003"/>
    <n v="417.0106216981132"/>
    <n v="278.00708113207548"/>
    <n v="7.7355470325000013"/>
    <n v="37.5"/>
    <n v="487.26680603250003"/>
    <n v="48.726680603250003"/>
    <n v="459.68566606839619"/>
    <n v="306.45711071226413"/>
  </r>
  <r>
    <s v="03/09/2026"/>
    <s v="E"/>
    <s v="[1062] RAMGADH"/>
    <s v="[8405] RAMGADH"/>
    <x v="32"/>
    <x v="32"/>
    <x v="32"/>
    <s v="C"/>
    <n v="4"/>
    <n v="4.2"/>
    <n v="8.1"/>
    <n v="0.16800000000000001"/>
    <n v="0.32400000000000001"/>
    <n v="40.033125900000002"/>
    <n v="160.13250360000001"/>
    <n v="417.01172812499999"/>
    <n v="278.00781875000001"/>
    <n v="2.8023188130000003"/>
    <n v="15"/>
    <n v="177.93482241300001"/>
    <n v="44.483705603250002"/>
    <n v="463.37193336718752"/>
    <n v="308.9146222447917"/>
  </r>
  <r>
    <s v="28/08/2026"/>
    <s v="M"/>
    <s v="[1062] RAMGADH"/>
    <s v="[8407] HEAD LOAD"/>
    <x v="33"/>
    <x v="33"/>
    <x v="33"/>
    <s v="B"/>
    <n v="60"/>
    <n v="6.6"/>
    <n v="9"/>
    <n v="3.96"/>
    <n v="5.4"/>
    <n v="55.11"/>
    <n v="3306.6"/>
    <n v="437.38095238095235"/>
    <n v="291.58730158730157"/>
    <n v="57.865500000000004"/>
    <n v="225"/>
    <n v="3589.4654999999998"/>
    <n v="59.824424999999998"/>
    <n v="474.79702380952381"/>
    <n v="316.5313492063492"/>
  </r>
  <r>
    <s v="28/08/2026"/>
    <s v="E"/>
    <s v="[1062] RAMGADH"/>
    <s v="[8407] HEAD LOAD"/>
    <x v="33"/>
    <x v="33"/>
    <x v="33"/>
    <s v="B"/>
    <n v="59"/>
    <n v="6.7"/>
    <n v="9"/>
    <n v="3.9530000000000003"/>
    <n v="5.31"/>
    <n v="55.945"/>
    <n v="3300.7550000000001"/>
    <n v="440.51181102362204"/>
    <n v="293.67454068241472"/>
    <n v="57.763212500000009"/>
    <n v="221.25"/>
    <n v="3579.7682125000001"/>
    <n v="60.674037500000004"/>
    <n v="477.74832677165358"/>
    <n v="318.4988845144357"/>
  </r>
  <r>
    <s v="29/08/2026"/>
    <s v="M"/>
    <s v="[1062] RAMGADH"/>
    <s v="[8407] HEAD LOAD"/>
    <x v="33"/>
    <x v="33"/>
    <x v="33"/>
    <s v="B"/>
    <n v="55"/>
    <n v="6.9"/>
    <n v="9"/>
    <n v="3.7949999999999999"/>
    <n v="4.95"/>
    <n v="57.615000000000002"/>
    <n v="3168.8250000000003"/>
    <n v="446.62790697674421"/>
    <n v="297.75193798449612"/>
    <n v="55.454437500000012"/>
    <n v="206.25"/>
    <n v="3430.5294375000003"/>
    <n v="62.373262500000003"/>
    <n v="483.51366279069771"/>
    <n v="322.34244186046516"/>
  </r>
  <r>
    <s v="29/08/2026"/>
    <s v="E"/>
    <s v="[1062] RAMGADH"/>
    <s v="[8407] HEAD LOAD"/>
    <x v="33"/>
    <x v="33"/>
    <x v="33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30/08/2026"/>
    <s v="M"/>
    <s v="[1062] RAMGADH"/>
    <s v="[8407] HEAD LOAD"/>
    <x v="33"/>
    <x v="33"/>
    <x v="33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30/08/2026"/>
    <s v="E"/>
    <s v="[1062] RAMGADH"/>
    <s v="[8407] HEAD LOAD"/>
    <x v="33"/>
    <x v="33"/>
    <x v="33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31/08/2026"/>
    <s v="M"/>
    <s v="[1062] RAMGADH"/>
    <s v="[8407] HEAD LOAD"/>
    <x v="33"/>
    <x v="33"/>
    <x v="33"/>
    <s v="B"/>
    <n v="57"/>
    <n v="6.7"/>
    <n v="9"/>
    <n v="3.8190000000000004"/>
    <n v="5.13"/>
    <n v="55.945"/>
    <n v="3188.8650000000002"/>
    <n v="440.51181102362204"/>
    <n v="293.67454068241472"/>
    <n v="55.805137500000008"/>
    <n v="213.75"/>
    <n v="3458.4201375000002"/>
    <n v="60.674037500000004"/>
    <n v="477.74832677165358"/>
    <n v="318.4988845144357"/>
  </r>
  <r>
    <s v="31/08/2026"/>
    <s v="E"/>
    <s v="[1062] RAMGADH"/>
    <s v="[8407] HEAD LOAD"/>
    <x v="33"/>
    <x v="33"/>
    <x v="33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01/09/2026"/>
    <s v="M"/>
    <s v="[1062] RAMGADH"/>
    <s v="[8407] HEAD LOAD"/>
    <x v="33"/>
    <x v="33"/>
    <x v="33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01/09/2026"/>
    <s v="E"/>
    <s v="[1062] RAMGADH"/>
    <s v="[8407] HEAD LOAD"/>
    <x v="33"/>
    <x v="33"/>
    <x v="33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02/09/2026"/>
    <s v="M"/>
    <s v="[1062] RAMGADH"/>
    <s v="[8407] HEAD LOAD"/>
    <x v="33"/>
    <x v="33"/>
    <x v="33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02/09/2026"/>
    <s v="E"/>
    <s v="[1062] RAMGADH"/>
    <s v="[8407] HEAD LOAD"/>
    <x v="33"/>
    <x v="33"/>
    <x v="33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03/09/2026"/>
    <s v="M"/>
    <s v="[1062] RAMGADH"/>
    <s v="[8407] HEAD LOAD"/>
    <x v="33"/>
    <x v="33"/>
    <x v="33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03/09/2026"/>
    <s v="E"/>
    <s v="[1062] RAMGADH"/>
    <s v="[8407] HEAD LOAD"/>
    <x v="33"/>
    <x v="33"/>
    <x v="33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8/08/2026"/>
    <s v="M"/>
    <s v="[1062] RAMGADH"/>
    <s v="[8405] RAMGADH"/>
    <x v="34"/>
    <x v="34"/>
    <x v="34"/>
    <s v="C"/>
    <n v="7"/>
    <n v="3.4"/>
    <n v="8.4"/>
    <n v="0.23800000000000002"/>
    <n v="0.58800000000000008"/>
    <n v="37.531167600000003"/>
    <n v="262.71817320000002"/>
    <n v="417.01297333333338"/>
    <n v="278.0086488888889"/>
    <n v="4.5975680310000007"/>
    <n v="26.25"/>
    <n v="293.565741231"/>
    <n v="41.937963033000003"/>
    <n v="465.97736703333339"/>
    <n v="310.65157802222228"/>
  </r>
  <r>
    <s v="28/08/2026"/>
    <s v="E"/>
    <s v="[1062] RAMGADH"/>
    <s v="[8405] RAMGADH"/>
    <x v="34"/>
    <x v="34"/>
    <x v="34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29/08/2026"/>
    <s v="M"/>
    <s v="[1062] RAMGADH"/>
    <s v="[8405] RAMGADH"/>
    <x v="34"/>
    <x v="34"/>
    <x v="34"/>
    <s v="C"/>
    <n v="38"/>
    <n v="3.7"/>
    <n v="8.1"/>
    <n v="1.4059999999999999"/>
    <n v="3.0780000000000003"/>
    <n v="37.948125900000008"/>
    <n v="1442.0287842000002"/>
    <n v="417.01237252747262"/>
    <n v="278.00824835164843"/>
    <n v="25.235503723500006"/>
    <n v="142.5"/>
    <n v="1609.7642879235002"/>
    <n v="42.362218103250008"/>
    <n v="465.51888025549459"/>
    <n v="310.34592017032975"/>
  </r>
  <r>
    <s v="29/08/2026"/>
    <s v="E"/>
    <s v="[1062] RAMGADH"/>
    <s v="[8405] RAMGADH"/>
    <x v="34"/>
    <x v="34"/>
    <x v="34"/>
    <s v="C"/>
    <n v="17"/>
    <n v="4.3"/>
    <n v="8.1"/>
    <n v="0.73099999999999998"/>
    <n v="1.3769999999999998"/>
    <n v="40.450125900000003"/>
    <n v="687.65214030000004"/>
    <n v="417.01160721649489"/>
    <n v="278.00773814432995"/>
    <n v="12.033912455250002"/>
    <n v="63.75"/>
    <n v="763.4360527552501"/>
    <n v="44.908003103250003"/>
    <n v="462.96910415721652"/>
    <n v="308.64606943814437"/>
  </r>
  <r>
    <s v="30/08/2026"/>
    <s v="M"/>
    <s v="[1062] RAMGADH"/>
    <s v="[8405] RAMGADH"/>
    <x v="34"/>
    <x v="34"/>
    <x v="34"/>
    <s v="C"/>
    <n v="40"/>
    <n v="3.7"/>
    <n v="8.1999999999999993"/>
    <n v="1.48"/>
    <n v="3.28"/>
    <n v="38.226139799999999"/>
    <n v="1529.0455919999999"/>
    <n v="417.01243418181815"/>
    <n v="278.00828945454543"/>
    <n v="26.758297860000003"/>
    <n v="150"/>
    <n v="1705.80388986"/>
    <n v="42.645097246500001"/>
    <n v="465.21924268909089"/>
    <n v="310.14616179272724"/>
  </r>
  <r>
    <s v="30/08/2026"/>
    <s v="E"/>
    <s v="[1062] RAMGADH"/>
    <s v="[8405] RAMGADH"/>
    <x v="34"/>
    <x v="34"/>
    <x v="34"/>
    <s v="C"/>
    <n v="13"/>
    <n v="3.3"/>
    <n v="8.1"/>
    <n v="0.42899999999999999"/>
    <n v="1.0529999999999999"/>
    <n v="36.280125900000002"/>
    <n v="471.64163670000005"/>
    <n v="417.0129413793104"/>
    <n v="278.00862758620696"/>
    <n v="8.2537286422500014"/>
    <n v="48.75"/>
    <n v="528.6453653422501"/>
    <n v="40.665028103250009"/>
    <n v="467.41411612931046"/>
    <n v="311.60941075287366"/>
  </r>
  <r>
    <s v="31/08/2026"/>
    <s v="M"/>
    <s v="[1062] RAMGADH"/>
    <s v="[8405] RAMGADH"/>
    <x v="34"/>
    <x v="34"/>
    <x v="34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31/08/2026"/>
    <s v="E"/>
    <s v="[1062] RAMGADH"/>
    <s v="[8405] RAMGADH"/>
    <x v="34"/>
    <x v="34"/>
    <x v="34"/>
    <s v="C"/>
    <n v="8"/>
    <n v="4.2"/>
    <n v="8"/>
    <n v="0.33600000000000002"/>
    <n v="0.64"/>
    <n v="39.755112000000004"/>
    <n v="318.04089600000003"/>
    <n v="417.01166433566436"/>
    <n v="278.00777622377626"/>
    <n v="5.5657156800000012"/>
    <n v="30"/>
    <n v="353.60661168000001"/>
    <n v="44.200826460000002"/>
    <n v="463.64503279720276"/>
    <n v="309.09668853146849"/>
  </r>
  <r>
    <s v="01/09/2026"/>
    <s v="M"/>
    <s v="[1062] RAMGADH"/>
    <s v="[8405] RAMGADH"/>
    <x v="34"/>
    <x v="34"/>
    <x v="34"/>
    <s v="C"/>
    <n v="37"/>
    <n v="3.5"/>
    <n v="8"/>
    <n v="1.2949999999999999"/>
    <n v="2.96"/>
    <n v="36.836112000000007"/>
    <n v="1362.9361440000002"/>
    <n v="417.01258867924531"/>
    <n v="278.00839245283021"/>
    <n v="23.851382520000005"/>
    <n v="138.75"/>
    <n v="1525.5375265200003"/>
    <n v="41.230743960000005"/>
    <n v="466.76313916981132"/>
    <n v="311.17542611320755"/>
  </r>
  <r>
    <s v="01/09/2026"/>
    <s v="E"/>
    <s v="[1062] RAMGADH"/>
    <s v="[8405] RAMGADH"/>
    <x v="34"/>
    <x v="34"/>
    <x v="34"/>
    <s v="C"/>
    <n v="15"/>
    <n v="3.4"/>
    <n v="8"/>
    <n v="0.51"/>
    <n v="1.2"/>
    <n v="36.419112000000005"/>
    <n v="546.28668000000005"/>
    <n v="417.01273282442747"/>
    <n v="278.00848854961833"/>
    <n v="9.5600169000000026"/>
    <n v="56.25"/>
    <n v="612.0966969000001"/>
    <n v="40.806446460000004"/>
    <n v="467.24938694656487"/>
    <n v="311.49959129770991"/>
  </r>
  <r>
    <s v="02/09/2026"/>
    <s v="M"/>
    <s v="[1062] RAMGADH"/>
    <s v="[8405] RAMGADH"/>
    <x v="34"/>
    <x v="34"/>
    <x v="34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02/09/2026"/>
    <s v="E"/>
    <s v="[1062] RAMGADH"/>
    <s v="[8405] RAMGADH"/>
    <x v="34"/>
    <x v="34"/>
    <x v="34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03/09/2026"/>
    <s v="M"/>
    <s v="[1062] RAMGADH"/>
    <s v="[8405] RAMGADH"/>
    <x v="34"/>
    <x v="34"/>
    <x v="34"/>
    <s v="C"/>
    <n v="33"/>
    <n v="3.6"/>
    <n v="8.1"/>
    <n v="1.1879999999999999"/>
    <n v="2.673"/>
    <n v="37.531125900000006"/>
    <n v="1238.5271547000002"/>
    <n v="417.01251000000008"/>
    <n v="278.00834000000003"/>
    <n v="21.674225207250007"/>
    <n v="123.75"/>
    <n v="1383.9513799072502"/>
    <n v="41.937920603250006"/>
    <n v="465.97689559166673"/>
    <n v="310.6512637277778"/>
  </r>
  <r>
    <s v="03/09/2026"/>
    <s v="E"/>
    <s v="[1062] RAMGADH"/>
    <s v="[8405] RAMGADH"/>
    <x v="34"/>
    <x v="34"/>
    <x v="34"/>
    <s v="C"/>
    <n v="14"/>
    <n v="3.8"/>
    <n v="8.1"/>
    <n v="0.53199999999999992"/>
    <n v="1.1339999999999999"/>
    <n v="38.365125900000002"/>
    <n v="537.11176260000002"/>
    <n v="417.01223804347831"/>
    <n v="278.00815869565218"/>
    <n v="9.3994558455000021"/>
    <n v="52.5"/>
    <n v="599.01121844550005"/>
    <n v="42.786515603250002"/>
    <n v="465.07082177445653"/>
    <n v="310.04721451630434"/>
  </r>
  <r>
    <s v="28/08/2026"/>
    <s v="M"/>
    <s v="[1062] RAMGADH"/>
    <s v="[8401] DURGAWATI"/>
    <x v="35"/>
    <x v="35"/>
    <x v="35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28/08/2026"/>
    <s v="E"/>
    <s v="[1062] RAMGADH"/>
    <s v="[8401] DURGAWATI"/>
    <x v="35"/>
    <x v="35"/>
    <x v="35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8/08/2026"/>
    <s v="E"/>
    <s v="[1062] RAMGADH"/>
    <s v="[8401] DURGAWATI"/>
    <x v="35"/>
    <x v="35"/>
    <x v="35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29/08/2026"/>
    <s v="M"/>
    <s v="[1062] RAMGADH"/>
    <s v="[8401] DURGAWATI"/>
    <x v="35"/>
    <x v="35"/>
    <x v="35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29/08/2026"/>
    <s v="E"/>
    <s v="[1062] RAMGADH"/>
    <s v="[8401] DURGAWATI"/>
    <x v="35"/>
    <x v="35"/>
    <x v="35"/>
    <s v="B"/>
    <n v="23"/>
    <n v="8.4"/>
    <n v="9"/>
    <n v="1.9320000000000002"/>
    <n v="2.0699999999999998"/>
    <n v="70.14"/>
    <n v="1613.22"/>
    <n v="487.08333333333326"/>
    <n v="324.72222222222217"/>
    <n v="28.231350000000003"/>
    <n v="86.25"/>
    <n v="1727.70135"/>
    <n v="75.117450000000005"/>
    <n v="521.64895833333333"/>
    <n v="347.76597222222222"/>
  </r>
  <r>
    <s v="29/08/2026"/>
    <s v="E"/>
    <s v="[1062] RAMGADH"/>
    <s v="[8401] DURGAWATI"/>
    <x v="35"/>
    <x v="35"/>
    <x v="35"/>
    <s v="C"/>
    <n v="30"/>
    <n v="4.8"/>
    <n v="8.4"/>
    <n v="1.44"/>
    <n v="2.52"/>
    <n v="43.369167600000011"/>
    <n v="1301.0750280000004"/>
    <n v="417.011226923077"/>
    <n v="278.00748461538467"/>
    <n v="22.768812990000011"/>
    <n v="112.5"/>
    <n v="1436.3438409900004"/>
    <n v="47.878128033000017"/>
    <n v="460.36661570192319"/>
    <n v="306.91107713461548"/>
  </r>
  <r>
    <s v="30/08/2026"/>
    <s v="M"/>
    <s v="[1062] RAMGADH"/>
    <s v="[8401] DURGAWATI"/>
    <x v="35"/>
    <x v="35"/>
    <x v="35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30/08/2026"/>
    <s v="E"/>
    <s v="[1062] RAMGADH"/>
    <s v="[8401] DURGAWATI"/>
    <x v="35"/>
    <x v="35"/>
    <x v="35"/>
    <s v="B"/>
    <n v="23"/>
    <n v="7.9"/>
    <n v="9"/>
    <n v="1.8170000000000002"/>
    <n v="2.0699999999999998"/>
    <n v="65.965000000000003"/>
    <n v="1517.1950000000002"/>
    <n v="474.56834532374097"/>
    <n v="316.37889688249396"/>
    <n v="26.550912500000006"/>
    <n v="86.25"/>
    <n v="1629.9959125000003"/>
    <n v="70.869387500000016"/>
    <n v="509.85170863309361"/>
    <n v="339.90113908872905"/>
  </r>
  <r>
    <s v="30/08/2026"/>
    <s v="E"/>
    <s v="[1062] RAMGADH"/>
    <s v="[8401] DURGAWATI"/>
    <x v="35"/>
    <x v="35"/>
    <x v="35"/>
    <s v="C"/>
    <n v="24"/>
    <n v="4.9000000000000004"/>
    <n v="8.5"/>
    <n v="1.1760000000000002"/>
    <n v="2.04"/>
    <n v="44.064181500000004"/>
    <n v="1057.540356"/>
    <n v="417.01118138801263"/>
    <n v="278.00745425867507"/>
    <n v="18.50695623"/>
    <n v="90"/>
    <n v="1166.04731223"/>
    <n v="48.585304676249997"/>
    <n v="459.79783605283905"/>
    <n v="306.53189070189268"/>
  </r>
  <r>
    <s v="31/08/2026"/>
    <s v="M"/>
    <s v="[1062] RAMGADH"/>
    <s v="[8401] DURGAWATI"/>
    <x v="35"/>
    <x v="35"/>
    <x v="35"/>
    <s v="B"/>
    <n v="30"/>
    <n v="8.9"/>
    <n v="9"/>
    <n v="2.67"/>
    <n v="2.7"/>
    <n v="74.315000000000012"/>
    <n v="2229.4500000000003"/>
    <n v="498.75838926174498"/>
    <n v="332.50559284116332"/>
    <n v="39.015375000000006"/>
    <n v="112.5"/>
    <n v="2380.9653750000002"/>
    <n v="79.365512500000008"/>
    <n v="532.6544463087248"/>
    <n v="355.10296420581653"/>
  </r>
  <r>
    <s v="31/08/2026"/>
    <s v="M"/>
    <s v="[1062] RAMGADH"/>
    <s v="[8401] DURGAWATI"/>
    <x v="35"/>
    <x v="35"/>
    <x v="35"/>
    <s v="C"/>
    <n v="5"/>
    <n v="4.9000000000000004"/>
    <n v="8.5"/>
    <n v="0.245"/>
    <n v="0.42499999999999999"/>
    <n v="44.064181500000004"/>
    <n v="220.32090750000003"/>
    <n v="417.01118138801263"/>
    <n v="278.00745425867507"/>
    <n v="3.8556158812500008"/>
    <n v="18.75"/>
    <n v="242.92652338125004"/>
    <n v="48.585304676250004"/>
    <n v="459.79783605283916"/>
    <n v="306.53189070189279"/>
  </r>
  <r>
    <s v="31/08/2026"/>
    <s v="E"/>
    <s v="[1062] RAMGADH"/>
    <s v="[8401] DURGAWATI"/>
    <x v="35"/>
    <x v="35"/>
    <x v="35"/>
    <s v="B"/>
    <n v="26"/>
    <n v="8.1999999999999993"/>
    <n v="9"/>
    <n v="2.1319999999999997"/>
    <n v="2.34"/>
    <n v="68.469999999999985"/>
    <n v="1780.2199999999996"/>
    <n v="482.18309859154925"/>
    <n v="321.45539906103284"/>
    <n v="31.153849999999995"/>
    <n v="97.5"/>
    <n v="1908.8738499999995"/>
    <n v="73.418224999999978"/>
    <n v="517.02975352112662"/>
    <n v="344.68650234741773"/>
  </r>
  <r>
    <s v="31/08/2026"/>
    <s v="E"/>
    <s v="[1062] RAMGADH"/>
    <s v="[8401] DURGAWATI"/>
    <x v="35"/>
    <x v="35"/>
    <x v="35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01/09/2026"/>
    <s v="M"/>
    <s v="[1062] RAMGADH"/>
    <s v="[8401] DURGAWATI"/>
    <x v="35"/>
    <x v="35"/>
    <x v="35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01/09/2026"/>
    <s v="M"/>
    <s v="[1062] RAMGADH"/>
    <s v="[8401] DURGAWATI"/>
    <x v="35"/>
    <x v="35"/>
    <x v="35"/>
    <s v="C"/>
    <n v="11"/>
    <n v="4.5"/>
    <n v="8.5"/>
    <n v="0.495"/>
    <n v="0.93500000000000005"/>
    <n v="42.396181500000004"/>
    <n v="466.35799650000007"/>
    <n v="417.01162131147544"/>
    <n v="278.00774754098364"/>
    <n v="8.1612649387500014"/>
    <n v="41.25"/>
    <n v="515.76926143875005"/>
    <n v="46.888114676250005"/>
    <n v="461.19457058606559"/>
    <n v="307.46304705737708"/>
  </r>
  <r>
    <s v="01/09/2026"/>
    <s v="E"/>
    <s v="[1062] RAMGADH"/>
    <s v="[8401] DURGAWATI"/>
    <x v="35"/>
    <x v="35"/>
    <x v="35"/>
    <s v="B"/>
    <n v="26"/>
    <n v="8.1999999999999993"/>
    <n v="9"/>
    <n v="2.1319999999999997"/>
    <n v="2.34"/>
    <n v="68.469999999999985"/>
    <n v="1780.2199999999996"/>
    <n v="482.18309859154925"/>
    <n v="321.45539906103284"/>
    <n v="31.153849999999995"/>
    <n v="97.5"/>
    <n v="1908.8738499999995"/>
    <n v="73.418224999999978"/>
    <n v="517.02975352112662"/>
    <n v="344.68650234741773"/>
  </r>
  <r>
    <s v="01/09/2026"/>
    <s v="E"/>
    <s v="[1062] RAMGADH"/>
    <s v="[8401] DURGAWATI"/>
    <x v="35"/>
    <x v="35"/>
    <x v="35"/>
    <s v="C"/>
    <n v="29"/>
    <n v="4.5999999999999996"/>
    <n v="8.4"/>
    <n v="1.3339999999999999"/>
    <n v="2.4360000000000004"/>
    <n v="42.535167600000008"/>
    <n v="1233.5198604000002"/>
    <n v="417.01144705882359"/>
    <n v="278.00763137254904"/>
    <n v="21.586597557000005"/>
    <n v="108.75"/>
    <n v="1363.8564579570002"/>
    <n v="47.029533033000007"/>
    <n v="461.07385326470592"/>
    <n v="307.38256884313728"/>
  </r>
  <r>
    <s v="02/09/2026"/>
    <s v="M"/>
    <s v="[1062] RAMGADH"/>
    <s v="[8401] DURGAWATI"/>
    <x v="35"/>
    <x v="35"/>
    <x v="35"/>
    <s v="B"/>
    <n v="26"/>
    <n v="8.6"/>
    <n v="9"/>
    <n v="2.2359999999999998"/>
    <n v="2.34"/>
    <n v="71.809999999999988"/>
    <n v="1867.0599999999997"/>
    <n v="491.84931506849313"/>
    <n v="327.89954337899542"/>
    <n v="32.673549999999999"/>
    <n v="97.5"/>
    <n v="1997.2335499999997"/>
    <n v="76.816674999999989"/>
    <n v="526.14160958904108"/>
    <n v="350.76107305936074"/>
  </r>
  <r>
    <s v="02/09/2026"/>
    <s v="M"/>
    <s v="[1062] RAMGADH"/>
    <s v="[8401] DURGAWATI"/>
    <x v="35"/>
    <x v="35"/>
    <x v="35"/>
    <s v="C"/>
    <n v="7"/>
    <n v="5.2"/>
    <n v="8.5"/>
    <n v="0.36399999999999999"/>
    <n v="0.59499999999999997"/>
    <n v="45.315181500000008"/>
    <n v="317.20627050000007"/>
    <n v="417.01087269938654"/>
    <n v="278.00724846625769"/>
    <n v="5.5511097337500015"/>
    <n v="26.25"/>
    <n v="349.0073802337501"/>
    <n v="49.858197176250016"/>
    <n v="458.81776542561363"/>
    <n v="305.8785102837424"/>
  </r>
  <r>
    <s v="02/09/2026"/>
    <s v="E"/>
    <s v="[1062] RAMGADH"/>
    <s v="[8401] DURGAWATI"/>
    <x v="35"/>
    <x v="35"/>
    <x v="35"/>
    <s v="B"/>
    <n v="21"/>
    <n v="8.3000000000000007"/>
    <n v="9"/>
    <n v="1.7430000000000001"/>
    <n v="1.89"/>
    <n v="69.305000000000007"/>
    <n v="1455.4050000000002"/>
    <n v="484.65034965034965"/>
    <n v="323.10023310023308"/>
    <n v="25.469587500000006"/>
    <n v="78.75"/>
    <n v="1559.6245875000002"/>
    <n v="74.267837500000013"/>
    <n v="519.355506993007"/>
    <n v="346.23700466200467"/>
  </r>
  <r>
    <s v="02/09/2026"/>
    <s v="E"/>
    <s v="[1062] RAMGADH"/>
    <s v="[8401] DURGAWATI"/>
    <x v="35"/>
    <x v="35"/>
    <x v="35"/>
    <s v="C"/>
    <n v="24"/>
    <n v="4.4000000000000004"/>
    <n v="8.4"/>
    <n v="1.056"/>
    <n v="2.016"/>
    <n v="41.701167600000005"/>
    <n v="1000.8280224000001"/>
    <n v="417.01167600000002"/>
    <n v="278.00778400000002"/>
    <n v="17.514490392000003"/>
    <n v="90"/>
    <n v="1108.3425127920002"/>
    <n v="46.180938033000011"/>
    <n v="461.80938033000007"/>
    <n v="307.87292022000003"/>
  </r>
  <r>
    <s v="03/09/2026"/>
    <s v="M"/>
    <s v="[1062] RAMGADH"/>
    <s v="[8401] DURGAWATI"/>
    <x v="35"/>
    <x v="35"/>
    <x v="35"/>
    <s v="B"/>
    <n v="30"/>
    <n v="8.3000000000000007"/>
    <n v="9"/>
    <n v="2.4900000000000002"/>
    <n v="2.7"/>
    <n v="69.305000000000007"/>
    <n v="2079.15"/>
    <n v="484.65034965034965"/>
    <n v="323.10023310023308"/>
    <n v="36.385125000000002"/>
    <n v="112.5"/>
    <n v="2228.0351250000003"/>
    <n v="74.267837500000013"/>
    <n v="519.355506993007"/>
    <n v="346.23700466200467"/>
  </r>
  <r>
    <s v="03/09/2026"/>
    <s v="E"/>
    <s v="[1062] RAMGADH"/>
    <s v="[8401] DURGAWATI"/>
    <x v="35"/>
    <x v="35"/>
    <x v="35"/>
    <s v="B"/>
    <n v="25"/>
    <n v="8"/>
    <n v="9"/>
    <n v="2"/>
    <n v="2.25"/>
    <n v="66.8"/>
    <n v="1670"/>
    <n v="477.14285714285705"/>
    <n v="318.09523809523802"/>
    <n v="29.225000000000001"/>
    <n v="93.75"/>
    <n v="1792.9749999999999"/>
    <n v="71.718999999999994"/>
    <n v="512.27857142857135"/>
    <n v="341.51904761904757"/>
  </r>
  <r>
    <s v="03/09/2026"/>
    <s v="E"/>
    <s v="[1062] RAMGADH"/>
    <s v="[8401] DURGAWATI"/>
    <x v="35"/>
    <x v="35"/>
    <x v="35"/>
    <s v="C"/>
    <n v="26"/>
    <n v="4.9000000000000004"/>
    <n v="8.4"/>
    <n v="1.274"/>
    <n v="2.1840000000000002"/>
    <n v="43.786167600000006"/>
    <n v="1138.4403576000002"/>
    <n v="417.01112000000001"/>
    <n v="278.00741333333332"/>
    <n v="19.922706258000005"/>
    <n v="97.5"/>
    <n v="1255.8630638580003"/>
    <n v="48.302425533000012"/>
    <n v="460.02310031428578"/>
    <n v="306.6820668761905"/>
  </r>
  <r>
    <s v="28/08/2026"/>
    <s v="E"/>
    <s v="[1062] RAMGADH"/>
    <s v="[8403] MOHANIA"/>
    <x v="36"/>
    <x v="36"/>
    <x v="36"/>
    <s v="B"/>
    <n v="48"/>
    <n v="5.8"/>
    <n v="9"/>
    <n v="2.7839999999999998"/>
    <n v="4.32"/>
    <n v="48.43"/>
    <n v="2324.64"/>
    <n v="410.42372881355936"/>
    <n v="273.61581920903956"/>
    <n v="40.681200000000004"/>
    <n v="180"/>
    <n v="2545.3211999999999"/>
    <n v="53.027524999999997"/>
    <n v="449.38580508474575"/>
    <n v="299.59053672316384"/>
  </r>
  <r>
    <s v="28/08/2026"/>
    <s v="E"/>
    <s v="[1062] RAMGADH"/>
    <s v="[8403] MOHANIA"/>
    <x v="36"/>
    <x v="36"/>
    <x v="36"/>
    <s v="C"/>
    <n v="25"/>
    <n v="3.6"/>
    <n v="8.1999999999999993"/>
    <n v="0.9"/>
    <n v="2.0499999999999998"/>
    <n v="37.809139800000004"/>
    <n v="945.22849500000007"/>
    <n v="417.01257132352941"/>
    <n v="278.00838088235292"/>
    <n v="16.541498662500004"/>
    <n v="93.75"/>
    <n v="1055.5199936625002"/>
    <n v="42.220799746500006"/>
    <n v="465.67058543933825"/>
    <n v="310.44705695955884"/>
  </r>
  <r>
    <s v="29/08/2026"/>
    <s v="M"/>
    <s v="[1062] RAMGADH"/>
    <s v="[8403] MOHANIA"/>
    <x v="36"/>
    <x v="36"/>
    <x v="36"/>
    <s v="B"/>
    <n v="58"/>
    <n v="5.9"/>
    <n v="8.6999999999999993"/>
    <n v="3.4220000000000006"/>
    <n v="5.0459999999999994"/>
    <n v="48.279699999999998"/>
    <n v="2800.2226000000001"/>
    <n v="412.64700854700857"/>
    <n v="275.09800569800569"/>
    <n v="49.003895500000006"/>
    <n v="217.5"/>
    <n v="3066.7264955000001"/>
    <n v="52.87459475"/>
    <n v="451.91961324786325"/>
    <n v="301.27974216524217"/>
  </r>
  <r>
    <s v="29/08/2026"/>
    <s v="E"/>
    <s v="[1062] RAMGADH"/>
    <s v="[8403] MOHANIA"/>
    <x v="36"/>
    <x v="36"/>
    <x v="36"/>
    <s v="B"/>
    <n v="35"/>
    <n v="6"/>
    <n v="9"/>
    <n v="2.1"/>
    <n v="3.15"/>
    <n v="50.1"/>
    <n v="1753.5"/>
    <n v="417.5"/>
    <n v="278.33333333333331"/>
    <n v="30.686250000000005"/>
    <n v="131.25"/>
    <n v="1915.43625"/>
    <n v="54.726750000000003"/>
    <n v="456.05625000000003"/>
    <n v="304.03750000000002"/>
  </r>
  <r>
    <s v="29/08/2026"/>
    <s v="E"/>
    <s v="[1062] RAMGADH"/>
    <s v="[8403] MOHANIA"/>
    <x v="36"/>
    <x v="36"/>
    <x v="36"/>
    <s v="C"/>
    <n v="25"/>
    <n v="3.9"/>
    <n v="8.3000000000000007"/>
    <n v="0.97499999999999998"/>
    <n v="2.0750000000000002"/>
    <n v="39.338153700000007"/>
    <n v="983.45384250000018"/>
    <n v="417.01223003533573"/>
    <n v="278.00815335689049"/>
    <n v="17.210442243750006"/>
    <n v="93.75"/>
    <n v="1094.4142847437502"/>
    <n v="43.776571389750004"/>
    <n v="464.06259423763254"/>
    <n v="309.37506282508838"/>
  </r>
  <r>
    <s v="30/08/2026"/>
    <s v="M"/>
    <s v="[1062] RAMGADH"/>
    <s v="[8403] MOHANIA"/>
    <x v="36"/>
    <x v="36"/>
    <x v="36"/>
    <s v="B"/>
    <n v="63"/>
    <n v="5.5"/>
    <n v="8.8000000000000007"/>
    <n v="3.4649999999999999"/>
    <n v="5.5440000000000005"/>
    <n v="46.566181499999999"/>
    <n v="2933.6694345000001"/>
    <n v="409.67315102639293"/>
    <n v="273.11543401759531"/>
    <n v="51.339215103750007"/>
    <n v="236.25"/>
    <n v="3221.2586496037502"/>
    <n v="51.131089676250006"/>
    <n v="449.83363351539595"/>
    <n v="299.88908901026394"/>
  </r>
  <r>
    <s v="30/08/2026"/>
    <s v="M"/>
    <s v="[1062] RAMGADH"/>
    <s v="[8403] MOHANIA"/>
    <x v="36"/>
    <x v="36"/>
    <x v="36"/>
    <s v="C"/>
    <n v="38"/>
    <n v="3.9"/>
    <n v="8.4"/>
    <n v="1.482"/>
    <n v="3.1919999999999997"/>
    <n v="39.616167600000011"/>
    <n v="1505.4143688000004"/>
    <n v="417.01229052631589"/>
    <n v="278.0081936842106"/>
    <n v="26.344751454000008"/>
    <n v="142.5"/>
    <n v="1674.2591202540004"/>
    <n v="44.05945053300001"/>
    <n v="463.78368982105275"/>
    <n v="309.18912654736852"/>
  </r>
  <r>
    <s v="30/08/2026"/>
    <s v="E"/>
    <s v="[1062] RAMGADH"/>
    <s v="[8403] MOHANIA"/>
    <x v="36"/>
    <x v="36"/>
    <x v="36"/>
    <s v="B"/>
    <n v="40"/>
    <n v="5.6"/>
    <n v="8.8000000000000007"/>
    <n v="2.2400000000000002"/>
    <n v="3.52"/>
    <n v="46.292400000000001"/>
    <n v="1851.6959999999999"/>
    <n v="403.71279069767445"/>
    <n v="269.14186046511628"/>
    <n v="32.404679999999999"/>
    <n v="150"/>
    <n v="2034.10068"/>
    <n v="50.852516999999999"/>
    <n v="443.48125290697675"/>
    <n v="295.65416860465115"/>
  </r>
  <r>
    <s v="30/08/2026"/>
    <s v="E"/>
    <s v="[1062] RAMGADH"/>
    <s v="[8403] MOHANIA"/>
    <x v="36"/>
    <x v="36"/>
    <x v="36"/>
    <s v="C"/>
    <n v="15"/>
    <n v="4.3"/>
    <n v="8.5"/>
    <n v="0.64500000000000002"/>
    <n v="1.2749999999999999"/>
    <n v="41.562181500000001"/>
    <n v="623.43272250000007"/>
    <n v="417.01185451505017"/>
    <n v="278.00790301003343"/>
    <n v="10.910072643750002"/>
    <n v="56.25"/>
    <n v="690.5927951437501"/>
    <n v="46.039519676250009"/>
    <n v="461.9349800292643"/>
    <n v="307.95665335284286"/>
  </r>
  <r>
    <s v="31/08/2026"/>
    <s v="M"/>
    <s v="[1062] RAMGADH"/>
    <s v="[8403] MOHANIA"/>
    <x v="36"/>
    <x v="36"/>
    <x v="36"/>
    <s v="B"/>
    <n v="41"/>
    <n v="6.1"/>
    <n v="9"/>
    <n v="2.5009999999999999"/>
    <n v="3.69"/>
    <n v="50.935000000000002"/>
    <n v="2088.335"/>
    <n v="420.95041322314052"/>
    <n v="280.63360881542701"/>
    <n v="36.545862500000005"/>
    <n v="153.75"/>
    <n v="2278.6308625000001"/>
    <n v="55.576362500000002"/>
    <n v="459.30878099173555"/>
    <n v="306.20585399449038"/>
  </r>
  <r>
    <s v="31/08/2026"/>
    <s v="M"/>
    <s v="[1062] RAMGADH"/>
    <s v="[8403] MOHANIA"/>
    <x v="36"/>
    <x v="36"/>
    <x v="36"/>
    <s v="C"/>
    <n v="16"/>
    <n v="4"/>
    <n v="8.1999999999999993"/>
    <n v="0.64"/>
    <n v="1.3119999999999998"/>
    <n v="39.477139800000003"/>
    <n v="631.63423680000005"/>
    <n v="417.0120401408451"/>
    <n v="278.00802676056338"/>
    <n v="11.053599144000001"/>
    <n v="60"/>
    <n v="702.68783594400008"/>
    <n v="43.917989746500005"/>
    <n v="463.92242689964797"/>
    <n v="309.28161793309863"/>
  </r>
  <r>
    <s v="31/08/2026"/>
    <s v="E"/>
    <s v="[1062] RAMGADH"/>
    <s v="[8403] MOHANIA"/>
    <x v="36"/>
    <x v="36"/>
    <x v="36"/>
    <s v="B"/>
    <n v="34"/>
    <n v="6.2"/>
    <n v="9"/>
    <n v="2.1080000000000001"/>
    <n v="3.06"/>
    <n v="51.77"/>
    <n v="1760.18"/>
    <n v="424.34426229508199"/>
    <n v="282.89617486338801"/>
    <n v="30.803150000000006"/>
    <n v="127.5"/>
    <n v="1918.48315"/>
    <n v="56.425975000000001"/>
    <n v="462.50799180327868"/>
    <n v="308.33866120218579"/>
  </r>
  <r>
    <s v="31/08/2026"/>
    <s v="E"/>
    <s v="[1062] RAMGADH"/>
    <s v="[8403] MOHANIA"/>
    <x v="36"/>
    <x v="36"/>
    <x v="36"/>
    <s v="C"/>
    <n v="10"/>
    <n v="3.7"/>
    <n v="8.3000000000000007"/>
    <n v="0.37"/>
    <n v="0.83"/>
    <n v="38.504153700000003"/>
    <n v="385.04153700000006"/>
    <n v="417.01249494584835"/>
    <n v="278.00832996389892"/>
    <n v="6.7382268975000015"/>
    <n v="37.5"/>
    <n v="429.27976389750006"/>
    <n v="42.927976389750008"/>
    <n v="464.92393201895305"/>
    <n v="309.94928801263535"/>
  </r>
  <r>
    <s v="01/09/2026"/>
    <s v="M"/>
    <s v="[1062] RAMGADH"/>
    <s v="[8403] MOHANIA"/>
    <x v="36"/>
    <x v="36"/>
    <x v="36"/>
    <s v="B"/>
    <n v="35"/>
    <n v="6.3"/>
    <n v="9"/>
    <n v="2.2050000000000001"/>
    <n v="3.15"/>
    <n v="52.604999999999997"/>
    <n v="1841.175"/>
    <n v="427.6829268292683"/>
    <n v="285.1219512195122"/>
    <n v="32.2205625"/>
    <n v="131.25"/>
    <n v="2004.6455624999999"/>
    <n v="57.275587499999993"/>
    <n v="465.65518292682924"/>
    <n v="310.43678861788618"/>
  </r>
  <r>
    <s v="01/09/2026"/>
    <s v="M"/>
    <s v="[1062] RAMGADH"/>
    <s v="[8403] MOHANIA"/>
    <x v="36"/>
    <x v="36"/>
    <x v="36"/>
    <s v="C"/>
    <n v="36"/>
    <n v="3.5"/>
    <n v="8.3000000000000007"/>
    <n v="1.26"/>
    <n v="2.988"/>
    <n v="37.670153700000007"/>
    <n v="1356.1255332000003"/>
    <n v="417.01277158671587"/>
    <n v="278.00851439114393"/>
    <n v="23.732196831000007"/>
    <n v="135"/>
    <n v="1514.8577300310003"/>
    <n v="42.079381389750012"/>
    <n v="465.82341021863471"/>
    <n v="310.54894014575649"/>
  </r>
  <r>
    <s v="01/09/2026"/>
    <s v="E"/>
    <s v="[1062] RAMGADH"/>
    <s v="[8403] MOHANIA"/>
    <x v="36"/>
    <x v="36"/>
    <x v="36"/>
    <s v="B"/>
    <n v="39"/>
    <n v="5.7"/>
    <n v="9"/>
    <n v="2.2230000000000003"/>
    <n v="3.51"/>
    <n v="47.594999999999999"/>
    <n v="1856.2049999999999"/>
    <n v="406.79487179487182"/>
    <n v="271.19658119658123"/>
    <n v="32.483587499999999"/>
    <n v="146.25"/>
    <n v="2034.9385874999998"/>
    <n v="52.177912499999998"/>
    <n v="445.9650641025641"/>
    <n v="297.31004273504271"/>
  </r>
  <r>
    <s v="01/09/2026"/>
    <s v="E"/>
    <s v="[1062] RAMGADH"/>
    <s v="[8403] MOHANIA"/>
    <x v="36"/>
    <x v="36"/>
    <x v="36"/>
    <s v="C"/>
    <n v="10"/>
    <n v="3.7"/>
    <n v="8.3000000000000007"/>
    <n v="0.37"/>
    <n v="0.83"/>
    <n v="38.504153700000003"/>
    <n v="385.04153700000006"/>
    <n v="417.01249494584835"/>
    <n v="278.00832996389892"/>
    <n v="6.7382268975000015"/>
    <n v="37.5"/>
    <n v="429.27976389750006"/>
    <n v="42.927976389750008"/>
    <n v="464.92393201895305"/>
    <n v="309.94928801263535"/>
  </r>
  <r>
    <s v="02/09/2026"/>
    <s v="M"/>
    <s v="[1062] RAMGADH"/>
    <s v="[8403] MOHANIA"/>
    <x v="36"/>
    <x v="36"/>
    <x v="36"/>
    <s v="B"/>
    <n v="59"/>
    <n v="6"/>
    <n v="9"/>
    <n v="3.54"/>
    <n v="5.31"/>
    <n v="50.1"/>
    <n v="2955.9"/>
    <n v="417.5"/>
    <n v="278.33333333333331"/>
    <n v="51.72825000000001"/>
    <n v="221.25"/>
    <n v="3228.8782500000002"/>
    <n v="54.726750000000003"/>
    <n v="456.05625000000003"/>
    <n v="304.03750000000002"/>
  </r>
  <r>
    <s v="02/09/2026"/>
    <s v="M"/>
    <s v="[1062] RAMGADH"/>
    <s v="[8403] MOHANIA"/>
    <x v="36"/>
    <x v="36"/>
    <x v="36"/>
    <s v="C"/>
    <n v="41"/>
    <n v="3.4"/>
    <n v="8.3000000000000007"/>
    <n v="1.3940000000000001"/>
    <n v="3.403"/>
    <n v="37.253153700000006"/>
    <n v="1527.3793017000003"/>
    <n v="417.01291455223878"/>
    <n v="278.0086097014925"/>
    <n v="26.729137779750008"/>
    <n v="153.75"/>
    <n v="1707.8584394797504"/>
    <n v="41.65508388975001"/>
    <n v="466.28825249720154"/>
    <n v="310.85883499813434"/>
  </r>
  <r>
    <s v="02/09/2026"/>
    <s v="E"/>
    <s v="[1062] RAMGADH"/>
    <s v="[8403] MOHANIA"/>
    <x v="36"/>
    <x v="36"/>
    <x v="36"/>
    <s v="B"/>
    <n v="39"/>
    <n v="5.9"/>
    <n v="9"/>
    <n v="2.3010000000000002"/>
    <n v="3.51"/>
    <n v="49.265000000000001"/>
    <n v="1921.335"/>
    <n v="413.99159663865549"/>
    <n v="275.99439775910366"/>
    <n v="33.623362500000006"/>
    <n v="146.25"/>
    <n v="2101.2083625"/>
    <n v="53.877137500000003"/>
    <n v="452.74905462184881"/>
    <n v="301.83270308123252"/>
  </r>
  <r>
    <s v="02/09/2026"/>
    <s v="E"/>
    <s v="[1062] RAMGADH"/>
    <s v="[8403] MOHANIA"/>
    <x v="36"/>
    <x v="36"/>
    <x v="36"/>
    <s v="C"/>
    <n v="20"/>
    <n v="3.7"/>
    <n v="8.4"/>
    <n v="0.74"/>
    <n v="1.68"/>
    <n v="38.782167600000008"/>
    <n v="775.64335200000016"/>
    <n v="417.01255483870978"/>
    <n v="278.00836989247318"/>
    <n v="13.573758660000005"/>
    <n v="75"/>
    <n v="864.21711066000012"/>
    <n v="43.210855533000007"/>
    <n v="464.63285519354849"/>
    <n v="309.75523679569898"/>
  </r>
  <r>
    <s v="03/09/2026"/>
    <s v="M"/>
    <s v="[1062] RAMGADH"/>
    <s v="[8403] MOHANIA"/>
    <x v="36"/>
    <x v="36"/>
    <x v="36"/>
    <s v="B"/>
    <n v="26"/>
    <n v="6.2"/>
    <n v="9"/>
    <n v="1.6120000000000001"/>
    <n v="2.34"/>
    <n v="51.77"/>
    <n v="1346.02"/>
    <n v="424.34426229508199"/>
    <n v="282.89617486338801"/>
    <n v="23.555350000000001"/>
    <n v="97.5"/>
    <n v="1467.0753500000001"/>
    <n v="56.425975000000001"/>
    <n v="462.50799180327868"/>
    <n v="308.33866120218579"/>
  </r>
  <r>
    <s v="03/09/2026"/>
    <s v="M"/>
    <s v="[1062] RAMGADH"/>
    <s v="[8403] MOHANIA"/>
    <x v="36"/>
    <x v="36"/>
    <x v="36"/>
    <s v="C"/>
    <n v="24"/>
    <n v="3.1"/>
    <n v="8.1999999999999993"/>
    <n v="0.74400000000000011"/>
    <n v="1.9679999999999997"/>
    <n v="35.724139800000003"/>
    <n v="857.37935520000008"/>
    <n v="417.0133050583658"/>
    <n v="278.00887003891052"/>
    <n v="15.004138716000003"/>
    <n v="90"/>
    <n v="962.38349391600013"/>
    <n v="40.099312246500006"/>
    <n v="468.08535696303505"/>
    <n v="312.05690464202337"/>
  </r>
  <r>
    <s v="03/09/2026"/>
    <s v="E"/>
    <s v="[1062] RAMGADH"/>
    <s v="[8403] MOHANIA"/>
    <x v="36"/>
    <x v="36"/>
    <x v="36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03/09/2026"/>
    <s v="E"/>
    <s v="[1062] RAMGADH"/>
    <s v="[8403] MOHANIA"/>
    <x v="36"/>
    <x v="36"/>
    <x v="36"/>
    <s v="C"/>
    <n v="16"/>
    <n v="3.4"/>
    <n v="8.3000000000000007"/>
    <n v="0.54400000000000004"/>
    <n v="1.3280000000000001"/>
    <n v="37.253153700000006"/>
    <n v="596.05045920000009"/>
    <n v="417.01291455223878"/>
    <n v="278.0086097014925"/>
    <n v="10.430883036000003"/>
    <n v="60"/>
    <n v="666.48134223600005"/>
    <n v="41.655083889750003"/>
    <n v="466.28825249720143"/>
    <n v="310.85883499813428"/>
  </r>
  <r>
    <s v="28/08/2026"/>
    <s v="M"/>
    <s v="[1062] RAMGADH"/>
    <s v="[8401] DURGAWATI"/>
    <x v="37"/>
    <x v="37"/>
    <x v="37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28/08/2026"/>
    <s v="E"/>
    <s v="[1062] RAMGADH"/>
    <s v="[8401] DURGAWATI"/>
    <x v="37"/>
    <x v="37"/>
    <x v="37"/>
    <s v="B"/>
    <n v="24"/>
    <n v="6.5"/>
    <n v="9"/>
    <n v="1.56"/>
    <n v="2.16"/>
    <n v="54.274999999999999"/>
    <n v="1302.5999999999999"/>
    <n v="434.2"/>
    <n v="289.46666666666664"/>
    <n v="22.795500000000001"/>
    <n v="90"/>
    <n v="1415.3954999999999"/>
    <n v="58.974812499999992"/>
    <n v="471.79849999999993"/>
    <n v="314.53233333333327"/>
  </r>
  <r>
    <s v="29/08/2026"/>
    <s v="M"/>
    <s v="[1062] RAMGADH"/>
    <s v="[8401] DURGAWATI"/>
    <x v="37"/>
    <x v="37"/>
    <x v="37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29/08/2026"/>
    <s v="E"/>
    <s v="[1062] RAMGADH"/>
    <s v="[8401] DURGAWATI"/>
    <x v="37"/>
    <x v="37"/>
    <x v="37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29/08/2026"/>
    <s v="E"/>
    <s v="[1062] RAMGADH"/>
    <s v="[8401] DURGAWATI"/>
    <x v="37"/>
    <x v="37"/>
    <x v="37"/>
    <s v="C"/>
    <n v="7"/>
    <n v="4.8"/>
    <n v="8.5"/>
    <n v="0.33600000000000002"/>
    <n v="0.59499999999999997"/>
    <n v="43.647181500000002"/>
    <n v="305.53027050000003"/>
    <n v="417.0112882165605"/>
    <n v="278.00752547770702"/>
    <n v="5.3467797337500009"/>
    <n v="26.25"/>
    <n v="337.12705023375003"/>
    <n v="48.161007176250003"/>
    <n v="460.13701123805731"/>
    <n v="306.75800749203819"/>
  </r>
  <r>
    <s v="30/08/2026"/>
    <s v="M"/>
    <s v="[1062] RAMGADH"/>
    <s v="[8401] DURGAWATI"/>
    <x v="37"/>
    <x v="37"/>
    <x v="37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30/08/2026"/>
    <s v="M"/>
    <s v="[1062] RAMGADH"/>
    <s v="[8401] DURGAWATI"/>
    <x v="37"/>
    <x v="37"/>
    <x v="37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30/08/2026"/>
    <s v="E"/>
    <s v="[1062] RAMGADH"/>
    <s v="[8401] DURGAWATI"/>
    <x v="37"/>
    <x v="37"/>
    <x v="37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30/08/2026"/>
    <s v="E"/>
    <s v="[1062] RAMGADH"/>
    <s v="[8401] DURGAWATI"/>
    <x v="37"/>
    <x v="37"/>
    <x v="37"/>
    <s v="C"/>
    <n v="7"/>
    <n v="4.0999999999999996"/>
    <n v="8.5"/>
    <n v="0.28699999999999998"/>
    <n v="0.59499999999999997"/>
    <n v="40.728181500000005"/>
    <n v="285.09727050000004"/>
    <n v="417.01209726962463"/>
    <n v="278.0080648464164"/>
    <n v="4.9892022337500013"/>
    <n v="26.25"/>
    <n v="316.33647273375004"/>
    <n v="45.190924676250006"/>
    <n v="462.70571340870316"/>
    <n v="308.47047560580211"/>
  </r>
  <r>
    <s v="31/08/2026"/>
    <s v="M"/>
    <s v="[1062] RAMGADH"/>
    <s v="[8401] DURGAWATI"/>
    <x v="37"/>
    <x v="37"/>
    <x v="37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31/08/2026"/>
    <s v="M"/>
    <s v="[1062] RAMGADH"/>
    <s v="[8401] DURGAWATI"/>
    <x v="37"/>
    <x v="37"/>
    <x v="37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31/08/2026"/>
    <s v="E"/>
    <s v="[1062] RAMGADH"/>
    <s v="[8401] DURGAWATI"/>
    <x v="37"/>
    <x v="37"/>
    <x v="37"/>
    <s v="B"/>
    <n v="20"/>
    <n v="6.7"/>
    <n v="9"/>
    <n v="1.34"/>
    <n v="1.8"/>
    <n v="55.945"/>
    <n v="1118.9000000000001"/>
    <n v="440.51181102362204"/>
    <n v="293.67454068241472"/>
    <n v="19.580750000000002"/>
    <n v="75"/>
    <n v="1213.4807500000002"/>
    <n v="60.674037500000011"/>
    <n v="477.74832677165364"/>
    <n v="318.49888451443576"/>
  </r>
  <r>
    <s v="01/09/2026"/>
    <s v="M"/>
    <s v="[1062] RAMGADH"/>
    <s v="[8401] DURGAWATI"/>
    <x v="37"/>
    <x v="37"/>
    <x v="37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01/09/2026"/>
    <s v="M"/>
    <s v="[1062] RAMGADH"/>
    <s v="[8401] DURGAWATI"/>
    <x v="37"/>
    <x v="37"/>
    <x v="37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01/09/2026"/>
    <s v="E"/>
    <s v="[1062] RAMGADH"/>
    <s v="[8401] DURGAWATI"/>
    <x v="37"/>
    <x v="37"/>
    <x v="37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01/09/2026"/>
    <s v="E"/>
    <s v="[1062] RAMGADH"/>
    <s v="[8401] DURGAWATI"/>
    <x v="37"/>
    <x v="37"/>
    <x v="37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02/09/2026"/>
    <s v="M"/>
    <s v="[1062] RAMGADH"/>
    <s v="[8401] DURGAWATI"/>
    <x v="37"/>
    <x v="37"/>
    <x v="37"/>
    <s v="B"/>
    <n v="27"/>
    <n v="7"/>
    <n v="9"/>
    <n v="1.89"/>
    <n v="2.4300000000000002"/>
    <n v="58.45"/>
    <n v="1578.15"/>
    <n v="449.61538461538464"/>
    <n v="299.74358974358978"/>
    <n v="27.617625000000004"/>
    <n v="101.25"/>
    <n v="1707.0176250000002"/>
    <n v="63.222875000000009"/>
    <n v="486.32980769230772"/>
    <n v="324.21987179487184"/>
  </r>
  <r>
    <s v="02/09/2026"/>
    <s v="M"/>
    <s v="[1062] RAMGADH"/>
    <s v="[8401] DURGAWATI"/>
    <x v="37"/>
    <x v="37"/>
    <x v="37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02/09/2026"/>
    <s v="E"/>
    <s v="[1062] RAMGADH"/>
    <s v="[8401] DURGAWATI"/>
    <x v="37"/>
    <x v="37"/>
    <x v="37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02/09/2026"/>
    <s v="E"/>
    <s v="[1062] RAMGADH"/>
    <s v="[8401] DURGAWATI"/>
    <x v="37"/>
    <x v="37"/>
    <x v="37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03/09/2026"/>
    <s v="M"/>
    <s v="[1062] RAMGADH"/>
    <s v="[8401] DURGAWATI"/>
    <x v="37"/>
    <x v="37"/>
    <x v="37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03/09/2026"/>
    <s v="M"/>
    <s v="[1062] RAMGADH"/>
    <s v="[8401] DURGAWATI"/>
    <x v="37"/>
    <x v="37"/>
    <x v="37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03/09/2026"/>
    <s v="E"/>
    <s v="[1062] RAMGADH"/>
    <s v="[8401] DURGAWATI"/>
    <x v="37"/>
    <x v="37"/>
    <x v="37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03/09/2026"/>
    <s v="E"/>
    <s v="[1062] RAMGADH"/>
    <s v="[8401] DURGAWATI"/>
    <x v="37"/>
    <x v="37"/>
    <x v="37"/>
    <s v="C"/>
    <n v="8"/>
    <n v="4.4000000000000004"/>
    <n v="8.5"/>
    <n v="0.35200000000000004"/>
    <n v="0.68"/>
    <n v="41.97918150000001"/>
    <n v="335.83345200000008"/>
    <n v="417.01173675496693"/>
    <n v="278.00782450331127"/>
    <n v="5.8770854100000021"/>
    <n v="30"/>
    <n v="371.71053741000009"/>
    <n v="46.463817176250011"/>
    <n v="461.56109777731791"/>
    <n v="307.70739851821196"/>
  </r>
  <r>
    <s v="28/08/2026"/>
    <s v="M"/>
    <s v="[1062] RAMGADH"/>
    <s v="[8403] MOHANIA"/>
    <x v="38"/>
    <x v="38"/>
    <x v="38"/>
    <s v="C"/>
    <n v="12"/>
    <n v="3.7"/>
    <n v="8.1"/>
    <n v="0.44400000000000006"/>
    <n v="0.97199999999999986"/>
    <n v="37.948125900000008"/>
    <n v="455.3775108000001"/>
    <n v="417.01237252747262"/>
    <n v="278.00824835164843"/>
    <n v="7.9691064390000026"/>
    <n v="45"/>
    <n v="508.34661723900012"/>
    <n v="42.362218103250008"/>
    <n v="465.51888025549459"/>
    <n v="310.34592017032975"/>
  </r>
  <r>
    <s v="28/08/2026"/>
    <s v="E"/>
    <s v="[1062] RAMGADH"/>
    <s v="[8403] MOHANIA"/>
    <x v="38"/>
    <x v="38"/>
    <x v="38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9/08/2026"/>
    <s v="M"/>
    <s v="[1062] RAMGADH"/>
    <s v="[8403] MOHANIA"/>
    <x v="38"/>
    <x v="38"/>
    <x v="38"/>
    <s v="C"/>
    <n v="32"/>
    <n v="4"/>
    <n v="8.1"/>
    <n v="1.28"/>
    <n v="2.5920000000000001"/>
    <n v="39.199125899999999"/>
    <n v="1254.3720288"/>
    <n v="417.01197765957443"/>
    <n v="278.00798510638293"/>
    <n v="21.951510504000002"/>
    <n v="120"/>
    <n v="1396.323539304"/>
    <n v="43.635110603249998"/>
    <n v="464.20330428989359"/>
    <n v="309.46886952659571"/>
  </r>
  <r>
    <s v="29/08/2026"/>
    <s v="E"/>
    <s v="[1062] RAMGADH"/>
    <s v="[8403] MOHANIA"/>
    <x v="38"/>
    <x v="38"/>
    <x v="38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30/08/2026"/>
    <s v="M"/>
    <s v="[1062] RAMGADH"/>
    <s v="[8403] MOHANIA"/>
    <x v="38"/>
    <x v="38"/>
    <x v="38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30/08/2026"/>
    <s v="M"/>
    <s v="[1062] RAMGADH"/>
    <s v="[8403] MOHANIA"/>
    <x v="38"/>
    <x v="38"/>
    <x v="3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30/08/2026"/>
    <s v="E"/>
    <s v="[1062] RAMGADH"/>
    <s v="[8403] MOHANIA"/>
    <x v="38"/>
    <x v="38"/>
    <x v="38"/>
    <s v="C"/>
    <n v="34"/>
    <n v="4"/>
    <n v="8.1"/>
    <n v="1.36"/>
    <n v="2.7539999999999996"/>
    <n v="39.199125899999999"/>
    <n v="1332.7702806"/>
    <n v="417.01197765957443"/>
    <n v="278.00798510638293"/>
    <n v="23.323479910500001"/>
    <n v="127.5"/>
    <n v="1483.5937605105"/>
    <n v="43.635110603249998"/>
    <n v="464.20330428989359"/>
    <n v="309.46886952659571"/>
  </r>
  <r>
    <s v="31/08/2026"/>
    <s v="M"/>
    <s v="[1062] RAMGADH"/>
    <s v="[8403] MOHANIA"/>
    <x v="38"/>
    <x v="38"/>
    <x v="38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31/08/2026"/>
    <s v="E"/>
    <s v="[1062] RAMGADH"/>
    <s v="[8403] MOHANIA"/>
    <x v="38"/>
    <x v="38"/>
    <x v="38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01/09/2026"/>
    <s v="M"/>
    <s v="[1062] RAMGADH"/>
    <s v="[8403] MOHANIA"/>
    <x v="38"/>
    <x v="38"/>
    <x v="38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01/09/2026"/>
    <s v="E"/>
    <s v="[1062] RAMGADH"/>
    <s v="[8403] MOHANIA"/>
    <x v="38"/>
    <x v="38"/>
    <x v="38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02/09/2026"/>
    <s v="M"/>
    <s v="[1062] RAMGADH"/>
    <s v="[8403] MOHANIA"/>
    <x v="38"/>
    <x v="38"/>
    <x v="38"/>
    <s v="C"/>
    <n v="39"/>
    <n v="3.8"/>
    <n v="8.3000000000000007"/>
    <n v="1.482"/>
    <n v="3.2370000000000005"/>
    <n v="38.921153700000005"/>
    <n v="1517.9249943000002"/>
    <n v="417.01236107142859"/>
    <n v="278.00824071428571"/>
    <n v="26.563687400250007"/>
    <n v="146.25"/>
    <n v="1690.7386817002503"/>
    <n v="43.352273889750009"/>
    <n v="464.48864881875005"/>
    <n v="309.65909921250005"/>
  </r>
  <r>
    <s v="02/09/2026"/>
    <s v="E"/>
    <s v="[1062] RAMGADH"/>
    <s v="[8403] MOHANIA"/>
    <x v="38"/>
    <x v="38"/>
    <x v="38"/>
    <s v="C"/>
    <n v="22"/>
    <n v="4.2"/>
    <n v="8.1"/>
    <n v="0.92400000000000004"/>
    <n v="1.7819999999999998"/>
    <n v="40.033125900000002"/>
    <n v="880.72876980000001"/>
    <n v="417.01172812499999"/>
    <n v="278.00781875000001"/>
    <n v="15.412753471500002"/>
    <n v="82.5"/>
    <n v="978.64152327149998"/>
    <n v="44.483705603250002"/>
    <n v="463.37193336718752"/>
    <n v="308.9146222447917"/>
  </r>
  <r>
    <s v="03/09/2026"/>
    <s v="M"/>
    <s v="[1062] RAMGADH"/>
    <s v="[8403] MOHANIA"/>
    <x v="38"/>
    <x v="38"/>
    <x v="38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3/09/2026"/>
    <s v="E"/>
    <s v="[1062] RAMGADH"/>
    <s v="[8403] MOHANIA"/>
    <x v="38"/>
    <x v="38"/>
    <x v="38"/>
    <s v="C"/>
    <n v="27"/>
    <n v="3.8"/>
    <n v="8"/>
    <n v="1.026"/>
    <n v="2.16"/>
    <n v="38.087112000000005"/>
    <n v="1028.352024"/>
    <n v="417.01217518248177"/>
    <n v="278.00811678832116"/>
    <n v="17.996160420000002"/>
    <n v="101.25"/>
    <n v="1147.5981844200001"/>
    <n v="42.503636460000003"/>
    <n v="465.36828240875911"/>
    <n v="310.24552160583943"/>
  </r>
  <r>
    <s v="28/08/2026"/>
    <s v="M"/>
    <s v="[1062] RAMGADH"/>
    <s v="[8403] MOHANIA"/>
    <x v="39"/>
    <x v="39"/>
    <x v="39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8/08/2026"/>
    <s v="E"/>
    <s v="[1062] RAMGADH"/>
    <s v="[8403] MOHANIA"/>
    <x v="39"/>
    <x v="39"/>
    <x v="39"/>
    <s v="B"/>
    <n v="11"/>
    <n v="6"/>
    <n v="9"/>
    <n v="0.66"/>
    <n v="0.99"/>
    <n v="50.1"/>
    <n v="551.1"/>
    <n v="417.5"/>
    <n v="278.33333333333331"/>
    <n v="9.6442500000000013"/>
    <n v="41.25"/>
    <n v="601.99424999999997"/>
    <n v="54.726749999999996"/>
    <n v="456.05624999999998"/>
    <n v="304.03749999999997"/>
  </r>
  <r>
    <s v="28/08/2026"/>
    <s v="E"/>
    <s v="[1062] RAMGADH"/>
    <s v="[8403] MOHANIA"/>
    <x v="39"/>
    <x v="39"/>
    <x v="39"/>
    <s v="C"/>
    <n v="32"/>
    <n v="3.5"/>
    <n v="8.1999999999999993"/>
    <n v="1.1200000000000001"/>
    <n v="2.6239999999999997"/>
    <n v="37.392139800000002"/>
    <n v="1196.5484736000001"/>
    <n v="417.01271152416359"/>
    <n v="278.00847434944239"/>
    <n v="20.939598288000003"/>
    <n v="120"/>
    <n v="1337.4880718880001"/>
    <n v="41.796502246500005"/>
    <n v="466.13199531412641"/>
    <n v="310.75466354275096"/>
  </r>
  <r>
    <s v="29/08/2026"/>
    <s v="M"/>
    <s v="[1062] RAMGADH"/>
    <s v="[8403] MOHANIA"/>
    <x v="39"/>
    <x v="39"/>
    <x v="39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9/08/2026"/>
    <s v="E"/>
    <s v="[1062] RAMGADH"/>
    <s v="[8403] MOHANIA"/>
    <x v="39"/>
    <x v="39"/>
    <x v="39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29/08/2026"/>
    <s v="E"/>
    <s v="[1062] RAMGADH"/>
    <s v="[8403] MOHANIA"/>
    <x v="39"/>
    <x v="39"/>
    <x v="39"/>
    <s v="C"/>
    <n v="35"/>
    <n v="4"/>
    <n v="8.3000000000000007"/>
    <n v="1.4"/>
    <n v="2.9049999999999998"/>
    <n v="39.755153700000008"/>
    <n v="1391.4303795000003"/>
    <n v="417.01210174825178"/>
    <n v="278.00806783216785"/>
    <n v="24.350031641250009"/>
    <n v="131.25"/>
    <n v="1547.0304111412504"/>
    <n v="44.200868889750012"/>
    <n v="463.64547786451061"/>
    <n v="309.09698524300705"/>
  </r>
  <r>
    <s v="30/08/2026"/>
    <s v="M"/>
    <s v="[1062] RAMGADH"/>
    <s v="[8403] MOHANIA"/>
    <x v="39"/>
    <x v="39"/>
    <x v="39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30/08/2026"/>
    <s v="E"/>
    <s v="[1062] RAMGADH"/>
    <s v="[8403] MOHANIA"/>
    <x v="39"/>
    <x v="39"/>
    <x v="39"/>
    <s v="B"/>
    <n v="8"/>
    <n v="6.4"/>
    <n v="9"/>
    <n v="0.51200000000000001"/>
    <n v="0.72"/>
    <n v="53.44"/>
    <n v="427.52"/>
    <n v="430.96774193548384"/>
    <n v="287.31182795698925"/>
    <n v="7.4816000000000003"/>
    <n v="30"/>
    <n v="465.0016"/>
    <n v="58.1252"/>
    <n v="468.7516129032258"/>
    <n v="312.5010752688172"/>
  </r>
  <r>
    <s v="30/08/2026"/>
    <s v="E"/>
    <s v="[1062] RAMGADH"/>
    <s v="[8403] MOHANIA"/>
    <x v="39"/>
    <x v="39"/>
    <x v="39"/>
    <s v="C"/>
    <n v="26"/>
    <n v="4"/>
    <n v="8.3000000000000007"/>
    <n v="1.04"/>
    <n v="2.1579999999999999"/>
    <n v="39.755153700000008"/>
    <n v="1033.6339962000002"/>
    <n v="417.01210174825178"/>
    <n v="278.00806783216785"/>
    <n v="18.088594933500005"/>
    <n v="97.5"/>
    <n v="1149.2225911335001"/>
    <n v="44.200868889750005"/>
    <n v="463.6454778645105"/>
    <n v="309.096985243007"/>
  </r>
  <r>
    <s v="31/08/2026"/>
    <s v="M"/>
    <s v="[1062] RAMGADH"/>
    <s v="[8403] MOHANIA"/>
    <x v="39"/>
    <x v="39"/>
    <x v="39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31/08/2026"/>
    <s v="M"/>
    <s v="[1062] RAMGADH"/>
    <s v="[8403] MOHANIA"/>
    <x v="39"/>
    <x v="39"/>
    <x v="39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  <r>
    <s v="31/08/2026"/>
    <s v="E"/>
    <s v="[1062] RAMGADH"/>
    <s v="[8403] MOHANIA"/>
    <x v="39"/>
    <x v="39"/>
    <x v="39"/>
    <s v="B"/>
    <n v="6"/>
    <n v="6"/>
    <n v="9"/>
    <n v="0.36"/>
    <n v="0.54"/>
    <n v="50.1"/>
    <n v="300.60000000000002"/>
    <n v="417.5"/>
    <n v="278.33333333333331"/>
    <n v="5.2605000000000013"/>
    <n v="22.5"/>
    <n v="328.3605"/>
    <n v="54.726750000000003"/>
    <n v="456.05625000000003"/>
    <n v="304.03750000000002"/>
  </r>
  <r>
    <s v="31/08/2026"/>
    <s v="E"/>
    <s v="[1062] RAMGADH"/>
    <s v="[8403] MOHANIA"/>
    <x v="39"/>
    <x v="39"/>
    <x v="39"/>
    <s v="C"/>
    <n v="21"/>
    <n v="4.4000000000000004"/>
    <n v="8.3000000000000007"/>
    <n v="0.92400000000000004"/>
    <n v="1.7430000000000001"/>
    <n v="41.423153700000007"/>
    <n v="869.88622770000018"/>
    <n v="417.01161442953025"/>
    <n v="278.00774295302017"/>
    <n v="15.223008984750004"/>
    <n v="78.75"/>
    <n v="963.85923668475016"/>
    <n v="45.898058889750004"/>
    <n v="462.06099553439594"/>
    <n v="308.0406636895973"/>
  </r>
  <r>
    <s v="01/09/2026"/>
    <s v="M"/>
    <s v="[1062] RAMGADH"/>
    <s v="[8403] MOHANIA"/>
    <x v="39"/>
    <x v="39"/>
    <x v="39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1/09/2026"/>
    <s v="M"/>
    <s v="[1062] RAMGADH"/>
    <s v="[8403] MOHANIA"/>
    <x v="39"/>
    <x v="39"/>
    <x v="39"/>
    <s v="C"/>
    <n v="37"/>
    <n v="4.0999999999999996"/>
    <n v="8.1999999999999993"/>
    <n v="1.5169999999999999"/>
    <n v="3.0339999999999998"/>
    <n v="39.894139799999998"/>
    <n v="1476.0831725999999"/>
    <n v="417.01191428571434"/>
    <n v="278.00794285714289"/>
    <n v="25.8314555205"/>
    <n v="138.75"/>
    <n v="1640.6646281204999"/>
    <n v="44.342287246499993"/>
    <n v="463.50822905749129"/>
    <n v="309.00548603832755"/>
  </r>
  <r>
    <s v="01/09/2026"/>
    <s v="E"/>
    <s v="[1062] RAMGADH"/>
    <s v="[8403] MOHANIA"/>
    <x v="39"/>
    <x v="39"/>
    <x v="39"/>
    <s v="B"/>
    <n v="7"/>
    <n v="6.5"/>
    <n v="9"/>
    <n v="0.45500000000000002"/>
    <n v="0.63"/>
    <n v="54.274999999999999"/>
    <n v="379.92500000000001"/>
    <n v="434.2"/>
    <n v="289.46666666666664"/>
    <n v="6.6486875000000012"/>
    <n v="26.25"/>
    <n v="412.82368750000001"/>
    <n v="58.974812499999999"/>
    <n v="471.79849999999999"/>
    <n v="314.53233333333333"/>
  </r>
  <r>
    <s v="01/09/2026"/>
    <s v="E"/>
    <s v="[1062] RAMGADH"/>
    <s v="[8403] MOHANIA"/>
    <x v="39"/>
    <x v="39"/>
    <x v="39"/>
    <s v="C"/>
    <n v="27"/>
    <n v="4.0999999999999996"/>
    <n v="8.4"/>
    <n v="1.107"/>
    <n v="2.2680000000000002"/>
    <n v="40.4501676"/>
    <n v="1092.1545252000001"/>
    <n v="417.01203711340207"/>
    <n v="278.00802474226805"/>
    <n v="19.112704191000002"/>
    <n v="101.25"/>
    <n v="1212.517229391"/>
    <n v="44.908045532999999"/>
    <n v="462.96954157731955"/>
    <n v="308.64636105154636"/>
  </r>
  <r>
    <s v="02/09/2026"/>
    <s v="M"/>
    <s v="[1062] RAMGADH"/>
    <s v="[8403] MOHANIA"/>
    <x v="39"/>
    <x v="39"/>
    <x v="39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2/09/2026"/>
    <s v="M"/>
    <s v="[1062] RAMGADH"/>
    <s v="[8403] MOHANIA"/>
    <x v="39"/>
    <x v="39"/>
    <x v="39"/>
    <s v="C"/>
    <n v="32"/>
    <n v="3.5"/>
    <n v="8.3000000000000007"/>
    <n v="1.1200000000000001"/>
    <n v="2.6560000000000001"/>
    <n v="37.670153700000007"/>
    <n v="1205.4449184000002"/>
    <n v="417.01277158671587"/>
    <n v="278.00851439114393"/>
    <n v="21.095286072000007"/>
    <n v="120"/>
    <n v="1346.5402044720004"/>
    <n v="42.079381389750012"/>
    <n v="465.82341021863471"/>
    <n v="310.54894014575649"/>
  </r>
  <r>
    <s v="02/09/2026"/>
    <s v="E"/>
    <s v="[1062] RAMGADH"/>
    <s v="[8403] MOHANIA"/>
    <x v="39"/>
    <x v="39"/>
    <x v="39"/>
    <s v="B"/>
    <n v="9"/>
    <n v="6.4"/>
    <n v="9"/>
    <n v="0.57600000000000007"/>
    <n v="0.81"/>
    <n v="53.44"/>
    <n v="480.96"/>
    <n v="430.96774193548384"/>
    <n v="287.31182795698925"/>
    <n v="8.4168000000000003"/>
    <n v="33.75"/>
    <n v="523.1268"/>
    <n v="58.1252"/>
    <n v="468.7516129032258"/>
    <n v="312.5010752688172"/>
  </r>
  <r>
    <s v="02/09/2026"/>
    <s v="E"/>
    <s v="[1062] RAMGADH"/>
    <s v="[8403] MOHANIA"/>
    <x v="39"/>
    <x v="39"/>
    <x v="39"/>
    <s v="C"/>
    <n v="32"/>
    <n v="4.0999999999999996"/>
    <n v="8.4"/>
    <n v="1.3119999999999998"/>
    <n v="2.6880000000000002"/>
    <n v="40.4501676"/>
    <n v="1294.4053632"/>
    <n v="417.01203711340207"/>
    <n v="278.00802474226805"/>
    <n v="22.652093856000004"/>
    <n v="120"/>
    <n v="1437.057457056"/>
    <n v="44.908045532999999"/>
    <n v="462.96954157731955"/>
    <n v="308.64636105154636"/>
  </r>
  <r>
    <s v="03/09/2026"/>
    <s v="M"/>
    <s v="[1062] RAMGADH"/>
    <s v="[8403] MOHANIA"/>
    <x v="39"/>
    <x v="39"/>
    <x v="39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3/09/2026"/>
    <s v="M"/>
    <s v="[1062] RAMGADH"/>
    <s v="[8403] MOHANIA"/>
    <x v="39"/>
    <x v="39"/>
    <x v="39"/>
    <s v="C"/>
    <n v="41"/>
    <n v="3.6"/>
    <n v="8.4"/>
    <n v="1.476"/>
    <n v="3.4440000000000004"/>
    <n v="38.365167600000007"/>
    <n v="1572.9718716000002"/>
    <n v="417.01269130434792"/>
    <n v="278.00846086956528"/>
    <n v="27.527007753000007"/>
    <n v="153.75"/>
    <n v="1754.2488793530001"/>
    <n v="42.786558033000006"/>
    <n v="465.07128296739137"/>
    <n v="310.04752197826093"/>
  </r>
  <r>
    <s v="03/09/2026"/>
    <s v="E"/>
    <s v="[1062] RAMGADH"/>
    <s v="[8403] MOHANIA"/>
    <x v="39"/>
    <x v="39"/>
    <x v="39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03/09/2026"/>
    <s v="E"/>
    <s v="[1062] RAMGADH"/>
    <s v="[8403] MOHANIA"/>
    <x v="39"/>
    <x v="39"/>
    <x v="39"/>
    <s v="C"/>
    <n v="30"/>
    <n v="3.7"/>
    <n v="8.5"/>
    <n v="1.1100000000000001"/>
    <n v="2.5499999999999998"/>
    <n v="39.060181500000006"/>
    <n v="1171.8054450000002"/>
    <n v="417.0126138790036"/>
    <n v="278.00840925266908"/>
    <n v="20.506595287500005"/>
    <n v="112.5"/>
    <n v="1304.8120402875002"/>
    <n v="43.493734676250007"/>
    <n v="464.34592181049823"/>
    <n v="309.56394787366548"/>
  </r>
  <r>
    <s v="28/08/2026"/>
    <s v="E"/>
    <s v="[1062] RAMGADH"/>
    <s v="[8404] CHANDESH"/>
    <x v="40"/>
    <x v="40"/>
    <x v="40"/>
    <s v="B"/>
    <n v="7"/>
    <n v="7.3"/>
    <n v="9"/>
    <n v="0.51100000000000001"/>
    <n v="0.63"/>
    <n v="60.954999999999998"/>
    <n v="426.685"/>
    <n v="458.30827067669168"/>
    <n v="305.53884711779443"/>
    <n v="7.466987500000001"/>
    <n v="26.25"/>
    <n v="460.40198750000002"/>
    <n v="65.771712500000007"/>
    <n v="494.52415413533839"/>
    <n v="329.68276942355891"/>
  </r>
  <r>
    <s v="28/08/2026"/>
    <s v="E"/>
    <s v="[1062] RAMGADH"/>
    <s v="[8404] CHANDESH"/>
    <x v="40"/>
    <x v="40"/>
    <x v="40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29/08/2026"/>
    <s v="M"/>
    <s v="[1062] RAMGADH"/>
    <s v="[8404] CHANDESH"/>
    <x v="40"/>
    <x v="40"/>
    <x v="40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9/08/2026"/>
    <s v="E"/>
    <s v="[1062] RAMGADH"/>
    <s v="[8404] CHANDESH"/>
    <x v="40"/>
    <x v="40"/>
    <x v="40"/>
    <s v="B"/>
    <n v="13"/>
    <n v="8.1"/>
    <n v="9"/>
    <n v="1.0529999999999999"/>
    <n v="1.17"/>
    <n v="67.635000000000005"/>
    <n v="879.25500000000011"/>
    <n v="479.68085106382978"/>
    <n v="319.78723404255317"/>
    <n v="15.386962500000003"/>
    <n v="48.75"/>
    <n v="943.39196250000009"/>
    <n v="72.5686125"/>
    <n v="514.67101063829784"/>
    <n v="343.11400709219856"/>
  </r>
  <r>
    <s v="29/08/2026"/>
    <s v="E"/>
    <s v="[1062] RAMGADH"/>
    <s v="[8404] CHANDESH"/>
    <x v="40"/>
    <x v="40"/>
    <x v="40"/>
    <s v="C"/>
    <n v="22"/>
    <n v="4"/>
    <n v="8.5"/>
    <n v="0.88"/>
    <n v="1.87"/>
    <n v="40.311181500000004"/>
    <n v="886.84599300000013"/>
    <n v="417.0122224137931"/>
    <n v="278.00814827586208"/>
    <n v="15.519804877500004"/>
    <n v="82.5"/>
    <n v="984.8657978775002"/>
    <n v="44.766627176250012"/>
    <n v="463.10303975431043"/>
    <n v="308.73535983620695"/>
  </r>
  <r>
    <s v="30/08/2026"/>
    <s v="M"/>
    <s v="[1062] RAMGADH"/>
    <s v="[8404] CHANDESH"/>
    <x v="40"/>
    <x v="40"/>
    <x v="40"/>
    <s v="B"/>
    <n v="29"/>
    <n v="6.6"/>
    <n v="9"/>
    <n v="1.9139999999999997"/>
    <n v="2.61"/>
    <n v="55.11"/>
    <n v="1598.19"/>
    <n v="437.38095238095235"/>
    <n v="291.58730158730157"/>
    <n v="27.968325000000004"/>
    <n v="108.75"/>
    <n v="1734.9083250000001"/>
    <n v="59.824425000000005"/>
    <n v="474.79702380952386"/>
    <n v="316.53134920634926"/>
  </r>
  <r>
    <s v="30/08/2026"/>
    <s v="M"/>
    <s v="[1062] RAMGADH"/>
    <s v="[8404] CHANDESH"/>
    <x v="40"/>
    <x v="40"/>
    <x v="40"/>
    <s v="C"/>
    <n v="33"/>
    <n v="4.2"/>
    <n v="8.5"/>
    <n v="1.3859999999999999"/>
    <n v="2.8050000000000002"/>
    <n v="41.145181500000007"/>
    <n v="1357.7909895000003"/>
    <n v="417.01197466216217"/>
    <n v="278.00798310810814"/>
    <n v="23.761342316250008"/>
    <n v="123.75"/>
    <n v="1505.3023318162502"/>
    <n v="45.615222176250008"/>
    <n v="462.31644097550679"/>
    <n v="308.21096065033788"/>
  </r>
  <r>
    <s v="30/08/2026"/>
    <s v="E"/>
    <s v="[1062] RAMGADH"/>
    <s v="[8404] CHANDESH"/>
    <x v="40"/>
    <x v="40"/>
    <x v="40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30/08/2026"/>
    <s v="E"/>
    <s v="[1062] RAMGADH"/>
    <s v="[8404] CHANDESH"/>
    <x v="40"/>
    <x v="40"/>
    <x v="40"/>
    <s v="C"/>
    <n v="13"/>
    <n v="3.8"/>
    <n v="8.5"/>
    <n v="0.49399999999999999"/>
    <n v="1.105"/>
    <n v="39.4771815"/>
    <n v="513.20335950000003"/>
    <n v="417.0124806338028"/>
    <n v="278.00832042253518"/>
    <n v="8.9810587912500015"/>
    <n v="48.75"/>
    <n v="570.93441829125004"/>
    <n v="43.918032176250001"/>
    <n v="463.92287510123236"/>
    <n v="309.28191673415489"/>
  </r>
  <r>
    <s v="31/08/2026"/>
    <s v="M"/>
    <s v="[1062] RAMGADH"/>
    <s v="[8404] CHANDESH"/>
    <x v="40"/>
    <x v="40"/>
    <x v="40"/>
    <s v="B"/>
    <n v="38"/>
    <n v="6.5"/>
    <n v="9"/>
    <n v="2.4700000000000002"/>
    <n v="3.42"/>
    <n v="54.274999999999999"/>
    <n v="2062.4499999999998"/>
    <n v="434.2"/>
    <n v="289.46666666666664"/>
    <n v="36.092874999999999"/>
    <n v="142.5"/>
    <n v="2241.0428749999996"/>
    <n v="58.974812499999992"/>
    <n v="471.79849999999993"/>
    <n v="314.53233333333327"/>
  </r>
  <r>
    <s v="31/08/2026"/>
    <s v="M"/>
    <s v="[1062] RAMGADH"/>
    <s v="[8404] CHANDESH"/>
    <x v="40"/>
    <x v="40"/>
    <x v="40"/>
    <s v="C"/>
    <n v="41"/>
    <n v="4.2"/>
    <n v="8.5"/>
    <n v="1.7220000000000002"/>
    <n v="3.4849999999999999"/>
    <n v="41.145181500000007"/>
    <n v="1686.9524415000003"/>
    <n v="417.01197466216217"/>
    <n v="278.00798310810814"/>
    <n v="29.521667726250008"/>
    <n v="153.75"/>
    <n v="1870.2241092262502"/>
    <n v="45.615222176250008"/>
    <n v="462.31644097550679"/>
    <n v="308.21096065033788"/>
  </r>
  <r>
    <s v="31/08/2026"/>
    <s v="E"/>
    <s v="[1062] RAMGADH"/>
    <s v="[8404] CHANDESH"/>
    <x v="40"/>
    <x v="40"/>
    <x v="40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31/08/2026"/>
    <s v="E"/>
    <s v="[1062] RAMGADH"/>
    <s v="[8404] CHANDESH"/>
    <x v="40"/>
    <x v="40"/>
    <x v="40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01/09/2026"/>
    <s v="M"/>
    <s v="[1062] RAMGADH"/>
    <s v="[8404] CHANDESH"/>
    <x v="40"/>
    <x v="40"/>
    <x v="40"/>
    <s v="B"/>
    <n v="39"/>
    <n v="6.5"/>
    <n v="9"/>
    <n v="2.5350000000000001"/>
    <n v="3.51"/>
    <n v="54.274999999999999"/>
    <n v="2116.7249999999999"/>
    <n v="434.2"/>
    <n v="289.46666666666664"/>
    <n v="37.0426875"/>
    <n v="146.25"/>
    <n v="2300.0176874999997"/>
    <n v="58.974812499999992"/>
    <n v="471.79849999999993"/>
    <n v="314.53233333333327"/>
  </r>
  <r>
    <s v="01/09/2026"/>
    <s v="M"/>
    <s v="[1062] RAMGADH"/>
    <s v="[8404] CHANDESH"/>
    <x v="40"/>
    <x v="40"/>
    <x v="40"/>
    <s v="C"/>
    <n v="40"/>
    <n v="4.0999999999999996"/>
    <n v="8.3000000000000007"/>
    <n v="1.64"/>
    <n v="3.32"/>
    <n v="40.172153700000003"/>
    <n v="1606.886148"/>
    <n v="417.01197612456752"/>
    <n v="278.00798408304502"/>
    <n v="28.120507590000003"/>
    <n v="150"/>
    <n v="1785.00665559"/>
    <n v="44.625166389749999"/>
    <n v="463.23702134688585"/>
    <n v="308.82468089792388"/>
  </r>
  <r>
    <s v="01/09/2026"/>
    <s v="E"/>
    <s v="[1062] RAMGADH"/>
    <s v="[8404] CHANDESH"/>
    <x v="40"/>
    <x v="40"/>
    <x v="40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01/09/2026"/>
    <s v="E"/>
    <s v="[1062] RAMGADH"/>
    <s v="[8404] CHANDESH"/>
    <x v="40"/>
    <x v="40"/>
    <x v="40"/>
    <s v="C"/>
    <n v="16"/>
    <n v="4.2"/>
    <n v="8.4"/>
    <n v="0.67200000000000004"/>
    <n v="1.3440000000000001"/>
    <n v="40.867167600000002"/>
    <n v="653.87468160000003"/>
    <n v="417.01191428571428"/>
    <n v="278.00794285714284"/>
    <n v="11.442806928000001"/>
    <n v="60"/>
    <n v="725.31748852800001"/>
    <n v="45.332343033000001"/>
    <n v="462.57492890816326"/>
    <n v="308.38328593877549"/>
  </r>
  <r>
    <s v="02/09/2026"/>
    <s v="M"/>
    <s v="[1062] RAMGADH"/>
    <s v="[8404] CHANDESH"/>
    <x v="40"/>
    <x v="40"/>
    <x v="40"/>
    <s v="B"/>
    <n v="38"/>
    <n v="6.5"/>
    <n v="9"/>
    <n v="2.4700000000000002"/>
    <n v="3.42"/>
    <n v="54.274999999999999"/>
    <n v="2062.4499999999998"/>
    <n v="434.2"/>
    <n v="289.46666666666664"/>
    <n v="36.092874999999999"/>
    <n v="142.5"/>
    <n v="2241.0428749999996"/>
    <n v="58.974812499999992"/>
    <n v="471.79849999999993"/>
    <n v="314.53233333333327"/>
  </r>
  <r>
    <s v="02/09/2026"/>
    <s v="M"/>
    <s v="[1062] RAMGADH"/>
    <s v="[8404] CHANDESH"/>
    <x v="40"/>
    <x v="40"/>
    <x v="40"/>
    <s v="C"/>
    <n v="40"/>
    <n v="3.7"/>
    <n v="8.3000000000000007"/>
    <n v="1.48"/>
    <n v="3.32"/>
    <n v="38.504153700000003"/>
    <n v="1540.1661480000002"/>
    <n v="417.01249494584835"/>
    <n v="278.00832996389892"/>
    <n v="26.952907590000006"/>
    <n v="150"/>
    <n v="1717.1190555900002"/>
    <n v="42.927976389750008"/>
    <n v="464.92393201895305"/>
    <n v="309.94928801263535"/>
  </r>
  <r>
    <s v="02/09/2026"/>
    <s v="E"/>
    <s v="[1062] RAMGADH"/>
    <s v="[8404] CHANDESH"/>
    <x v="40"/>
    <x v="40"/>
    <x v="40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02/09/2026"/>
    <s v="E"/>
    <s v="[1062] RAMGADH"/>
    <s v="[8404] CHANDESH"/>
    <x v="40"/>
    <x v="40"/>
    <x v="40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03/09/2026"/>
    <s v="M"/>
    <s v="[1062] RAMGADH"/>
    <s v="[8404] CHANDESH"/>
    <x v="40"/>
    <x v="40"/>
    <x v="40"/>
    <s v="B"/>
    <n v="41"/>
    <n v="6.1"/>
    <n v="9"/>
    <n v="2.5009999999999999"/>
    <n v="3.69"/>
    <n v="50.935000000000002"/>
    <n v="2088.335"/>
    <n v="420.95041322314052"/>
    <n v="280.63360881542701"/>
    <n v="36.545862500000005"/>
    <n v="153.75"/>
    <n v="2278.6308625000001"/>
    <n v="55.576362500000002"/>
    <n v="459.30878099173555"/>
    <n v="306.20585399449038"/>
  </r>
  <r>
    <s v="03/09/2026"/>
    <s v="M"/>
    <s v="[1062] RAMGADH"/>
    <s v="[8404] CHANDESH"/>
    <x v="40"/>
    <x v="40"/>
    <x v="40"/>
    <s v="C"/>
    <n v="40"/>
    <n v="4.0999999999999996"/>
    <n v="8.5"/>
    <n v="1.64"/>
    <n v="3.4"/>
    <n v="40.728181500000005"/>
    <n v="1629.1272600000002"/>
    <n v="417.01209726962463"/>
    <n v="278.0080648464164"/>
    <n v="28.509727050000006"/>
    <n v="150"/>
    <n v="1807.6369870500002"/>
    <n v="45.190924676250006"/>
    <n v="462.70571340870316"/>
    <n v="308.47047560580211"/>
  </r>
  <r>
    <s v="03/09/2026"/>
    <s v="E"/>
    <s v="[1062] RAMGADH"/>
    <s v="[8404] CHANDESH"/>
    <x v="40"/>
    <x v="40"/>
    <x v="40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03/09/2026"/>
    <s v="E"/>
    <s v="[1062] RAMGADH"/>
    <s v="[8404] CHANDESH"/>
    <x v="40"/>
    <x v="40"/>
    <x v="40"/>
    <s v="C"/>
    <n v="16"/>
    <n v="3.9"/>
    <n v="8.5"/>
    <n v="0.624"/>
    <n v="1.36"/>
    <n v="39.894181500000002"/>
    <n v="638.30690400000003"/>
    <n v="417.01235017421601"/>
    <n v="278.00823344947736"/>
    <n v="11.170370820000002"/>
    <n v="60"/>
    <n v="709.47727482000005"/>
    <n v="44.342329676250003"/>
    <n v="463.50867257404178"/>
    <n v="309.00578171602785"/>
  </r>
  <r>
    <s v="28/08/2026"/>
    <s v="E"/>
    <s v="[1062] RAMGADH"/>
    <s v="[8403] MOHANIA"/>
    <x v="41"/>
    <x v="41"/>
    <x v="41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28/08/2026"/>
    <s v="E"/>
    <s v="[1062] RAMGADH"/>
    <s v="[8403] MOHANIA"/>
    <x v="41"/>
    <x v="41"/>
    <x v="41"/>
    <s v="C"/>
    <n v="33"/>
    <n v="3.7"/>
    <n v="8.3000000000000007"/>
    <n v="1.2210000000000001"/>
    <n v="2.7390000000000003"/>
    <n v="38.504153700000003"/>
    <n v="1270.6370721000001"/>
    <n v="417.01249494584835"/>
    <n v="278.00832996389892"/>
    <n v="22.236148761750002"/>
    <n v="123.75"/>
    <n v="1416.62322086175"/>
    <n v="42.92797638975"/>
    <n v="464.923932018953"/>
    <n v="309.94928801263535"/>
  </r>
  <r>
    <s v="29/08/2026"/>
    <s v="M"/>
    <s v="[1062] RAMGADH"/>
    <s v="[8403] MOHANIA"/>
    <x v="41"/>
    <x v="41"/>
    <x v="41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29/08/2026"/>
    <s v="M"/>
    <s v="[1062] RAMGADH"/>
    <s v="[8403] MOHANIA"/>
    <x v="41"/>
    <x v="41"/>
    <x v="41"/>
    <s v="C"/>
    <n v="28"/>
    <n v="3.3"/>
    <n v="8"/>
    <n v="0.92399999999999993"/>
    <n v="2.2400000000000002"/>
    <n v="36.002112000000004"/>
    <n v="1008.0591360000001"/>
    <n v="417.01288030888031"/>
    <n v="278.00858687258687"/>
    <n v="17.641034880000003"/>
    <n v="105"/>
    <n v="1130.7001708800001"/>
    <n v="40.382148960000002"/>
    <n v="467.74689915057911"/>
    <n v="311.83126610038607"/>
  </r>
  <r>
    <s v="29/08/2026"/>
    <s v="E"/>
    <s v="[1062] RAMGADH"/>
    <s v="[8403] MOHANIA"/>
    <x v="41"/>
    <x v="41"/>
    <x v="41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9/08/2026"/>
    <s v="E"/>
    <s v="[1062] RAMGADH"/>
    <s v="[8403] MOHANIA"/>
    <x v="41"/>
    <x v="41"/>
    <x v="41"/>
    <s v="C"/>
    <n v="14"/>
    <n v="3.6"/>
    <n v="8"/>
    <n v="0.504"/>
    <n v="1.1200000000000001"/>
    <n v="37.253112000000009"/>
    <n v="521.54356800000016"/>
    <n v="417.01244776119404"/>
    <n v="278.00829850746271"/>
    <n v="9.1270124400000032"/>
    <n v="52.5"/>
    <n v="583.17058044000021"/>
    <n v="41.655041460000014"/>
    <n v="466.2877775373135"/>
    <n v="310.85851835820898"/>
  </r>
  <r>
    <s v="30/08/2026"/>
    <s v="M"/>
    <s v="[1062] RAMGADH"/>
    <s v="[8403] MOHANIA"/>
    <x v="41"/>
    <x v="41"/>
    <x v="41"/>
    <s v="B"/>
    <n v="26"/>
    <n v="5.7"/>
    <n v="8.8000000000000007"/>
    <n v="1.4820000000000002"/>
    <n v="2.2880000000000003"/>
    <n v="47.119050000000001"/>
    <n v="1225.0953"/>
    <n v="407.3693083573487"/>
    <n v="271.57953890489915"/>
    <n v="21.439167750000003"/>
    <n v="97.5"/>
    <n v="1344.03446775"/>
    <n v="51.693633374999997"/>
    <n v="446.91902053314118"/>
    <n v="297.94601368876079"/>
  </r>
  <r>
    <s v="30/08/2026"/>
    <s v="M"/>
    <s v="[1062] RAMGADH"/>
    <s v="[8403] MOHANIA"/>
    <x v="41"/>
    <x v="41"/>
    <x v="41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30/08/2026"/>
    <s v="E"/>
    <s v="[1062] RAMGADH"/>
    <s v="[8403] MOHANIA"/>
    <x v="41"/>
    <x v="41"/>
    <x v="41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30/08/2026"/>
    <s v="E"/>
    <s v="[1062] RAMGADH"/>
    <s v="[8403] MOHANIA"/>
    <x v="41"/>
    <x v="41"/>
    <x v="41"/>
    <s v="C"/>
    <n v="17"/>
    <n v="3.7"/>
    <n v="8"/>
    <n v="0.629"/>
    <n v="1.36"/>
    <n v="37.670112000000003"/>
    <n v="640.39190400000007"/>
    <n v="417.0123099630996"/>
    <n v="278.0082066420664"/>
    <n v="11.206858320000002"/>
    <n v="63.75"/>
    <n v="715.34876232000011"/>
    <n v="42.079338960000008"/>
    <n v="465.82294051660517"/>
    <n v="310.5486270110701"/>
  </r>
  <r>
    <s v="31/08/2026"/>
    <s v="M"/>
    <s v="[1062] RAMGADH"/>
    <s v="[8403] MOHANIA"/>
    <x v="41"/>
    <x v="41"/>
    <x v="41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31/08/2026"/>
    <s v="M"/>
    <s v="[1062] RAMGADH"/>
    <s v="[8403] MOHANIA"/>
    <x v="41"/>
    <x v="41"/>
    <x v="41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31/08/2026"/>
    <s v="E"/>
    <s v="[1062] RAMGADH"/>
    <s v="[8403] MOHANIA"/>
    <x v="41"/>
    <x v="41"/>
    <x v="41"/>
    <s v="C"/>
    <n v="21"/>
    <n v="4.9000000000000004"/>
    <n v="8.5"/>
    <n v="1.0290000000000001"/>
    <n v="1.7849999999999999"/>
    <n v="44.064181500000004"/>
    <n v="925.34781150000003"/>
    <n v="417.01118138801263"/>
    <n v="278.00745425867507"/>
    <n v="16.193586701250002"/>
    <n v="78.75"/>
    <n v="1020.29139820125"/>
    <n v="48.585304676249997"/>
    <n v="459.79783605283905"/>
    <n v="306.53189070189268"/>
  </r>
  <r>
    <s v="01/09/2026"/>
    <s v="M"/>
    <s v="[1062] RAMGADH"/>
    <s v="[8403] MOHANIA"/>
    <x v="41"/>
    <x v="41"/>
    <x v="41"/>
    <s v="B"/>
    <n v="25"/>
    <n v="6"/>
    <n v="9"/>
    <n v="1.5"/>
    <n v="2.25"/>
    <n v="50.1"/>
    <n v="1252.5"/>
    <n v="417.5"/>
    <n v="278.33333333333331"/>
    <n v="21.918750000000003"/>
    <n v="93.75"/>
    <n v="1368.16875"/>
    <n v="54.726750000000003"/>
    <n v="456.05625000000003"/>
    <n v="304.03750000000002"/>
  </r>
  <r>
    <s v="01/09/2026"/>
    <s v="M"/>
    <s v="[1062] RAMGADH"/>
    <s v="[8403] MOHANIA"/>
    <x v="41"/>
    <x v="41"/>
    <x v="41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1/09/2026"/>
    <s v="E"/>
    <s v="[1062] RAMGADH"/>
    <s v="[8403] MOHANIA"/>
    <x v="41"/>
    <x v="41"/>
    <x v="41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01/09/2026"/>
    <s v="E"/>
    <s v="[1062] RAMGADH"/>
    <s v="[8403] MOHANIA"/>
    <x v="41"/>
    <x v="41"/>
    <x v="41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02/09/2026"/>
    <s v="M"/>
    <s v="[1062] RAMGADH"/>
    <s v="[8403] MOHANIA"/>
    <x v="41"/>
    <x v="41"/>
    <x v="41"/>
    <s v="B"/>
    <n v="14"/>
    <n v="6"/>
    <n v="9"/>
    <n v="0.84"/>
    <n v="1.26"/>
    <n v="50.1"/>
    <n v="701.4"/>
    <n v="417.5"/>
    <n v="278.33333333333331"/>
    <n v="12.274500000000002"/>
    <n v="52.5"/>
    <n v="766.17449999999997"/>
    <n v="54.726749999999996"/>
    <n v="456.05624999999998"/>
    <n v="304.03749999999997"/>
  </r>
  <r>
    <s v="02/09/2026"/>
    <s v="M"/>
    <s v="[1062] RAMGADH"/>
    <s v="[8403] MOHANIA"/>
    <x v="41"/>
    <x v="41"/>
    <x v="41"/>
    <s v="C"/>
    <n v="27"/>
    <n v="3.6"/>
    <n v="8.3000000000000007"/>
    <n v="0.97199999999999998"/>
    <n v="2.2410000000000001"/>
    <n v="38.087153700000009"/>
    <n v="1028.3531499000003"/>
    <n v="417.01263175182481"/>
    <n v="278.00842116788323"/>
    <n v="17.996180123250006"/>
    <n v="101.25"/>
    <n v="1147.5993300232503"/>
    <n v="42.503678889750013"/>
    <n v="465.36874696806575"/>
    <n v="310.24583131204383"/>
  </r>
  <r>
    <s v="02/09/2026"/>
    <s v="E"/>
    <s v="[1062] RAMGADH"/>
    <s v="[8403] MOHANIA"/>
    <x v="41"/>
    <x v="41"/>
    <x v="41"/>
    <s v="B"/>
    <n v="18"/>
    <n v="6.2"/>
    <n v="8.6"/>
    <n v="1.1160000000000001"/>
    <n v="1.5479999999999998"/>
    <n v="50.7346"/>
    <n v="913.22280000000001"/>
    <n v="425.15027932960902"/>
    <n v="283.4335195530727"/>
    <n v="15.981399000000001"/>
    <n v="67.5"/>
    <n v="996.70419900000002"/>
    <n v="55.372455500000001"/>
    <n v="464.01499022346377"/>
    <n v="309.34332681564251"/>
  </r>
  <r>
    <s v="02/09/2026"/>
    <s v="E"/>
    <s v="[1062] RAMGADH"/>
    <s v="[8403] MOHANIA"/>
    <x v="41"/>
    <x v="41"/>
    <x v="41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3/09/2026"/>
    <s v="M"/>
    <s v="[1062] RAMGADH"/>
    <s v="[8403] MOHANIA"/>
    <x v="41"/>
    <x v="41"/>
    <x v="41"/>
    <s v="B"/>
    <n v="21"/>
    <n v="5.8"/>
    <n v="9"/>
    <n v="1.218"/>
    <n v="1.89"/>
    <n v="48.43"/>
    <n v="1017.03"/>
    <n v="410.42372881355936"/>
    <n v="273.61581920903956"/>
    <n v="17.798025000000003"/>
    <n v="78.75"/>
    <n v="1113.578025"/>
    <n v="53.027525000000004"/>
    <n v="449.38580508474581"/>
    <n v="299.59053672316389"/>
  </r>
  <r>
    <s v="03/09/2026"/>
    <s v="M"/>
    <s v="[1062] RAMGADH"/>
    <s v="[8403] MOHANIA"/>
    <x v="41"/>
    <x v="41"/>
    <x v="41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03/09/2026"/>
    <s v="E"/>
    <s v="[1062] RAMGADH"/>
    <s v="[8403] MOHANIA"/>
    <x v="41"/>
    <x v="41"/>
    <x v="41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03/09/2026"/>
    <s v="E"/>
    <s v="[1062] RAMGADH"/>
    <s v="[8403] MOHANIA"/>
    <x v="41"/>
    <x v="41"/>
    <x v="41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28/08/2026"/>
    <s v="M"/>
    <s v="[1062] RAMGADH"/>
    <s v="[8402] RAMPUR"/>
    <x v="42"/>
    <x v="42"/>
    <x v="42"/>
    <s v="B"/>
    <n v="13"/>
    <n v="8.5"/>
    <n v="9"/>
    <n v="1.105"/>
    <n v="1.17"/>
    <n v="70.975000000000009"/>
    <n v="922.67500000000007"/>
    <n v="489.48275862068965"/>
    <n v="326.32183908045977"/>
    <n v="16.146812500000003"/>
    <n v="48.75"/>
    <n v="987.57181250000008"/>
    <n v="75.967062500000011"/>
    <n v="523.91077586206893"/>
    <n v="349.27385057471264"/>
  </r>
  <r>
    <s v="28/08/2026"/>
    <s v="E"/>
    <s v="[1062] RAMGADH"/>
    <s v="[8402] RAMPUR"/>
    <x v="42"/>
    <x v="42"/>
    <x v="42"/>
    <s v="B"/>
    <n v="72"/>
    <n v="5.9"/>
    <n v="8.8000000000000007"/>
    <n v="4.2480000000000002"/>
    <n v="6.3360000000000003"/>
    <n v="48.772350000000003"/>
    <n v="3511.6092000000003"/>
    <n v="414.49589235127479"/>
    <n v="276.33059490084986"/>
    <n v="61.453161000000009"/>
    <n v="270"/>
    <n v="3843.0623610000002"/>
    <n v="53.375866125000002"/>
    <n v="453.61925885269125"/>
    <n v="302.41283923512748"/>
  </r>
  <r>
    <s v="28/08/2026"/>
    <s v="E"/>
    <s v="[1062] RAMGADH"/>
    <s v="[8402] RAMPUR"/>
    <x v="42"/>
    <x v="42"/>
    <x v="42"/>
    <s v="C"/>
    <n v="27"/>
    <n v="3.2"/>
    <n v="8.3000000000000007"/>
    <n v="0.8640000000000001"/>
    <n v="2.2410000000000001"/>
    <n v="36.419153700000003"/>
    <n v="983.31714990000012"/>
    <n v="417.01321030534348"/>
    <n v="278.00880687022897"/>
    <n v="17.208050123250004"/>
    <n v="101.25"/>
    <n v="1101.7752000232501"/>
    <n v="40.806488889750007"/>
    <n v="467.24987278339694"/>
    <n v="311.49991518893131"/>
  </r>
  <r>
    <s v="29/08/2026"/>
    <s v="M"/>
    <s v="[1062] RAMGADH"/>
    <s v="[8402] RAMPUR"/>
    <x v="42"/>
    <x v="42"/>
    <x v="42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29/08/2026"/>
    <s v="M"/>
    <s v="[1062] RAMGADH"/>
    <s v="[8402] RAMPUR"/>
    <x v="42"/>
    <x v="42"/>
    <x v="42"/>
    <s v="C"/>
    <n v="21"/>
    <n v="3.5"/>
    <n v="8.1999999999999993"/>
    <n v="0.73499999999999999"/>
    <n v="1.722"/>
    <n v="37.392139800000002"/>
    <n v="785.23493580000002"/>
    <n v="417.01271152416359"/>
    <n v="278.00847434944239"/>
    <n v="13.741611376500002"/>
    <n v="78.75"/>
    <n v="877.72654717650005"/>
    <n v="41.796502246500005"/>
    <n v="466.13199531412641"/>
    <n v="310.75466354275096"/>
  </r>
  <r>
    <s v="29/08/2026"/>
    <s v="E"/>
    <s v="[1062] RAMGADH"/>
    <s v="[8402] RAMPUR"/>
    <x v="42"/>
    <x v="42"/>
    <x v="42"/>
    <s v="B"/>
    <n v="31"/>
    <n v="6.9"/>
    <n v="9"/>
    <n v="2.1390000000000002"/>
    <n v="2.79"/>
    <n v="57.615000000000002"/>
    <n v="1786.0650000000001"/>
    <n v="446.62790697674421"/>
    <n v="297.75193798449612"/>
    <n v="31.256137500000005"/>
    <n v="116.25"/>
    <n v="1933.5711375000001"/>
    <n v="62.373262500000003"/>
    <n v="483.51366279069771"/>
    <n v="322.34244186046516"/>
  </r>
  <r>
    <s v="29/08/2026"/>
    <s v="E"/>
    <s v="[1062] RAMGADH"/>
    <s v="[8402] RAMPUR"/>
    <x v="42"/>
    <x v="42"/>
    <x v="42"/>
    <s v="C"/>
    <n v="30"/>
    <n v="3.5"/>
    <n v="8.3000000000000007"/>
    <n v="1.05"/>
    <n v="2.4900000000000002"/>
    <n v="37.670153700000007"/>
    <n v="1130.1046110000002"/>
    <n v="417.01277158671587"/>
    <n v="278.00851439114393"/>
    <n v="19.776830692500006"/>
    <n v="112.5"/>
    <n v="1262.3814416925002"/>
    <n v="42.079381389750004"/>
    <n v="465.82341021863465"/>
    <n v="310.54894014575643"/>
  </r>
  <r>
    <s v="30/08/2026"/>
    <s v="M"/>
    <s v="[1062] RAMGADH"/>
    <s v="[8402] RAMPUR"/>
    <x v="42"/>
    <x v="42"/>
    <x v="42"/>
    <s v="B"/>
    <n v="25"/>
    <n v="7.5"/>
    <n v="9"/>
    <n v="1.875"/>
    <n v="2.25"/>
    <n v="62.625"/>
    <n v="1565.625"/>
    <n v="463.88888888888886"/>
    <n v="309.25925925925924"/>
    <n v="27.398437500000004"/>
    <n v="93.75"/>
    <n v="1686.7734375"/>
    <n v="67.470937500000005"/>
    <n v="499.78472222222223"/>
    <n v="333.18981481481484"/>
  </r>
  <r>
    <s v="30/08/2026"/>
    <s v="M"/>
    <s v="[1062] RAMGADH"/>
    <s v="[8402] RAMPUR"/>
    <x v="42"/>
    <x v="42"/>
    <x v="42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30/08/2026"/>
    <s v="E"/>
    <s v="[1062] RAMGADH"/>
    <s v="[8402] RAMPUR"/>
    <x v="42"/>
    <x v="42"/>
    <x v="42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30/08/2026"/>
    <s v="E"/>
    <s v="[1062] RAMGADH"/>
    <s v="[8402] RAMPUR"/>
    <x v="42"/>
    <x v="42"/>
    <x v="42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31/08/2026"/>
    <s v="M"/>
    <s v="[1062] RAMGADH"/>
    <s v="[8402] RAMPUR"/>
    <x v="42"/>
    <x v="42"/>
    <x v="42"/>
    <s v="B"/>
    <n v="36"/>
    <n v="7.2"/>
    <n v="9"/>
    <n v="2.5920000000000001"/>
    <n v="3.24"/>
    <n v="60.120000000000005"/>
    <n v="2164.3200000000002"/>
    <n v="455.4545454545455"/>
    <n v="303.63636363636368"/>
    <n v="37.875600000000006"/>
    <n v="135"/>
    <n v="2337.1956"/>
    <n v="64.9221"/>
    <n v="491.83409090909089"/>
    <n v="327.88939393939393"/>
  </r>
  <r>
    <s v="31/08/2026"/>
    <s v="M"/>
    <s v="[1062] RAMGADH"/>
    <s v="[8402] RAMPUR"/>
    <x v="42"/>
    <x v="42"/>
    <x v="42"/>
    <s v="C"/>
    <n v="25"/>
    <n v="3.4"/>
    <n v="8.3000000000000007"/>
    <n v="0.85"/>
    <n v="2.0750000000000002"/>
    <n v="37.253153700000006"/>
    <n v="931.32884250000018"/>
    <n v="417.01291455223878"/>
    <n v="278.0086097014925"/>
    <n v="16.298254743750004"/>
    <n v="93.75"/>
    <n v="1041.3770972437501"/>
    <n v="41.655083889750003"/>
    <n v="466.28825249720143"/>
    <n v="310.85883499813428"/>
  </r>
  <r>
    <s v="31/08/2026"/>
    <s v="E"/>
    <s v="[1062] RAMGADH"/>
    <s v="[8402] RAMPUR"/>
    <x v="42"/>
    <x v="42"/>
    <x v="42"/>
    <s v="B"/>
    <n v="36"/>
    <n v="6.7"/>
    <n v="9"/>
    <n v="2.4120000000000004"/>
    <n v="3.24"/>
    <n v="55.945"/>
    <n v="2014.02"/>
    <n v="440.51181102362204"/>
    <n v="293.67454068241472"/>
    <n v="35.245350000000002"/>
    <n v="135"/>
    <n v="2184.2653500000001"/>
    <n v="60.674037500000004"/>
    <n v="477.74832677165358"/>
    <n v="318.4988845144357"/>
  </r>
  <r>
    <s v="31/08/2026"/>
    <s v="E"/>
    <s v="[1062] RAMGADH"/>
    <s v="[8402] RAMPUR"/>
    <x v="42"/>
    <x v="42"/>
    <x v="42"/>
    <s v="C"/>
    <n v="20"/>
    <n v="3.9"/>
    <n v="8.1999999999999993"/>
    <n v="0.78"/>
    <n v="1.64"/>
    <n v="39.060139800000002"/>
    <n v="781.20279600000003"/>
    <n v="417.01216868327407"/>
    <n v="278.00811245551603"/>
    <n v="13.671048930000001"/>
    <n v="75"/>
    <n v="869.87384493000002"/>
    <n v="43.493692246500004"/>
    <n v="464.34546882384348"/>
    <n v="309.5636458825623"/>
  </r>
  <r>
    <s v="01/09/2026"/>
    <s v="M"/>
    <s v="[1062] RAMGADH"/>
    <s v="[8402] RAMPUR"/>
    <x v="42"/>
    <x v="42"/>
    <x v="42"/>
    <s v="B"/>
    <n v="31"/>
    <n v="7.2"/>
    <n v="9"/>
    <n v="2.2320000000000002"/>
    <n v="2.79"/>
    <n v="60.120000000000005"/>
    <n v="1863.7200000000003"/>
    <n v="455.4545454545455"/>
    <n v="303.63636363636368"/>
    <n v="32.615100000000005"/>
    <n v="116.25"/>
    <n v="2012.5851000000002"/>
    <n v="64.922100000000015"/>
    <n v="491.834090909091"/>
    <n v="327.88939393939398"/>
  </r>
  <r>
    <s v="01/09/2026"/>
    <s v="M"/>
    <s v="[1062] RAMGADH"/>
    <s v="[8402] RAMPUR"/>
    <x v="42"/>
    <x v="42"/>
    <x v="42"/>
    <s v="C"/>
    <n v="25"/>
    <n v="3.6"/>
    <n v="8.4"/>
    <n v="0.9"/>
    <n v="2.1"/>
    <n v="38.365167600000007"/>
    <n v="959.12919000000011"/>
    <n v="417.01269130434792"/>
    <n v="278.00846086956528"/>
    <n v="16.784760825000003"/>
    <n v="93.75"/>
    <n v="1069.663950825"/>
    <n v="42.786558032999999"/>
    <n v="465.07128296739131"/>
    <n v="310.04752197826087"/>
  </r>
  <r>
    <s v="01/09/2026"/>
    <s v="E"/>
    <s v="[1062] RAMGADH"/>
    <s v="[8402] RAMPUR"/>
    <x v="42"/>
    <x v="42"/>
    <x v="42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01/09/2026"/>
    <s v="E"/>
    <s v="[1062] RAMGADH"/>
    <s v="[8402] RAMPUR"/>
    <x v="42"/>
    <x v="42"/>
    <x v="42"/>
    <s v="C"/>
    <n v="33"/>
    <n v="4"/>
    <n v="8.4"/>
    <n v="1.32"/>
    <n v="2.7719999999999998"/>
    <n v="40.033167600000006"/>
    <n v="1321.0945308000003"/>
    <n v="417.01216250000004"/>
    <n v="278.00810833333338"/>
    <n v="23.119154289000008"/>
    <n v="123.75"/>
    <n v="1467.9636850890001"/>
    <n v="44.483748033000005"/>
    <n v="463.37237534375004"/>
    <n v="308.91491689583336"/>
  </r>
  <r>
    <s v="02/09/2026"/>
    <s v="M"/>
    <s v="[1062] RAMGADH"/>
    <s v="[8402] RAMPUR"/>
    <x v="42"/>
    <x v="42"/>
    <x v="42"/>
    <s v="B"/>
    <n v="100"/>
    <n v="6.5"/>
    <n v="9"/>
    <n v="6.5"/>
    <n v="9"/>
    <n v="54.274999999999999"/>
    <n v="5427.5"/>
    <n v="434.2"/>
    <n v="289.46666666666664"/>
    <n v="94.981250000000003"/>
    <n v="375"/>
    <n v="5897.4812499999998"/>
    <n v="58.974812499999999"/>
    <n v="471.79849999999999"/>
    <n v="314.53233333333333"/>
  </r>
  <r>
    <s v="02/09/2026"/>
    <s v="M"/>
    <s v="[1062] RAMGADH"/>
    <s v="[8402] RAMPUR"/>
    <x v="42"/>
    <x v="42"/>
    <x v="42"/>
    <s v="C"/>
    <n v="33"/>
    <n v="3.8"/>
    <n v="8.4"/>
    <n v="1.254"/>
    <n v="2.7719999999999998"/>
    <n v="39.19916760000001"/>
    <n v="1293.5725308000003"/>
    <n v="417.01242127659583"/>
    <n v="278.00828085106389"/>
    <n v="22.637519289000007"/>
    <n v="123.75"/>
    <n v="1439.9600500890003"/>
    <n v="43.635153033000009"/>
    <n v="464.20375567021284"/>
    <n v="309.46917044680856"/>
  </r>
  <r>
    <s v="02/09/2026"/>
    <s v="E"/>
    <s v="[1062] RAMGADH"/>
    <s v="[8402] RAMPUR"/>
    <x v="42"/>
    <x v="42"/>
    <x v="42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02/09/2026"/>
    <s v="E"/>
    <s v="[1062] RAMGADH"/>
    <s v="[8402] RAMPUR"/>
    <x v="42"/>
    <x v="42"/>
    <x v="42"/>
    <s v="C"/>
    <n v="32"/>
    <n v="4"/>
    <n v="8.5"/>
    <n v="1.28"/>
    <n v="2.72"/>
    <n v="40.311181500000004"/>
    <n v="1289.9578080000001"/>
    <n v="417.0122224137931"/>
    <n v="278.00814827586208"/>
    <n v="22.574261640000003"/>
    <n v="120"/>
    <n v="1432.5320696400001"/>
    <n v="44.766627176250005"/>
    <n v="463.10303975431032"/>
    <n v="308.7353598362069"/>
  </r>
  <r>
    <s v="03/09/2026"/>
    <s v="M"/>
    <s v="[1062] RAMGADH"/>
    <s v="[8402] RAMPUR"/>
    <x v="42"/>
    <x v="42"/>
    <x v="42"/>
    <s v="B"/>
    <n v="100"/>
    <n v="6.5"/>
    <n v="9"/>
    <n v="6.5"/>
    <n v="9"/>
    <n v="54.274999999999999"/>
    <n v="5427.5"/>
    <n v="434.2"/>
    <n v="289.46666666666664"/>
    <n v="94.981250000000003"/>
    <n v="375"/>
    <n v="5897.4812499999998"/>
    <n v="58.974812499999999"/>
    <n v="471.79849999999999"/>
    <n v="314.53233333333333"/>
  </r>
  <r>
    <s v="03/09/2026"/>
    <s v="M"/>
    <s v="[1062] RAMGADH"/>
    <s v="[8402] RAMPUR"/>
    <x v="42"/>
    <x v="42"/>
    <x v="42"/>
    <s v="C"/>
    <n v="24"/>
    <n v="3.7"/>
    <n v="8.4"/>
    <n v="0.88800000000000012"/>
    <n v="2.016"/>
    <n v="38.782167600000008"/>
    <n v="930.7720224000002"/>
    <n v="417.01255483870978"/>
    <n v="278.00836989247318"/>
    <n v="16.288510392000006"/>
    <n v="90"/>
    <n v="1037.0605327920002"/>
    <n v="43.210855533000007"/>
    <n v="464.63285519354849"/>
    <n v="309.75523679569898"/>
  </r>
  <r>
    <s v="03/09/2026"/>
    <s v="E"/>
    <s v="[1062] RAMGADH"/>
    <s v="[8402] RAMPUR"/>
    <x v="42"/>
    <x v="42"/>
    <x v="42"/>
    <s v="B"/>
    <n v="35"/>
    <n v="6.8"/>
    <n v="9"/>
    <n v="2.38"/>
    <n v="3.15"/>
    <n v="56.78"/>
    <n v="1987.3"/>
    <n v="443.59375"/>
    <n v="295.72916666666669"/>
    <n v="34.777750000000005"/>
    <n v="131.25"/>
    <n v="2153.3277499999999"/>
    <n v="61.523649999999996"/>
    <n v="480.65351562499995"/>
    <n v="320.4356770833333"/>
  </r>
  <r>
    <s v="03/09/2026"/>
    <s v="E"/>
    <s v="[1062] RAMGADH"/>
    <s v="[8402] RAMPUR"/>
    <x v="42"/>
    <x v="42"/>
    <x v="42"/>
    <s v="C"/>
    <n v="36"/>
    <n v="4.0999999999999996"/>
    <n v="8.5"/>
    <n v="1.476"/>
    <n v="3.06"/>
    <n v="40.728181500000005"/>
    <n v="1466.2145340000002"/>
    <n v="417.01209726962463"/>
    <n v="278.0080648464164"/>
    <n v="25.658754345000006"/>
    <n v="135"/>
    <n v="1626.8732883450002"/>
    <n v="45.190924676250006"/>
    <n v="462.70571340870316"/>
    <n v="308.47047560580211"/>
  </r>
  <r>
    <s v="28/08/2026"/>
    <s v="E"/>
    <s v="[1062] RAMGADH"/>
    <s v="[8401] DURGAWATI"/>
    <x v="43"/>
    <x v="43"/>
    <x v="43"/>
    <s v="B"/>
    <n v="7"/>
    <n v="5.6"/>
    <n v="8.8000000000000007"/>
    <n v="0.39199999999999996"/>
    <n v="0.6160000000000001"/>
    <n v="46.292400000000001"/>
    <n v="324.04680000000002"/>
    <n v="403.71279069767445"/>
    <n v="269.14186046511628"/>
    <n v="5.6708190000000007"/>
    <n v="26.25"/>
    <n v="355.96761900000001"/>
    <n v="50.852516999999999"/>
    <n v="443.48125290697675"/>
    <n v="295.65416860465115"/>
  </r>
  <r>
    <s v="28/08/2026"/>
    <s v="E"/>
    <s v="[1062] RAMGADH"/>
    <s v="[8401] DURGAWATI"/>
    <x v="43"/>
    <x v="43"/>
    <x v="43"/>
    <s v="C"/>
    <n v="39"/>
    <n v="4.9000000000000004"/>
    <n v="8.5"/>
    <n v="1.9110000000000003"/>
    <n v="3.3149999999999999"/>
    <n v="44.064181500000004"/>
    <n v="1718.5030785000001"/>
    <n v="417.01118138801263"/>
    <n v="278.00745425867507"/>
    <n v="30.073803873750006"/>
    <n v="146.25"/>
    <n v="1894.8268823737501"/>
    <n v="48.585304676250004"/>
    <n v="459.79783605283916"/>
    <n v="306.53189070189279"/>
  </r>
  <r>
    <s v="29/08/2026"/>
    <s v="M"/>
    <s v="[1062] RAMGADH"/>
    <s v="[8401] DURGAWATI"/>
    <x v="43"/>
    <x v="43"/>
    <x v="43"/>
    <s v="B"/>
    <n v="37"/>
    <n v="7.5"/>
    <n v="9"/>
    <n v="2.7749999999999999"/>
    <n v="3.33"/>
    <n v="62.625"/>
    <n v="2317.125"/>
    <n v="463.88888888888886"/>
    <n v="309.25925925925924"/>
    <n v="40.549687500000005"/>
    <n v="138.75"/>
    <n v="2496.4246874999999"/>
    <n v="67.470937499999991"/>
    <n v="499.78472222222211"/>
    <n v="333.18981481481472"/>
  </r>
  <r>
    <s v="29/08/2026"/>
    <s v="M"/>
    <s v="[1062] RAMGADH"/>
    <s v="[8401] DURGAWATI"/>
    <x v="43"/>
    <x v="43"/>
    <x v="43"/>
    <s v="C"/>
    <n v="36"/>
    <n v="3.8"/>
    <n v="8.1999999999999993"/>
    <n v="1.3679999999999999"/>
    <n v="2.952"/>
    <n v="38.6431398"/>
    <n v="1391.1530327999999"/>
    <n v="417.01230000000004"/>
    <n v="278.00820000000004"/>
    <n v="24.345178074"/>
    <n v="135"/>
    <n v="1550.4982108739998"/>
    <n v="43.069394746499995"/>
    <n v="464.77764114928056"/>
    <n v="309.85176076618706"/>
  </r>
  <r>
    <s v="29/08/2026"/>
    <s v="E"/>
    <s v="[1062] RAMGADH"/>
    <s v="[8401] DURGAWATI"/>
    <x v="43"/>
    <x v="43"/>
    <x v="43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30/08/2026"/>
    <s v="M"/>
    <s v="[1062] RAMGADH"/>
    <s v="[8401] DURGAWATI"/>
    <x v="43"/>
    <x v="43"/>
    <x v="43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30/08/2026"/>
    <s v="E"/>
    <s v="[1062] RAMGADH"/>
    <s v="[8401] DURGAWATI"/>
    <x v="43"/>
    <x v="43"/>
    <x v="43"/>
    <s v="B"/>
    <n v="31"/>
    <n v="6"/>
    <n v="8.8000000000000007"/>
    <n v="1.86"/>
    <n v="2.7280000000000002"/>
    <n v="49.599000000000004"/>
    <n v="1537.5690000000002"/>
    <n v="417.96910112359552"/>
    <n v="278.64606741573033"/>
    <n v="26.907457500000007"/>
    <n v="116.25"/>
    <n v="1680.7264575000002"/>
    <n v="54.216982500000007"/>
    <n v="456.8846839887641"/>
    <n v="304.58978932584273"/>
  </r>
  <r>
    <s v="30/08/2026"/>
    <s v="E"/>
    <s v="[1062] RAMGADH"/>
    <s v="[8401] DURGAWATI"/>
    <x v="43"/>
    <x v="43"/>
    <x v="43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31/08/2026"/>
    <s v="M"/>
    <s v="[1062] RAMGADH"/>
    <s v="[8401] DURGAWATI"/>
    <x v="43"/>
    <x v="43"/>
    <x v="43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31/08/2026"/>
    <s v="M"/>
    <s v="[1062] RAMGADH"/>
    <s v="[8401] DURGAWATI"/>
    <x v="43"/>
    <x v="43"/>
    <x v="43"/>
    <s v="C"/>
    <n v="27"/>
    <n v="3.9"/>
    <n v="8.1999999999999993"/>
    <n v="1.0529999999999999"/>
    <n v="2.214"/>
    <n v="39.060139800000002"/>
    <n v="1054.6237746000002"/>
    <n v="417.01216868327407"/>
    <n v="278.00811245551603"/>
    <n v="18.455916055500005"/>
    <n v="101.25"/>
    <n v="1174.3296906555001"/>
    <n v="43.493692246500004"/>
    <n v="464.34546882384348"/>
    <n v="309.5636458825623"/>
  </r>
  <r>
    <s v="31/08/2026"/>
    <s v="E"/>
    <s v="[1062] RAMGADH"/>
    <s v="[8401] DURGAWATI"/>
    <x v="43"/>
    <x v="43"/>
    <x v="43"/>
    <s v="B"/>
    <n v="29"/>
    <n v="5.6"/>
    <n v="8.6"/>
    <n v="1.6239999999999997"/>
    <n v="2.4939999999999998"/>
    <n v="45.824799999999996"/>
    <n v="1328.9191999999998"/>
    <n v="404.33647058823533"/>
    <n v="269.55764705882353"/>
    <n v="23.256086"/>
    <n v="108.75"/>
    <n v="1460.9252859999999"/>
    <n v="50.376733999999999"/>
    <n v="444.50059411764715"/>
    <n v="296.33372941176475"/>
  </r>
  <r>
    <s v="01/09/2026"/>
    <s v="M"/>
    <s v="[1062] RAMGADH"/>
    <s v="[8401] DURGAWATI"/>
    <x v="43"/>
    <x v="43"/>
    <x v="43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01/09/2026"/>
    <s v="M"/>
    <s v="[1062] RAMGADH"/>
    <s v="[8401] DURGAWATI"/>
    <x v="43"/>
    <x v="43"/>
    <x v="43"/>
    <s v="C"/>
    <n v="36"/>
    <n v="3.3"/>
    <n v="8.1999999999999993"/>
    <n v="1.1879999999999999"/>
    <n v="2.952"/>
    <n v="36.558139799999999"/>
    <n v="1316.0930327999999"/>
    <n v="417.0130015209125"/>
    <n v="278.00866768060831"/>
    <n v="23.031628074"/>
    <n v="135"/>
    <n v="1474.124660874"/>
    <n v="40.947907246500002"/>
    <n v="467.08639444676805"/>
    <n v="311.39092963117872"/>
  </r>
  <r>
    <s v="01/09/2026"/>
    <s v="E"/>
    <s v="[1062] RAMGADH"/>
    <s v="[8401] DURGAWATI"/>
    <x v="43"/>
    <x v="43"/>
    <x v="43"/>
    <s v="B"/>
    <n v="27"/>
    <n v="6.5"/>
    <n v="9"/>
    <n v="1.7549999999999999"/>
    <n v="2.4300000000000002"/>
    <n v="54.274999999999999"/>
    <n v="1465.425"/>
    <n v="434.2"/>
    <n v="289.46666666666664"/>
    <n v="25.644937500000001"/>
    <n v="101.25"/>
    <n v="1592.3199374999999"/>
    <n v="58.974812499999999"/>
    <n v="471.79849999999999"/>
    <n v="314.53233333333333"/>
  </r>
  <r>
    <s v="01/09/2026"/>
    <s v="E"/>
    <s v="[1062] RAMGADH"/>
    <s v="[8401] DURGAWATI"/>
    <x v="43"/>
    <x v="43"/>
    <x v="43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02/09/2026"/>
    <s v="M"/>
    <s v="[1062] RAMGADH"/>
    <s v="[8401] DURGAWATI"/>
    <x v="43"/>
    <x v="43"/>
    <x v="43"/>
    <s v="B"/>
    <n v="31"/>
    <n v="6.9"/>
    <n v="9"/>
    <n v="2.1390000000000002"/>
    <n v="2.79"/>
    <n v="57.615000000000002"/>
    <n v="1786.0650000000001"/>
    <n v="446.62790697674421"/>
    <n v="297.75193798449612"/>
    <n v="31.256137500000005"/>
    <n v="116.25"/>
    <n v="1933.5711375000001"/>
    <n v="62.373262500000003"/>
    <n v="483.51366279069771"/>
    <n v="322.34244186046516"/>
  </r>
  <r>
    <s v="02/09/2026"/>
    <s v="M"/>
    <s v="[1062] RAMGADH"/>
    <s v="[8401] DURGAWATI"/>
    <x v="43"/>
    <x v="43"/>
    <x v="43"/>
    <s v="C"/>
    <n v="39"/>
    <n v="3.9"/>
    <n v="8.4"/>
    <n v="1.5209999999999999"/>
    <n v="3.2760000000000002"/>
    <n v="39.616167600000011"/>
    <n v="1545.0305364000005"/>
    <n v="417.01229052631589"/>
    <n v="278.0081936842106"/>
    <n v="27.03803438700001"/>
    <n v="146.25"/>
    <n v="1718.3185707870005"/>
    <n v="44.05945053300001"/>
    <n v="463.78368982105275"/>
    <n v="309.18912654736852"/>
  </r>
  <r>
    <s v="02/09/2026"/>
    <s v="E"/>
    <s v="[1062] RAMGADH"/>
    <s v="[8401] DURGAWATI"/>
    <x v="43"/>
    <x v="43"/>
    <x v="43"/>
    <s v="B"/>
    <n v="27"/>
    <n v="7.8"/>
    <n v="9"/>
    <n v="2.1059999999999999"/>
    <n v="2.4300000000000002"/>
    <n v="65.13"/>
    <n v="1758.5099999999998"/>
    <n v="471.95652173913038"/>
    <n v="314.63768115942025"/>
    <n v="30.773924999999998"/>
    <n v="101.25"/>
    <n v="1890.5339249999997"/>
    <n v="70.019774999999996"/>
    <n v="507.3896739130434"/>
    <n v="338.25978260869562"/>
  </r>
  <r>
    <s v="02/09/2026"/>
    <s v="E"/>
    <s v="[1062] RAMGADH"/>
    <s v="[8401] DURGAWATI"/>
    <x v="43"/>
    <x v="43"/>
    <x v="43"/>
    <s v="C"/>
    <n v="26"/>
    <n v="3.6"/>
    <n v="8.1999999999999993"/>
    <n v="0.93600000000000005"/>
    <n v="2.1319999999999997"/>
    <n v="37.809139800000004"/>
    <n v="983.03763480000009"/>
    <n v="417.01257132352941"/>
    <n v="278.00838088235292"/>
    <n v="17.203158609000003"/>
    <n v="97.5"/>
    <n v="1097.7407934090002"/>
    <n v="42.220799746500006"/>
    <n v="465.67058543933825"/>
    <n v="310.44705695955884"/>
  </r>
  <r>
    <s v="03/09/2026"/>
    <s v="M"/>
    <s v="[1062] RAMGADH"/>
    <s v="[8401] DURGAWATI"/>
    <x v="43"/>
    <x v="43"/>
    <x v="43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03/09/2026"/>
    <s v="M"/>
    <s v="[1062] RAMGADH"/>
    <s v="[8401] DURGAWATI"/>
    <x v="43"/>
    <x v="43"/>
    <x v="43"/>
    <s v="C"/>
    <n v="41"/>
    <n v="4.0999999999999996"/>
    <n v="8.5"/>
    <n v="1.681"/>
    <n v="3.4849999999999999"/>
    <n v="40.728181500000005"/>
    <n v="1669.8554415000003"/>
    <n v="417.01209726962463"/>
    <n v="278.0080648464164"/>
    <n v="29.22247022625001"/>
    <n v="153.75"/>
    <n v="1852.8279117262502"/>
    <n v="45.190924676250006"/>
    <n v="462.70571340870316"/>
    <n v="308.47047560580211"/>
  </r>
  <r>
    <s v="03/09/2026"/>
    <s v="E"/>
    <s v="[1062] RAMGADH"/>
    <s v="[8401] DURGAWATI"/>
    <x v="43"/>
    <x v="43"/>
    <x v="43"/>
    <s v="B"/>
    <n v="26"/>
    <n v="7.3"/>
    <n v="9"/>
    <n v="1.8979999999999999"/>
    <n v="2.34"/>
    <n v="60.954999999999998"/>
    <n v="1584.83"/>
    <n v="458.30827067669168"/>
    <n v="305.53884711779443"/>
    <n v="27.734525000000001"/>
    <n v="97.5"/>
    <n v="1710.064525"/>
    <n v="65.771712500000007"/>
    <n v="494.52415413533839"/>
    <n v="329.68276942355891"/>
  </r>
  <r>
    <s v="03/09/2026"/>
    <s v="E"/>
    <s v="[1062] RAMGADH"/>
    <s v="[8401] DURGAWATI"/>
    <x v="43"/>
    <x v="43"/>
    <x v="43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8/08/2026"/>
    <s v="M"/>
    <s v="[1062] RAMGADH"/>
    <s v="[8403] MOHANIA"/>
    <x v="44"/>
    <x v="44"/>
    <x v="44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28/08/2026"/>
    <s v="M"/>
    <s v="[1062] RAMGADH"/>
    <s v="[8403] MOHANIA"/>
    <x v="44"/>
    <x v="44"/>
    <x v="4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8/08/2026"/>
    <s v="E"/>
    <s v="[1062] RAMGADH"/>
    <s v="[8403] MOHANIA"/>
    <x v="44"/>
    <x v="44"/>
    <x v="44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28/08/2026"/>
    <s v="E"/>
    <s v="[1062] RAMGADH"/>
    <s v="[8403] MOHANIA"/>
    <x v="44"/>
    <x v="44"/>
    <x v="44"/>
    <s v="C"/>
    <n v="29"/>
    <n v="3.7"/>
    <n v="8.1"/>
    <n v="1.0730000000000002"/>
    <n v="2.3489999999999998"/>
    <n v="37.948125900000008"/>
    <n v="1100.4956511000003"/>
    <n v="417.01237252747262"/>
    <n v="278.00824835164843"/>
    <n v="19.258673894250006"/>
    <n v="108.75"/>
    <n v="1228.5043249942503"/>
    <n v="42.362218103250008"/>
    <n v="465.51888025549459"/>
    <n v="310.34592017032975"/>
  </r>
  <r>
    <s v="29/08/2026"/>
    <s v="M"/>
    <s v="[1062] RAMGADH"/>
    <s v="[8403] MOHANIA"/>
    <x v="44"/>
    <x v="44"/>
    <x v="44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29/08/2026"/>
    <s v="M"/>
    <s v="[1062] RAMGADH"/>
    <s v="[8403] MOHANIA"/>
    <x v="44"/>
    <x v="44"/>
    <x v="44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9/08/2026"/>
    <s v="E"/>
    <s v="[1062] RAMGADH"/>
    <s v="[8403] MOHANIA"/>
    <x v="44"/>
    <x v="44"/>
    <x v="44"/>
    <s v="B"/>
    <n v="16"/>
    <n v="5.9"/>
    <n v="9"/>
    <n v="0.94400000000000006"/>
    <n v="1.44"/>
    <n v="49.265000000000001"/>
    <n v="788.24"/>
    <n v="413.99159663865549"/>
    <n v="275.99439775910366"/>
    <n v="13.794200000000002"/>
    <n v="60"/>
    <n v="862.03420000000006"/>
    <n v="53.877137500000003"/>
    <n v="452.74905462184881"/>
    <n v="301.83270308123252"/>
  </r>
  <r>
    <s v="29/08/2026"/>
    <s v="E"/>
    <s v="[1062] RAMGADH"/>
    <s v="[8403] MOHANIA"/>
    <x v="44"/>
    <x v="44"/>
    <x v="44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30/08/2026"/>
    <s v="M"/>
    <s v="[1062] RAMGADH"/>
    <s v="[8403] MOHANIA"/>
    <x v="44"/>
    <x v="44"/>
    <x v="44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30/08/2026"/>
    <s v="M"/>
    <s v="[1062] RAMGADH"/>
    <s v="[8403] MOHANIA"/>
    <x v="44"/>
    <x v="44"/>
    <x v="44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30/08/2026"/>
    <s v="E"/>
    <s v="[1062] RAMGADH"/>
    <s v="[8403] MOHANIA"/>
    <x v="44"/>
    <x v="44"/>
    <x v="4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s v="30/08/2026"/>
    <s v="E"/>
    <s v="[1062] RAMGADH"/>
    <s v="[8403] MOHANIA"/>
    <x v="44"/>
    <x v="44"/>
    <x v="44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31/08/2026"/>
    <s v="M"/>
    <s v="[1062] RAMGADH"/>
    <s v="[8403] MOHANIA"/>
    <x v="44"/>
    <x v="44"/>
    <x v="44"/>
    <s v="B"/>
    <n v="29"/>
    <n v="5.6"/>
    <n v="9"/>
    <n v="1.6239999999999997"/>
    <n v="2.61"/>
    <n v="46.76"/>
    <n v="1356.04"/>
    <n v="403.10344827586209"/>
    <n v="268.73563218390808"/>
    <n v="23.730700000000002"/>
    <n v="108.75"/>
    <n v="1488.5207"/>
    <n v="51.328299999999999"/>
    <n v="442.48534482758623"/>
    <n v="294.99022988505749"/>
  </r>
  <r>
    <s v="31/08/2026"/>
    <s v="M"/>
    <s v="[1062] RAMGADH"/>
    <s v="[8403] MOHANIA"/>
    <x v="44"/>
    <x v="44"/>
    <x v="44"/>
    <s v="C"/>
    <n v="33"/>
    <n v="3.4"/>
    <n v="8.1"/>
    <n v="1.1220000000000001"/>
    <n v="2.673"/>
    <n v="36.697125900000003"/>
    <n v="1211.0051547"/>
    <n v="417.01279431818188"/>
    <n v="278.00852954545456"/>
    <n v="21.192590207250003"/>
    <n v="123.75"/>
    <n v="1355.9477449072501"/>
    <n v="41.089325603250003"/>
    <n v="466.92415458238645"/>
    <n v="311.28276972159097"/>
  </r>
  <r>
    <s v="31/08/2026"/>
    <s v="E"/>
    <s v="[1062] RAMGADH"/>
    <s v="[8403] MOHANIA"/>
    <x v="44"/>
    <x v="44"/>
    <x v="44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31/08/2026"/>
    <s v="E"/>
    <s v="[1062] RAMGADH"/>
    <s v="[8403] MOHANIA"/>
    <x v="44"/>
    <x v="44"/>
    <x v="44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01/09/2026"/>
    <s v="M"/>
    <s v="[1062] RAMGADH"/>
    <s v="[8403] MOHANIA"/>
    <x v="44"/>
    <x v="44"/>
    <x v="44"/>
    <s v="B"/>
    <n v="29"/>
    <n v="5.6"/>
    <n v="9"/>
    <n v="1.6239999999999997"/>
    <n v="2.61"/>
    <n v="46.76"/>
    <n v="1356.04"/>
    <n v="403.10344827586209"/>
    <n v="268.73563218390808"/>
    <n v="23.730700000000002"/>
    <n v="108.75"/>
    <n v="1488.5207"/>
    <n v="51.328299999999999"/>
    <n v="442.48534482758623"/>
    <n v="294.99022988505749"/>
  </r>
  <r>
    <s v="01/09/2026"/>
    <s v="M"/>
    <s v="[1062] RAMGADH"/>
    <s v="[8403] MOHANIA"/>
    <x v="44"/>
    <x v="44"/>
    <x v="44"/>
    <s v="C"/>
    <n v="36"/>
    <n v="3.2"/>
    <n v="8.1999999999999993"/>
    <n v="1.1520000000000001"/>
    <n v="2.952"/>
    <n v="36.141139799999998"/>
    <n v="1301.0810328"/>
    <n v="417.0131515384615"/>
    <n v="278.00876769230769"/>
    <n v="22.768918074000002"/>
    <n v="135"/>
    <n v="1458.8499508740001"/>
    <n v="40.5236097465"/>
    <n v="467.58011245961535"/>
    <n v="311.72007497307692"/>
  </r>
  <r>
    <s v="01/09/2026"/>
    <s v="E"/>
    <s v="[1062] RAMGADH"/>
    <s v="[8403] MOHANIA"/>
    <x v="44"/>
    <x v="44"/>
    <x v="44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01/09/2026"/>
    <s v="E"/>
    <s v="[1062] RAMGADH"/>
    <s v="[8403] MOHANIA"/>
    <x v="44"/>
    <x v="44"/>
    <x v="44"/>
    <s v="C"/>
    <n v="25"/>
    <n v="3.8"/>
    <n v="8.1"/>
    <n v="0.95"/>
    <n v="2.0249999999999999"/>
    <n v="38.365125900000002"/>
    <n v="959.12814750000007"/>
    <n v="417.01223804347831"/>
    <n v="278.00815869565218"/>
    <n v="16.784742581250004"/>
    <n v="93.75"/>
    <n v="1069.66289008125"/>
    <n v="42.786515603250002"/>
    <n v="465.07082177445653"/>
    <n v="310.04721451630434"/>
  </r>
  <r>
    <s v="02/09/2026"/>
    <s v="M"/>
    <s v="[1062] RAMGADH"/>
    <s v="[8403] MOHANIA"/>
    <x v="44"/>
    <x v="44"/>
    <x v="44"/>
    <s v="B"/>
    <n v="28"/>
    <n v="5.6"/>
    <n v="9"/>
    <n v="1.5679999999999998"/>
    <n v="2.52"/>
    <n v="46.76"/>
    <n v="1309.28"/>
    <n v="403.10344827586209"/>
    <n v="268.73563218390808"/>
    <n v="22.912400000000002"/>
    <n v="105"/>
    <n v="1437.1923999999999"/>
    <n v="51.328299999999999"/>
    <n v="442.48534482758623"/>
    <n v="294.99022988505749"/>
  </r>
  <r>
    <s v="02/09/2026"/>
    <s v="M"/>
    <s v="[1062] RAMGADH"/>
    <s v="[8403] MOHANIA"/>
    <x v="44"/>
    <x v="44"/>
    <x v="44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02/09/2026"/>
    <s v="E"/>
    <s v="[1062] RAMGADH"/>
    <s v="[8403] MOHANIA"/>
    <x v="44"/>
    <x v="44"/>
    <x v="44"/>
    <s v="B"/>
    <n v="15"/>
    <n v="5.7"/>
    <n v="9"/>
    <n v="0.85499999999999998"/>
    <n v="1.35"/>
    <n v="47.594999999999999"/>
    <n v="713.92499999999995"/>
    <n v="406.79487179487182"/>
    <n v="271.19658119658123"/>
    <n v="12.4936875"/>
    <n v="56.25"/>
    <n v="782.66868749999992"/>
    <n v="52.177912499999998"/>
    <n v="445.9650641025641"/>
    <n v="297.31004273504271"/>
  </r>
  <r>
    <s v="02/09/2026"/>
    <s v="E"/>
    <s v="[1062] RAMGADH"/>
    <s v="[8403] MOHANIA"/>
    <x v="44"/>
    <x v="44"/>
    <x v="44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03/09/2026"/>
    <s v="M"/>
    <s v="[1062] RAMGADH"/>
    <s v="[8403] MOHANIA"/>
    <x v="44"/>
    <x v="44"/>
    <x v="44"/>
    <s v="B"/>
    <n v="29"/>
    <n v="5.5"/>
    <n v="9"/>
    <n v="1.595"/>
    <n v="2.61"/>
    <n v="46.566181499999999"/>
    <n v="1350.4192634999999"/>
    <n v="404.92331739130435"/>
    <n v="269.94887826086955"/>
    <n v="23.632337111250003"/>
    <n v="108.75"/>
    <n v="1482.80160061125"/>
    <n v="51.131089676249999"/>
    <n v="444.61817109782612"/>
    <n v="296.41211406521739"/>
  </r>
  <r>
    <s v="03/09/2026"/>
    <s v="M"/>
    <s v="[1062] RAMGADH"/>
    <s v="[8403] MOHANIA"/>
    <x v="44"/>
    <x v="44"/>
    <x v="44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03/09/2026"/>
    <s v="E"/>
    <s v="[1062] RAMGADH"/>
    <s v="[8403] MOHANIA"/>
    <x v="44"/>
    <x v="44"/>
    <x v="44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3/09/2026"/>
    <s v="E"/>
    <s v="[1062] RAMGADH"/>
    <s v="[8403] MOHANIA"/>
    <x v="44"/>
    <x v="44"/>
    <x v="44"/>
    <s v="C"/>
    <n v="16"/>
    <n v="3.5"/>
    <n v="8"/>
    <n v="0.56000000000000005"/>
    <n v="1.28"/>
    <n v="36.836112000000007"/>
    <n v="589.37779200000011"/>
    <n v="417.01258867924531"/>
    <n v="278.00839245283021"/>
    <n v="10.314111360000004"/>
    <n v="60"/>
    <n v="659.69190336000008"/>
    <n v="41.230743960000005"/>
    <n v="466.76313916981132"/>
    <n v="311.17542611320755"/>
  </r>
  <r>
    <s v="28/08/2026"/>
    <s v="M"/>
    <s v="[1062] RAMGADH"/>
    <s v="[8401] DURGAWATI"/>
    <x v="45"/>
    <x v="45"/>
    <x v="45"/>
    <s v="B"/>
    <n v="7"/>
    <n v="8.8000000000000007"/>
    <n v="9"/>
    <n v="0.6160000000000001"/>
    <n v="0.63"/>
    <n v="73.48"/>
    <n v="514.36"/>
    <n v="496.48648648648646"/>
    <n v="330.99099099099095"/>
    <n v="9.0013000000000005"/>
    <n v="26.25"/>
    <n v="549.61130000000003"/>
    <n v="78.515900000000002"/>
    <n v="530.51283783783776"/>
    <n v="353.67522522522518"/>
  </r>
  <r>
    <s v="28/08/2026"/>
    <s v="E"/>
    <s v="[1062] RAMGADH"/>
    <s v="[8401] DURGAWATI"/>
    <x v="45"/>
    <x v="45"/>
    <x v="45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9/08/2026"/>
    <s v="M"/>
    <s v="[1062] RAMGADH"/>
    <s v="[8401] DURGAWATI"/>
    <x v="45"/>
    <x v="45"/>
    <x v="45"/>
    <s v="B"/>
    <n v="46"/>
    <n v="6.3"/>
    <n v="9"/>
    <n v="2.8980000000000001"/>
    <n v="4.1399999999999997"/>
    <n v="52.604999999999997"/>
    <n v="2419.83"/>
    <n v="427.6829268292683"/>
    <n v="285.1219512195122"/>
    <n v="42.347025000000002"/>
    <n v="172.5"/>
    <n v="2634.677025"/>
    <n v="57.2755875"/>
    <n v="465.6551829268293"/>
    <n v="310.43678861788618"/>
  </r>
  <r>
    <s v="29/08/2026"/>
    <s v="E"/>
    <s v="[1062] RAMGADH"/>
    <s v="[8401] DURGAWATI"/>
    <x v="45"/>
    <x v="45"/>
    <x v="45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30/08/2026"/>
    <s v="M"/>
    <s v="[1062] RAMGADH"/>
    <s v="[8401] DURGAWATI"/>
    <x v="45"/>
    <x v="45"/>
    <x v="45"/>
    <s v="B"/>
    <n v="46"/>
    <n v="6"/>
    <n v="9"/>
    <n v="2.76"/>
    <n v="4.1399999999999997"/>
    <n v="50.1"/>
    <n v="2304.6"/>
    <n v="417.5"/>
    <n v="278.33333333333331"/>
    <n v="40.330500000000001"/>
    <n v="172.5"/>
    <n v="2517.4304999999999"/>
    <n v="54.726749999999996"/>
    <n v="456.05624999999998"/>
    <n v="304.03749999999997"/>
  </r>
  <r>
    <s v="30/08/2026"/>
    <s v="E"/>
    <s v="[1062] RAMGADH"/>
    <s v="[8401] DURGAWATI"/>
    <x v="45"/>
    <x v="45"/>
    <x v="45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31/08/2026"/>
    <s v="M"/>
    <s v="[1062] RAMGADH"/>
    <s v="[8401] DURGAWATI"/>
    <x v="45"/>
    <x v="45"/>
    <x v="45"/>
    <s v="B"/>
    <n v="53"/>
    <n v="6.8"/>
    <n v="9"/>
    <n v="3.6039999999999996"/>
    <n v="4.7699999999999996"/>
    <n v="56.78"/>
    <n v="3009.34"/>
    <n v="443.59375"/>
    <n v="295.72916666666669"/>
    <n v="52.663450000000005"/>
    <n v="198.75"/>
    <n v="3260.7534500000002"/>
    <n v="61.523650000000004"/>
    <n v="480.65351562500001"/>
    <n v="320.43567708333336"/>
  </r>
  <r>
    <s v="31/08/2026"/>
    <s v="E"/>
    <s v="[1062] RAMGADH"/>
    <s v="[8401] DURGAWATI"/>
    <x v="45"/>
    <x v="45"/>
    <x v="45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1/09/2026"/>
    <s v="M"/>
    <s v="[1062] RAMGADH"/>
    <s v="[8401] DURGAWATI"/>
    <x v="45"/>
    <x v="45"/>
    <x v="45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1/09/2026"/>
    <s v="E"/>
    <s v="[1062] RAMGADH"/>
    <s v="[8401] DURGAWATI"/>
    <x v="45"/>
    <x v="45"/>
    <x v="45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02/09/2026"/>
    <s v="M"/>
    <s v="[1062] RAMGADH"/>
    <s v="[8401] DURGAWATI"/>
    <x v="45"/>
    <x v="45"/>
    <x v="45"/>
    <s v="B"/>
    <n v="60"/>
    <n v="6.4"/>
    <n v="9"/>
    <n v="3.84"/>
    <n v="5.4"/>
    <n v="53.44"/>
    <n v="3206.3999999999996"/>
    <n v="430.96774193548384"/>
    <n v="287.31182795698925"/>
    <n v="56.112000000000002"/>
    <n v="225"/>
    <n v="3487.5119999999997"/>
    <n v="58.125199999999992"/>
    <n v="468.75161290322575"/>
    <n v="312.50107526881715"/>
  </r>
  <r>
    <s v="02/09/2026"/>
    <s v="E"/>
    <s v="[1062] RAMGADH"/>
    <s v="[8401] DURGAWATI"/>
    <x v="45"/>
    <x v="45"/>
    <x v="45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03/09/2026"/>
    <s v="M"/>
    <s v="[1062] RAMGADH"/>
    <s v="[8401] DURGAWATI"/>
    <x v="45"/>
    <x v="45"/>
    <x v="45"/>
    <s v="B"/>
    <n v="58"/>
    <n v="6.3"/>
    <n v="9"/>
    <n v="3.6539999999999999"/>
    <n v="5.22"/>
    <n v="52.604999999999997"/>
    <n v="3051.0899999999997"/>
    <n v="427.6829268292683"/>
    <n v="285.1219512195122"/>
    <n v="53.394075000000001"/>
    <n v="217.5"/>
    <n v="3321.9840749999998"/>
    <n v="57.2755875"/>
    <n v="465.6551829268293"/>
    <n v="310.43678861788618"/>
  </r>
  <r>
    <s v="03/09/2026"/>
    <s v="E"/>
    <s v="[1062] RAMGADH"/>
    <s v="[8401] DURGAWATI"/>
    <x v="45"/>
    <x v="45"/>
    <x v="45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28/08/2026"/>
    <s v="M"/>
    <s v="[1062] RAMGADH"/>
    <s v="[8401] DURGAWATI"/>
    <x v="46"/>
    <x v="46"/>
    <x v="46"/>
    <s v="B"/>
    <n v="11"/>
    <n v="8.8000000000000007"/>
    <n v="9"/>
    <n v="0.96800000000000008"/>
    <n v="0.99"/>
    <n v="73.48"/>
    <n v="808.28000000000009"/>
    <n v="496.48648648648646"/>
    <n v="330.99099099099095"/>
    <n v="14.144900000000003"/>
    <n v="41.25"/>
    <n v="863.67490000000009"/>
    <n v="78.515900000000002"/>
    <n v="530.51283783783776"/>
    <n v="353.67522522522518"/>
  </r>
  <r>
    <s v="28/08/2026"/>
    <s v="E"/>
    <s v="[1062] RAMGADH"/>
    <s v="[8401] DURGAWATI"/>
    <x v="46"/>
    <x v="46"/>
    <x v="46"/>
    <s v="B"/>
    <n v="4"/>
    <n v="7.5"/>
    <n v="9"/>
    <n v="0.3"/>
    <n v="0.36"/>
    <n v="62.625"/>
    <n v="250.5"/>
    <n v="463.88888888888886"/>
    <n v="309.25925925925924"/>
    <n v="4.38375"/>
    <n v="15"/>
    <n v="269.88375000000002"/>
    <n v="67.470937500000005"/>
    <n v="499.78472222222223"/>
    <n v="333.18981481481484"/>
  </r>
  <r>
    <s v="29/08/2026"/>
    <s v="M"/>
    <s v="[1062] RAMGADH"/>
    <s v="[8401] DURGAWATI"/>
    <x v="46"/>
    <x v="46"/>
    <x v="46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29/08/2026"/>
    <s v="E"/>
    <s v="[1062] RAMGADH"/>
    <s v="[8401] DURGAWATI"/>
    <x v="46"/>
    <x v="46"/>
    <x v="46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30/08/2026"/>
    <s v="M"/>
    <s v="[1062] RAMGADH"/>
    <s v="[8401] DURGAWATI"/>
    <x v="46"/>
    <x v="46"/>
    <x v="46"/>
    <s v="B"/>
    <n v="17"/>
    <n v="8"/>
    <n v="9"/>
    <n v="1.36"/>
    <n v="1.53"/>
    <n v="66.8"/>
    <n v="1135.5999999999999"/>
    <n v="477.14285714285705"/>
    <n v="318.09523809523802"/>
    <n v="19.873000000000001"/>
    <n v="63.75"/>
    <n v="1219.223"/>
    <n v="71.718999999999994"/>
    <n v="512.27857142857135"/>
    <n v="341.51904761904757"/>
  </r>
  <r>
    <s v="30/08/2026"/>
    <s v="E"/>
    <s v="[1062] RAMGADH"/>
    <s v="[8401] DURGAWATI"/>
    <x v="46"/>
    <x v="46"/>
    <x v="46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31/08/2026"/>
    <s v="M"/>
    <s v="[1062] RAMGADH"/>
    <s v="[8401] DURGAWATI"/>
    <x v="46"/>
    <x v="46"/>
    <x v="46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31/08/2026"/>
    <s v="E"/>
    <s v="[1062] RAMGADH"/>
    <s v="[8401] DURGAWATI"/>
    <x v="46"/>
    <x v="46"/>
    <x v="46"/>
    <s v="B"/>
    <n v="3"/>
    <n v="8.1999999999999993"/>
    <n v="9"/>
    <n v="0.24599999999999997"/>
    <n v="0.27"/>
    <n v="68.469999999999985"/>
    <n v="205.40999999999997"/>
    <n v="482.18309859154925"/>
    <n v="321.45539906103284"/>
    <n v="3.5946749999999996"/>
    <n v="11.25"/>
    <n v="220.25467499999996"/>
    <n v="73.418224999999993"/>
    <n v="517.02975352112674"/>
    <n v="344.68650234741784"/>
  </r>
  <r>
    <s v="01/09/2026"/>
    <s v="M"/>
    <s v="[1062] RAMGADH"/>
    <s v="[8401] DURGAWATI"/>
    <x v="46"/>
    <x v="46"/>
    <x v="46"/>
    <s v="B"/>
    <n v="22"/>
    <n v="7.5"/>
    <n v="9"/>
    <n v="1.65"/>
    <n v="1.98"/>
    <n v="62.625"/>
    <n v="1377.75"/>
    <n v="463.88888888888886"/>
    <n v="309.25925925925924"/>
    <n v="24.110625000000002"/>
    <n v="82.5"/>
    <n v="1484.360625"/>
    <n v="67.470937500000005"/>
    <n v="499.78472222222223"/>
    <n v="333.18981481481484"/>
  </r>
  <r>
    <s v="01/09/2026"/>
    <s v="E"/>
    <s v="[1062] RAMGADH"/>
    <s v="[8401] DURGAWATI"/>
    <x v="46"/>
    <x v="46"/>
    <x v="46"/>
    <s v="B"/>
    <n v="9"/>
    <n v="7.4"/>
    <n v="9"/>
    <n v="0.66600000000000004"/>
    <n v="0.81"/>
    <n v="61.790000000000006"/>
    <n v="556.11"/>
    <n v="461.11940298507466"/>
    <n v="307.41293532338312"/>
    <n v="9.7319250000000004"/>
    <n v="33.75"/>
    <n v="599.59192500000006"/>
    <n v="66.621325000000013"/>
    <n v="497.17406716417918"/>
    <n v="331.44937810945277"/>
  </r>
  <r>
    <s v="02/09/2026"/>
    <s v="M"/>
    <s v="[1062] RAMGADH"/>
    <s v="[8401] DURGAWATI"/>
    <x v="46"/>
    <x v="46"/>
    <x v="46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02/09/2026"/>
    <s v="E"/>
    <s v="[1062] RAMGADH"/>
    <s v="[8401] DURGAWATI"/>
    <x v="46"/>
    <x v="46"/>
    <x v="46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03/09/2026"/>
    <s v="M"/>
    <s v="[1062] RAMGADH"/>
    <s v="[8401] DURGAWATI"/>
    <x v="46"/>
    <x v="46"/>
    <x v="46"/>
    <s v="B"/>
    <n v="22"/>
    <n v="7.9"/>
    <n v="9"/>
    <n v="1.7380000000000002"/>
    <n v="1.98"/>
    <n v="65.965000000000003"/>
    <n v="1451.23"/>
    <n v="474.56834532374097"/>
    <n v="316.37889688249396"/>
    <n v="25.396525000000004"/>
    <n v="82.5"/>
    <n v="1559.1265250000001"/>
    <n v="70.869387500000002"/>
    <n v="509.85170863309349"/>
    <n v="339.901139088729"/>
  </r>
  <r>
    <s v="03/09/2026"/>
    <s v="E"/>
    <s v="[1062] RAMGADH"/>
    <s v="[8401] DURGAWATI"/>
    <x v="46"/>
    <x v="46"/>
    <x v="46"/>
    <s v="B"/>
    <n v="7"/>
    <n v="6.3"/>
    <n v="9"/>
    <n v="0.441"/>
    <n v="0.63"/>
    <n v="52.604999999999997"/>
    <n v="368.23499999999996"/>
    <n v="427.6829268292683"/>
    <n v="285.1219512195122"/>
    <n v="6.4441125000000001"/>
    <n v="26.25"/>
    <n v="400.92911249999997"/>
    <n v="57.275587499999993"/>
    <n v="465.65518292682924"/>
    <n v="310.43678861788618"/>
  </r>
  <r>
    <s v="28/08/2026"/>
    <s v="E"/>
    <s v="[1062] RAMGADH"/>
    <s v="[8402] RAMPUR"/>
    <x v="47"/>
    <x v="47"/>
    <x v="47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8/08/2026"/>
    <s v="E"/>
    <s v="[1062] RAMGADH"/>
    <s v="[8402] RAMPUR"/>
    <x v="47"/>
    <x v="47"/>
    <x v="47"/>
    <s v="C"/>
    <n v="19"/>
    <n v="4.5"/>
    <n v="8.5"/>
    <n v="0.85499999999999998"/>
    <n v="1.615"/>
    <n v="42.396181500000004"/>
    <n v="805.52744850000011"/>
    <n v="417.01162131147544"/>
    <n v="278.00774754098364"/>
    <n v="14.096730348750004"/>
    <n v="71.25"/>
    <n v="890.87417884875015"/>
    <n v="46.888114676250005"/>
    <n v="461.19457058606559"/>
    <n v="307.46304705737708"/>
  </r>
  <r>
    <s v="29/08/2026"/>
    <s v="M"/>
    <s v="[1062] RAMGADH"/>
    <s v="[8402] RAMPUR"/>
    <x v="47"/>
    <x v="47"/>
    <x v="47"/>
    <s v="B"/>
    <n v="16"/>
    <n v="7.1"/>
    <n v="9"/>
    <n v="1.1359999999999999"/>
    <n v="1.44"/>
    <n v="59.284999999999997"/>
    <n v="948.56"/>
    <n v="452.55725190839689"/>
    <n v="301.70483460559791"/>
    <n v="16.599800000000002"/>
    <n v="60"/>
    <n v="1025.1597999999999"/>
    <n v="64.072487499999994"/>
    <n v="489.10295801526712"/>
    <n v="326.06863867684473"/>
  </r>
  <r>
    <s v="29/08/2026"/>
    <s v="M"/>
    <s v="[1062] RAMGADH"/>
    <s v="[8402] RAMPUR"/>
    <x v="47"/>
    <x v="47"/>
    <x v="47"/>
    <s v="C"/>
    <n v="24"/>
    <n v="4.7"/>
    <n v="8.5"/>
    <n v="1.1280000000000001"/>
    <n v="2.04"/>
    <n v="43.2301815"/>
    <n v="1037.5243559999999"/>
    <n v="417.01139710610931"/>
    <n v="278.00759807073956"/>
    <n v="18.156676229999999"/>
    <n v="90"/>
    <n v="1145.6810322299998"/>
    <n v="47.736709676249994"/>
    <n v="460.48272999598061"/>
    <n v="306.98848666398709"/>
  </r>
  <r>
    <s v="29/08/2026"/>
    <s v="E"/>
    <s v="[1062] RAMGADH"/>
    <s v="[8402] RAMPUR"/>
    <x v="47"/>
    <x v="47"/>
    <x v="47"/>
    <s v="B"/>
    <n v="21"/>
    <n v="7.1"/>
    <n v="8.6999999999999993"/>
    <n v="1.4909999999999999"/>
    <n v="1.827"/>
    <n v="58.099299999999992"/>
    <n v="1220.0852999999997"/>
    <n v="450.38217054263561"/>
    <n v="300.25478036175707"/>
    <n v="21.351492749999998"/>
    <n v="78.75"/>
    <n v="1320.1867927499998"/>
    <n v="62.86603774999999"/>
    <n v="487.33362596899218"/>
    <n v="324.88908397932812"/>
  </r>
  <r>
    <s v="30/08/2026"/>
    <s v="M"/>
    <s v="[1062] RAMGADH"/>
    <s v="[8402] RAMPUR"/>
    <x v="47"/>
    <x v="47"/>
    <x v="47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30/08/2026"/>
    <s v="M"/>
    <s v="[1062] RAMGADH"/>
    <s v="[8402] RAMPUR"/>
    <x v="47"/>
    <x v="47"/>
    <x v="47"/>
    <s v="C"/>
    <n v="36"/>
    <n v="4.5999999999999996"/>
    <n v="8.5"/>
    <n v="1.6559999999999999"/>
    <n v="3.06"/>
    <n v="42.813181499999999"/>
    <n v="1541.2745339999999"/>
    <n v="417.01150811688308"/>
    <n v="278.00767207792205"/>
    <n v="26.972304345000001"/>
    <n v="135"/>
    <n v="1703.246838345"/>
    <n v="47.31241217625"/>
    <n v="460.83518353490257"/>
    <n v="307.22345568993507"/>
  </r>
  <r>
    <s v="30/08/2026"/>
    <s v="E"/>
    <s v="[1062] RAMGADH"/>
    <s v="[8402] RAMPUR"/>
    <x v="47"/>
    <x v="47"/>
    <x v="47"/>
    <s v="B"/>
    <n v="12"/>
    <n v="8.1"/>
    <n v="9"/>
    <n v="0.97199999999999986"/>
    <n v="1.08"/>
    <n v="67.635000000000005"/>
    <n v="811.62000000000012"/>
    <n v="479.68085106382978"/>
    <n v="319.78723404255317"/>
    <n v="14.203350000000004"/>
    <n v="45"/>
    <n v="870.82335000000012"/>
    <n v="72.568612500000015"/>
    <n v="514.67101063829796"/>
    <n v="343.11400709219862"/>
  </r>
  <r>
    <s v="30/08/2026"/>
    <s v="E"/>
    <s v="[1062] RAMGADH"/>
    <s v="[8402] RAMPUR"/>
    <x v="47"/>
    <x v="47"/>
    <x v="47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31/08/2026"/>
    <s v="M"/>
    <s v="[1062] RAMGADH"/>
    <s v="[8402] RAMPUR"/>
    <x v="47"/>
    <x v="47"/>
    <x v="47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31/08/2026"/>
    <s v="M"/>
    <s v="[1062] RAMGADH"/>
    <s v="[8402] RAMPUR"/>
    <x v="47"/>
    <x v="47"/>
    <x v="47"/>
    <s v="C"/>
    <n v="32"/>
    <n v="5"/>
    <n v="8.5"/>
    <n v="1.6"/>
    <n v="2.72"/>
    <n v="44.481181500000005"/>
    <n v="1423.3978080000002"/>
    <n v="417.01107656250002"/>
    <n v="278.00738437500002"/>
    <n v="24.909461640000007"/>
    <n v="120"/>
    <n v="1568.3072696400002"/>
    <n v="49.009602176250006"/>
    <n v="459.46502040234378"/>
    <n v="306.3100136015625"/>
  </r>
  <r>
    <s v="31/08/2026"/>
    <s v="E"/>
    <s v="[1062] RAMGADH"/>
    <s v="[8402] RAMPUR"/>
    <x v="47"/>
    <x v="47"/>
    <x v="47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31/08/2026"/>
    <s v="E"/>
    <s v="[1062] RAMGADH"/>
    <s v="[8402] RAMPUR"/>
    <x v="47"/>
    <x v="47"/>
    <x v="47"/>
    <s v="C"/>
    <n v="6"/>
    <n v="4.7"/>
    <n v="8.5"/>
    <n v="0.28200000000000003"/>
    <n v="0.51"/>
    <n v="43.2301815"/>
    <n v="259.38108899999997"/>
    <n v="417.01139710610931"/>
    <n v="278.00759807073956"/>
    <n v="4.5391690574999997"/>
    <n v="22.5"/>
    <n v="286.42025805749995"/>
    <n v="47.736709676249994"/>
    <n v="460.48272999598061"/>
    <n v="306.98848666398709"/>
  </r>
  <r>
    <s v="01/09/2026"/>
    <s v="M"/>
    <s v="[1062] RAMGADH"/>
    <s v="[8402] RAMPUR"/>
    <x v="47"/>
    <x v="47"/>
    <x v="47"/>
    <s v="B"/>
    <n v="54"/>
    <n v="5.7"/>
    <n v="8.6999999999999993"/>
    <n v="3.0780000000000003"/>
    <n v="4.6979999999999995"/>
    <n v="46.643099999999997"/>
    <n v="2518.7273999999998"/>
    <n v="405.5921739130435"/>
    <n v="270.39478260869566"/>
    <n v="44.077729499999997"/>
    <n v="202.5"/>
    <n v="2765.3051294999996"/>
    <n v="51.20935424999999"/>
    <n v="445.29873260869562"/>
    <n v="296.86582173913041"/>
  </r>
  <r>
    <s v="01/09/2026"/>
    <s v="E"/>
    <s v="[1062] RAMGADH"/>
    <s v="[8402] RAMPUR"/>
    <x v="47"/>
    <x v="47"/>
    <x v="47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2/09/2026"/>
    <s v="M"/>
    <s v="[1062] RAMGADH"/>
    <s v="[8402] RAMPUR"/>
    <x v="47"/>
    <x v="47"/>
    <x v="47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02/09/2026"/>
    <s v="M"/>
    <s v="[1062] RAMGADH"/>
    <s v="[8402] RAMPUR"/>
    <x v="47"/>
    <x v="47"/>
    <x v="47"/>
    <s v="C"/>
    <n v="40"/>
    <n v="4.9000000000000004"/>
    <n v="8.5"/>
    <n v="1.96"/>
    <n v="3.4"/>
    <n v="44.064181500000004"/>
    <n v="1762.5672600000003"/>
    <n v="417.01118138801263"/>
    <n v="278.00745425867507"/>
    <n v="30.844927050000006"/>
    <n v="150"/>
    <n v="1943.4121870500003"/>
    <n v="48.585304676250004"/>
    <n v="459.79783605283916"/>
    <n v="306.53189070189279"/>
  </r>
  <r>
    <s v="02/09/2026"/>
    <s v="E"/>
    <s v="[1062] RAMGADH"/>
    <s v="[8402] RAMPUR"/>
    <x v="47"/>
    <x v="47"/>
    <x v="47"/>
    <s v="B"/>
    <n v="27"/>
    <n v="6.9"/>
    <n v="8.9"/>
    <n v="1.8630000000000002"/>
    <n v="2.403"/>
    <n v="57.038850000000004"/>
    <n v="1540.0489500000001"/>
    <n v="444.45857142857136"/>
    <n v="296.30571428571426"/>
    <n v="26.950856625000004"/>
    <n v="101.25"/>
    <n v="1668.249806625"/>
    <n v="61.787029875000002"/>
    <n v="481.45737564935058"/>
    <n v="320.97158376623372"/>
  </r>
  <r>
    <s v="03/09/2026"/>
    <s v="M"/>
    <s v="[1062] RAMGADH"/>
    <s v="[8402] RAMPUR"/>
    <x v="47"/>
    <x v="47"/>
    <x v="47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03/09/2026"/>
    <s v="M"/>
    <s v="[1062] RAMGADH"/>
    <s v="[8402] RAMPUR"/>
    <x v="47"/>
    <x v="47"/>
    <x v="47"/>
    <s v="C"/>
    <n v="40"/>
    <n v="5"/>
    <n v="8.5"/>
    <n v="2"/>
    <n v="3.4"/>
    <n v="44.481181500000005"/>
    <n v="1779.2472600000001"/>
    <n v="417.01107656250002"/>
    <n v="278.00738437500002"/>
    <n v="31.136827050000004"/>
    <n v="150"/>
    <n v="1960.3840870500001"/>
    <n v="49.009602176249999"/>
    <n v="459.46502040234373"/>
    <n v="306.3100136015625"/>
  </r>
  <r>
    <s v="03/09/2026"/>
    <s v="E"/>
    <s v="[1062] RAMGADH"/>
    <s v="[8402] RAMPUR"/>
    <x v="47"/>
    <x v="47"/>
    <x v="47"/>
    <s v="B"/>
    <n v="8"/>
    <n v="8.3000000000000007"/>
    <n v="9"/>
    <n v="0.66400000000000003"/>
    <n v="0.72"/>
    <n v="69.305000000000007"/>
    <n v="554.44000000000005"/>
    <n v="484.65034965034965"/>
    <n v="323.10023310023308"/>
    <n v="9.7027000000000019"/>
    <n v="30"/>
    <n v="594.1427000000001"/>
    <n v="74.267837500000013"/>
    <n v="519.355506993007"/>
    <n v="346.23700466200467"/>
  </r>
  <r>
    <s v="03/09/2026"/>
    <s v="E"/>
    <s v="[1062] RAMGADH"/>
    <s v="[8402] RAMPUR"/>
    <x v="47"/>
    <x v="47"/>
    <x v="47"/>
    <s v="C"/>
    <n v="10"/>
    <n v="5.4"/>
    <n v="8.5"/>
    <n v="0.54"/>
    <n v="0.85"/>
    <n v="46.149181500000012"/>
    <n v="461.49181500000009"/>
    <n v="417.01067620481933"/>
    <n v="278.00711746987957"/>
    <n v="8.076106762500002"/>
    <n v="37.5"/>
    <n v="507.06792176250008"/>
    <n v="50.706792176250005"/>
    <n v="458.19390520707833"/>
    <n v="305.46260347138553"/>
  </r>
  <r>
    <s v="28/08/2026"/>
    <s v="E"/>
    <s v="[1062] RAMGADH"/>
    <s v="[8405] RAMGADH"/>
    <x v="48"/>
    <x v="48"/>
    <x v="48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29/08/2026"/>
    <s v="M"/>
    <s v="[1062] RAMGADH"/>
    <s v="[8405] RAMGADH"/>
    <x v="48"/>
    <x v="48"/>
    <x v="48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9/08/2026"/>
    <s v="M"/>
    <s v="[1062] RAMGADH"/>
    <s v="[8405] RAMGADH"/>
    <x v="48"/>
    <x v="48"/>
    <x v="48"/>
    <s v="C"/>
    <n v="4"/>
    <n v="4.5"/>
    <n v="8.5"/>
    <n v="0.18"/>
    <n v="0.34"/>
    <n v="42.396181500000004"/>
    <n v="169.58472600000002"/>
    <n v="417.01162131147544"/>
    <n v="278.00774754098364"/>
    <n v="2.9677327050000004"/>
    <n v="15"/>
    <n v="187.55245870500002"/>
    <n v="46.888114676250005"/>
    <n v="461.19457058606559"/>
    <n v="307.46304705737708"/>
  </r>
  <r>
    <s v="29/08/2026"/>
    <s v="E"/>
    <s v="[1062] RAMGADH"/>
    <s v="[8405] RAMGADH"/>
    <x v="48"/>
    <x v="48"/>
    <x v="48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30/08/2026"/>
    <s v="M"/>
    <s v="[1062] RAMGADH"/>
    <s v="[8405] RAMGADH"/>
    <x v="48"/>
    <x v="48"/>
    <x v="48"/>
    <s v="B"/>
    <n v="24"/>
    <n v="6.5"/>
    <n v="9"/>
    <n v="1.56"/>
    <n v="2.16"/>
    <n v="54.274999999999999"/>
    <n v="1302.5999999999999"/>
    <n v="434.2"/>
    <n v="289.46666666666664"/>
    <n v="22.795500000000001"/>
    <n v="90"/>
    <n v="1415.3954999999999"/>
    <n v="58.974812499999992"/>
    <n v="471.79849999999993"/>
    <n v="314.53233333333327"/>
  </r>
  <r>
    <s v="30/08/2026"/>
    <s v="M"/>
    <s v="[1062] RAMGADH"/>
    <s v="[8405] RAMGADH"/>
    <x v="48"/>
    <x v="48"/>
    <x v="48"/>
    <s v="C"/>
    <n v="6"/>
    <n v="4"/>
    <n v="8.4"/>
    <n v="0.24"/>
    <n v="0.504"/>
    <n v="40.033167600000006"/>
    <n v="240.19900560000002"/>
    <n v="417.01216250000004"/>
    <n v="278.00810833333338"/>
    <n v="4.2034825980000008"/>
    <n v="22.5"/>
    <n v="266.90248819800001"/>
    <n v="44.483748033000005"/>
    <n v="463.37237534375004"/>
    <n v="308.91491689583336"/>
  </r>
  <r>
    <s v="30/08/2026"/>
    <s v="E"/>
    <s v="[1062] RAMGADH"/>
    <s v="[8405] RAMGADH"/>
    <x v="48"/>
    <x v="48"/>
    <x v="48"/>
    <s v="C"/>
    <n v="16"/>
    <n v="4.4000000000000004"/>
    <n v="8.4"/>
    <n v="0.70400000000000007"/>
    <n v="1.3440000000000001"/>
    <n v="41.701167600000005"/>
    <n v="667.21868160000008"/>
    <n v="417.01167600000002"/>
    <n v="278.00778400000002"/>
    <n v="11.676326928000002"/>
    <n v="60"/>
    <n v="738.89500852800006"/>
    <n v="46.180938033000004"/>
    <n v="461.80938033000001"/>
    <n v="307.87292022000003"/>
  </r>
  <r>
    <s v="31/08/2026"/>
    <s v="M"/>
    <s v="[1062] RAMGADH"/>
    <s v="[8405] RAMGADH"/>
    <x v="48"/>
    <x v="48"/>
    <x v="48"/>
    <s v="B"/>
    <n v="21"/>
    <n v="6.2"/>
    <n v="9"/>
    <n v="1.3020000000000003"/>
    <n v="1.89"/>
    <n v="51.77"/>
    <n v="1087.17"/>
    <n v="424.34426229508199"/>
    <n v="282.89617486338801"/>
    <n v="19.025475000000004"/>
    <n v="78.75"/>
    <n v="1184.945475"/>
    <n v="56.425975000000001"/>
    <n v="462.50799180327868"/>
    <n v="308.33866120218579"/>
  </r>
  <r>
    <s v="31/08/2026"/>
    <s v="M"/>
    <s v="[1062] RAMGADH"/>
    <s v="[8405] RAMGADH"/>
    <x v="48"/>
    <x v="48"/>
    <x v="48"/>
    <s v="C"/>
    <n v="6"/>
    <n v="4.3"/>
    <n v="8.1999999999999993"/>
    <n v="0.25799999999999995"/>
    <n v="0.49199999999999994"/>
    <n v="40.728139799999994"/>
    <n v="244.36883879999996"/>
    <n v="417.01167030716726"/>
    <n v="278.00778020477816"/>
    <n v="4.2764546789999995"/>
    <n v="22.5"/>
    <n v="271.14529347899997"/>
    <n v="45.190882246499996"/>
    <n v="462.70527897440275"/>
    <n v="308.47018598293516"/>
  </r>
  <r>
    <s v="31/08/2026"/>
    <s v="E"/>
    <s v="[1062] RAMGADH"/>
    <s v="[8405] RAMGADH"/>
    <x v="48"/>
    <x v="48"/>
    <x v="48"/>
    <s v="B"/>
    <n v="12"/>
    <n v="5.5"/>
    <n v="8.8000000000000007"/>
    <n v="0.66"/>
    <n v="1.056"/>
    <n v="46.566181499999999"/>
    <n v="558.79417799999999"/>
    <n v="409.67315102639293"/>
    <n v="273.11543401759531"/>
    <n v="9.7788981150000005"/>
    <n v="45"/>
    <n v="613.57307611500005"/>
    <n v="51.131089676250006"/>
    <n v="449.83363351539595"/>
    <n v="299.88908901026394"/>
  </r>
  <r>
    <s v="01/09/2026"/>
    <s v="M"/>
    <s v="[1062] RAMGADH"/>
    <s v="[8405] RAMGADH"/>
    <x v="48"/>
    <x v="48"/>
    <x v="48"/>
    <s v="B"/>
    <n v="23"/>
    <n v="6.3"/>
    <n v="9"/>
    <n v="1.4490000000000001"/>
    <n v="2.0699999999999998"/>
    <n v="52.604999999999997"/>
    <n v="1209.915"/>
    <n v="427.6829268292683"/>
    <n v="285.1219512195122"/>
    <n v="21.173512500000001"/>
    <n v="86.25"/>
    <n v="1317.3385125"/>
    <n v="57.2755875"/>
    <n v="465.6551829268293"/>
    <n v="310.43678861788618"/>
  </r>
  <r>
    <s v="01/09/2026"/>
    <s v="M"/>
    <s v="[1062] RAMGADH"/>
    <s v="[8405] RAMGADH"/>
    <x v="48"/>
    <x v="48"/>
    <x v="48"/>
    <s v="C"/>
    <n v="9"/>
    <n v="3.8"/>
    <n v="8.1999999999999993"/>
    <n v="0.34199999999999997"/>
    <n v="0.73799999999999999"/>
    <n v="38.6431398"/>
    <n v="347.78825819999997"/>
    <n v="417.01230000000004"/>
    <n v="278.00820000000004"/>
    <n v="6.0862945184999999"/>
    <n v="33.75"/>
    <n v="387.62455271849996"/>
    <n v="43.069394746499995"/>
    <n v="464.77764114928056"/>
    <n v="309.85176076618706"/>
  </r>
  <r>
    <s v="01/09/2026"/>
    <s v="E"/>
    <s v="[1062] RAMGADH"/>
    <s v="[8405] RAMGADH"/>
    <x v="48"/>
    <x v="48"/>
    <x v="48"/>
    <s v="C"/>
    <n v="13"/>
    <n v="4.5999999999999996"/>
    <n v="8.4"/>
    <n v="0.59799999999999998"/>
    <n v="1.0920000000000001"/>
    <n v="42.535167600000008"/>
    <n v="552.95717880000007"/>
    <n v="417.01144705882359"/>
    <n v="278.00763137254904"/>
    <n v="9.6767506290000025"/>
    <n v="48.75"/>
    <n v="611.38392942900009"/>
    <n v="47.029533033000007"/>
    <n v="461.07385326470592"/>
    <n v="307.38256884313728"/>
  </r>
  <r>
    <s v="02/09/2026"/>
    <s v="M"/>
    <s v="[1062] RAMGADH"/>
    <s v="[8405] RAMGADH"/>
    <x v="48"/>
    <x v="48"/>
    <x v="48"/>
    <s v="B"/>
    <n v="26"/>
    <n v="6.9"/>
    <n v="9"/>
    <n v="1.794"/>
    <n v="2.34"/>
    <n v="57.615000000000002"/>
    <n v="1497.99"/>
    <n v="446.62790697674421"/>
    <n v="297.75193798449612"/>
    <n v="26.214825000000001"/>
    <n v="97.5"/>
    <n v="1621.704825"/>
    <n v="62.373262500000003"/>
    <n v="483.51366279069771"/>
    <n v="322.34244186046516"/>
  </r>
  <r>
    <s v="02/09/2026"/>
    <s v="M"/>
    <s v="[1062] RAMGADH"/>
    <s v="[8405] RAMGADH"/>
    <x v="48"/>
    <x v="48"/>
    <x v="48"/>
    <s v="C"/>
    <n v="10"/>
    <n v="4.2"/>
    <n v="8.4"/>
    <n v="0.42"/>
    <n v="0.84"/>
    <n v="40.867167600000002"/>
    <n v="408.67167600000005"/>
    <n v="417.01191428571428"/>
    <n v="278.00794285714284"/>
    <n v="7.1517543300000019"/>
    <n v="37.5"/>
    <n v="453.32343033000006"/>
    <n v="45.332343033000008"/>
    <n v="462.57492890816332"/>
    <n v="308.38328593877554"/>
  </r>
  <r>
    <s v="02/09/2026"/>
    <s v="E"/>
    <s v="[1062] RAMGADH"/>
    <s v="[8405] RAMGADH"/>
    <x v="48"/>
    <x v="48"/>
    <x v="48"/>
    <s v="C"/>
    <n v="6"/>
    <n v="5.0999999999999996"/>
    <n v="8.5"/>
    <n v="0.30599999999999999"/>
    <n v="0.51"/>
    <n v="44.898181500000007"/>
    <n v="269.38908900000001"/>
    <n v="417.01097368421063"/>
    <n v="278.00731578947375"/>
    <n v="4.7143090575000004"/>
    <n v="22.5"/>
    <n v="296.60339805749999"/>
    <n v="49.43389967625"/>
    <n v="459.13838708591334"/>
    <n v="306.09225805727556"/>
  </r>
  <r>
    <s v="03/09/2026"/>
    <s v="M"/>
    <s v="[1062] RAMGADH"/>
    <s v="[8405] RAMGADH"/>
    <x v="48"/>
    <x v="48"/>
    <x v="48"/>
    <s v="B"/>
    <n v="35"/>
    <n v="6.1"/>
    <n v="9"/>
    <n v="2.1349999999999998"/>
    <n v="3.15"/>
    <n v="50.935000000000002"/>
    <n v="1782.7250000000001"/>
    <n v="420.95041322314052"/>
    <n v="280.63360881542701"/>
    <n v="31.197687500000004"/>
    <n v="131.25"/>
    <n v="1945.1726875000002"/>
    <n v="55.576362500000002"/>
    <n v="459.30878099173555"/>
    <n v="306.20585399449038"/>
  </r>
  <r>
    <s v="03/09/2026"/>
    <s v="E"/>
    <s v="[1062] RAMGADH"/>
    <s v="[8405] RAMGADH"/>
    <x v="48"/>
    <x v="48"/>
    <x v="4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8/08/2026"/>
    <s v="M"/>
    <s v="[1062] RAMGADH"/>
    <s v="[8403] MOHANIA"/>
    <x v="49"/>
    <x v="49"/>
    <x v="49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8/08/2026"/>
    <s v="M"/>
    <s v="[1062] RAMGADH"/>
    <s v="[8403] MOHANIA"/>
    <x v="49"/>
    <x v="49"/>
    <x v="49"/>
    <s v="C"/>
    <n v="7"/>
    <n v="3"/>
    <n v="8.4"/>
    <n v="0.21"/>
    <n v="0.58800000000000008"/>
    <n v="35.863167600000004"/>
    <n v="251.04217320000004"/>
    <n v="417.01357674418614"/>
    <n v="278.00905116279074"/>
    <n v="4.393238031000001"/>
    <n v="26.25"/>
    <n v="281.68541123100005"/>
    <n v="40.240773033000004"/>
    <n v="467.91596550000008"/>
    <n v="311.94397700000007"/>
  </r>
  <r>
    <s v="28/08/2026"/>
    <s v="E"/>
    <s v="[1062] RAMGADH"/>
    <s v="[8403] MOHANIA"/>
    <x v="49"/>
    <x v="49"/>
    <x v="49"/>
    <s v="C"/>
    <n v="20"/>
    <n v="5.0999999999999996"/>
    <n v="8.5"/>
    <n v="1.02"/>
    <n v="1.7"/>
    <n v="44.898181500000007"/>
    <n v="897.96363000000019"/>
    <n v="417.01097368421063"/>
    <n v="278.00731578947375"/>
    <n v="15.714363525000005"/>
    <n v="75"/>
    <n v="988.67799352500015"/>
    <n v="49.433899676250007"/>
    <n v="459.13838708591339"/>
    <n v="306.09225805727561"/>
  </r>
  <r>
    <s v="29/08/2026"/>
    <s v="M"/>
    <s v="[1062] RAMGADH"/>
    <s v="[8403] MOHANIA"/>
    <x v="49"/>
    <x v="49"/>
    <x v="49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29/08/2026"/>
    <s v="M"/>
    <s v="[1062] RAMGADH"/>
    <s v="[8403] MOHANIA"/>
    <x v="49"/>
    <x v="49"/>
    <x v="49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9/08/2026"/>
    <s v="E"/>
    <s v="[1062] RAMGADH"/>
    <s v="[8403] MOHANIA"/>
    <x v="49"/>
    <x v="49"/>
    <x v="49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30/08/2026"/>
    <s v="M"/>
    <s v="[1062] RAMGADH"/>
    <s v="[8403] MOHANIA"/>
    <x v="49"/>
    <x v="49"/>
    <x v="49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30/08/2026"/>
    <s v="M"/>
    <s v="[1062] RAMGADH"/>
    <s v="[8403] MOHANIA"/>
    <x v="49"/>
    <x v="49"/>
    <x v="49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30/08/2026"/>
    <s v="E"/>
    <s v="[1062] RAMGADH"/>
    <s v="[8403] MOHANIA"/>
    <x v="49"/>
    <x v="49"/>
    <x v="49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1/08/2026"/>
    <s v="M"/>
    <s v="[1062] RAMGADH"/>
    <s v="[8403] MOHANIA"/>
    <x v="49"/>
    <x v="49"/>
    <x v="49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31/08/2026"/>
    <s v="M"/>
    <s v="[1062] RAMGADH"/>
    <s v="[8403] MOHANIA"/>
    <x v="49"/>
    <x v="49"/>
    <x v="49"/>
    <s v="C"/>
    <n v="17"/>
    <n v="3.4"/>
    <n v="8.1999999999999993"/>
    <n v="0.57799999999999996"/>
    <n v="1.3939999999999997"/>
    <n v="36.975139800000001"/>
    <n v="628.57737659999998"/>
    <n v="417.01285488721805"/>
    <n v="278.00856992481204"/>
    <n v="11.000104090500001"/>
    <n v="63.75"/>
    <n v="703.32748069050001"/>
    <n v="41.372204746500003"/>
    <n v="466.60381293045111"/>
    <n v="311.06920862030074"/>
  </r>
  <r>
    <s v="31/08/2026"/>
    <s v="E"/>
    <s v="[1062] RAMGADH"/>
    <s v="[8403] MOHANIA"/>
    <x v="49"/>
    <x v="49"/>
    <x v="49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01/09/2026"/>
    <s v="M"/>
    <s v="[1062] RAMGADH"/>
    <s v="[8403] MOHANIA"/>
    <x v="49"/>
    <x v="49"/>
    <x v="49"/>
    <s v="B"/>
    <n v="18"/>
    <n v="6.4"/>
    <n v="9"/>
    <n v="1.1520000000000001"/>
    <n v="1.62"/>
    <n v="53.44"/>
    <n v="961.92"/>
    <n v="430.96774193548384"/>
    <n v="287.31182795698925"/>
    <n v="16.833600000000001"/>
    <n v="67.5"/>
    <n v="1046.2536"/>
    <n v="58.1252"/>
    <n v="468.7516129032258"/>
    <n v="312.5010752688172"/>
  </r>
  <r>
    <s v="01/09/2026"/>
    <s v="M"/>
    <s v="[1062] RAMGADH"/>
    <s v="[8403] MOHANIA"/>
    <x v="49"/>
    <x v="49"/>
    <x v="49"/>
    <s v="C"/>
    <n v="14"/>
    <n v="3.5"/>
    <n v="8.3000000000000007"/>
    <n v="0.49"/>
    <n v="1.1620000000000001"/>
    <n v="37.670153700000007"/>
    <n v="527.38215180000009"/>
    <n v="417.01277158671587"/>
    <n v="278.00851439114393"/>
    <n v="9.2291876565000024"/>
    <n v="52.5"/>
    <n v="589.1113394565001"/>
    <n v="42.079381389750004"/>
    <n v="465.82341021863465"/>
    <n v="310.54894014575643"/>
  </r>
  <r>
    <s v="01/09/2026"/>
    <s v="E"/>
    <s v="[1062] RAMGADH"/>
    <s v="[8403] MOHANIA"/>
    <x v="49"/>
    <x v="49"/>
    <x v="49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02/09/2026"/>
    <s v="M"/>
    <s v="[1062] RAMGADH"/>
    <s v="[8403] MOHANIA"/>
    <x v="49"/>
    <x v="49"/>
    <x v="49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02/09/2026"/>
    <s v="M"/>
    <s v="[1062] RAMGADH"/>
    <s v="[8403] MOHANIA"/>
    <x v="49"/>
    <x v="49"/>
    <x v="49"/>
    <s v="C"/>
    <n v="17"/>
    <n v="3.7"/>
    <n v="8.4"/>
    <n v="0.629"/>
    <n v="1.4280000000000002"/>
    <n v="38.782167600000008"/>
    <n v="659.29684920000011"/>
    <n v="417.01255483870978"/>
    <n v="278.00836989247318"/>
    <n v="11.537694861000004"/>
    <n v="63.75"/>
    <n v="734.58454406100009"/>
    <n v="43.210855533000007"/>
    <n v="464.63285519354849"/>
    <n v="309.75523679569898"/>
  </r>
  <r>
    <s v="02/09/2026"/>
    <s v="E"/>
    <s v="[1062] RAMGADH"/>
    <s v="[8403] MOHANIA"/>
    <x v="49"/>
    <x v="49"/>
    <x v="49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03/09/2026"/>
    <s v="M"/>
    <s v="[1062] RAMGADH"/>
    <s v="[8403] MOHANIA"/>
    <x v="49"/>
    <x v="49"/>
    <x v="49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03/09/2026"/>
    <s v="M"/>
    <s v="[1062] RAMGADH"/>
    <s v="[8403] MOHANIA"/>
    <x v="49"/>
    <x v="49"/>
    <x v="49"/>
    <s v="C"/>
    <n v="16"/>
    <n v="3.6"/>
    <n v="8.4"/>
    <n v="0.57600000000000007"/>
    <n v="1.3440000000000001"/>
    <n v="38.365167600000007"/>
    <n v="613.84268160000011"/>
    <n v="417.01269130434792"/>
    <n v="278.00846086956528"/>
    <n v="10.742246928000004"/>
    <n v="60"/>
    <n v="684.58492852800009"/>
    <n v="42.786558033000006"/>
    <n v="465.07128296739137"/>
    <n v="310.04752197826093"/>
  </r>
  <r>
    <s v="03/09/2026"/>
    <s v="E"/>
    <s v="[1062] RAMGADH"/>
    <s v="[8403] MOHANIA"/>
    <x v="49"/>
    <x v="49"/>
    <x v="49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28/08/2026"/>
    <s v="M"/>
    <s v="[1062] RAMGADH"/>
    <s v="[8401] DURGAWATI"/>
    <x v="50"/>
    <x v="50"/>
    <x v="50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28/08/2026"/>
    <s v="M"/>
    <s v="[1062] RAMGADH"/>
    <s v="[8401] DURGAWATI"/>
    <x v="50"/>
    <x v="50"/>
    <x v="50"/>
    <s v="C"/>
    <n v="11"/>
    <n v="3.5"/>
    <n v="8.3000000000000007"/>
    <n v="0.38500000000000001"/>
    <n v="0.91300000000000014"/>
    <n v="37.670153700000007"/>
    <n v="414.3716907000001"/>
    <n v="417.01277158671587"/>
    <n v="278.00851439114393"/>
    <n v="7.2515045872500021"/>
    <n v="41.25"/>
    <n v="462.8731952872501"/>
    <n v="42.079381389750012"/>
    <n v="465.82341021863471"/>
    <n v="310.54894014575649"/>
  </r>
  <r>
    <s v="28/08/2026"/>
    <s v="E"/>
    <s v="[1062] RAMGADH"/>
    <s v="[8401] DURGAWATI"/>
    <x v="50"/>
    <x v="50"/>
    <x v="50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9/08/2026"/>
    <s v="M"/>
    <s v="[1062] RAMGADH"/>
    <s v="[8401] DURGAWATI"/>
    <x v="50"/>
    <x v="50"/>
    <x v="50"/>
    <s v="B"/>
    <n v="21"/>
    <n v="5.6"/>
    <n v="9"/>
    <n v="1.1759999999999999"/>
    <n v="1.89"/>
    <n v="46.76"/>
    <n v="981.95999999999992"/>
    <n v="403.10344827586209"/>
    <n v="268.73563218390808"/>
    <n v="17.1843"/>
    <n v="78.75"/>
    <n v="1077.8942999999999"/>
    <n v="51.328299999999999"/>
    <n v="442.48534482758623"/>
    <n v="294.99022988505749"/>
  </r>
  <r>
    <s v="29/08/2026"/>
    <s v="M"/>
    <s v="[1062] RAMGADH"/>
    <s v="[8401] DURGAWATI"/>
    <x v="50"/>
    <x v="50"/>
    <x v="50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29/08/2026"/>
    <s v="E"/>
    <s v="[1062] RAMGADH"/>
    <s v="[8401] DURGAWATI"/>
    <x v="50"/>
    <x v="50"/>
    <x v="50"/>
    <s v="C"/>
    <n v="30"/>
    <n v="5.0999999999999996"/>
    <n v="8.5"/>
    <n v="1.53"/>
    <n v="2.5499999999999998"/>
    <n v="44.898181500000007"/>
    <n v="1346.9454450000003"/>
    <n v="417.01097368421063"/>
    <n v="278.00731578947375"/>
    <n v="23.571545287500008"/>
    <n v="112.5"/>
    <n v="1483.0169902875002"/>
    <n v="49.433899676250007"/>
    <n v="459.13838708591339"/>
    <n v="306.09225805727561"/>
  </r>
  <r>
    <s v="30/08/2026"/>
    <s v="M"/>
    <s v="[1062] RAMGADH"/>
    <s v="[8401] DURGAWATI"/>
    <x v="50"/>
    <x v="50"/>
    <x v="50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30/08/2026"/>
    <s v="M"/>
    <s v="[1062] RAMGADH"/>
    <s v="[8401] DURGAWATI"/>
    <x v="50"/>
    <x v="50"/>
    <x v="50"/>
    <s v="C"/>
    <n v="34"/>
    <n v="4"/>
    <n v="8.3000000000000007"/>
    <n v="1.36"/>
    <n v="2.8220000000000005"/>
    <n v="39.755153700000008"/>
    <n v="1351.6752258000004"/>
    <n v="417.01210174825178"/>
    <n v="278.00806783216785"/>
    <n v="23.654316451500009"/>
    <n v="127.5"/>
    <n v="1502.8295422515002"/>
    <n v="44.200868889750005"/>
    <n v="463.6454778645105"/>
    <n v="309.096985243007"/>
  </r>
  <r>
    <s v="30/08/2026"/>
    <s v="E"/>
    <s v="[1062] RAMGADH"/>
    <s v="[8401] DURGAWATI"/>
    <x v="50"/>
    <x v="50"/>
    <x v="50"/>
    <s v="B"/>
    <n v="19"/>
    <n v="6.1"/>
    <n v="9"/>
    <n v="1.1589999999999998"/>
    <n v="1.71"/>
    <n v="50.935000000000002"/>
    <n v="967.7650000000001"/>
    <n v="420.95041322314052"/>
    <n v="280.63360881542701"/>
    <n v="16.935887500000003"/>
    <n v="71.25"/>
    <n v="1055.9508875000001"/>
    <n v="55.576362500000009"/>
    <n v="459.3087809917356"/>
    <n v="306.20585399449038"/>
  </r>
  <r>
    <s v="31/08/2026"/>
    <s v="M"/>
    <s v="[1062] RAMGADH"/>
    <s v="[8401] DURGAWATI"/>
    <x v="50"/>
    <x v="50"/>
    <x v="50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31/08/2026"/>
    <s v="M"/>
    <s v="[1062] RAMGADH"/>
    <s v="[8401] DURGAWATI"/>
    <x v="50"/>
    <x v="50"/>
    <x v="50"/>
    <s v="C"/>
    <n v="22"/>
    <n v="3.8"/>
    <n v="8.3000000000000007"/>
    <n v="0.83599999999999997"/>
    <n v="1.8260000000000003"/>
    <n v="38.921153700000005"/>
    <n v="856.26538140000014"/>
    <n v="417.01236107142859"/>
    <n v="278.00824071428571"/>
    <n v="14.984644174500003"/>
    <n v="82.5"/>
    <n v="953.75002557450011"/>
    <n v="43.352273889750002"/>
    <n v="464.48864881874999"/>
    <n v="309.6590992125"/>
  </r>
  <r>
    <s v="31/08/2026"/>
    <s v="E"/>
    <s v="[1062] RAMGADH"/>
    <s v="[8401] DURGAWATI"/>
    <x v="50"/>
    <x v="50"/>
    <x v="50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01/09/2026"/>
    <s v="M"/>
    <s v="[1062] RAMGADH"/>
    <s v="[8401] DURGAWATI"/>
    <x v="50"/>
    <x v="50"/>
    <x v="50"/>
    <s v="B"/>
    <n v="33"/>
    <n v="6.2"/>
    <n v="9"/>
    <n v="2.0459999999999998"/>
    <n v="2.97"/>
    <n v="51.77"/>
    <n v="1708.41"/>
    <n v="424.34426229508199"/>
    <n v="282.89617486338801"/>
    <n v="29.897175000000004"/>
    <n v="123.75"/>
    <n v="1862.0571750000001"/>
    <n v="56.425975000000001"/>
    <n v="462.50799180327868"/>
    <n v="308.33866120218579"/>
  </r>
  <r>
    <s v="01/09/2026"/>
    <s v="M"/>
    <s v="[1062] RAMGADH"/>
    <s v="[8401] DURGAWATI"/>
    <x v="50"/>
    <x v="50"/>
    <x v="50"/>
    <s v="C"/>
    <n v="26"/>
    <n v="3.5"/>
    <n v="8.1999999999999993"/>
    <n v="0.91"/>
    <n v="2.1319999999999997"/>
    <n v="37.392139800000002"/>
    <n v="972.19563480000011"/>
    <n v="417.01271152416359"/>
    <n v="278.00847434944239"/>
    <n v="17.013423609000004"/>
    <n v="97.5"/>
    <n v="1086.7090584090001"/>
    <n v="41.796502246500005"/>
    <n v="466.13199531412641"/>
    <n v="310.75466354275096"/>
  </r>
  <r>
    <s v="01/09/2026"/>
    <s v="E"/>
    <s v="[1062] RAMGADH"/>
    <s v="[8401] DURGAWATI"/>
    <x v="50"/>
    <x v="50"/>
    <x v="50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02/09/2026"/>
    <s v="M"/>
    <s v="[1062] RAMGADH"/>
    <s v="[8401] DURGAWATI"/>
    <x v="50"/>
    <x v="50"/>
    <x v="50"/>
    <s v="B"/>
    <n v="32"/>
    <n v="5.8"/>
    <n v="9"/>
    <n v="1.8559999999999999"/>
    <n v="2.88"/>
    <n v="48.43"/>
    <n v="1549.76"/>
    <n v="410.42372881355936"/>
    <n v="273.61581920903956"/>
    <n v="27.120800000000003"/>
    <n v="120"/>
    <n v="1696.8807999999999"/>
    <n v="53.027524999999997"/>
    <n v="449.38580508474575"/>
    <n v="299.59053672316384"/>
  </r>
  <r>
    <s v="02/09/2026"/>
    <s v="M"/>
    <s v="[1062] RAMGADH"/>
    <s v="[8401] DURGAWATI"/>
    <x v="50"/>
    <x v="50"/>
    <x v="50"/>
    <s v="C"/>
    <n v="27"/>
    <n v="4.3"/>
    <n v="8.5"/>
    <n v="1.161"/>
    <n v="2.2949999999999999"/>
    <n v="41.562181500000001"/>
    <n v="1122.1789005000001"/>
    <n v="417.01185451505017"/>
    <n v="278.00790301003343"/>
    <n v="19.638130758750002"/>
    <n v="101.25"/>
    <n v="1243.0670312587501"/>
    <n v="46.039519676250002"/>
    <n v="461.93498002926424"/>
    <n v="307.95665335284281"/>
  </r>
  <r>
    <s v="02/09/2026"/>
    <s v="E"/>
    <s v="[1062] RAMGADH"/>
    <s v="[8401] DURGAWATI"/>
    <x v="50"/>
    <x v="50"/>
    <x v="50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03/09/2026"/>
    <s v="M"/>
    <s v="[1062] RAMGADH"/>
    <s v="[8401] DURGAWATI"/>
    <x v="50"/>
    <x v="50"/>
    <x v="50"/>
    <s v="B"/>
    <n v="24"/>
    <n v="5.6"/>
    <n v="9"/>
    <n v="1.3439999999999999"/>
    <n v="2.16"/>
    <n v="46.76"/>
    <n v="1122.24"/>
    <n v="403.10344827586209"/>
    <n v="268.73563218390808"/>
    <n v="19.639200000000002"/>
    <n v="90"/>
    <n v="1231.8792000000001"/>
    <n v="51.328300000000006"/>
    <n v="442.48534482758629"/>
    <n v="294.99022988505754"/>
  </r>
  <r>
    <s v="03/09/2026"/>
    <s v="M"/>
    <s v="[1062] RAMGADH"/>
    <s v="[8401] DURGAWATI"/>
    <x v="50"/>
    <x v="50"/>
    <x v="50"/>
    <s v="C"/>
    <n v="32"/>
    <n v="4"/>
    <n v="8.4"/>
    <n v="1.28"/>
    <n v="2.6880000000000002"/>
    <n v="40.033167600000006"/>
    <n v="1281.0613632000002"/>
    <n v="417.01216250000004"/>
    <n v="278.00810833333338"/>
    <n v="22.418573856000005"/>
    <n v="120"/>
    <n v="1423.4799370560002"/>
    <n v="44.483748033000005"/>
    <n v="463.37237534375004"/>
    <n v="308.91491689583336"/>
  </r>
  <r>
    <s v="03/09/2026"/>
    <s v="E"/>
    <s v="[1062] RAMGADH"/>
    <s v="[8401] DURGAWATI"/>
    <x v="50"/>
    <x v="50"/>
    <x v="50"/>
    <s v="C"/>
    <n v="26"/>
    <n v="5.2"/>
    <n v="8.5"/>
    <n v="1.3520000000000001"/>
    <n v="2.21"/>
    <n v="45.315181500000008"/>
    <n v="1178.1947190000003"/>
    <n v="417.01087269938654"/>
    <n v="278.00724846625769"/>
    <n v="20.618407582500009"/>
    <n v="97.5"/>
    <n v="1296.3131265825002"/>
    <n v="49.858197176250009"/>
    <n v="458.81776542561352"/>
    <n v="305.87851028374234"/>
  </r>
  <r>
    <s v="28/08/2026"/>
    <s v="E"/>
    <s v="[1062] RAMGADH"/>
    <s v="[8404] CHANDESH"/>
    <x v="51"/>
    <x v="51"/>
    <x v="51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8/08/2026"/>
    <s v="E"/>
    <s v="[1062] RAMGADH"/>
    <s v="[8404] CHANDESH"/>
    <x v="51"/>
    <x v="51"/>
    <x v="51"/>
    <s v="C"/>
    <n v="31"/>
    <n v="3"/>
    <n v="8.3000000000000007"/>
    <n v="0.93"/>
    <n v="2.573"/>
    <n v="35.585153700000006"/>
    <n v="1103.1397647000001"/>
    <n v="417.013519921875"/>
    <n v="278.00901328125002"/>
    <n v="19.304945882250003"/>
    <n v="116.25"/>
    <n v="1238.6947105822501"/>
    <n v="39.957893889750004"/>
    <n v="468.25656902050781"/>
    <n v="312.17104601367186"/>
  </r>
  <r>
    <s v="29/08/2026"/>
    <s v="M"/>
    <s v="[1062] RAMGADH"/>
    <s v="[8404] CHANDESH"/>
    <x v="51"/>
    <x v="51"/>
    <x v="51"/>
    <s v="B"/>
    <n v="26"/>
    <n v="6.2"/>
    <n v="9"/>
    <n v="1.6120000000000001"/>
    <n v="2.34"/>
    <n v="51.77"/>
    <n v="1346.02"/>
    <n v="424.34426229508199"/>
    <n v="282.89617486338801"/>
    <n v="23.555350000000001"/>
    <n v="97.5"/>
    <n v="1467.0753500000001"/>
    <n v="56.425975000000001"/>
    <n v="462.50799180327868"/>
    <n v="308.33866120218579"/>
  </r>
  <r>
    <s v="29/08/2026"/>
    <s v="M"/>
    <s v="[1062] RAMGADH"/>
    <s v="[8404] CHANDESH"/>
    <x v="51"/>
    <x v="51"/>
    <x v="51"/>
    <s v="C"/>
    <n v="38"/>
    <n v="3.5"/>
    <n v="8.3000000000000007"/>
    <n v="1.33"/>
    <n v="3.1540000000000004"/>
    <n v="37.670153700000007"/>
    <n v="1431.4658406000003"/>
    <n v="417.01277158671587"/>
    <n v="278.00851439114393"/>
    <n v="25.050652210500008"/>
    <n v="142.5"/>
    <n v="1599.0164928105003"/>
    <n v="42.079381389750004"/>
    <n v="465.82341021863465"/>
    <n v="310.54894014575643"/>
  </r>
  <r>
    <s v="29/08/2026"/>
    <s v="E"/>
    <s v="[1062] RAMGADH"/>
    <s v="[8404] CHANDESH"/>
    <x v="51"/>
    <x v="51"/>
    <x v="51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9/08/2026"/>
    <s v="E"/>
    <s v="[1062] RAMGADH"/>
    <s v="[8404] CHANDESH"/>
    <x v="51"/>
    <x v="51"/>
    <x v="51"/>
    <s v="C"/>
    <n v="21"/>
    <n v="3.2"/>
    <n v="8.4"/>
    <n v="0.67200000000000004"/>
    <n v="1.764"/>
    <n v="36.697167600000007"/>
    <n v="770.64051960000018"/>
    <n v="417.01326818181826"/>
    <n v="278.00884545454551"/>
    <n v="13.486209093000005"/>
    <n v="78.75"/>
    <n v="862.87672869300013"/>
    <n v="41.089368033000007"/>
    <n v="466.92463673863648"/>
    <n v="311.28309115909099"/>
  </r>
  <r>
    <s v="30/08/2026"/>
    <s v="M"/>
    <s v="[1062] RAMGADH"/>
    <s v="[8404] CHANDESH"/>
    <x v="51"/>
    <x v="51"/>
    <x v="51"/>
    <s v="B"/>
    <n v="25"/>
    <n v="5.8"/>
    <n v="8.8000000000000007"/>
    <n v="1.45"/>
    <n v="2.2000000000000002"/>
    <n v="47.945700000000002"/>
    <n v="1198.6425000000002"/>
    <n v="410.96314285714288"/>
    <n v="273.97542857142861"/>
    <n v="20.976243750000005"/>
    <n v="93.75"/>
    <n v="1313.3687437500002"/>
    <n v="52.53474975000001"/>
    <n v="450.29785500000008"/>
    <n v="300.19857000000007"/>
  </r>
  <r>
    <s v="30/08/2026"/>
    <s v="M"/>
    <s v="[1062] RAMGADH"/>
    <s v="[8404] CHANDESH"/>
    <x v="51"/>
    <x v="51"/>
    <x v="51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30/08/2026"/>
    <s v="E"/>
    <s v="[1062] RAMGADH"/>
    <s v="[8404] CHANDESH"/>
    <x v="51"/>
    <x v="51"/>
    <x v="51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30/08/2026"/>
    <s v="E"/>
    <s v="[1062] RAMGADH"/>
    <s v="[8404] CHANDESH"/>
    <x v="51"/>
    <x v="51"/>
    <x v="5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31/08/2026"/>
    <s v="M"/>
    <s v="[1062] RAMGADH"/>
    <s v="[8404] CHANDESH"/>
    <x v="51"/>
    <x v="51"/>
    <x v="51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31/08/2026"/>
    <s v="E"/>
    <s v="[1062] RAMGADH"/>
    <s v="[8404] CHANDESH"/>
    <x v="51"/>
    <x v="51"/>
    <x v="51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31/08/2026"/>
    <s v="E"/>
    <s v="[1062] RAMGADH"/>
    <s v="[8404] CHANDESH"/>
    <x v="51"/>
    <x v="51"/>
    <x v="5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1/09/2026"/>
    <s v="M"/>
    <s v="[1062] RAMGADH"/>
    <s v="[8404] CHANDESH"/>
    <x v="51"/>
    <x v="51"/>
    <x v="51"/>
    <s v="B"/>
    <n v="27"/>
    <n v="5.6"/>
    <n v="9"/>
    <n v="1.5119999999999998"/>
    <n v="2.4300000000000002"/>
    <n v="46.76"/>
    <n v="1262.52"/>
    <n v="403.10344827586209"/>
    <n v="268.73563218390808"/>
    <n v="22.094100000000001"/>
    <n v="101.25"/>
    <n v="1385.8641"/>
    <n v="51.328299999999999"/>
    <n v="442.48534482758623"/>
    <n v="294.99022988505749"/>
  </r>
  <r>
    <s v="01/09/2026"/>
    <s v="M"/>
    <s v="[1062] RAMGADH"/>
    <s v="[8404] CHANDESH"/>
    <x v="51"/>
    <x v="51"/>
    <x v="5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1/09/2026"/>
    <s v="E"/>
    <s v="[1062] RAMGADH"/>
    <s v="[8404] CHANDESH"/>
    <x v="51"/>
    <x v="51"/>
    <x v="51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01/09/2026"/>
    <s v="E"/>
    <s v="[1062] RAMGADH"/>
    <s v="[8404] CHANDESH"/>
    <x v="51"/>
    <x v="51"/>
    <x v="5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2/09/2026"/>
    <s v="M"/>
    <s v="[1062] RAMGADH"/>
    <s v="[8404] CHANDESH"/>
    <x v="51"/>
    <x v="51"/>
    <x v="51"/>
    <s v="B"/>
    <n v="32"/>
    <n v="5.7"/>
    <n v="9"/>
    <n v="1.8240000000000001"/>
    <n v="2.88"/>
    <n v="47.594999999999999"/>
    <n v="1523.04"/>
    <n v="406.79487179487182"/>
    <n v="271.19658119658123"/>
    <n v="26.653200000000002"/>
    <n v="120"/>
    <n v="1669.6931999999999"/>
    <n v="52.177912499999998"/>
    <n v="445.9650641025641"/>
    <n v="297.31004273504271"/>
  </r>
  <r>
    <s v="02/09/2026"/>
    <s v="M"/>
    <s v="[1062] RAMGADH"/>
    <s v="[8404] CHANDESH"/>
    <x v="51"/>
    <x v="51"/>
    <x v="5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2/09/2026"/>
    <s v="E"/>
    <s v="[1062] RAMGADH"/>
    <s v="[8404] CHANDESH"/>
    <x v="51"/>
    <x v="51"/>
    <x v="51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02/09/2026"/>
    <s v="E"/>
    <s v="[1062] RAMGADH"/>
    <s v="[8404] CHANDESH"/>
    <x v="51"/>
    <x v="51"/>
    <x v="5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9/2026"/>
    <s v="M"/>
    <s v="[1062] RAMGADH"/>
    <s v="[8404] CHANDESH"/>
    <x v="51"/>
    <x v="51"/>
    <x v="51"/>
    <s v="B"/>
    <n v="33"/>
    <n v="5.6"/>
    <n v="9"/>
    <n v="1.8479999999999999"/>
    <n v="2.97"/>
    <n v="46.76"/>
    <n v="1543.08"/>
    <n v="403.10344827586209"/>
    <n v="268.73563218390808"/>
    <n v="27.003900000000002"/>
    <n v="123.75"/>
    <n v="1693.8338999999999"/>
    <n v="51.328299999999999"/>
    <n v="442.48534482758623"/>
    <n v="294.99022988505749"/>
  </r>
  <r>
    <s v="03/09/2026"/>
    <s v="M"/>
    <s v="[1062] RAMGADH"/>
    <s v="[8404] CHANDESH"/>
    <x v="51"/>
    <x v="51"/>
    <x v="5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3/09/2026"/>
    <s v="E"/>
    <s v="[1062] RAMGADH"/>
    <s v="[8404] CHANDESH"/>
    <x v="51"/>
    <x v="51"/>
    <x v="51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03/09/2026"/>
    <s v="E"/>
    <s v="[1062] RAMGADH"/>
    <s v="[8404] CHANDESH"/>
    <x v="51"/>
    <x v="51"/>
    <x v="5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8/08/2026"/>
    <s v="M"/>
    <s v="[1062] RAMGADH"/>
    <s v="[8401] DURGAWATI"/>
    <x v="52"/>
    <x v="52"/>
    <x v="52"/>
    <s v="C"/>
    <n v="7"/>
    <n v="3.6"/>
    <n v="8.4"/>
    <n v="0.252"/>
    <n v="0.58800000000000008"/>
    <n v="38.365167600000007"/>
    <n v="268.55617320000005"/>
    <n v="417.01269130434792"/>
    <n v="278.00846086956528"/>
    <n v="4.6997330310000009"/>
    <n v="26.25"/>
    <n v="299.50590623100004"/>
    <n v="42.786558033000006"/>
    <n v="465.07128296739137"/>
    <n v="310.04752197826093"/>
  </r>
  <r>
    <s v="29/08/2026"/>
    <s v="M"/>
    <s v="[1062] RAMGADH"/>
    <s v="[8401] DURGAWATI"/>
    <x v="52"/>
    <x v="52"/>
    <x v="52"/>
    <s v="C"/>
    <n v="13"/>
    <n v="4"/>
    <n v="8.3000000000000007"/>
    <n v="0.52"/>
    <n v="1.079"/>
    <n v="39.755153700000008"/>
    <n v="516.81699810000009"/>
    <n v="417.01210174825178"/>
    <n v="278.00806783216785"/>
    <n v="9.0442974667500025"/>
    <n v="48.75"/>
    <n v="574.61129556675007"/>
    <n v="44.200868889750005"/>
    <n v="463.6454778645105"/>
    <n v="309.096985243007"/>
  </r>
  <r>
    <s v="30/08/2026"/>
    <s v="M"/>
    <s v="[1062] RAMGADH"/>
    <s v="[8401] DURGAWATI"/>
    <x v="52"/>
    <x v="52"/>
    <x v="52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31/08/2026"/>
    <s v="M"/>
    <s v="[1062] RAMGADH"/>
    <s v="[8401] DURGAWATI"/>
    <x v="52"/>
    <x v="52"/>
    <x v="52"/>
    <s v="C"/>
    <n v="10"/>
    <n v="3.9"/>
    <n v="8.1999999999999993"/>
    <n v="0.39"/>
    <n v="0.82"/>
    <n v="39.060139800000002"/>
    <n v="390.60139800000002"/>
    <n v="417.01216868327407"/>
    <n v="278.00811245551603"/>
    <n v="6.8355244650000007"/>
    <n v="37.5"/>
    <n v="434.93692246500001"/>
    <n v="43.493692246500004"/>
    <n v="464.34546882384348"/>
    <n v="309.5636458825623"/>
  </r>
  <r>
    <s v="01/09/2026"/>
    <s v="M"/>
    <s v="[1062] RAMGADH"/>
    <s v="[8401] DURGAWATI"/>
    <x v="52"/>
    <x v="52"/>
    <x v="52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01/09/2026"/>
    <s v="E"/>
    <s v="[1062] RAMGADH"/>
    <s v="[8401] DURGAWATI"/>
    <x v="52"/>
    <x v="52"/>
    <x v="52"/>
    <s v="B"/>
    <n v="3"/>
    <n v="9"/>
    <n v="9"/>
    <n v="0.27"/>
    <n v="0.27"/>
    <n v="75.149999999999991"/>
    <n v="225.45"/>
    <n v="500.99999999999994"/>
    <n v="333.99999999999994"/>
    <n v="3.9453750000000003"/>
    <n v="11.25"/>
    <n v="240.645375"/>
    <n v="80.215125"/>
    <n v="534.76750000000004"/>
    <n v="356.51166666666671"/>
  </r>
  <r>
    <s v="02/09/2026"/>
    <s v="M"/>
    <s v="[1062] RAMGADH"/>
    <s v="[8401] DURGAWATI"/>
    <x v="52"/>
    <x v="52"/>
    <x v="52"/>
    <s v="C"/>
    <n v="11"/>
    <n v="4"/>
    <n v="8.3000000000000007"/>
    <n v="0.44"/>
    <n v="0.91300000000000014"/>
    <n v="39.755153700000008"/>
    <n v="437.3066907000001"/>
    <n v="417.01210174825178"/>
    <n v="278.00806783216785"/>
    <n v="7.6528670872500024"/>
    <n v="41.25"/>
    <n v="486.20955778725011"/>
    <n v="44.200868889750012"/>
    <n v="463.64547786451061"/>
    <n v="309.09698524300705"/>
  </r>
  <r>
    <s v="02/09/2026"/>
    <s v="E"/>
    <s v="[1062] RAMGADH"/>
    <s v="[8401] DURGAWATI"/>
    <x v="52"/>
    <x v="52"/>
    <x v="52"/>
    <s v="B"/>
    <n v="4"/>
    <n v="9.5"/>
    <n v="9"/>
    <n v="0.38"/>
    <n v="0.36"/>
    <n v="79.325000000000003"/>
    <n v="317.3"/>
    <n v="511.77419354838713"/>
    <n v="341.18279569892474"/>
    <n v="5.5527500000000005"/>
    <n v="15"/>
    <n v="337.85275000000001"/>
    <n v="84.463187500000004"/>
    <n v="544.92379032258066"/>
    <n v="363.28252688172046"/>
  </r>
  <r>
    <s v="03/09/2026"/>
    <s v="M"/>
    <s v="[1062] RAMGADH"/>
    <s v="[8401] DURGAWATI"/>
    <x v="52"/>
    <x v="52"/>
    <x v="52"/>
    <s v="C"/>
    <n v="11"/>
    <n v="3.7"/>
    <n v="8.3000000000000007"/>
    <n v="0.40700000000000003"/>
    <n v="0.91300000000000014"/>
    <n v="38.504153700000003"/>
    <n v="423.54569070000002"/>
    <n v="417.01249494584835"/>
    <n v="278.00832996389892"/>
    <n v="7.4120495872500012"/>
    <n v="41.25"/>
    <n v="472.20774028725003"/>
    <n v="42.92797638975"/>
    <n v="464.923932018953"/>
    <n v="309.94928801263535"/>
  </r>
  <r>
    <s v="03/09/2026"/>
    <s v="E"/>
    <s v="[1062] RAMGADH"/>
    <s v="[8401] DURGAWATI"/>
    <x v="52"/>
    <x v="52"/>
    <x v="52"/>
    <s v="B"/>
    <n v="3"/>
    <n v="9"/>
    <n v="9"/>
    <n v="0.27"/>
    <n v="0.27"/>
    <n v="75.149999999999991"/>
    <n v="225.45"/>
    <n v="500.99999999999994"/>
    <n v="333.99999999999994"/>
    <n v="3.9453750000000003"/>
    <n v="11.25"/>
    <n v="240.645375"/>
    <n v="80.215125"/>
    <n v="534.76750000000004"/>
    <n v="356.51166666666671"/>
  </r>
  <r>
    <s v="28/08/2026"/>
    <s v="M"/>
    <s v="[1062] RAMGADH"/>
    <s v="[8404] CHANDESH"/>
    <x v="53"/>
    <x v="53"/>
    <x v="53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8/08/2026"/>
    <s v="E"/>
    <s v="[1062] RAMGADH"/>
    <s v="[8404] CHANDESH"/>
    <x v="53"/>
    <x v="53"/>
    <x v="53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28/08/2026"/>
    <s v="E"/>
    <s v="[1062] RAMGADH"/>
    <s v="[8404] CHANDESH"/>
    <x v="53"/>
    <x v="53"/>
    <x v="53"/>
    <s v="C"/>
    <n v="9"/>
    <n v="4"/>
    <n v="8.4"/>
    <n v="0.36"/>
    <n v="0.75600000000000012"/>
    <n v="40.033167600000006"/>
    <n v="360.29850840000006"/>
    <n v="417.01216250000004"/>
    <n v="278.00810833333338"/>
    <n v="6.3052238970000021"/>
    <n v="33.75"/>
    <n v="400.35373229700008"/>
    <n v="44.483748033000012"/>
    <n v="463.37237534375009"/>
    <n v="308.91491689583341"/>
  </r>
  <r>
    <s v="29/08/2026"/>
    <s v="M"/>
    <s v="[1062] RAMGADH"/>
    <s v="[8404] CHANDESH"/>
    <x v="53"/>
    <x v="53"/>
    <x v="53"/>
    <s v="B"/>
    <n v="18"/>
    <n v="7.1"/>
    <n v="9"/>
    <n v="1.278"/>
    <n v="1.62"/>
    <n v="59.284999999999997"/>
    <n v="1067.1299999999999"/>
    <n v="452.55725190839689"/>
    <n v="301.70483460559791"/>
    <n v="18.674775"/>
    <n v="67.5"/>
    <n v="1153.3047749999998"/>
    <n v="64.072487499999994"/>
    <n v="489.10295801526712"/>
    <n v="326.06863867684473"/>
  </r>
  <r>
    <s v="29/08/2026"/>
    <s v="M"/>
    <s v="[1062] RAMGADH"/>
    <s v="[8404] CHANDESH"/>
    <x v="53"/>
    <x v="53"/>
    <x v="53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29/08/2026"/>
    <s v="E"/>
    <s v="[1062] RAMGADH"/>
    <s v="[8404] CHANDESH"/>
    <x v="53"/>
    <x v="53"/>
    <x v="53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29/08/2026"/>
    <s v="E"/>
    <s v="[1062] RAMGADH"/>
    <s v="[8404] CHANDESH"/>
    <x v="53"/>
    <x v="53"/>
    <x v="53"/>
    <s v="C"/>
    <n v="24"/>
    <n v="3.9"/>
    <n v="8.4"/>
    <n v="0.93599999999999994"/>
    <n v="2.016"/>
    <n v="39.616167600000011"/>
    <n v="950.78802240000027"/>
    <n v="417.01229052631589"/>
    <n v="278.0081936842106"/>
    <n v="16.638790392000008"/>
    <n v="90"/>
    <n v="1057.4268127920002"/>
    <n v="44.05945053300001"/>
    <n v="463.78368982105275"/>
    <n v="309.18912654736852"/>
  </r>
  <r>
    <s v="30/08/2026"/>
    <s v="M"/>
    <s v="[1062] RAMGADH"/>
    <s v="[8404] CHANDESH"/>
    <x v="53"/>
    <x v="53"/>
    <x v="53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30/08/2026"/>
    <s v="M"/>
    <s v="[1062] RAMGADH"/>
    <s v="[8404] CHANDESH"/>
    <x v="53"/>
    <x v="53"/>
    <x v="53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30/08/2026"/>
    <s v="E"/>
    <s v="[1062] RAMGADH"/>
    <s v="[8404] CHANDESH"/>
    <x v="53"/>
    <x v="53"/>
    <x v="53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30/08/2026"/>
    <s v="E"/>
    <s v="[1062] RAMGADH"/>
    <s v="[8404] CHANDESH"/>
    <x v="53"/>
    <x v="53"/>
    <x v="53"/>
    <s v="C"/>
    <n v="16"/>
    <n v="3.3"/>
    <n v="8.3000000000000007"/>
    <n v="0.52800000000000002"/>
    <n v="1.3280000000000001"/>
    <n v="36.836153700000004"/>
    <n v="589.37845920000007"/>
    <n v="417.01306075471695"/>
    <n v="278.00870716981132"/>
    <n v="10.314123036000002"/>
    <n v="60"/>
    <n v="659.69258223600002"/>
    <n v="41.230786389750001"/>
    <n v="466.76361950660373"/>
    <n v="311.1757463377358"/>
  </r>
  <r>
    <s v="31/08/2026"/>
    <s v="M"/>
    <s v="[1062] RAMGADH"/>
    <s v="[8404] CHANDESH"/>
    <x v="53"/>
    <x v="53"/>
    <x v="53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31/08/2026"/>
    <s v="M"/>
    <s v="[1062] RAMGADH"/>
    <s v="[8404] CHANDESH"/>
    <x v="53"/>
    <x v="53"/>
    <x v="53"/>
    <s v="C"/>
    <n v="37"/>
    <n v="3.9"/>
    <n v="8.5"/>
    <n v="1.4429999999999998"/>
    <n v="3.145"/>
    <n v="39.894181500000002"/>
    <n v="1476.0847155000001"/>
    <n v="417.01235017421601"/>
    <n v="278.00823344947736"/>
    <n v="25.831482521250006"/>
    <n v="138.75"/>
    <n v="1640.6661980212502"/>
    <n v="44.342329676250003"/>
    <n v="463.50867257404178"/>
    <n v="309.00578171602785"/>
  </r>
  <r>
    <s v="31/08/2026"/>
    <s v="E"/>
    <s v="[1062] RAMGADH"/>
    <s v="[8404] CHANDESH"/>
    <x v="53"/>
    <x v="53"/>
    <x v="53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31/08/2026"/>
    <s v="E"/>
    <s v="[1062] RAMGADH"/>
    <s v="[8404] CHANDESH"/>
    <x v="53"/>
    <x v="53"/>
    <x v="53"/>
    <s v="C"/>
    <n v="16"/>
    <n v="3.8"/>
    <n v="8.1999999999999993"/>
    <n v="0.60799999999999998"/>
    <n v="1.3119999999999998"/>
    <n v="38.6431398"/>
    <n v="618.2902368"/>
    <n v="417.01230000000004"/>
    <n v="278.00820000000004"/>
    <n v="10.820079144000001"/>
    <n v="60"/>
    <n v="689.11031594400004"/>
    <n v="43.069394746500002"/>
    <n v="464.77764114928061"/>
    <n v="309.85176076618706"/>
  </r>
  <r>
    <s v="01/09/2026"/>
    <s v="M"/>
    <s v="[1062] RAMGADH"/>
    <s v="[8404] CHANDESH"/>
    <x v="53"/>
    <x v="53"/>
    <x v="53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01/09/2026"/>
    <s v="M"/>
    <s v="[1062] RAMGADH"/>
    <s v="[8404] CHANDESH"/>
    <x v="53"/>
    <x v="53"/>
    <x v="53"/>
    <s v="C"/>
    <n v="34"/>
    <n v="4.3"/>
    <n v="8.5"/>
    <n v="1.462"/>
    <n v="2.89"/>
    <n v="41.562181500000001"/>
    <n v="1413.1141709999999"/>
    <n v="417.01185451505017"/>
    <n v="278.00790301003343"/>
    <n v="24.729497992500001"/>
    <n v="127.5"/>
    <n v="1565.3436689924999"/>
    <n v="46.039519676249995"/>
    <n v="461.93498002926418"/>
    <n v="307.95665335284281"/>
  </r>
  <r>
    <s v="01/09/2026"/>
    <s v="E"/>
    <s v="[1062] RAMGADH"/>
    <s v="[8404] CHANDESH"/>
    <x v="53"/>
    <x v="53"/>
    <x v="53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01/09/2026"/>
    <s v="E"/>
    <s v="[1062] RAMGADH"/>
    <s v="[8404] CHANDESH"/>
    <x v="53"/>
    <x v="53"/>
    <x v="53"/>
    <s v="C"/>
    <n v="17"/>
    <n v="3.8"/>
    <n v="8.1999999999999993"/>
    <n v="0.64599999999999991"/>
    <n v="1.3939999999999997"/>
    <n v="38.6431398"/>
    <n v="656.93337659999997"/>
    <n v="417.01230000000004"/>
    <n v="278.00820000000004"/>
    <n v="11.496334090500001"/>
    <n v="63.75"/>
    <n v="732.17971069049997"/>
    <n v="43.069394746499995"/>
    <n v="464.77764114928056"/>
    <n v="309.85176076618706"/>
  </r>
  <r>
    <s v="02/09/2026"/>
    <s v="M"/>
    <s v="[1062] RAMGADH"/>
    <s v="[8404] CHANDESH"/>
    <x v="53"/>
    <x v="53"/>
    <x v="53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02/09/2026"/>
    <s v="M"/>
    <s v="[1062] RAMGADH"/>
    <s v="[8404] CHANDESH"/>
    <x v="53"/>
    <x v="53"/>
    <x v="53"/>
    <s v="C"/>
    <n v="32"/>
    <n v="4.3"/>
    <n v="8.3000000000000007"/>
    <n v="1.3759999999999999"/>
    <n v="2.6560000000000001"/>
    <n v="41.006153699999999"/>
    <n v="1312.1969184"/>
    <n v="417.0117325423729"/>
    <n v="278.00782169491526"/>
    <n v="22.963446072"/>
    <n v="120"/>
    <n v="1455.1603644719999"/>
    <n v="45.473761389749995"/>
    <n v="462.44503108220334"/>
    <n v="308.29668738813558"/>
  </r>
  <r>
    <s v="02/09/2026"/>
    <s v="E"/>
    <s v="[1062] RAMGADH"/>
    <s v="[8404] CHANDESH"/>
    <x v="53"/>
    <x v="53"/>
    <x v="53"/>
    <s v="B"/>
    <n v="12"/>
    <n v="8.5"/>
    <n v="9"/>
    <n v="1.02"/>
    <n v="1.08"/>
    <n v="70.975000000000009"/>
    <n v="851.7"/>
    <n v="489.48275862068965"/>
    <n v="326.32183908045977"/>
    <n v="14.904750000000002"/>
    <n v="45"/>
    <n v="911.60475000000008"/>
    <n v="75.967062500000011"/>
    <n v="523.91077586206893"/>
    <n v="349.27385057471264"/>
  </r>
  <r>
    <s v="02/09/2026"/>
    <s v="E"/>
    <s v="[1062] RAMGADH"/>
    <s v="[8404] CHANDESH"/>
    <x v="53"/>
    <x v="53"/>
    <x v="53"/>
    <s v="C"/>
    <n v="22"/>
    <n v="3.7"/>
    <n v="8.3000000000000007"/>
    <n v="0.81400000000000006"/>
    <n v="1.8260000000000003"/>
    <n v="38.504153700000003"/>
    <n v="847.09138140000005"/>
    <n v="417.01249494584835"/>
    <n v="278.00832996389892"/>
    <n v="14.824099174500002"/>
    <n v="82.5"/>
    <n v="944.41548057450007"/>
    <n v="42.92797638975"/>
    <n v="464.923932018953"/>
    <n v="309.94928801263535"/>
  </r>
  <r>
    <s v="03/09/2026"/>
    <s v="M"/>
    <s v="[1062] RAMGADH"/>
    <s v="[8404] CHANDESH"/>
    <x v="53"/>
    <x v="53"/>
    <x v="53"/>
    <s v="B"/>
    <n v="14"/>
    <n v="7.9"/>
    <n v="9"/>
    <n v="1.1060000000000001"/>
    <n v="1.26"/>
    <n v="65.965000000000003"/>
    <n v="923.51"/>
    <n v="474.56834532374097"/>
    <n v="316.37889688249396"/>
    <n v="16.161425000000001"/>
    <n v="52.5"/>
    <n v="992.171425"/>
    <n v="70.869387500000002"/>
    <n v="509.85170863309349"/>
    <n v="339.901139088729"/>
  </r>
  <r>
    <s v="03/09/2026"/>
    <s v="M"/>
    <s v="[1062] RAMGADH"/>
    <s v="[8404] CHANDESH"/>
    <x v="53"/>
    <x v="53"/>
    <x v="53"/>
    <s v="C"/>
    <n v="34"/>
    <n v="4"/>
    <n v="8.1999999999999993"/>
    <n v="1.36"/>
    <n v="2.7879999999999994"/>
    <n v="39.477139800000003"/>
    <n v="1342.2227532000002"/>
    <n v="417.0120401408451"/>
    <n v="278.00802676056338"/>
    <n v="23.488898181000007"/>
    <n v="127.5"/>
    <n v="1493.2116513810001"/>
    <n v="43.917989746500005"/>
    <n v="463.92242689964797"/>
    <n v="309.28161793309863"/>
  </r>
  <r>
    <s v="03/09/2026"/>
    <s v="E"/>
    <s v="[1062] RAMGADH"/>
    <s v="[8404] CHANDESH"/>
    <x v="53"/>
    <x v="53"/>
    <x v="53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3/09/2026"/>
    <s v="E"/>
    <s v="[1062] RAMGADH"/>
    <s v="[8404] CHANDESH"/>
    <x v="53"/>
    <x v="53"/>
    <x v="53"/>
    <s v="C"/>
    <n v="16"/>
    <n v="3.4"/>
    <n v="8.4"/>
    <n v="0.54400000000000004"/>
    <n v="1.3440000000000001"/>
    <n v="37.531167600000003"/>
    <n v="600.49868160000005"/>
    <n v="417.01297333333338"/>
    <n v="278.0086488888889"/>
    <n v="10.508726928000002"/>
    <n v="60"/>
    <n v="671.00740852800004"/>
    <n v="41.937963033000003"/>
    <n v="465.97736703333339"/>
    <n v="310.65157802222228"/>
  </r>
  <r>
    <s v="28/08/2026"/>
    <s v="M"/>
    <s v="[1062] RAMGADH"/>
    <s v="[8404] CHANDESH"/>
    <x v="54"/>
    <x v="54"/>
    <x v="54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8/08/2026"/>
    <s v="E"/>
    <s v="[1062] RAMGADH"/>
    <s v="[8404] CHANDESH"/>
    <x v="54"/>
    <x v="54"/>
    <x v="54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9/08/2026"/>
    <s v="M"/>
    <s v="[1062] RAMGADH"/>
    <s v="[8404] CHANDESH"/>
    <x v="54"/>
    <x v="54"/>
    <x v="54"/>
    <s v="B"/>
    <n v="56"/>
    <n v="7"/>
    <n v="9"/>
    <n v="3.92"/>
    <n v="5.04"/>
    <n v="58.45"/>
    <n v="3273.2000000000003"/>
    <n v="449.61538461538464"/>
    <n v="299.74358974358978"/>
    <n v="57.281000000000013"/>
    <n v="210"/>
    <n v="3540.4810000000002"/>
    <n v="63.222875000000002"/>
    <n v="486.32980769230767"/>
    <n v="324.21987179487178"/>
  </r>
  <r>
    <s v="29/08/2026"/>
    <s v="E"/>
    <s v="[1062] RAMGADH"/>
    <s v="[8404] CHANDESH"/>
    <x v="54"/>
    <x v="54"/>
    <x v="54"/>
    <s v="B"/>
    <n v="55"/>
    <n v="7.3"/>
    <n v="9"/>
    <n v="4.0149999999999997"/>
    <n v="4.95"/>
    <n v="60.954999999999998"/>
    <n v="3352.5250000000001"/>
    <n v="458.30827067669168"/>
    <n v="305.53884711779443"/>
    <n v="58.669187500000007"/>
    <n v="206.25"/>
    <n v="3617.4441875000002"/>
    <n v="65.771712500000007"/>
    <n v="494.52415413533839"/>
    <n v="329.68276942355891"/>
  </r>
  <r>
    <s v="30/08/2026"/>
    <s v="M"/>
    <s v="[1062] RAMGADH"/>
    <s v="[8404] CHANDESH"/>
    <x v="54"/>
    <x v="54"/>
    <x v="54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30/08/2026"/>
    <s v="E"/>
    <s v="[1062] RAMGADH"/>
    <s v="[8404] CHANDESH"/>
    <x v="54"/>
    <x v="54"/>
    <x v="54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31/08/2026"/>
    <s v="M"/>
    <s v="[1062] RAMGADH"/>
    <s v="[8404] CHANDESH"/>
    <x v="54"/>
    <x v="54"/>
    <x v="54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31/08/2026"/>
    <s v="E"/>
    <s v="[1062] RAMGADH"/>
    <s v="[8404] CHANDESH"/>
    <x v="54"/>
    <x v="54"/>
    <x v="54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01/09/2026"/>
    <s v="M"/>
    <s v="[1062] RAMGADH"/>
    <s v="[8404] CHANDESH"/>
    <x v="54"/>
    <x v="54"/>
    <x v="54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01/09/2026"/>
    <s v="E"/>
    <s v="[1062] RAMGADH"/>
    <s v="[8404] CHANDESH"/>
    <x v="54"/>
    <x v="54"/>
    <x v="54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02/09/2026"/>
    <s v="M"/>
    <s v="[1062] RAMGADH"/>
    <s v="[8404] CHANDESH"/>
    <x v="54"/>
    <x v="54"/>
    <x v="54"/>
    <s v="B"/>
    <n v="56"/>
    <n v="6.8"/>
    <n v="9"/>
    <n v="3.8080000000000003"/>
    <n v="5.04"/>
    <n v="56.78"/>
    <n v="3179.6800000000003"/>
    <n v="443.59375"/>
    <n v="295.72916666666669"/>
    <n v="55.644400000000012"/>
    <n v="210"/>
    <n v="3445.3244000000004"/>
    <n v="61.523650000000011"/>
    <n v="480.65351562500007"/>
    <n v="320.43567708333336"/>
  </r>
  <r>
    <s v="02/09/2026"/>
    <s v="E"/>
    <s v="[1062] RAMGADH"/>
    <s v="[8404] CHANDESH"/>
    <x v="54"/>
    <x v="54"/>
    <x v="54"/>
    <s v="B"/>
    <n v="56"/>
    <n v="7"/>
    <n v="9"/>
    <n v="3.92"/>
    <n v="5.04"/>
    <n v="58.45"/>
    <n v="3273.2000000000003"/>
    <n v="449.61538461538464"/>
    <n v="299.74358974358978"/>
    <n v="57.281000000000013"/>
    <n v="210"/>
    <n v="3540.4810000000002"/>
    <n v="63.222875000000002"/>
    <n v="486.32980769230767"/>
    <n v="324.21987179487178"/>
  </r>
  <r>
    <s v="03/09/2026"/>
    <s v="M"/>
    <s v="[1062] RAMGADH"/>
    <s v="[8404] CHANDESH"/>
    <x v="54"/>
    <x v="54"/>
    <x v="54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03/09/2026"/>
    <s v="E"/>
    <s v="[1062] RAMGADH"/>
    <s v="[8404] CHANDESH"/>
    <x v="54"/>
    <x v="54"/>
    <x v="5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8/08/2026"/>
    <s v="E"/>
    <s v="[1062] RAMGADH"/>
    <s v="[8401] DURGAWATI"/>
    <x v="55"/>
    <x v="55"/>
    <x v="55"/>
    <s v="B"/>
    <n v="24"/>
    <n v="5.8"/>
    <n v="9"/>
    <n v="1.3919999999999999"/>
    <n v="2.16"/>
    <n v="48.43"/>
    <n v="1162.32"/>
    <n v="410.42372881355936"/>
    <n v="273.61581920903956"/>
    <n v="20.340600000000002"/>
    <n v="90"/>
    <n v="1272.6605999999999"/>
    <n v="53.027524999999997"/>
    <n v="449.38580508474575"/>
    <n v="299.59053672316384"/>
  </r>
  <r>
    <s v="29/08/2026"/>
    <s v="M"/>
    <s v="[1062] RAMGADH"/>
    <s v="[8401] DURGAWATI"/>
    <x v="55"/>
    <x v="55"/>
    <x v="55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9/08/2026"/>
    <s v="E"/>
    <s v="[1062] RAMGADH"/>
    <s v="[8401] DURGAWATI"/>
    <x v="55"/>
    <x v="55"/>
    <x v="55"/>
    <s v="B"/>
    <n v="37"/>
    <n v="6.3"/>
    <n v="9"/>
    <n v="2.331"/>
    <n v="3.33"/>
    <n v="52.604999999999997"/>
    <n v="1946.385"/>
    <n v="427.6829268292683"/>
    <n v="285.1219512195122"/>
    <n v="34.0617375"/>
    <n v="138.75"/>
    <n v="2119.1967374999999"/>
    <n v="57.2755875"/>
    <n v="465.6551829268293"/>
    <n v="310.43678861788618"/>
  </r>
  <r>
    <s v="30/08/2026"/>
    <s v="M"/>
    <s v="[1062] RAMGADH"/>
    <s v="[8401] DURGAWATI"/>
    <x v="55"/>
    <x v="55"/>
    <x v="55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30/08/2026"/>
    <s v="E"/>
    <s v="[1062] RAMGADH"/>
    <s v="[8401] DURGAWATI"/>
    <x v="55"/>
    <x v="55"/>
    <x v="55"/>
    <s v="B"/>
    <n v="35"/>
    <n v="6.4"/>
    <n v="9"/>
    <n v="2.2400000000000002"/>
    <n v="3.15"/>
    <n v="53.44"/>
    <n v="1870.3999999999999"/>
    <n v="430.96774193548384"/>
    <n v="287.31182795698925"/>
    <n v="32.731999999999999"/>
    <n v="131.25"/>
    <n v="2034.3819999999998"/>
    <n v="58.125199999999992"/>
    <n v="468.75161290322575"/>
    <n v="312.50107526881715"/>
  </r>
  <r>
    <s v="31/08/2026"/>
    <s v="M"/>
    <s v="[1062] RAMGADH"/>
    <s v="[8401] DURGAWATI"/>
    <x v="55"/>
    <x v="55"/>
    <x v="55"/>
    <s v="B"/>
    <n v="20"/>
    <n v="6.6"/>
    <n v="9"/>
    <n v="1.32"/>
    <n v="1.8"/>
    <n v="55.11"/>
    <n v="1102.2"/>
    <n v="437.38095238095235"/>
    <n v="291.58730158730157"/>
    <n v="19.288500000000003"/>
    <n v="75"/>
    <n v="1196.4884999999999"/>
    <n v="59.824424999999998"/>
    <n v="474.79702380952381"/>
    <n v="316.5313492063492"/>
  </r>
  <r>
    <s v="31/08/2026"/>
    <s v="E"/>
    <s v="[1062] RAMGADH"/>
    <s v="[8401] DURGAWATI"/>
    <x v="55"/>
    <x v="55"/>
    <x v="55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1/09/2026"/>
    <s v="M"/>
    <s v="[1062] RAMGADH"/>
    <s v="[8401] DURGAWATI"/>
    <x v="55"/>
    <x v="55"/>
    <x v="55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01/09/2026"/>
    <s v="E"/>
    <s v="[1062] RAMGADH"/>
    <s v="[8401] DURGAWATI"/>
    <x v="55"/>
    <x v="55"/>
    <x v="55"/>
    <s v="B"/>
    <n v="40"/>
    <n v="6.3"/>
    <n v="9"/>
    <n v="2.52"/>
    <n v="3.6"/>
    <n v="52.604999999999997"/>
    <n v="2104.1999999999998"/>
    <n v="427.6829268292683"/>
    <n v="285.1219512195122"/>
    <n v="36.823500000000003"/>
    <n v="150"/>
    <n v="2291.0234999999998"/>
    <n v="57.275587499999993"/>
    <n v="465.65518292682924"/>
    <n v="310.43678861788618"/>
  </r>
  <r>
    <s v="02/09/2026"/>
    <s v="M"/>
    <s v="[1062] RAMGADH"/>
    <s v="[8401] DURGAWATI"/>
    <x v="55"/>
    <x v="55"/>
    <x v="55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02/09/2026"/>
    <s v="E"/>
    <s v="[1062] RAMGADH"/>
    <s v="[8401] DURGAWATI"/>
    <x v="55"/>
    <x v="55"/>
    <x v="55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3/09/2026"/>
    <s v="M"/>
    <s v="[1062] RAMGADH"/>
    <s v="[8401] DURGAWATI"/>
    <x v="55"/>
    <x v="55"/>
    <x v="55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03/09/2026"/>
    <s v="E"/>
    <s v="[1062] RAMGADH"/>
    <s v="[8401] DURGAWATI"/>
    <x v="55"/>
    <x v="55"/>
    <x v="55"/>
    <s v="B"/>
    <n v="37"/>
    <n v="6"/>
    <n v="9"/>
    <n v="2.2200000000000002"/>
    <n v="3.33"/>
    <n v="50.1"/>
    <n v="1853.7"/>
    <n v="417.5"/>
    <n v="278.33333333333331"/>
    <n v="32.439750000000004"/>
    <n v="138.75"/>
    <n v="2024.88975"/>
    <n v="54.726750000000003"/>
    <n v="456.05625000000003"/>
    <n v="304.03750000000002"/>
  </r>
  <r>
    <s v="28/08/2026"/>
    <s v="M"/>
    <s v="[1062] RAMGADH"/>
    <s v="[8402] RAMPUR"/>
    <x v="56"/>
    <x v="56"/>
    <x v="56"/>
    <s v="B"/>
    <n v="64"/>
    <n v="7.4"/>
    <n v="9"/>
    <n v="4.7360000000000007"/>
    <n v="5.76"/>
    <n v="61.790000000000006"/>
    <n v="3954.5600000000004"/>
    <n v="461.11940298507466"/>
    <n v="307.41293532338312"/>
    <n v="69.20480000000002"/>
    <n v="240"/>
    <n v="4263.7648000000008"/>
    <n v="66.621325000000013"/>
    <n v="497.17406716417918"/>
    <n v="331.44937810945277"/>
  </r>
  <r>
    <s v="28/08/2026"/>
    <s v="E"/>
    <s v="[1062] RAMGADH"/>
    <s v="[8402] RAMPUR"/>
    <x v="56"/>
    <x v="56"/>
    <x v="56"/>
    <s v="B"/>
    <n v="68"/>
    <n v="6"/>
    <n v="9"/>
    <n v="4.08"/>
    <n v="6.12"/>
    <n v="50.1"/>
    <n v="3406.8"/>
    <n v="417.5"/>
    <n v="278.33333333333331"/>
    <n v="59.619000000000007"/>
    <n v="255"/>
    <n v="3721.4190000000003"/>
    <n v="54.726750000000003"/>
    <n v="456.05625000000003"/>
    <n v="304.03750000000002"/>
  </r>
  <r>
    <s v="28/08/2026"/>
    <s v="E"/>
    <s v="[1062] RAMGADH"/>
    <s v="[8402] RAMPUR"/>
    <x v="56"/>
    <x v="56"/>
    <x v="56"/>
    <s v="C"/>
    <n v="18"/>
    <n v="3"/>
    <n v="8.1"/>
    <n v="0.54"/>
    <n v="1.4579999999999997"/>
    <n v="35.029125900000004"/>
    <n v="630.52426620000006"/>
    <n v="417.01340357142868"/>
    <n v="278.00893571428577"/>
    <n v="11.034174658500001"/>
    <n v="67.5"/>
    <n v="709.05844085850003"/>
    <n v="39.392135603250004"/>
    <n v="468.9539952767858"/>
    <n v="312.63599685119055"/>
  </r>
  <r>
    <s v="29/08/2026"/>
    <s v="M"/>
    <s v="[1062] RAMGADH"/>
    <s v="[8402] RAMPUR"/>
    <x v="56"/>
    <x v="56"/>
    <x v="56"/>
    <s v="B"/>
    <n v="129"/>
    <n v="6.4"/>
    <n v="9"/>
    <n v="8.2560000000000002"/>
    <n v="11.61"/>
    <n v="53.44"/>
    <n v="6893.7599999999993"/>
    <n v="430.96774193548384"/>
    <n v="287.31182795698925"/>
    <n v="120.6408"/>
    <n v="483.75"/>
    <n v="7498.1507999999994"/>
    <n v="58.125199999999992"/>
    <n v="468.75161290322575"/>
    <n v="312.50107526881715"/>
  </r>
  <r>
    <s v="29/08/2026"/>
    <s v="M"/>
    <s v="[1062] RAMGADH"/>
    <s v="[8402] RAMPUR"/>
    <x v="56"/>
    <x v="56"/>
    <x v="56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29/08/2026"/>
    <s v="E"/>
    <s v="[1062] RAMGADH"/>
    <s v="[8402] RAMPUR"/>
    <x v="56"/>
    <x v="56"/>
    <x v="56"/>
    <s v="B"/>
    <n v="110"/>
    <n v="5.6"/>
    <n v="8.8000000000000007"/>
    <n v="6.16"/>
    <n v="9.6800000000000015"/>
    <n v="46.292400000000001"/>
    <n v="5092.1639999999998"/>
    <n v="403.71279069767445"/>
    <n v="269.14186046511628"/>
    <n v="89.112870000000001"/>
    <n v="412.5"/>
    <n v="5593.7768699999997"/>
    <n v="50.852516999999999"/>
    <n v="443.48125290697675"/>
    <n v="295.65416860465115"/>
  </r>
  <r>
    <s v="30/08/2026"/>
    <s v="M"/>
    <s v="[1062] RAMGADH"/>
    <s v="[8402] RAMPUR"/>
    <x v="56"/>
    <x v="56"/>
    <x v="56"/>
    <s v="B"/>
    <n v="135"/>
    <n v="6.6"/>
    <n v="9"/>
    <n v="8.91"/>
    <n v="12.15"/>
    <n v="55.11"/>
    <n v="7439.85"/>
    <n v="437.38095238095235"/>
    <n v="291.58730158730157"/>
    <n v="130.19737500000002"/>
    <n v="506.25"/>
    <n v="8076.2973750000001"/>
    <n v="59.824424999999998"/>
    <n v="474.79702380952381"/>
    <n v="316.5313492063492"/>
  </r>
  <r>
    <s v="30/08/2026"/>
    <s v="M"/>
    <s v="[1062] RAMGADH"/>
    <s v="[8402] RAMPUR"/>
    <x v="56"/>
    <x v="56"/>
    <x v="56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30/08/2026"/>
    <s v="E"/>
    <s v="[1062] RAMGADH"/>
    <s v="[8402] RAMPUR"/>
    <x v="56"/>
    <x v="56"/>
    <x v="56"/>
    <s v="B"/>
    <n v="80"/>
    <n v="6"/>
    <n v="8.8000000000000007"/>
    <n v="4.8"/>
    <n v="7.04"/>
    <n v="49.599000000000004"/>
    <n v="3967.92"/>
    <n v="417.96910112359552"/>
    <n v="278.64606741573033"/>
    <n v="69.438600000000008"/>
    <n v="300"/>
    <n v="4337.3586000000005"/>
    <n v="54.216982500000007"/>
    <n v="456.8846839887641"/>
    <n v="304.58978932584273"/>
  </r>
  <r>
    <s v="30/08/2026"/>
    <s v="E"/>
    <s v="[1062] RAMGADH"/>
    <s v="[8402] RAMPUR"/>
    <x v="56"/>
    <x v="56"/>
    <x v="56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31/08/2026"/>
    <s v="M"/>
    <s v="[1062] RAMGADH"/>
    <s v="[8402] RAMPUR"/>
    <x v="56"/>
    <x v="56"/>
    <x v="56"/>
    <s v="B"/>
    <n v="142"/>
    <n v="6.3"/>
    <n v="9"/>
    <n v="8.9459999999999997"/>
    <n v="12.78"/>
    <n v="52.604999999999997"/>
    <n v="7469.91"/>
    <n v="427.6829268292683"/>
    <n v="285.1219512195122"/>
    <n v="130.72342500000002"/>
    <n v="532.5"/>
    <n v="8133.133425"/>
    <n v="57.2755875"/>
    <n v="465.6551829268293"/>
    <n v="310.43678861788618"/>
  </r>
  <r>
    <s v="31/08/2026"/>
    <s v="M"/>
    <s v="[1062] RAMGADH"/>
    <s v="[8402] RAMPUR"/>
    <x v="56"/>
    <x v="56"/>
    <x v="56"/>
    <s v="C"/>
    <n v="28"/>
    <n v="3.4"/>
    <n v="8.1"/>
    <n v="0.95200000000000007"/>
    <n v="2.2679999999999998"/>
    <n v="36.697125900000003"/>
    <n v="1027.5195252000001"/>
    <n v="417.01279431818188"/>
    <n v="278.00852954545456"/>
    <n v="17.981591691000002"/>
    <n v="105"/>
    <n v="1150.501116891"/>
    <n v="41.089325603250003"/>
    <n v="466.92415458238645"/>
    <n v="311.28276972159097"/>
  </r>
  <r>
    <s v="31/08/2026"/>
    <s v="E"/>
    <s v="[1062] RAMGADH"/>
    <s v="[8402] RAMPUR"/>
    <x v="56"/>
    <x v="56"/>
    <x v="56"/>
    <s v="B"/>
    <n v="79"/>
    <n v="6"/>
    <n v="9"/>
    <n v="4.74"/>
    <n v="7.11"/>
    <n v="50.1"/>
    <n v="3957.9"/>
    <n v="417.5"/>
    <n v="278.33333333333331"/>
    <n v="69.263250000000014"/>
    <n v="296.25"/>
    <n v="4323.4132500000005"/>
    <n v="54.72675000000001"/>
    <n v="456.05625000000009"/>
    <n v="304.03750000000008"/>
  </r>
  <r>
    <s v="31/08/2026"/>
    <s v="E"/>
    <s v="[1062] RAMGADH"/>
    <s v="[8402] RAMPUR"/>
    <x v="56"/>
    <x v="56"/>
    <x v="56"/>
    <s v="C"/>
    <n v="10"/>
    <n v="3.4"/>
    <n v="8.1999999999999993"/>
    <n v="0.34"/>
    <n v="0.82"/>
    <n v="36.975139800000001"/>
    <n v="369.75139799999999"/>
    <n v="417.01285488721805"/>
    <n v="278.00856992481204"/>
    <n v="6.4706494650000002"/>
    <n v="37.5"/>
    <n v="413.722047465"/>
    <n v="41.372204746500003"/>
    <n v="466.60381293045111"/>
    <n v="311.06920862030074"/>
  </r>
  <r>
    <s v="01/09/2026"/>
    <s v="M"/>
    <s v="[1062] RAMGADH"/>
    <s v="[8402] RAMPUR"/>
    <x v="56"/>
    <x v="56"/>
    <x v="56"/>
    <s v="B"/>
    <n v="144"/>
    <n v="6.3"/>
    <n v="9"/>
    <n v="9.0719999999999992"/>
    <n v="12.96"/>
    <n v="52.604999999999997"/>
    <n v="7575.12"/>
    <n v="427.6829268292683"/>
    <n v="285.1219512195122"/>
    <n v="132.56460000000001"/>
    <n v="540"/>
    <n v="8247.6846000000005"/>
    <n v="57.2755875"/>
    <n v="465.6551829268293"/>
    <n v="310.43678861788618"/>
  </r>
  <r>
    <s v="01/09/2026"/>
    <s v="M"/>
    <s v="[1062] RAMGADH"/>
    <s v="[8402] RAMPUR"/>
    <x v="56"/>
    <x v="56"/>
    <x v="56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01/09/2026"/>
    <s v="E"/>
    <s v="[1062] RAMGADH"/>
    <s v="[8402] RAMPUR"/>
    <x v="56"/>
    <x v="56"/>
    <x v="56"/>
    <s v="B"/>
    <n v="81"/>
    <n v="6.3"/>
    <n v="9"/>
    <n v="5.1029999999999998"/>
    <n v="7.29"/>
    <n v="52.604999999999997"/>
    <n v="4261.0050000000001"/>
    <n v="427.6829268292683"/>
    <n v="285.1219512195122"/>
    <n v="74.567587500000002"/>
    <n v="303.75"/>
    <n v="4639.3225874999998"/>
    <n v="57.2755875"/>
    <n v="465.6551829268293"/>
    <n v="310.43678861788618"/>
  </r>
  <r>
    <s v="01/09/2026"/>
    <s v="E"/>
    <s v="[1062] RAMGADH"/>
    <s v="[8402] RAMPUR"/>
    <x v="56"/>
    <x v="56"/>
    <x v="56"/>
    <s v="C"/>
    <n v="12"/>
    <n v="3.4"/>
    <n v="8.1"/>
    <n v="0.40799999999999997"/>
    <n v="0.97199999999999986"/>
    <n v="36.697125900000003"/>
    <n v="440.36551080000004"/>
    <n v="417.01279431818188"/>
    <n v="278.00852954545456"/>
    <n v="7.7063964390000015"/>
    <n v="45"/>
    <n v="493.07190723900004"/>
    <n v="41.089325603250003"/>
    <n v="466.92415458238645"/>
    <n v="311.28276972159097"/>
  </r>
  <r>
    <s v="02/09/2026"/>
    <s v="M"/>
    <s v="[1062] RAMGADH"/>
    <s v="[8402] RAMPUR"/>
    <x v="56"/>
    <x v="56"/>
    <x v="56"/>
    <s v="B"/>
    <n v="160"/>
    <n v="6.4"/>
    <n v="9"/>
    <n v="10.24"/>
    <n v="14.4"/>
    <n v="53.44"/>
    <n v="8550.4"/>
    <n v="430.96774193548384"/>
    <n v="287.31182795698925"/>
    <n v="149.63200000000001"/>
    <n v="600"/>
    <n v="9300.0319999999992"/>
    <n v="58.125199999999992"/>
    <n v="468.75161290322575"/>
    <n v="312.50107526881715"/>
  </r>
  <r>
    <s v="02/09/2026"/>
    <s v="M"/>
    <s v="[1062] RAMGADH"/>
    <s v="[8402] RAMPUR"/>
    <x v="56"/>
    <x v="56"/>
    <x v="56"/>
    <s v="C"/>
    <n v="31"/>
    <n v="3.2"/>
    <n v="8.5"/>
    <n v="0.99199999999999999"/>
    <n v="2.6349999999999998"/>
    <n v="36.975181500000005"/>
    <n v="1146.2306265000002"/>
    <n v="417.01332518796994"/>
    <n v="278.00888345864661"/>
    <n v="20.059035963750006"/>
    <n v="116.25"/>
    <n v="1282.5396624637501"/>
    <n v="41.372247176250006"/>
    <n v="466.60429146146623"/>
    <n v="311.06952764097747"/>
  </r>
  <r>
    <s v="02/09/2026"/>
    <s v="E"/>
    <s v="[1062] RAMGADH"/>
    <s v="[8402] RAMPUR"/>
    <x v="56"/>
    <x v="56"/>
    <x v="56"/>
    <s v="B"/>
    <n v="81"/>
    <n v="5.8"/>
    <n v="9"/>
    <n v="4.6980000000000004"/>
    <n v="7.29"/>
    <n v="48.43"/>
    <n v="3922.83"/>
    <n v="410.42372881355936"/>
    <n v="273.61581920903956"/>
    <n v="68.649525000000011"/>
    <n v="303.75"/>
    <n v="4295.2295249999997"/>
    <n v="53.027524999999997"/>
    <n v="449.38580508474575"/>
    <n v="299.59053672316384"/>
  </r>
  <r>
    <s v="02/09/2026"/>
    <s v="E"/>
    <s v="[1062] RAMGADH"/>
    <s v="[8402] RAMPUR"/>
    <x v="56"/>
    <x v="56"/>
    <x v="56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03/09/2026"/>
    <s v="M"/>
    <s v="[1062] RAMGADH"/>
    <s v="[8402] RAMPUR"/>
    <x v="56"/>
    <x v="56"/>
    <x v="56"/>
    <s v="B"/>
    <n v="157"/>
    <n v="6.2"/>
    <n v="9"/>
    <n v="9.734"/>
    <n v="14.13"/>
    <n v="51.77"/>
    <n v="8127.89"/>
    <n v="424.34426229508199"/>
    <n v="282.89617486338801"/>
    <n v="142.23807500000001"/>
    <n v="588.75"/>
    <n v="8858.8780750000005"/>
    <n v="56.425975000000001"/>
    <n v="462.50799180327868"/>
    <n v="308.33866120218579"/>
  </r>
  <r>
    <s v="03/09/2026"/>
    <s v="M"/>
    <s v="[1062] RAMGADH"/>
    <s v="[8402] RAMPUR"/>
    <x v="56"/>
    <x v="56"/>
    <x v="56"/>
    <s v="C"/>
    <n v="35"/>
    <n v="3"/>
    <n v="8.1"/>
    <n v="1.05"/>
    <n v="2.835"/>
    <n v="35.029125900000004"/>
    <n v="1226.0194065000001"/>
    <n v="417.01340357142868"/>
    <n v="278.00893571428577"/>
    <n v="21.455339613750002"/>
    <n v="131.25"/>
    <n v="1378.7247461137501"/>
    <n v="39.392135603250004"/>
    <n v="468.9539952767858"/>
    <n v="312.63599685119055"/>
  </r>
  <r>
    <s v="03/09/2026"/>
    <s v="E"/>
    <s v="[1062] RAMGADH"/>
    <s v="[8402] RAMPUR"/>
    <x v="56"/>
    <x v="56"/>
    <x v="56"/>
    <s v="B"/>
    <n v="80"/>
    <n v="6"/>
    <n v="9"/>
    <n v="4.8"/>
    <n v="7.2"/>
    <n v="50.1"/>
    <n v="4008"/>
    <n v="417.5"/>
    <n v="278.33333333333331"/>
    <n v="70.14"/>
    <n v="300"/>
    <n v="4378.1400000000003"/>
    <n v="54.726750000000003"/>
    <n v="456.05625000000003"/>
    <n v="304.03750000000002"/>
  </r>
  <r>
    <s v="03/09/2026"/>
    <s v="E"/>
    <s v="[1062] RAMGADH"/>
    <s v="[8402] RAMPUR"/>
    <x v="56"/>
    <x v="56"/>
    <x v="56"/>
    <s v="C"/>
    <n v="23"/>
    <n v="3.8"/>
    <n v="8.1999999999999993"/>
    <n v="0.87399999999999989"/>
    <n v="1.8859999999999999"/>
    <n v="38.6431398"/>
    <n v="888.79221540000003"/>
    <n v="417.01230000000004"/>
    <n v="278.00820000000004"/>
    <n v="15.553863769500001"/>
    <n v="86.25"/>
    <n v="990.59607916950006"/>
    <n v="43.069394746500002"/>
    <n v="464.77764114928061"/>
    <n v="309.85176076618706"/>
  </r>
  <r>
    <s v="28/08/2026"/>
    <s v="E"/>
    <s v="[1062] RAMGADH"/>
    <s v="[8401] DURGAWATI"/>
    <x v="57"/>
    <x v="57"/>
    <x v="57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29/08/2026"/>
    <s v="M"/>
    <s v="[1062] RAMGADH"/>
    <s v="[8401] DURGAWATI"/>
    <x v="57"/>
    <x v="57"/>
    <x v="57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29/08/2026"/>
    <s v="E"/>
    <s v="[1062] RAMGADH"/>
    <s v="[8401] DURGAWATI"/>
    <x v="57"/>
    <x v="57"/>
    <x v="57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30/08/2026"/>
    <s v="M"/>
    <s v="[1062] RAMGADH"/>
    <s v="[8401] DURGAWATI"/>
    <x v="57"/>
    <x v="57"/>
    <x v="57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30/08/2026"/>
    <s v="E"/>
    <s v="[1062] RAMGADH"/>
    <s v="[8401] DURGAWATI"/>
    <x v="57"/>
    <x v="57"/>
    <x v="57"/>
    <s v="B"/>
    <n v="10"/>
    <n v="6.7"/>
    <n v="9"/>
    <n v="0.67"/>
    <n v="0.9"/>
    <n v="55.945"/>
    <n v="559.45000000000005"/>
    <n v="440.51181102362204"/>
    <n v="293.67454068241472"/>
    <n v="9.7903750000000009"/>
    <n v="37.5"/>
    <n v="606.74037500000009"/>
    <n v="60.674037500000011"/>
    <n v="477.74832677165364"/>
    <n v="318.49888451443576"/>
  </r>
  <r>
    <s v="31/08/2026"/>
    <s v="M"/>
    <s v="[1062] RAMGADH"/>
    <s v="[8401] DURGAWATI"/>
    <x v="57"/>
    <x v="57"/>
    <x v="57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31/08/2026"/>
    <s v="E"/>
    <s v="[1062] RAMGADH"/>
    <s v="[8401] DURGAWATI"/>
    <x v="57"/>
    <x v="57"/>
    <x v="57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01/09/2026"/>
    <s v="M"/>
    <s v="[1062] RAMGADH"/>
    <s v="[8401] DURGAWATI"/>
    <x v="57"/>
    <x v="57"/>
    <x v="57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01/09/2026"/>
    <s v="E"/>
    <s v="[1062] RAMGADH"/>
    <s v="[8401] DURGAWATI"/>
    <x v="57"/>
    <x v="57"/>
    <x v="57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02/09/2026"/>
    <s v="M"/>
    <s v="[1062] RAMGADH"/>
    <s v="[8401] DURGAWATI"/>
    <x v="57"/>
    <x v="57"/>
    <x v="57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02/09/2026"/>
    <s v="E"/>
    <s v="[1062] RAMGADH"/>
    <s v="[8401] DURGAWATI"/>
    <x v="57"/>
    <x v="57"/>
    <x v="57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03/09/2026"/>
    <s v="M"/>
    <s v="[1062] RAMGADH"/>
    <s v="[8401] DURGAWATI"/>
    <x v="57"/>
    <x v="57"/>
    <x v="57"/>
    <s v="B"/>
    <n v="17"/>
    <n v="5.9"/>
    <n v="9"/>
    <n v="1.0030000000000001"/>
    <n v="1.53"/>
    <n v="49.265000000000001"/>
    <n v="837.505"/>
    <n v="413.99159663865549"/>
    <n v="275.99439775910366"/>
    <n v="14.656337500000001"/>
    <n v="63.75"/>
    <n v="915.91133749999995"/>
    <n v="53.877137499999996"/>
    <n v="452.74905462184876"/>
    <n v="301.83270308123252"/>
  </r>
  <r>
    <s v="03/09/2026"/>
    <s v="E"/>
    <s v="[1062] RAMGADH"/>
    <s v="[8401] DURGAWATI"/>
    <x v="57"/>
    <x v="57"/>
    <x v="57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28/08/2026"/>
    <s v="E"/>
    <s v="[1062] RAMGADH"/>
    <s v="[8402] RAMPUR"/>
    <x v="58"/>
    <x v="58"/>
    <x v="58"/>
    <s v="B"/>
    <n v="8"/>
    <n v="5.6"/>
    <n v="8.8000000000000007"/>
    <n v="0.44799999999999995"/>
    <n v="0.70400000000000007"/>
    <n v="46.292400000000001"/>
    <n v="370.33920000000001"/>
    <n v="403.71279069767445"/>
    <n v="269.14186046511628"/>
    <n v="6.4809360000000007"/>
    <n v="30"/>
    <n v="406.82013599999999"/>
    <n v="50.852516999999999"/>
    <n v="443.48125290697675"/>
    <n v="295.65416860465115"/>
  </r>
  <r>
    <s v="29/08/2026"/>
    <s v="M"/>
    <s v="[1062] RAMGADH"/>
    <s v="[8402] RAMPUR"/>
    <x v="58"/>
    <x v="58"/>
    <x v="58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29/08/2026"/>
    <s v="E"/>
    <s v="[1062] RAMGADH"/>
    <s v="[8402] RAMPUR"/>
    <x v="58"/>
    <x v="58"/>
    <x v="58"/>
    <s v="C"/>
    <n v="5"/>
    <n v="4.3"/>
    <n v="8.5"/>
    <n v="0.215"/>
    <n v="0.42499999999999999"/>
    <n v="41.562181500000001"/>
    <n v="207.81090750000001"/>
    <n v="417.01185451505017"/>
    <n v="278.00790301003343"/>
    <n v="3.6366908812500007"/>
    <n v="18.75"/>
    <n v="230.19759838125"/>
    <n v="46.039519676250002"/>
    <n v="461.93498002926424"/>
    <n v="307.95665335284281"/>
  </r>
  <r>
    <s v="30/08/2026"/>
    <s v="M"/>
    <s v="[1062] RAMGADH"/>
    <s v="[8402] RAMPUR"/>
    <x v="58"/>
    <x v="58"/>
    <x v="58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31/08/2026"/>
    <s v="M"/>
    <s v="[1062] RAMGADH"/>
    <s v="[8402] RAMPUR"/>
    <x v="58"/>
    <x v="58"/>
    <x v="58"/>
    <s v="B"/>
    <n v="5"/>
    <n v="6.7"/>
    <n v="9"/>
    <n v="0.33500000000000002"/>
    <n v="0.45"/>
    <n v="55.945"/>
    <n v="279.72500000000002"/>
    <n v="440.51181102362204"/>
    <n v="293.67454068241472"/>
    <n v="4.8951875000000005"/>
    <n v="18.75"/>
    <n v="303.37018750000004"/>
    <n v="60.674037500000011"/>
    <n v="477.74832677165364"/>
    <n v="318.49888451443576"/>
  </r>
  <r>
    <s v="31/08/2026"/>
    <s v="E"/>
    <s v="[1062] RAMGADH"/>
    <s v="[8402] RAMPUR"/>
    <x v="58"/>
    <x v="58"/>
    <x v="58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01/09/2026"/>
    <s v="E"/>
    <s v="[1062] RAMGADH"/>
    <s v="[8402] RAMPUR"/>
    <x v="58"/>
    <x v="58"/>
    <x v="58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02/09/2026"/>
    <s v="M"/>
    <s v="[1062] RAMGADH"/>
    <s v="[8402] RAMPUR"/>
    <x v="58"/>
    <x v="58"/>
    <x v="58"/>
    <s v="B"/>
    <n v="9"/>
    <n v="5.6"/>
    <n v="9"/>
    <n v="0.504"/>
    <n v="0.81"/>
    <n v="46.76"/>
    <n v="420.84"/>
    <n v="403.10344827586209"/>
    <n v="268.73563218390808"/>
    <n v="7.3647"/>
    <n v="33.75"/>
    <n v="461.9547"/>
    <n v="51.328299999999999"/>
    <n v="442.48534482758623"/>
    <n v="294.99022988505749"/>
  </r>
  <r>
    <s v="02/09/2026"/>
    <s v="E"/>
    <s v="[1062] RAMGADH"/>
    <s v="[8402] RAMPUR"/>
    <x v="58"/>
    <x v="58"/>
    <x v="58"/>
    <s v="C"/>
    <n v="6"/>
    <n v="4.5"/>
    <n v="8.5"/>
    <n v="0.27"/>
    <n v="0.51"/>
    <n v="42.396181500000004"/>
    <n v="254.37708900000001"/>
    <n v="417.01162131147544"/>
    <n v="278.00774754098364"/>
    <n v="4.4515990575000011"/>
    <n v="22.5"/>
    <n v="281.32868805750002"/>
    <n v="46.888114676250005"/>
    <n v="461.19457058606559"/>
    <n v="307.46304705737708"/>
  </r>
  <r>
    <s v="03/09/2026"/>
    <s v="M"/>
    <s v="[1062] RAMGADH"/>
    <s v="[8402] RAMPUR"/>
    <x v="58"/>
    <x v="58"/>
    <x v="58"/>
    <s v="C"/>
    <n v="10"/>
    <n v="4.9000000000000004"/>
    <n v="8.5"/>
    <n v="0.49"/>
    <n v="0.85"/>
    <n v="44.064181500000004"/>
    <n v="440.64181500000007"/>
    <n v="417.01118138801263"/>
    <n v="278.00745425867507"/>
    <n v="7.7112317625000015"/>
    <n v="37.5"/>
    <n v="485.85304676250007"/>
    <n v="48.585304676250004"/>
    <n v="459.79783605283916"/>
    <n v="306.53189070189279"/>
  </r>
  <r>
    <s v="03/09/2026"/>
    <s v="E"/>
    <s v="[1062] RAMGADH"/>
    <s v="[8402] RAMPUR"/>
    <x v="58"/>
    <x v="58"/>
    <x v="58"/>
    <s v="C"/>
    <n v="8"/>
    <n v="4.5"/>
    <n v="8.3000000000000007"/>
    <n v="0.36"/>
    <n v="0.66400000000000003"/>
    <n v="41.840153700000002"/>
    <n v="334.72122960000002"/>
    <n v="417.01149867109638"/>
    <n v="278.00766578073092"/>
    <n v="5.8576215180000011"/>
    <n v="30"/>
    <n v="370.57885111799999"/>
    <n v="46.322356389749999"/>
    <n v="461.68461518023258"/>
    <n v="307.78974345348837"/>
  </r>
  <r>
    <s v="28/08/2026"/>
    <s v="M"/>
    <s v="[1062] RAMGADH"/>
    <s v="[8405] RAMGADH"/>
    <x v="59"/>
    <x v="59"/>
    <x v="59"/>
    <s v="C"/>
    <n v="11"/>
    <n v="3.4"/>
    <n v="8.3000000000000007"/>
    <n v="0.374"/>
    <n v="0.91300000000000014"/>
    <n v="37.253153700000006"/>
    <n v="409.78469070000006"/>
    <n v="417.01291455223878"/>
    <n v="278.0086097014925"/>
    <n v="7.1712320872500017"/>
    <n v="41.25"/>
    <n v="458.20592278725007"/>
    <n v="41.65508388975001"/>
    <n v="466.28825249720154"/>
    <n v="310.85883499813434"/>
  </r>
  <r>
    <s v="28/08/2026"/>
    <s v="E"/>
    <s v="[1062] RAMGADH"/>
    <s v="[8405] RAMGADH"/>
    <x v="59"/>
    <x v="59"/>
    <x v="59"/>
    <s v="C"/>
    <n v="29"/>
    <n v="4.5999999999999996"/>
    <n v="8.3000000000000007"/>
    <n v="1.3339999999999999"/>
    <n v="2.407"/>
    <n v="42.257153700000003"/>
    <n v="1225.4574573"/>
    <n v="417.01138519736844"/>
    <n v="278.00759013157898"/>
    <n v="21.445505502750002"/>
    <n v="108.75"/>
    <n v="1355.6529628027499"/>
    <n v="46.74665388975"/>
    <n v="461.31566338569081"/>
    <n v="307.54377559046054"/>
  </r>
  <r>
    <s v="29/08/2026"/>
    <s v="M"/>
    <s v="[1062] RAMGADH"/>
    <s v="[8405] RAMGADH"/>
    <x v="59"/>
    <x v="59"/>
    <x v="59"/>
    <s v="C"/>
    <n v="15"/>
    <n v="4.5"/>
    <n v="8.5"/>
    <n v="0.67500000000000004"/>
    <n v="1.2749999999999999"/>
    <n v="42.396181500000004"/>
    <n v="635.94272250000006"/>
    <n v="417.01162131147544"/>
    <n v="278.00774754098364"/>
    <n v="11.128997643750003"/>
    <n v="56.25"/>
    <n v="703.3217201437501"/>
    <n v="46.888114676250005"/>
    <n v="461.19457058606559"/>
    <n v="307.46304705737708"/>
  </r>
  <r>
    <s v="29/08/2026"/>
    <s v="E"/>
    <s v="[1062] RAMGADH"/>
    <s v="[8405] RAMGADH"/>
    <x v="59"/>
    <x v="59"/>
    <x v="59"/>
    <s v="C"/>
    <n v="25"/>
    <n v="4.5"/>
    <n v="8.4"/>
    <n v="1.125"/>
    <n v="2.1"/>
    <n v="42.118167600000007"/>
    <n v="1052.9541900000002"/>
    <n v="417.01156039603967"/>
    <n v="278.00770693069313"/>
    <n v="18.426698325000004"/>
    <n v="93.75"/>
    <n v="1165.1308883250001"/>
    <n v="46.605235533000005"/>
    <n v="461.43797557425745"/>
    <n v="307.62531704950499"/>
  </r>
  <r>
    <s v="30/08/2026"/>
    <s v="M"/>
    <s v="[1062] RAMGADH"/>
    <s v="[8405] RAMGADH"/>
    <x v="59"/>
    <x v="59"/>
    <x v="59"/>
    <s v="C"/>
    <n v="23"/>
    <n v="3.3"/>
    <n v="8"/>
    <n v="0.7589999999999999"/>
    <n v="1.84"/>
    <n v="36.002112000000004"/>
    <n v="828.04857600000014"/>
    <n v="417.01288030888031"/>
    <n v="278.00858687258687"/>
    <n v="14.490850080000003"/>
    <n v="86.25"/>
    <n v="928.78942608000011"/>
    <n v="40.382148960000002"/>
    <n v="467.74689915057911"/>
    <n v="311.83126610038607"/>
  </r>
  <r>
    <s v="30/08/2026"/>
    <s v="E"/>
    <s v="[1062] RAMGADH"/>
    <s v="[8405] RAMGADH"/>
    <x v="59"/>
    <x v="59"/>
    <x v="59"/>
    <s v="C"/>
    <n v="24"/>
    <n v="4.0999999999999996"/>
    <n v="8.3000000000000007"/>
    <n v="0.98399999999999987"/>
    <n v="1.9920000000000002"/>
    <n v="40.172153700000003"/>
    <n v="964.13168880000012"/>
    <n v="417.01197612456752"/>
    <n v="278.00798408304502"/>
    <n v="16.872304554000003"/>
    <n v="90"/>
    <n v="1071.0039933540002"/>
    <n v="44.625166389750007"/>
    <n v="463.23702134688591"/>
    <n v="308.82468089792394"/>
  </r>
  <r>
    <s v="31/08/2026"/>
    <s v="M"/>
    <s v="[1062] RAMGADH"/>
    <s v="[8405] RAMGADH"/>
    <x v="59"/>
    <x v="59"/>
    <x v="59"/>
    <s v="C"/>
    <n v="21"/>
    <n v="3.4"/>
    <n v="8"/>
    <n v="0.71399999999999997"/>
    <n v="1.68"/>
    <n v="36.419112000000005"/>
    <n v="764.80135200000007"/>
    <n v="417.01273282442747"/>
    <n v="278.00848854961833"/>
    <n v="13.384023660000002"/>
    <n v="78.75"/>
    <n v="856.93537566000009"/>
    <n v="40.806446460000004"/>
    <n v="467.24938694656487"/>
    <n v="311.49959129770991"/>
  </r>
  <r>
    <s v="31/08/2026"/>
    <s v="E"/>
    <s v="[1062] RAMGADH"/>
    <s v="[8405] RAMGADH"/>
    <x v="59"/>
    <x v="59"/>
    <x v="59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01/09/2026"/>
    <s v="M"/>
    <s v="[1062] RAMGADH"/>
    <s v="[8405] RAMGADH"/>
    <x v="59"/>
    <x v="59"/>
    <x v="59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01/09/2026"/>
    <s v="E"/>
    <s v="[1062] RAMGADH"/>
    <s v="[8405] RAMGADH"/>
    <x v="59"/>
    <x v="59"/>
    <x v="59"/>
    <s v="C"/>
    <n v="19"/>
    <n v="4.5"/>
    <n v="8.1999999999999993"/>
    <n v="0.85499999999999998"/>
    <n v="1.5579999999999998"/>
    <n v="41.562139799999997"/>
    <n v="789.68065619999993"/>
    <n v="417.01143612040136"/>
    <n v="278.00762408026759"/>
    <n v="13.8194114835"/>
    <n v="71.25"/>
    <n v="874.75006768349999"/>
    <n v="46.039477246499999"/>
    <n v="461.93455431270905"/>
    <n v="307.95636954180605"/>
  </r>
  <r>
    <s v="02/09/2026"/>
    <s v="M"/>
    <s v="[1062] RAMGADH"/>
    <s v="[8405] RAMGADH"/>
    <x v="59"/>
    <x v="59"/>
    <x v="59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02/09/2026"/>
    <s v="E"/>
    <s v="[1062] RAMGADH"/>
    <s v="[8405] RAMGADH"/>
    <x v="59"/>
    <x v="59"/>
    <x v="59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03/09/2026"/>
    <s v="M"/>
    <s v="[1062] RAMGADH"/>
    <s v="[8405] RAMGADH"/>
    <x v="59"/>
    <x v="59"/>
    <x v="59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03/09/2026"/>
    <s v="E"/>
    <s v="[1062] RAMGADH"/>
    <s v="[8405] RAMGADH"/>
    <x v="59"/>
    <x v="59"/>
    <x v="59"/>
    <s v="C"/>
    <n v="9"/>
    <n v="4.5999999999999996"/>
    <n v="8.5"/>
    <n v="0.41399999999999998"/>
    <n v="0.76500000000000001"/>
    <n v="42.813181499999999"/>
    <n v="385.31863349999998"/>
    <n v="417.01150811688308"/>
    <n v="278.00767207792205"/>
    <n v="6.7430760862500003"/>
    <n v="33.75"/>
    <n v="425.81170958625"/>
    <n v="47.31241217625"/>
    <n v="460.83518353490257"/>
    <n v="307.22345568993507"/>
  </r>
  <r>
    <s v="28/08/2026"/>
    <s v="M"/>
    <s v="[1062] RAMGADH"/>
    <s v="[8403] MOHANIA"/>
    <x v="60"/>
    <x v="60"/>
    <x v="60"/>
    <s v="B"/>
    <n v="21"/>
    <n v="8.6"/>
    <n v="9"/>
    <n v="1.806"/>
    <n v="1.89"/>
    <n v="71.809999999999988"/>
    <n v="1508.0099999999998"/>
    <n v="491.84931506849313"/>
    <n v="327.89954337899542"/>
    <n v="26.390174999999999"/>
    <n v="78.75"/>
    <n v="1613.1501749999998"/>
    <n v="76.816674999999989"/>
    <n v="526.14160958904108"/>
    <n v="350.76107305936074"/>
  </r>
  <r>
    <s v="28/08/2026"/>
    <s v="E"/>
    <s v="[1062] RAMGADH"/>
    <s v="[8403] MOHANIA"/>
    <x v="60"/>
    <x v="60"/>
    <x v="60"/>
    <s v="B"/>
    <n v="26"/>
    <n v="5.5"/>
    <n v="8.5"/>
    <n v="1.43"/>
    <n v="2.21"/>
    <n v="46.566181499999999"/>
    <n v="1210.7207189999999"/>
    <n v="417.01058059701495"/>
    <n v="278.00705373134332"/>
    <n v="21.187612582500002"/>
    <n v="97.5"/>
    <n v="1329.4083315824998"/>
    <n v="51.131089676249992"/>
    <n v="457.89035530970142"/>
    <n v="305.26023687313426"/>
  </r>
  <r>
    <s v="29/08/2026"/>
    <s v="M"/>
    <s v="[1062] RAMGADH"/>
    <s v="[8403] MOHANIA"/>
    <x v="60"/>
    <x v="60"/>
    <x v="60"/>
    <s v="B"/>
    <n v="29"/>
    <n v="7.7"/>
    <n v="9"/>
    <n v="2.2330000000000001"/>
    <n v="2.61"/>
    <n v="64.295000000000002"/>
    <n v="1864.5550000000001"/>
    <n v="469.30656934306569"/>
    <n v="312.87104622871044"/>
    <n v="32.629712500000004"/>
    <n v="108.75"/>
    <n v="2005.9347125000002"/>
    <n v="69.170162500000004"/>
    <n v="504.89169708029198"/>
    <n v="336.59446472019465"/>
  </r>
  <r>
    <s v="29/08/2026"/>
    <s v="E"/>
    <s v="[1062] RAMGADH"/>
    <s v="[8403] MOHANIA"/>
    <x v="60"/>
    <x v="60"/>
    <x v="60"/>
    <s v="B"/>
    <n v="27"/>
    <n v="5.6"/>
    <n v="8.8000000000000007"/>
    <n v="1.5119999999999998"/>
    <n v="2.3760000000000003"/>
    <n v="46.292400000000001"/>
    <n v="1249.8948"/>
    <n v="403.71279069767445"/>
    <n v="269.14186046511628"/>
    <n v="21.873159000000001"/>
    <n v="101.25"/>
    <n v="1373.017959"/>
    <n v="50.852516999999999"/>
    <n v="443.48125290697675"/>
    <n v="295.65416860465115"/>
  </r>
  <r>
    <s v="30/08/2026"/>
    <s v="M"/>
    <s v="[1062] RAMGADH"/>
    <s v="[8403] MOHANIA"/>
    <x v="60"/>
    <x v="60"/>
    <x v="60"/>
    <s v="B"/>
    <n v="30"/>
    <n v="7.8"/>
    <n v="9"/>
    <n v="2.34"/>
    <n v="2.7"/>
    <n v="65.13"/>
    <n v="1953.8999999999999"/>
    <n v="471.95652173913038"/>
    <n v="314.63768115942025"/>
    <n v="34.193249999999999"/>
    <n v="112.5"/>
    <n v="2100.5932499999999"/>
    <n v="70.019774999999996"/>
    <n v="507.3896739130434"/>
    <n v="338.25978260869562"/>
  </r>
  <r>
    <s v="30/08/2026"/>
    <s v="M"/>
    <s v="[1062] RAMGADH"/>
    <s v="[8403] MOHANIA"/>
    <x v="60"/>
    <x v="60"/>
    <x v="60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30/08/2026"/>
    <s v="E"/>
    <s v="[1062] RAMGADH"/>
    <s v="[8403] MOHANIA"/>
    <x v="60"/>
    <x v="60"/>
    <x v="60"/>
    <s v="C"/>
    <n v="30"/>
    <n v="5"/>
    <n v="8.5"/>
    <n v="1.5"/>
    <n v="2.5499999999999998"/>
    <n v="44.481181500000005"/>
    <n v="1334.4354450000001"/>
    <n v="417.01107656250002"/>
    <n v="278.00738437500002"/>
    <n v="23.352620287500002"/>
    <n v="112.5"/>
    <n v="1470.2880652875001"/>
    <n v="49.009602176250006"/>
    <n v="459.46502040234378"/>
    <n v="306.3100136015625"/>
  </r>
  <r>
    <s v="31/08/2026"/>
    <s v="M"/>
    <s v="[1062] RAMGADH"/>
    <s v="[8403] MOHANIA"/>
    <x v="60"/>
    <x v="60"/>
    <x v="60"/>
    <s v="B"/>
    <n v="30"/>
    <n v="7.6"/>
    <n v="9"/>
    <n v="2.2799999999999998"/>
    <n v="2.7"/>
    <n v="63.46"/>
    <n v="1903.8"/>
    <n v="466.61764705882348"/>
    <n v="311.07843137254901"/>
    <n v="33.316500000000005"/>
    <n v="112.5"/>
    <n v="2049.6165000000001"/>
    <n v="68.320549999999997"/>
    <n v="502.35698529411758"/>
    <n v="334.90465686274507"/>
  </r>
  <r>
    <s v="31/08/2026"/>
    <s v="M"/>
    <s v="[1062] RAMGADH"/>
    <s v="[8403] MOHANIA"/>
    <x v="60"/>
    <x v="60"/>
    <x v="60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31/08/2026"/>
    <s v="E"/>
    <s v="[1062] RAMGADH"/>
    <s v="[8403] MOHANIA"/>
    <x v="60"/>
    <x v="60"/>
    <x v="60"/>
    <s v="B"/>
    <n v="28"/>
    <n v="5.6"/>
    <n v="8.8000000000000007"/>
    <n v="1.5679999999999998"/>
    <n v="2.4640000000000004"/>
    <n v="46.292400000000001"/>
    <n v="1296.1872000000001"/>
    <n v="403.71279069767445"/>
    <n v="269.14186046511628"/>
    <n v="22.683276000000003"/>
    <n v="105"/>
    <n v="1423.8704760000001"/>
    <n v="50.852516999999999"/>
    <n v="443.48125290697675"/>
    <n v="295.65416860465115"/>
  </r>
  <r>
    <s v="01/09/2026"/>
    <s v="M"/>
    <s v="[1062] RAMGADH"/>
    <s v="[8403] MOHANIA"/>
    <x v="60"/>
    <x v="60"/>
    <x v="60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1/09/2026"/>
    <s v="M"/>
    <s v="[1062] RAMGADH"/>
    <s v="[8403] MOHANIA"/>
    <x v="60"/>
    <x v="60"/>
    <x v="60"/>
    <s v="C"/>
    <n v="28"/>
    <n v="4"/>
    <n v="8.1"/>
    <n v="1.1200000000000001"/>
    <n v="2.2679999999999998"/>
    <n v="39.199125899999999"/>
    <n v="1097.5755251999999"/>
    <n v="417.01197765957443"/>
    <n v="278.00798510638293"/>
    <n v="19.207571691000002"/>
    <n v="105"/>
    <n v="1221.7830968909998"/>
    <n v="43.635110603249991"/>
    <n v="464.20330428989354"/>
    <n v="309.46886952659571"/>
  </r>
  <r>
    <s v="01/09/2026"/>
    <s v="E"/>
    <s v="[1062] RAMGADH"/>
    <s v="[8403] MOHANIA"/>
    <x v="60"/>
    <x v="60"/>
    <x v="60"/>
    <s v="C"/>
    <n v="27"/>
    <n v="4.8"/>
    <n v="8.5"/>
    <n v="1.296"/>
    <n v="2.2949999999999999"/>
    <n v="43.647181500000002"/>
    <n v="1178.4739005000001"/>
    <n v="417.0112882165605"/>
    <n v="278.00752547770702"/>
    <n v="20.623293258750003"/>
    <n v="101.25"/>
    <n v="1300.3471937587501"/>
    <n v="48.161007176250003"/>
    <n v="460.13701123805731"/>
    <n v="306.75800749203819"/>
  </r>
  <r>
    <s v="02/09/2026"/>
    <s v="M"/>
    <s v="[1062] RAMGADH"/>
    <s v="[8403] MOHANIA"/>
    <x v="60"/>
    <x v="60"/>
    <x v="60"/>
    <s v="B"/>
    <n v="40"/>
    <n v="7.4"/>
    <n v="9"/>
    <n v="2.96"/>
    <n v="3.6"/>
    <n v="61.790000000000006"/>
    <n v="2471.6000000000004"/>
    <n v="461.11940298507466"/>
    <n v="307.41293532338312"/>
    <n v="43.253000000000007"/>
    <n v="150"/>
    <n v="2664.8530000000005"/>
    <n v="66.621325000000013"/>
    <n v="497.17406716417918"/>
    <n v="331.44937810945277"/>
  </r>
  <r>
    <s v="02/09/2026"/>
    <s v="M"/>
    <s v="[1062] RAMGADH"/>
    <s v="[8403] MOHANIA"/>
    <x v="60"/>
    <x v="60"/>
    <x v="60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02/09/2026"/>
    <s v="E"/>
    <s v="[1062] RAMGADH"/>
    <s v="[8403] MOHANIA"/>
    <x v="60"/>
    <x v="60"/>
    <x v="60"/>
    <s v="B"/>
    <n v="28"/>
    <n v="5.6"/>
    <n v="8.8000000000000007"/>
    <n v="1.5679999999999998"/>
    <n v="2.4640000000000004"/>
    <n v="46.292400000000001"/>
    <n v="1296.1872000000001"/>
    <n v="403.71279069767445"/>
    <n v="269.14186046511628"/>
    <n v="22.683276000000003"/>
    <n v="105"/>
    <n v="1423.8704760000001"/>
    <n v="50.852516999999999"/>
    <n v="443.48125290697675"/>
    <n v="295.65416860465115"/>
  </r>
  <r>
    <s v="03/09/2026"/>
    <s v="M"/>
    <s v="[1062] RAMGADH"/>
    <s v="[8403] MOHANIA"/>
    <x v="60"/>
    <x v="60"/>
    <x v="60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3/09/2026"/>
    <s v="M"/>
    <s v="[1062] RAMGADH"/>
    <s v="[8403] MOHANIA"/>
    <x v="60"/>
    <x v="60"/>
    <x v="60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03/09/2026"/>
    <s v="E"/>
    <s v="[1062] RAMGADH"/>
    <s v="[8403] MOHANIA"/>
    <x v="60"/>
    <x v="60"/>
    <x v="60"/>
    <s v="B"/>
    <n v="37"/>
    <n v="5.6"/>
    <n v="8.6"/>
    <n v="2.0720000000000001"/>
    <n v="3.1819999999999999"/>
    <n v="45.824799999999996"/>
    <n v="1695.5175999999999"/>
    <n v="404.33647058823533"/>
    <n v="269.55764705882353"/>
    <n v="29.671558000000001"/>
    <n v="138.75"/>
    <n v="1863.9391579999999"/>
    <n v="50.376733999999999"/>
    <n v="444.50059411764715"/>
    <n v="296.33372941176475"/>
  </r>
  <r>
    <s v="28/08/2026"/>
    <s v="M"/>
    <s v="[1062] RAMGADH"/>
    <s v="[8403] MOHANIA"/>
    <x v="61"/>
    <x v="61"/>
    <x v="61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29/08/2026"/>
    <s v="M"/>
    <s v="[1062] RAMGADH"/>
    <s v="[8403] MOHANIA"/>
    <x v="61"/>
    <x v="61"/>
    <x v="61"/>
    <s v="B"/>
    <n v="21"/>
    <n v="5.5"/>
    <n v="8.6"/>
    <n v="1.155"/>
    <n v="1.806"/>
    <n v="46.566181499999999"/>
    <n v="977.88981149999995"/>
    <n v="414.53574035608312"/>
    <n v="276.35716023738877"/>
    <n v="17.11307170125"/>
    <n v="78.75"/>
    <n v="1073.7528832012499"/>
    <n v="51.131089676249999"/>
    <n v="455.17290512982197"/>
    <n v="303.44860341988129"/>
  </r>
  <r>
    <s v="30/08/2026"/>
    <s v="M"/>
    <s v="[1062] RAMGADH"/>
    <s v="[8403] MOHANIA"/>
    <x v="61"/>
    <x v="61"/>
    <x v="61"/>
    <s v="B"/>
    <n v="20"/>
    <n v="5.9"/>
    <n v="9"/>
    <n v="1.18"/>
    <n v="1.8"/>
    <n v="49.265000000000001"/>
    <n v="985.3"/>
    <n v="413.99159663865549"/>
    <n v="275.99439775910366"/>
    <n v="17.242750000000001"/>
    <n v="75"/>
    <n v="1077.5427500000001"/>
    <n v="53.877137500000003"/>
    <n v="452.74905462184881"/>
    <n v="301.83270308123252"/>
  </r>
  <r>
    <s v="31/08/2026"/>
    <s v="M"/>
    <s v="[1062] RAMGADH"/>
    <s v="[8403] MOHANIA"/>
    <x v="61"/>
    <x v="61"/>
    <x v="61"/>
    <s v="B"/>
    <n v="15"/>
    <n v="5.9"/>
    <n v="9"/>
    <n v="0.88500000000000001"/>
    <n v="1.35"/>
    <n v="49.265000000000001"/>
    <n v="738.97500000000002"/>
    <n v="413.99159663865549"/>
    <n v="275.99439775910366"/>
    <n v="12.932062500000002"/>
    <n v="56.25"/>
    <n v="808.15706250000005"/>
    <n v="53.877137500000003"/>
    <n v="452.74905462184881"/>
    <n v="301.83270308123252"/>
  </r>
  <r>
    <s v="01/09/2026"/>
    <s v="M"/>
    <s v="[1062] RAMGADH"/>
    <s v="[8403] MOHANIA"/>
    <x v="61"/>
    <x v="61"/>
    <x v="61"/>
    <s v="B"/>
    <n v="18"/>
    <n v="5.6"/>
    <n v="9"/>
    <n v="1.008"/>
    <n v="1.62"/>
    <n v="46.76"/>
    <n v="841.68"/>
    <n v="403.10344827586209"/>
    <n v="268.73563218390808"/>
    <n v="14.7294"/>
    <n v="67.5"/>
    <n v="923.90940000000001"/>
    <n v="51.328299999999999"/>
    <n v="442.48534482758623"/>
    <n v="294.99022988505749"/>
  </r>
  <r>
    <s v="02/09/2026"/>
    <s v="M"/>
    <s v="[1062] RAMGADH"/>
    <s v="[8403] MOHANIA"/>
    <x v="61"/>
    <x v="61"/>
    <x v="61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03/09/2026"/>
    <s v="M"/>
    <s v="[1062] RAMGADH"/>
    <s v="[8403] MOHANIA"/>
    <x v="61"/>
    <x v="61"/>
    <x v="61"/>
    <s v="B"/>
    <n v="17"/>
    <n v="5.7"/>
    <n v="9"/>
    <n v="0.96900000000000008"/>
    <n v="1.53"/>
    <n v="47.594999999999999"/>
    <n v="809.11500000000001"/>
    <n v="406.79487179487182"/>
    <n v="271.19658119658123"/>
    <n v="14.159512500000002"/>
    <n v="63.75"/>
    <n v="887.02451250000001"/>
    <n v="52.177912499999998"/>
    <n v="445.9650641025641"/>
    <n v="297.31004273504271"/>
  </r>
  <r>
    <s v="28/08/2026"/>
    <s v="M"/>
    <s v="[1062] RAMGADH"/>
    <s v="[8402] RAMPUR"/>
    <x v="62"/>
    <x v="62"/>
    <x v="62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8/08/2026"/>
    <s v="M"/>
    <s v="[1062] RAMGADH"/>
    <s v="[8402] RAMPUR"/>
    <x v="62"/>
    <x v="62"/>
    <x v="62"/>
    <s v="C"/>
    <n v="24"/>
    <n v="4.5"/>
    <n v="8.5"/>
    <n v="1.08"/>
    <n v="2.04"/>
    <n v="42.396181500000004"/>
    <n v="1017.508356"/>
    <n v="417.01162131147544"/>
    <n v="278.00774754098364"/>
    <n v="17.806396230000004"/>
    <n v="90"/>
    <n v="1125.3147522300001"/>
    <n v="46.888114676250005"/>
    <n v="461.19457058606559"/>
    <n v="307.46304705737708"/>
  </r>
  <r>
    <s v="28/08/2026"/>
    <s v="E"/>
    <s v="[1062] RAMGADH"/>
    <s v="[8402] RAMPUR"/>
    <x v="62"/>
    <x v="62"/>
    <x v="62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28/08/2026"/>
    <s v="E"/>
    <s v="[1062] RAMGADH"/>
    <s v="[8402] RAMPUR"/>
    <x v="62"/>
    <x v="62"/>
    <x v="62"/>
    <s v="C"/>
    <n v="34"/>
    <n v="3.8"/>
    <n v="8.3000000000000007"/>
    <n v="1.2919999999999998"/>
    <n v="2.8220000000000005"/>
    <n v="38.921153700000005"/>
    <n v="1323.3192258000001"/>
    <n v="417.01236107142859"/>
    <n v="278.00824071428571"/>
    <n v="23.158086451500004"/>
    <n v="127.5"/>
    <n v="1473.9773122515001"/>
    <n v="43.352273889750002"/>
    <n v="464.48864881874999"/>
    <n v="309.6590992125"/>
  </r>
  <r>
    <s v="29/08/2026"/>
    <s v="M"/>
    <s v="[1062] RAMGADH"/>
    <s v="[8402] RAMPUR"/>
    <x v="62"/>
    <x v="62"/>
    <x v="62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29/08/2026"/>
    <s v="M"/>
    <s v="[1062] RAMGADH"/>
    <s v="[8402] RAMPUR"/>
    <x v="62"/>
    <x v="62"/>
    <x v="62"/>
    <s v="C"/>
    <n v="35"/>
    <n v="4.0999999999999996"/>
    <n v="8.3000000000000007"/>
    <n v="1.4350000000000001"/>
    <n v="2.9049999999999998"/>
    <n v="40.172153700000003"/>
    <n v="1406.0253795000001"/>
    <n v="417.01197612456752"/>
    <n v="278.00798408304502"/>
    <n v="24.605444141250004"/>
    <n v="131.25"/>
    <n v="1561.8808236412501"/>
    <n v="44.625166389750007"/>
    <n v="463.23702134688591"/>
    <n v="308.82468089792394"/>
  </r>
  <r>
    <s v="29/08/2026"/>
    <s v="E"/>
    <s v="[1062] RAMGADH"/>
    <s v="[8402] RAMPUR"/>
    <x v="62"/>
    <x v="62"/>
    <x v="62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29/08/2026"/>
    <s v="E"/>
    <s v="[1062] RAMGADH"/>
    <s v="[8402] RAMPUR"/>
    <x v="62"/>
    <x v="62"/>
    <x v="62"/>
    <s v="C"/>
    <n v="28"/>
    <n v="4.0999999999999996"/>
    <n v="8.5"/>
    <n v="1.1479999999999999"/>
    <n v="2.38"/>
    <n v="40.728181500000005"/>
    <n v="1140.3890820000001"/>
    <n v="417.01209726962463"/>
    <n v="278.0080648464164"/>
    <n v="19.956808935000005"/>
    <n v="105"/>
    <n v="1265.3458909350002"/>
    <n v="45.190924676250006"/>
    <n v="462.70571340870316"/>
    <n v="308.47047560580211"/>
  </r>
  <r>
    <s v="30/08/2026"/>
    <s v="M"/>
    <s v="[1062] RAMGADH"/>
    <s v="[8402] RAMPUR"/>
    <x v="62"/>
    <x v="62"/>
    <x v="62"/>
    <s v="B"/>
    <n v="23"/>
    <n v="6.9"/>
    <n v="9"/>
    <n v="1.5870000000000002"/>
    <n v="2.0699999999999998"/>
    <n v="57.615000000000002"/>
    <n v="1325.145"/>
    <n v="446.62790697674421"/>
    <n v="297.75193798449612"/>
    <n v="23.190037500000003"/>
    <n v="86.25"/>
    <n v="1434.5850375"/>
    <n v="62.373262500000003"/>
    <n v="483.51366279069771"/>
    <n v="322.34244186046516"/>
  </r>
  <r>
    <s v="30/08/2026"/>
    <s v="M"/>
    <s v="[1062] RAMGADH"/>
    <s v="[8402] RAMPUR"/>
    <x v="62"/>
    <x v="62"/>
    <x v="62"/>
    <s v="C"/>
    <n v="40"/>
    <n v="3.4"/>
    <n v="8.3000000000000007"/>
    <n v="1.36"/>
    <n v="3.32"/>
    <n v="37.253153700000006"/>
    <n v="1490.1261480000003"/>
    <n v="417.01291455223878"/>
    <n v="278.0086097014925"/>
    <n v="26.077207590000008"/>
    <n v="150"/>
    <n v="1666.2033555900002"/>
    <n v="41.655083889750003"/>
    <n v="466.28825249720143"/>
    <n v="310.85883499813428"/>
  </r>
  <r>
    <s v="30/08/2026"/>
    <s v="E"/>
    <s v="[1062] RAMGADH"/>
    <s v="[8402] RAMPUR"/>
    <x v="62"/>
    <x v="62"/>
    <x v="62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30/08/2026"/>
    <s v="E"/>
    <s v="[1062] RAMGADH"/>
    <s v="[8402] RAMPUR"/>
    <x v="62"/>
    <x v="62"/>
    <x v="62"/>
    <s v="C"/>
    <n v="24"/>
    <n v="4.2"/>
    <n v="8.4"/>
    <n v="1.008"/>
    <n v="2.016"/>
    <n v="40.867167600000002"/>
    <n v="980.81202240000005"/>
    <n v="417.01191428571428"/>
    <n v="278.00794285714284"/>
    <n v="17.164210392000001"/>
    <n v="90"/>
    <n v="1087.976232792"/>
    <n v="45.332343033000001"/>
    <n v="462.57492890816326"/>
    <n v="308.38328593877549"/>
  </r>
  <r>
    <s v="31/08/2026"/>
    <s v="M"/>
    <s v="[1062] RAMGADH"/>
    <s v="[8402] RAMPUR"/>
    <x v="62"/>
    <x v="62"/>
    <x v="62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31/08/2026"/>
    <s v="M"/>
    <s v="[1062] RAMGADH"/>
    <s v="[8402] RAMPUR"/>
    <x v="62"/>
    <x v="62"/>
    <x v="62"/>
    <s v="C"/>
    <n v="36"/>
    <n v="3.6"/>
    <n v="8.4"/>
    <n v="1.296"/>
    <n v="3.0240000000000005"/>
    <n v="38.365167600000007"/>
    <n v="1381.1460336000002"/>
    <n v="417.01269130434792"/>
    <n v="278.00846086956528"/>
    <n v="24.170055588000007"/>
    <n v="135"/>
    <n v="1540.3160891880002"/>
    <n v="42.786558033000006"/>
    <n v="465.07128296739137"/>
    <n v="310.04752197826093"/>
  </r>
  <r>
    <s v="31/08/2026"/>
    <s v="E"/>
    <s v="[1062] RAMGADH"/>
    <s v="[8402] RAMPUR"/>
    <x v="62"/>
    <x v="62"/>
    <x v="62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31/08/2026"/>
    <s v="E"/>
    <s v="[1062] RAMGADH"/>
    <s v="[8402] RAMPUR"/>
    <x v="62"/>
    <x v="62"/>
    <x v="62"/>
    <s v="C"/>
    <n v="18"/>
    <n v="4"/>
    <n v="8.4"/>
    <n v="0.72"/>
    <n v="1.5120000000000002"/>
    <n v="40.033167600000006"/>
    <n v="720.59701680000012"/>
    <n v="417.01216250000004"/>
    <n v="278.00810833333338"/>
    <n v="12.610447794000004"/>
    <n v="67.5"/>
    <n v="800.70746459400016"/>
    <n v="44.483748033000012"/>
    <n v="463.37237534375009"/>
    <n v="308.91491689583341"/>
  </r>
  <r>
    <s v="01/09/2026"/>
    <s v="M"/>
    <s v="[1062] RAMGADH"/>
    <s v="[8402] RAMPUR"/>
    <x v="62"/>
    <x v="62"/>
    <x v="62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01/09/2026"/>
    <s v="M"/>
    <s v="[1062] RAMGADH"/>
    <s v="[8402] RAMPUR"/>
    <x v="62"/>
    <x v="62"/>
    <x v="62"/>
    <s v="C"/>
    <n v="40"/>
    <n v="3.8"/>
    <n v="8.5"/>
    <n v="1.52"/>
    <n v="3.4"/>
    <n v="39.4771815"/>
    <n v="1579.08726"/>
    <n v="417.0124806338028"/>
    <n v="278.00832042253518"/>
    <n v="27.634027050000004"/>
    <n v="150"/>
    <n v="1756.72128705"/>
    <n v="43.918032176250001"/>
    <n v="463.92287510123236"/>
    <n v="309.28191673415489"/>
  </r>
  <r>
    <s v="01/09/2026"/>
    <s v="E"/>
    <s v="[1062] RAMGADH"/>
    <s v="[8402] RAMPUR"/>
    <x v="62"/>
    <x v="62"/>
    <x v="62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01/09/2026"/>
    <s v="E"/>
    <s v="[1062] RAMGADH"/>
    <s v="[8402] RAMPUR"/>
    <x v="62"/>
    <x v="62"/>
    <x v="62"/>
    <s v="C"/>
    <n v="28"/>
    <n v="3.5"/>
    <n v="8.3000000000000007"/>
    <n v="0.98"/>
    <n v="2.3240000000000003"/>
    <n v="37.670153700000007"/>
    <n v="1054.7643036000002"/>
    <n v="417.01277158671587"/>
    <n v="278.00851439114393"/>
    <n v="18.458375313000005"/>
    <n v="105"/>
    <n v="1178.2226789130002"/>
    <n v="42.079381389750004"/>
    <n v="465.82341021863465"/>
    <n v="310.54894014575643"/>
  </r>
  <r>
    <s v="02/09/2026"/>
    <s v="M"/>
    <s v="[1062] RAMGADH"/>
    <s v="[8402] RAMPUR"/>
    <x v="62"/>
    <x v="62"/>
    <x v="62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02/09/2026"/>
    <s v="M"/>
    <s v="[1062] RAMGADH"/>
    <s v="[8402] RAMPUR"/>
    <x v="62"/>
    <x v="62"/>
    <x v="62"/>
    <s v="C"/>
    <n v="37"/>
    <n v="3.5"/>
    <n v="8.1999999999999993"/>
    <n v="1.2949999999999999"/>
    <n v="3.0339999999999998"/>
    <n v="37.392139800000002"/>
    <n v="1383.5091726000001"/>
    <n v="417.01271152416359"/>
    <n v="278.00847434944239"/>
    <n v="24.211410520500003"/>
    <n v="138.75"/>
    <n v="1546.4705831205001"/>
    <n v="41.796502246500005"/>
    <n v="466.13199531412641"/>
    <n v="310.75466354275096"/>
  </r>
  <r>
    <s v="02/09/2026"/>
    <s v="E"/>
    <s v="[1062] RAMGADH"/>
    <s v="[8402] RAMPUR"/>
    <x v="62"/>
    <x v="62"/>
    <x v="62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02/09/2026"/>
    <s v="E"/>
    <s v="[1062] RAMGADH"/>
    <s v="[8402] RAMPUR"/>
    <x v="62"/>
    <x v="62"/>
    <x v="62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03/09/2026"/>
    <s v="M"/>
    <s v="[1062] RAMGADH"/>
    <s v="[8402] RAMPUR"/>
    <x v="62"/>
    <x v="62"/>
    <x v="62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03/09/2026"/>
    <s v="M"/>
    <s v="[1062] RAMGADH"/>
    <s v="[8402] RAMPUR"/>
    <x v="62"/>
    <x v="62"/>
    <x v="62"/>
    <s v="C"/>
    <n v="38"/>
    <n v="3.2"/>
    <n v="8.3000000000000007"/>
    <n v="1.2160000000000002"/>
    <n v="3.1540000000000004"/>
    <n v="36.419153700000003"/>
    <n v="1383.9278406000001"/>
    <n v="417.01321030534348"/>
    <n v="278.00880687022897"/>
    <n v="24.218737210500002"/>
    <n v="142.5"/>
    <n v="1550.6465778105"/>
    <n v="40.80648888975"/>
    <n v="467.24987278339688"/>
    <n v="311.49991518893125"/>
  </r>
  <r>
    <s v="03/09/2026"/>
    <s v="E"/>
    <s v="[1062] RAMGADH"/>
    <s v="[8402] RAMPUR"/>
    <x v="62"/>
    <x v="62"/>
    <x v="62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03/09/2026"/>
    <s v="E"/>
    <s v="[1062] RAMGADH"/>
    <s v="[8402] RAMPUR"/>
    <x v="62"/>
    <x v="62"/>
    <x v="62"/>
    <s v="C"/>
    <n v="30"/>
    <n v="3.4"/>
    <n v="8.1999999999999993"/>
    <n v="1.02"/>
    <n v="2.4599999999999995"/>
    <n v="36.975139800000001"/>
    <n v="1109.2541940000001"/>
    <n v="417.01285488721805"/>
    <n v="278.00856992481204"/>
    <n v="19.411948395000003"/>
    <n v="112.5"/>
    <n v="1241.1661423950002"/>
    <n v="41.372204746500003"/>
    <n v="466.60381293045111"/>
    <n v="311.06920862030074"/>
  </r>
  <r>
    <s v="28/08/2026"/>
    <s v="M"/>
    <s v="[1062] RAMGADH"/>
    <s v="[8403] MOHANIA"/>
    <x v="63"/>
    <x v="63"/>
    <x v="63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28/08/2026"/>
    <s v="M"/>
    <s v="[1062] RAMGADH"/>
    <s v="[8403] MOHANIA"/>
    <x v="63"/>
    <x v="63"/>
    <x v="63"/>
    <s v="C"/>
    <n v="22"/>
    <n v="3.6"/>
    <n v="8.1999999999999993"/>
    <n v="0.79200000000000004"/>
    <n v="1.8039999999999998"/>
    <n v="37.809139800000004"/>
    <n v="831.8010756000001"/>
    <n v="417.01257132352941"/>
    <n v="278.00838088235292"/>
    <n v="14.556518823000003"/>
    <n v="82.5"/>
    <n v="928.85759442300014"/>
    <n v="42.220799746500006"/>
    <n v="465.67058543933825"/>
    <n v="310.44705695955884"/>
  </r>
  <r>
    <s v="28/08/2026"/>
    <s v="E"/>
    <s v="[1062] RAMGADH"/>
    <s v="[8403] MOHANIA"/>
    <x v="63"/>
    <x v="63"/>
    <x v="63"/>
    <s v="B"/>
    <n v="32"/>
    <n v="6.1"/>
    <n v="9"/>
    <n v="1.952"/>
    <n v="2.88"/>
    <n v="50.935000000000002"/>
    <n v="1629.92"/>
    <n v="420.95041322314052"/>
    <n v="280.63360881542701"/>
    <n v="28.523600000000005"/>
    <n v="120"/>
    <n v="1778.4436000000001"/>
    <n v="55.576362500000002"/>
    <n v="459.30878099173555"/>
    <n v="306.20585399449038"/>
  </r>
  <r>
    <s v="28/08/2026"/>
    <s v="E"/>
    <s v="[1062] RAMGADH"/>
    <s v="[8403] MOHANIA"/>
    <x v="63"/>
    <x v="63"/>
    <x v="63"/>
    <s v="C"/>
    <n v="30"/>
    <n v="3.3"/>
    <n v="8.1999999999999993"/>
    <n v="0.99"/>
    <n v="2.4599999999999995"/>
    <n v="36.558139799999999"/>
    <n v="1096.7441939999999"/>
    <n v="417.0130015209125"/>
    <n v="278.00866768060831"/>
    <n v="19.193023395000001"/>
    <n v="112.5"/>
    <n v="1228.4372173949998"/>
    <n v="40.947907246499994"/>
    <n v="467.086394446768"/>
    <n v="311.39092963117866"/>
  </r>
  <r>
    <s v="29/08/2026"/>
    <s v="M"/>
    <s v="[1062] RAMGADH"/>
    <s v="[8403] MOHANIA"/>
    <x v="63"/>
    <x v="63"/>
    <x v="63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29/08/2026"/>
    <s v="M"/>
    <s v="[1062] RAMGADH"/>
    <s v="[8403] MOHANIA"/>
    <x v="63"/>
    <x v="63"/>
    <x v="63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29/08/2026"/>
    <s v="E"/>
    <s v="[1062] RAMGADH"/>
    <s v="[8403] MOHANIA"/>
    <x v="63"/>
    <x v="63"/>
    <x v="63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29/08/2026"/>
    <s v="E"/>
    <s v="[1062] RAMGADH"/>
    <s v="[8403] MOHANIA"/>
    <x v="63"/>
    <x v="63"/>
    <x v="63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30/08/2026"/>
    <s v="M"/>
    <s v="[1062] RAMGADH"/>
    <s v="[8403] MOHANIA"/>
    <x v="63"/>
    <x v="63"/>
    <x v="63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30/08/2026"/>
    <s v="M"/>
    <s v="[1062] RAMGADH"/>
    <s v="[8403] MOHANIA"/>
    <x v="63"/>
    <x v="63"/>
    <x v="63"/>
    <s v="C"/>
    <n v="37"/>
    <n v="3.9"/>
    <n v="8.1999999999999993"/>
    <n v="1.4429999999999998"/>
    <n v="3.0339999999999998"/>
    <n v="39.060139800000002"/>
    <n v="1445.2251726"/>
    <n v="417.01216868327407"/>
    <n v="278.00811245551603"/>
    <n v="25.2914405205"/>
    <n v="138.75"/>
    <n v="1609.2666131204999"/>
    <n v="43.493692246499997"/>
    <n v="464.34546882384342"/>
    <n v="309.5636458825623"/>
  </r>
  <r>
    <s v="30/08/2026"/>
    <s v="E"/>
    <s v="[1062] RAMGADH"/>
    <s v="[8403] MOHANIA"/>
    <x v="63"/>
    <x v="63"/>
    <x v="63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30/08/2026"/>
    <s v="E"/>
    <s v="[1062] RAMGADH"/>
    <s v="[8403] MOHANIA"/>
    <x v="63"/>
    <x v="63"/>
    <x v="63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31/08/2026"/>
    <s v="M"/>
    <s v="[1062] RAMGADH"/>
    <s v="[8403] MOHANIA"/>
    <x v="63"/>
    <x v="63"/>
    <x v="63"/>
    <s v="B"/>
    <n v="31"/>
    <n v="6.5"/>
    <n v="9"/>
    <n v="2.0150000000000001"/>
    <n v="2.79"/>
    <n v="54.274999999999999"/>
    <n v="1682.5249999999999"/>
    <n v="434.2"/>
    <n v="289.46666666666664"/>
    <n v="29.444187500000002"/>
    <n v="116.25"/>
    <n v="1828.2191874999999"/>
    <n v="58.974812499999999"/>
    <n v="471.79849999999999"/>
    <n v="314.53233333333333"/>
  </r>
  <r>
    <s v="31/08/2026"/>
    <s v="M"/>
    <s v="[1062] RAMGADH"/>
    <s v="[8403] MOHANIA"/>
    <x v="63"/>
    <x v="63"/>
    <x v="63"/>
    <s v="C"/>
    <n v="26"/>
    <n v="3.8"/>
    <n v="8.1999999999999993"/>
    <n v="0.98799999999999999"/>
    <n v="2.1319999999999997"/>
    <n v="38.6431398"/>
    <n v="1004.7216347999999"/>
    <n v="417.01230000000004"/>
    <n v="278.00820000000004"/>
    <n v="17.582628609"/>
    <n v="97.5"/>
    <n v="1119.804263409"/>
    <n v="43.069394746500002"/>
    <n v="464.77764114928061"/>
    <n v="309.85176076618706"/>
  </r>
  <r>
    <s v="31/08/2026"/>
    <s v="E"/>
    <s v="[1062] RAMGADH"/>
    <s v="[8403] MOHANIA"/>
    <x v="63"/>
    <x v="63"/>
    <x v="63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31/08/2026"/>
    <s v="E"/>
    <s v="[1062] RAMGADH"/>
    <s v="[8403] MOHANIA"/>
    <x v="63"/>
    <x v="63"/>
    <x v="63"/>
    <s v="C"/>
    <n v="28"/>
    <n v="3.7"/>
    <n v="8.1999999999999993"/>
    <n v="1.036"/>
    <n v="2.2959999999999998"/>
    <n v="38.226139799999999"/>
    <n v="1070.3319144"/>
    <n v="417.01243418181815"/>
    <n v="278.00828945454543"/>
    <n v="18.730808502000002"/>
    <n v="105"/>
    <n v="1194.0627229019999"/>
    <n v="42.645097246499994"/>
    <n v="465.21924268909078"/>
    <n v="310.14616179272718"/>
  </r>
  <r>
    <s v="01/09/2026"/>
    <s v="M"/>
    <s v="[1062] RAMGADH"/>
    <s v="[8403] MOHANIA"/>
    <x v="63"/>
    <x v="63"/>
    <x v="63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01/09/2026"/>
    <s v="M"/>
    <s v="[1062] RAMGADH"/>
    <s v="[8403] MOHANIA"/>
    <x v="63"/>
    <x v="63"/>
    <x v="63"/>
    <s v="C"/>
    <n v="30"/>
    <n v="3.8"/>
    <n v="8.1999999999999993"/>
    <n v="1.1399999999999999"/>
    <n v="2.4599999999999995"/>
    <n v="38.6431398"/>
    <n v="1159.2941940000001"/>
    <n v="417.01230000000004"/>
    <n v="278.00820000000004"/>
    <n v="20.287648395000001"/>
    <n v="112.5"/>
    <n v="1292.081842395"/>
    <n v="43.069394746500002"/>
    <n v="464.77764114928061"/>
    <n v="309.85176076618706"/>
  </r>
  <r>
    <s v="01/09/2026"/>
    <s v="E"/>
    <s v="[1062] RAMGADH"/>
    <s v="[8403] MOHANIA"/>
    <x v="63"/>
    <x v="63"/>
    <x v="63"/>
    <s v="B"/>
    <n v="30"/>
    <n v="6.5"/>
    <n v="9"/>
    <n v="1.95"/>
    <n v="2.7"/>
    <n v="54.274999999999999"/>
    <n v="1628.25"/>
    <n v="434.2"/>
    <n v="289.46666666666664"/>
    <n v="28.494375000000002"/>
    <n v="112.5"/>
    <n v="1769.244375"/>
    <n v="58.974812499999999"/>
    <n v="471.79849999999999"/>
    <n v="314.53233333333333"/>
  </r>
  <r>
    <s v="01/09/2026"/>
    <s v="E"/>
    <s v="[1062] RAMGADH"/>
    <s v="[8403] MOHANIA"/>
    <x v="63"/>
    <x v="63"/>
    <x v="63"/>
    <s v="C"/>
    <n v="25"/>
    <n v="3.5"/>
    <n v="8.1999999999999993"/>
    <n v="0.875"/>
    <n v="2.0499999999999998"/>
    <n v="37.392139800000002"/>
    <n v="934.80349500000011"/>
    <n v="417.01271152416359"/>
    <n v="278.00847434944239"/>
    <n v="16.359061162500005"/>
    <n v="93.75"/>
    <n v="1044.9125561625001"/>
    <n v="41.796502246500005"/>
    <n v="466.13199531412641"/>
    <n v="310.75466354275096"/>
  </r>
  <r>
    <s v="02/09/2026"/>
    <s v="M"/>
    <s v="[1062] RAMGADH"/>
    <s v="[8403] MOHANIA"/>
    <x v="63"/>
    <x v="63"/>
    <x v="63"/>
    <s v="B"/>
    <n v="28"/>
    <n v="6.1"/>
    <n v="9"/>
    <n v="1.7079999999999997"/>
    <n v="2.52"/>
    <n v="50.935000000000002"/>
    <n v="1426.18"/>
    <n v="420.95041322314052"/>
    <n v="280.63360881542701"/>
    <n v="24.958150000000003"/>
    <n v="105"/>
    <n v="1556.13815"/>
    <n v="55.576362500000002"/>
    <n v="459.30878099173555"/>
    <n v="306.20585399449038"/>
  </r>
  <r>
    <s v="02/09/2026"/>
    <s v="M"/>
    <s v="[1062] RAMGADH"/>
    <s v="[8403] MOHANIA"/>
    <x v="63"/>
    <x v="63"/>
    <x v="63"/>
    <s v="C"/>
    <n v="29"/>
    <n v="3.8"/>
    <n v="8.3000000000000007"/>
    <n v="1.1019999999999999"/>
    <n v="2.407"/>
    <n v="38.921153700000005"/>
    <n v="1128.7134573000001"/>
    <n v="417.01236107142859"/>
    <n v="278.00824071428571"/>
    <n v="19.752485502750002"/>
    <n v="108.75"/>
    <n v="1257.2159428027501"/>
    <n v="43.352273889750002"/>
    <n v="464.48864881874999"/>
    <n v="309.6590992125"/>
  </r>
  <r>
    <s v="02/09/2026"/>
    <s v="E"/>
    <s v="[1062] RAMGADH"/>
    <s v="[8403] MOHANIA"/>
    <x v="63"/>
    <x v="63"/>
    <x v="63"/>
    <s v="B"/>
    <n v="36"/>
    <n v="6.9"/>
    <n v="9"/>
    <n v="2.484"/>
    <n v="3.24"/>
    <n v="57.615000000000002"/>
    <n v="2074.14"/>
    <n v="446.62790697674421"/>
    <n v="297.75193798449612"/>
    <n v="36.297449999999998"/>
    <n v="135"/>
    <n v="2245.4374499999999"/>
    <n v="62.373262499999996"/>
    <n v="483.51366279069765"/>
    <n v="322.3424418604651"/>
  </r>
  <r>
    <s v="02/09/2026"/>
    <s v="E"/>
    <s v="[1062] RAMGADH"/>
    <s v="[8403] MOHANIA"/>
    <x v="63"/>
    <x v="63"/>
    <x v="63"/>
    <s v="C"/>
    <n v="35"/>
    <n v="3.8"/>
    <n v="8.3000000000000007"/>
    <n v="1.33"/>
    <n v="2.9049999999999998"/>
    <n v="38.921153700000005"/>
    <n v="1362.2403795000002"/>
    <n v="417.01236107142859"/>
    <n v="278.00824071428571"/>
    <n v="23.839206641250005"/>
    <n v="131.25"/>
    <n v="1517.3295861412503"/>
    <n v="43.352273889750009"/>
    <n v="464.48864881875005"/>
    <n v="309.65909921250005"/>
  </r>
  <r>
    <s v="03/09/2026"/>
    <s v="M"/>
    <s v="[1062] RAMGADH"/>
    <s v="[8403] MOHANIA"/>
    <x v="63"/>
    <x v="63"/>
    <x v="63"/>
    <s v="B"/>
    <n v="32"/>
    <n v="6.2"/>
    <n v="9"/>
    <n v="1.984"/>
    <n v="2.88"/>
    <n v="51.77"/>
    <n v="1656.64"/>
    <n v="424.34426229508199"/>
    <n v="282.89617486338801"/>
    <n v="28.991200000000003"/>
    <n v="120"/>
    <n v="1805.6312"/>
    <n v="56.425975000000001"/>
    <n v="462.50799180327868"/>
    <n v="308.33866120218579"/>
  </r>
  <r>
    <s v="03/09/2026"/>
    <s v="M"/>
    <s v="[1062] RAMGADH"/>
    <s v="[8403] MOHANIA"/>
    <x v="63"/>
    <x v="63"/>
    <x v="63"/>
    <s v="C"/>
    <n v="25"/>
    <n v="3.8"/>
    <n v="8.3000000000000007"/>
    <n v="0.95"/>
    <n v="2.0750000000000002"/>
    <n v="38.921153700000005"/>
    <n v="973.02884250000011"/>
    <n v="417.01236107142859"/>
    <n v="278.00824071428571"/>
    <n v="17.028004743750003"/>
    <n v="93.75"/>
    <n v="1083.8068472437501"/>
    <n v="43.352273889750002"/>
    <n v="464.48864881874999"/>
    <n v="309.6590992125"/>
  </r>
  <r>
    <s v="03/09/2026"/>
    <s v="E"/>
    <s v="[1062] RAMGADH"/>
    <s v="[8403] MOHANIA"/>
    <x v="63"/>
    <x v="63"/>
    <x v="63"/>
    <s v="B"/>
    <n v="32"/>
    <n v="6.5"/>
    <n v="9"/>
    <n v="2.08"/>
    <n v="2.88"/>
    <n v="54.274999999999999"/>
    <n v="1736.8"/>
    <n v="434.2"/>
    <n v="289.46666666666664"/>
    <n v="30.394000000000002"/>
    <n v="120"/>
    <n v="1887.194"/>
    <n v="58.974812499999999"/>
    <n v="471.79849999999999"/>
    <n v="314.53233333333333"/>
  </r>
  <r>
    <s v="03/09/2026"/>
    <s v="E"/>
    <s v="[1062] RAMGADH"/>
    <s v="[8403] MOHANIA"/>
    <x v="63"/>
    <x v="63"/>
    <x v="63"/>
    <s v="C"/>
    <n v="26"/>
    <n v="3.6"/>
    <n v="8.1999999999999993"/>
    <n v="0.93600000000000005"/>
    <n v="2.1319999999999997"/>
    <n v="37.809139800000004"/>
    <n v="983.03763480000009"/>
    <n v="417.01257132352941"/>
    <n v="278.00838088235292"/>
    <n v="17.203158609000003"/>
    <n v="97.5"/>
    <n v="1097.7407934090002"/>
    <n v="42.220799746500006"/>
    <n v="465.67058543933825"/>
    <n v="310.44705695955884"/>
  </r>
  <r>
    <s v="28/08/2026"/>
    <s v="E"/>
    <s v="[1062] RAMGADH"/>
    <s v="[8401] DURGAWATI"/>
    <x v="64"/>
    <x v="64"/>
    <x v="64"/>
    <s v="B"/>
    <n v="18"/>
    <n v="5.9"/>
    <n v="9"/>
    <n v="1.0620000000000001"/>
    <n v="1.62"/>
    <n v="49.265000000000001"/>
    <n v="886.77"/>
    <n v="413.99159663865549"/>
    <n v="275.99439775910366"/>
    <n v="15.518475"/>
    <n v="67.5"/>
    <n v="969.78847499999995"/>
    <n v="53.877137499999996"/>
    <n v="452.74905462184876"/>
    <n v="301.83270308123252"/>
  </r>
  <r>
    <s v="28/08/2026"/>
    <s v="E"/>
    <s v="[1062] RAMGADH"/>
    <s v="[8401] DURGAWATI"/>
    <x v="64"/>
    <x v="64"/>
    <x v="64"/>
    <s v="C"/>
    <n v="29"/>
    <n v="4"/>
    <n v="8.5"/>
    <n v="1.1599999999999999"/>
    <n v="2.4649999999999999"/>
    <n v="40.311181500000004"/>
    <n v="1169.0242635000002"/>
    <n v="417.0122224137931"/>
    <n v="278.00814827586208"/>
    <n v="20.457924611250004"/>
    <n v="108.75"/>
    <n v="1298.2321881112503"/>
    <n v="44.766627176250012"/>
    <n v="463.10303975431043"/>
    <n v="308.73535983620695"/>
  </r>
  <r>
    <s v="29/08/2026"/>
    <s v="M"/>
    <s v="[1062] RAMGADH"/>
    <s v="[8401] DURGAWATI"/>
    <x v="64"/>
    <x v="64"/>
    <x v="64"/>
    <s v="B"/>
    <n v="60"/>
    <n v="6.4"/>
    <n v="9"/>
    <n v="3.84"/>
    <n v="5.4"/>
    <n v="53.44"/>
    <n v="3206.3999999999996"/>
    <n v="430.96774193548384"/>
    <n v="287.31182795698925"/>
    <n v="56.112000000000002"/>
    <n v="225"/>
    <n v="3487.5119999999997"/>
    <n v="58.125199999999992"/>
    <n v="468.75161290322575"/>
    <n v="312.50107526881715"/>
  </r>
  <r>
    <s v="29/08/2026"/>
    <s v="M"/>
    <s v="[1062] RAMGADH"/>
    <s v="[8401] DURGAWATI"/>
    <x v="64"/>
    <x v="64"/>
    <x v="64"/>
    <s v="C"/>
    <n v="65"/>
    <n v="4.5"/>
    <n v="8.5"/>
    <n v="2.9249999999999998"/>
    <n v="5.5250000000000004"/>
    <n v="42.396181500000004"/>
    <n v="2755.7517975000001"/>
    <n v="417.01162131147544"/>
    <n v="278.00774754098364"/>
    <n v="48.225656456250007"/>
    <n v="243.75"/>
    <n v="3047.72745395625"/>
    <n v="46.888114676249998"/>
    <n v="461.19457058606554"/>
    <n v="307.46304705737703"/>
  </r>
  <r>
    <s v="29/08/2026"/>
    <s v="E"/>
    <s v="[1062] RAMGADH"/>
    <s v="[8401] DURGAWATI"/>
    <x v="64"/>
    <x v="64"/>
    <x v="64"/>
    <s v="B"/>
    <n v="10"/>
    <n v="6"/>
    <n v="9"/>
    <n v="0.6"/>
    <n v="0.9"/>
    <n v="50.1"/>
    <n v="501"/>
    <n v="417.5"/>
    <n v="278.33333333333331"/>
    <n v="8.7675000000000001"/>
    <n v="37.5"/>
    <n v="547.26750000000004"/>
    <n v="54.726750000000003"/>
    <n v="456.05625000000003"/>
    <n v="304.03750000000002"/>
  </r>
  <r>
    <s v="29/08/2026"/>
    <s v="E"/>
    <s v="[1062] RAMGADH"/>
    <s v="[8401] DURGAWATI"/>
    <x v="64"/>
    <x v="64"/>
    <x v="64"/>
    <s v="C"/>
    <n v="23"/>
    <n v="4.3"/>
    <n v="8.5"/>
    <n v="0.98899999999999988"/>
    <n v="1.9550000000000001"/>
    <n v="41.562181500000001"/>
    <n v="955.93017450000002"/>
    <n v="417.01185451505017"/>
    <n v="278.00790301003343"/>
    <n v="16.728778053750002"/>
    <n v="86.25"/>
    <n v="1058.9089525537499"/>
    <n v="46.039519676249995"/>
    <n v="461.93498002926418"/>
    <n v="307.95665335284281"/>
  </r>
  <r>
    <s v="30/08/2026"/>
    <s v="M"/>
    <s v="[1062] RAMGADH"/>
    <s v="[8401] DURGAWATI"/>
    <x v="64"/>
    <x v="64"/>
    <x v="64"/>
    <s v="B"/>
    <n v="38"/>
    <n v="6.5"/>
    <n v="9"/>
    <n v="2.4700000000000002"/>
    <n v="3.42"/>
    <n v="54.274999999999999"/>
    <n v="2062.4499999999998"/>
    <n v="434.2"/>
    <n v="289.46666666666664"/>
    <n v="36.092874999999999"/>
    <n v="142.5"/>
    <n v="2241.0428749999996"/>
    <n v="58.974812499999992"/>
    <n v="471.79849999999993"/>
    <n v="314.53233333333327"/>
  </r>
  <r>
    <s v="30/08/2026"/>
    <s v="M"/>
    <s v="[1062] RAMGADH"/>
    <s v="[8401] DURGAWATI"/>
    <x v="64"/>
    <x v="64"/>
    <x v="64"/>
    <s v="C"/>
    <n v="69"/>
    <n v="4.2"/>
    <n v="8.1999999999999993"/>
    <n v="2.8980000000000001"/>
    <n v="5.6579999999999995"/>
    <n v="40.311139799999999"/>
    <n v="2781.4686462"/>
    <n v="417.01179103448277"/>
    <n v="278.00786068965516"/>
    <n v="48.675701308500003"/>
    <n v="258.75"/>
    <n v="3088.8943475084998"/>
    <n v="44.766584746499994"/>
    <n v="463.102600825862"/>
    <n v="308.73506721724135"/>
  </r>
  <r>
    <s v="30/08/2026"/>
    <s v="E"/>
    <s v="[1062] RAMGADH"/>
    <s v="[8401] DURGAWATI"/>
    <x v="64"/>
    <x v="64"/>
    <x v="64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30/08/2026"/>
    <s v="E"/>
    <s v="[1062] RAMGADH"/>
    <s v="[8401] DURGAWATI"/>
    <x v="64"/>
    <x v="64"/>
    <x v="64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31/08/2026"/>
    <s v="M"/>
    <s v="[1062] RAMGADH"/>
    <s v="[8401] DURGAWATI"/>
    <x v="64"/>
    <x v="64"/>
    <x v="64"/>
    <s v="B"/>
    <n v="34"/>
    <n v="6.5"/>
    <n v="9"/>
    <n v="2.21"/>
    <n v="3.06"/>
    <n v="54.274999999999999"/>
    <n v="1845.35"/>
    <n v="434.2"/>
    <n v="289.46666666666664"/>
    <n v="32.293624999999999"/>
    <n v="127.5"/>
    <n v="2005.1436249999999"/>
    <n v="58.974812499999999"/>
    <n v="471.79849999999999"/>
    <n v="314.53233333333333"/>
  </r>
  <r>
    <s v="31/08/2026"/>
    <s v="M"/>
    <s v="[1062] RAMGADH"/>
    <s v="[8401] DURGAWATI"/>
    <x v="64"/>
    <x v="64"/>
    <x v="64"/>
    <s v="C"/>
    <n v="67"/>
    <n v="4.8"/>
    <n v="8.5"/>
    <n v="3.2159999999999997"/>
    <n v="5.6950000000000003"/>
    <n v="43.647181500000002"/>
    <n v="2924.3611605000001"/>
    <n v="417.0112882165605"/>
    <n v="278.00752547770702"/>
    <n v="51.176320308750007"/>
    <n v="251.25"/>
    <n v="3226.7874808087499"/>
    <n v="48.161007176249996"/>
    <n v="460.13701123805726"/>
    <n v="306.75800749203819"/>
  </r>
  <r>
    <s v="31/08/2026"/>
    <s v="E"/>
    <s v="[1062] RAMGADH"/>
    <s v="[8401] DURGAWATI"/>
    <x v="64"/>
    <x v="64"/>
    <x v="64"/>
    <s v="B"/>
    <n v="10"/>
    <n v="6.6"/>
    <n v="9"/>
    <n v="0.66"/>
    <n v="0.9"/>
    <n v="55.11"/>
    <n v="551.1"/>
    <n v="437.38095238095235"/>
    <n v="291.58730158730157"/>
    <n v="9.6442500000000013"/>
    <n v="37.5"/>
    <n v="598.24424999999997"/>
    <n v="59.824424999999998"/>
    <n v="474.79702380952381"/>
    <n v="316.5313492063492"/>
  </r>
  <r>
    <s v="31/08/2026"/>
    <s v="E"/>
    <s v="[1062] RAMGADH"/>
    <s v="[8401] DURGAWATI"/>
    <x v="64"/>
    <x v="64"/>
    <x v="64"/>
    <s v="C"/>
    <n v="28"/>
    <n v="4.4000000000000004"/>
    <n v="8.4"/>
    <n v="1.2320000000000002"/>
    <n v="2.3520000000000003"/>
    <n v="41.701167600000005"/>
    <n v="1167.6326928000001"/>
    <n v="417.01167600000002"/>
    <n v="278.00778400000002"/>
    <n v="20.433572124000005"/>
    <n v="105"/>
    <n v="1293.0662649240001"/>
    <n v="46.180938033000004"/>
    <n v="461.80938033000001"/>
    <n v="307.87292022000003"/>
  </r>
  <r>
    <s v="01/09/2026"/>
    <s v="M"/>
    <s v="[1062] RAMGADH"/>
    <s v="[8401] DURGAWATI"/>
    <x v="64"/>
    <x v="64"/>
    <x v="64"/>
    <s v="B"/>
    <n v="46"/>
    <n v="7"/>
    <n v="9"/>
    <n v="3.22"/>
    <n v="4.1399999999999997"/>
    <n v="58.45"/>
    <n v="2688.7000000000003"/>
    <n v="449.61538461538464"/>
    <n v="299.74358974358978"/>
    <n v="47.052250000000008"/>
    <n v="172.5"/>
    <n v="2908.2522500000005"/>
    <n v="63.222875000000009"/>
    <n v="486.32980769230772"/>
    <n v="324.21987179487184"/>
  </r>
  <r>
    <s v="01/09/2026"/>
    <s v="M"/>
    <s v="[1062] RAMGADH"/>
    <s v="[8401] DURGAWATI"/>
    <x v="64"/>
    <x v="64"/>
    <x v="64"/>
    <s v="C"/>
    <n v="69"/>
    <n v="3.9"/>
    <n v="8.1999999999999993"/>
    <n v="2.6909999999999998"/>
    <n v="5.6579999999999995"/>
    <n v="39.060139800000002"/>
    <n v="2695.1496462"/>
    <n v="417.01216868327407"/>
    <n v="278.00811245551603"/>
    <n v="47.165118808500004"/>
    <n v="258.75"/>
    <n v="3001.0647650085002"/>
    <n v="43.493692246500004"/>
    <n v="464.34546882384348"/>
    <n v="309.5636458825623"/>
  </r>
  <r>
    <s v="01/09/2026"/>
    <s v="E"/>
    <s v="[1062] RAMGADH"/>
    <s v="[8401] DURGAWATI"/>
    <x v="64"/>
    <x v="64"/>
    <x v="64"/>
    <s v="B"/>
    <n v="10"/>
    <n v="8.4"/>
    <n v="9"/>
    <n v="0.84"/>
    <n v="0.9"/>
    <n v="70.14"/>
    <n v="701.4"/>
    <n v="487.08333333333326"/>
    <n v="324.72222222222217"/>
    <n v="12.274500000000002"/>
    <n v="37.5"/>
    <n v="751.17449999999997"/>
    <n v="75.117449999999991"/>
    <n v="521.64895833333321"/>
    <n v="347.76597222222216"/>
  </r>
  <r>
    <s v="01/09/2026"/>
    <s v="E"/>
    <s v="[1062] RAMGADH"/>
    <s v="[8401] DURGAWATI"/>
    <x v="64"/>
    <x v="64"/>
    <x v="64"/>
    <s v="C"/>
    <n v="17"/>
    <n v="5.0999999999999996"/>
    <n v="8.5"/>
    <n v="0.86699999999999988"/>
    <n v="1.4450000000000001"/>
    <n v="44.898181500000007"/>
    <n v="763.26908550000007"/>
    <n v="417.01097368421063"/>
    <n v="278.00731578947375"/>
    <n v="13.357208996250003"/>
    <n v="63.75"/>
    <n v="840.37629449625013"/>
    <n v="49.433899676250007"/>
    <n v="459.13838708591339"/>
    <n v="306.09225805727561"/>
  </r>
  <r>
    <s v="02/09/2026"/>
    <s v="M"/>
    <s v="[1062] RAMGADH"/>
    <s v="[8401] DURGAWATI"/>
    <x v="64"/>
    <x v="64"/>
    <x v="64"/>
    <s v="B"/>
    <n v="53"/>
    <n v="6.3"/>
    <n v="9"/>
    <n v="3.339"/>
    <n v="4.7699999999999996"/>
    <n v="52.604999999999997"/>
    <n v="2788.0650000000001"/>
    <n v="427.6829268292683"/>
    <n v="285.1219512195122"/>
    <n v="48.791137500000005"/>
    <n v="198.75"/>
    <n v="3035.6061374999999"/>
    <n v="57.2755875"/>
    <n v="465.6551829268293"/>
    <n v="310.43678861788618"/>
  </r>
  <r>
    <s v="02/09/2026"/>
    <s v="M"/>
    <s v="[1062] RAMGADH"/>
    <s v="[8401] DURGAWATI"/>
    <x v="64"/>
    <x v="64"/>
    <x v="64"/>
    <s v="C"/>
    <n v="67"/>
    <n v="4.4000000000000004"/>
    <n v="8.5"/>
    <n v="2.948"/>
    <n v="5.6950000000000003"/>
    <n v="41.97918150000001"/>
    <n v="2812.6051605000007"/>
    <n v="417.01173675496693"/>
    <n v="278.00782450331127"/>
    <n v="49.220590308750019"/>
    <n v="251.25"/>
    <n v="3113.0757508087509"/>
    <n v="46.463817176250011"/>
    <n v="461.56109777731791"/>
    <n v="307.70739851821196"/>
  </r>
  <r>
    <s v="02/09/2026"/>
    <s v="E"/>
    <s v="[1062] RAMGADH"/>
    <s v="[8401] DURGAWATI"/>
    <x v="64"/>
    <x v="64"/>
    <x v="64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02/09/2026"/>
    <s v="E"/>
    <s v="[1062] RAMGADH"/>
    <s v="[8401] DURGAWATI"/>
    <x v="64"/>
    <x v="64"/>
    <x v="64"/>
    <s v="C"/>
    <n v="26"/>
    <n v="4.4000000000000004"/>
    <n v="8.5"/>
    <n v="1.1440000000000001"/>
    <n v="2.21"/>
    <n v="41.97918150000001"/>
    <n v="1091.4587190000002"/>
    <n v="417.01173675496693"/>
    <n v="278.00782450331127"/>
    <n v="19.100527582500007"/>
    <n v="97.5"/>
    <n v="1208.0592465825002"/>
    <n v="46.463817176250011"/>
    <n v="461.56109777731791"/>
    <n v="307.70739851821196"/>
  </r>
  <r>
    <s v="03/09/2026"/>
    <s v="M"/>
    <s v="[1062] RAMGADH"/>
    <s v="[8401] DURGAWATI"/>
    <x v="64"/>
    <x v="64"/>
    <x v="64"/>
    <s v="B"/>
    <n v="45"/>
    <n v="7.4"/>
    <n v="9"/>
    <n v="3.33"/>
    <n v="4.05"/>
    <n v="61.790000000000006"/>
    <n v="2780.55"/>
    <n v="461.11940298507466"/>
    <n v="307.41293532338312"/>
    <n v="48.659625000000005"/>
    <n v="168.75"/>
    <n v="2997.9596250000004"/>
    <n v="66.621325000000013"/>
    <n v="497.17406716417918"/>
    <n v="331.44937810945277"/>
  </r>
  <r>
    <s v="03/09/2026"/>
    <s v="M"/>
    <s v="[1062] RAMGADH"/>
    <s v="[8401] DURGAWATI"/>
    <x v="64"/>
    <x v="64"/>
    <x v="64"/>
    <s v="C"/>
    <n v="71"/>
    <n v="3.9"/>
    <n v="8.4"/>
    <n v="2.7689999999999997"/>
    <n v="5.9639999999999995"/>
    <n v="39.616167600000011"/>
    <n v="2812.7478996000009"/>
    <n v="417.01229052631589"/>
    <n v="278.0081936842106"/>
    <n v="49.223088243000021"/>
    <n v="266.25"/>
    <n v="3128.2209878430008"/>
    <n v="44.05945053300001"/>
    <n v="463.78368982105275"/>
    <n v="309.18912654736852"/>
  </r>
  <r>
    <s v="03/09/2026"/>
    <s v="E"/>
    <s v="[1062] RAMGADH"/>
    <s v="[8401] DURGAWATI"/>
    <x v="64"/>
    <x v="64"/>
    <x v="64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3/09/2026"/>
    <s v="E"/>
    <s v="[1062] RAMGADH"/>
    <s v="[8401] DURGAWATI"/>
    <x v="64"/>
    <x v="64"/>
    <x v="64"/>
    <s v="C"/>
    <n v="29"/>
    <n v="4.0999999999999996"/>
    <n v="8.5"/>
    <n v="1.1889999999999998"/>
    <n v="2.4649999999999999"/>
    <n v="40.728181500000005"/>
    <n v="1181.1172635000003"/>
    <n v="417.01209726962463"/>
    <n v="278.0080648464164"/>
    <n v="20.669552111250006"/>
    <n v="108.75"/>
    <n v="1310.5368156112502"/>
    <n v="45.190924676250006"/>
    <n v="462.70571340870316"/>
    <n v="308.47047560580211"/>
  </r>
  <r>
    <s v="28/08/2026"/>
    <s v="M"/>
    <s v="[1062] RAMGADH"/>
    <s v="[8401] DURGAWATI"/>
    <x v="65"/>
    <x v="65"/>
    <x v="65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28/08/2026"/>
    <s v="E"/>
    <s v="[1062] RAMGADH"/>
    <s v="[8401] DURGAWATI"/>
    <x v="65"/>
    <x v="65"/>
    <x v="65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8/08/2026"/>
    <s v="E"/>
    <s v="[1062] RAMGADH"/>
    <s v="[8401] DURGAWATI"/>
    <x v="65"/>
    <x v="65"/>
    <x v="65"/>
    <s v="C"/>
    <n v="38"/>
    <n v="3.6"/>
    <n v="8.3000000000000007"/>
    <n v="1.3680000000000001"/>
    <n v="3.1540000000000004"/>
    <n v="38.087153700000009"/>
    <n v="1447.3118406000003"/>
    <n v="417.01263175182481"/>
    <n v="278.00842116788323"/>
    <n v="25.327957210500006"/>
    <n v="142.5"/>
    <n v="1615.1397978105003"/>
    <n v="42.503678889750006"/>
    <n v="465.36874696806569"/>
    <n v="310.24583131204378"/>
  </r>
  <r>
    <s v="29/08/2026"/>
    <s v="M"/>
    <s v="[1062] RAMGADH"/>
    <s v="[8401] DURGAWATI"/>
    <x v="65"/>
    <x v="65"/>
    <x v="65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29/08/2026"/>
    <s v="M"/>
    <s v="[1062] RAMGADH"/>
    <s v="[8401] DURGAWATI"/>
    <x v="65"/>
    <x v="65"/>
    <x v="65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29/08/2026"/>
    <s v="E"/>
    <s v="[1062] RAMGADH"/>
    <s v="[8401] DURGAWATI"/>
    <x v="65"/>
    <x v="65"/>
    <x v="65"/>
    <s v="B"/>
    <n v="15"/>
    <n v="6.1"/>
    <n v="9"/>
    <n v="0.91500000000000004"/>
    <n v="1.35"/>
    <n v="50.935000000000002"/>
    <n v="764.02500000000009"/>
    <n v="420.95041322314052"/>
    <n v="280.63360881542701"/>
    <n v="13.370437500000003"/>
    <n v="56.25"/>
    <n v="833.64543750000007"/>
    <n v="55.576362500000002"/>
    <n v="459.30878099173555"/>
    <n v="306.20585399449038"/>
  </r>
  <r>
    <s v="29/08/2026"/>
    <s v="E"/>
    <s v="[1062] RAMGADH"/>
    <s v="[8401] DURGAWATI"/>
    <x v="65"/>
    <x v="65"/>
    <x v="65"/>
    <s v="C"/>
    <n v="25"/>
    <n v="3.2"/>
    <n v="8.5"/>
    <n v="0.8"/>
    <n v="2.125"/>
    <n v="36.975181500000005"/>
    <n v="924.37953750000008"/>
    <n v="417.01332518796994"/>
    <n v="278.00888345864661"/>
    <n v="16.176641906250001"/>
    <n v="93.75"/>
    <n v="1034.3061794062501"/>
    <n v="41.372247176249999"/>
    <n v="466.60429146146612"/>
    <n v="311.06952764097741"/>
  </r>
  <r>
    <s v="30/08/2026"/>
    <s v="M"/>
    <s v="[1062] RAMGADH"/>
    <s v="[8401] DURGAWATI"/>
    <x v="65"/>
    <x v="65"/>
    <x v="65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30/08/2026"/>
    <s v="M"/>
    <s v="[1062] RAMGADH"/>
    <s v="[8401] DURGAWATI"/>
    <x v="65"/>
    <x v="65"/>
    <x v="65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30/08/2026"/>
    <s v="E"/>
    <s v="[1062] RAMGADH"/>
    <s v="[8401] DURGAWATI"/>
    <x v="65"/>
    <x v="65"/>
    <x v="65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30/08/2026"/>
    <s v="E"/>
    <s v="[1062] RAMGADH"/>
    <s v="[8401] DURGAWATI"/>
    <x v="65"/>
    <x v="65"/>
    <x v="65"/>
    <s v="C"/>
    <n v="25"/>
    <n v="3.5"/>
    <n v="8"/>
    <n v="0.875"/>
    <n v="2"/>
    <n v="36.836112000000007"/>
    <n v="920.90280000000018"/>
    <n v="417.01258867924531"/>
    <n v="278.00839245283021"/>
    <n v="16.115799000000006"/>
    <n v="93.75"/>
    <n v="1030.7685990000002"/>
    <n v="41.230743960000012"/>
    <n v="466.76313916981138"/>
    <n v="311.17542611320761"/>
  </r>
  <r>
    <s v="31/08/2026"/>
    <s v="M"/>
    <s v="[1062] RAMGADH"/>
    <s v="[8401] DURGAWATI"/>
    <x v="65"/>
    <x v="65"/>
    <x v="65"/>
    <s v="B"/>
    <n v="33"/>
    <n v="7.5"/>
    <n v="9"/>
    <n v="2.4750000000000001"/>
    <n v="2.97"/>
    <n v="62.625"/>
    <n v="2066.625"/>
    <n v="463.88888888888886"/>
    <n v="309.25925925925924"/>
    <n v="36.165937500000005"/>
    <n v="123.75"/>
    <n v="2226.5409374999999"/>
    <n v="67.470937499999991"/>
    <n v="499.78472222222211"/>
    <n v="333.18981481481472"/>
  </r>
  <r>
    <s v="31/08/2026"/>
    <s v="M"/>
    <s v="[1062] RAMGADH"/>
    <s v="[8401] DURGAWATI"/>
    <x v="65"/>
    <x v="65"/>
    <x v="65"/>
    <s v="C"/>
    <n v="46"/>
    <n v="3.6"/>
    <n v="8.1999999999999993"/>
    <n v="1.6559999999999999"/>
    <n v="3.7719999999999998"/>
    <n v="37.809139800000004"/>
    <n v="1739.2204308000003"/>
    <n v="417.01257132352941"/>
    <n v="278.00838088235292"/>
    <n v="30.436357539000007"/>
    <n v="172.5"/>
    <n v="1942.1567883390003"/>
    <n v="42.220799746500006"/>
    <n v="465.67058543933825"/>
    <n v="310.44705695955884"/>
  </r>
  <r>
    <s v="31/08/2026"/>
    <s v="E"/>
    <s v="[1062] RAMGADH"/>
    <s v="[8401] DURGAWATI"/>
    <x v="65"/>
    <x v="65"/>
    <x v="65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31/08/2026"/>
    <s v="E"/>
    <s v="[1062] RAMGADH"/>
    <s v="[8401] DURGAWATI"/>
    <x v="65"/>
    <x v="65"/>
    <x v="65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1/09/2026"/>
    <s v="M"/>
    <s v="[1062] RAMGADH"/>
    <s v="[8401] DURGAWATI"/>
    <x v="65"/>
    <x v="65"/>
    <x v="65"/>
    <s v="B"/>
    <n v="32"/>
    <n v="7.5"/>
    <n v="9"/>
    <n v="2.4"/>
    <n v="2.88"/>
    <n v="62.625"/>
    <n v="2004"/>
    <n v="463.88888888888886"/>
    <n v="309.25925925925924"/>
    <n v="35.07"/>
    <n v="120"/>
    <n v="2159.0700000000002"/>
    <n v="67.470937500000005"/>
    <n v="499.78472222222223"/>
    <n v="333.18981481481484"/>
  </r>
  <r>
    <s v="01/09/2026"/>
    <s v="M"/>
    <s v="[1062] RAMGADH"/>
    <s v="[8401] DURGAWATI"/>
    <x v="65"/>
    <x v="65"/>
    <x v="65"/>
    <s v="C"/>
    <n v="46"/>
    <n v="4.0999999999999996"/>
    <n v="8.1999999999999993"/>
    <n v="1.8859999999999999"/>
    <n v="3.7719999999999998"/>
    <n v="39.894139799999998"/>
    <n v="1835.1304307999999"/>
    <n v="417.01191428571434"/>
    <n v="278.00794285714289"/>
    <n v="32.114782539000004"/>
    <n v="172.5"/>
    <n v="2039.745213339"/>
    <n v="44.3422872465"/>
    <n v="463.50822905749135"/>
    <n v="309.00548603832755"/>
  </r>
  <r>
    <s v="01/09/2026"/>
    <s v="E"/>
    <s v="[1062] RAMGADH"/>
    <s v="[8401] DURGAWATI"/>
    <x v="65"/>
    <x v="65"/>
    <x v="65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01/09/2026"/>
    <s v="E"/>
    <s v="[1062] RAMGADH"/>
    <s v="[8401] DURGAWATI"/>
    <x v="65"/>
    <x v="65"/>
    <x v="65"/>
    <s v="C"/>
    <n v="27"/>
    <n v="3.7"/>
    <n v="8.1"/>
    <n v="0.99900000000000011"/>
    <n v="2.1869999999999998"/>
    <n v="37.948125900000008"/>
    <n v="1024.5993993000002"/>
    <n v="417.01237252747262"/>
    <n v="278.00824835164843"/>
    <n v="17.930489487750005"/>
    <n v="101.25"/>
    <n v="1143.7798887877502"/>
    <n v="42.362218103250008"/>
    <n v="465.51888025549459"/>
    <n v="310.34592017032975"/>
  </r>
  <r>
    <s v="02/09/2026"/>
    <s v="M"/>
    <s v="[1062] RAMGADH"/>
    <s v="[8401] DURGAWATI"/>
    <x v="65"/>
    <x v="65"/>
    <x v="65"/>
    <s v="B"/>
    <n v="32"/>
    <n v="7.4"/>
    <n v="9"/>
    <n v="2.3680000000000003"/>
    <n v="2.88"/>
    <n v="61.790000000000006"/>
    <n v="1977.2800000000002"/>
    <n v="461.11940298507466"/>
    <n v="307.41293532338312"/>
    <n v="34.60240000000001"/>
    <n v="120"/>
    <n v="2131.8824000000004"/>
    <n v="66.621325000000013"/>
    <n v="497.17406716417918"/>
    <n v="331.44937810945277"/>
  </r>
  <r>
    <s v="02/09/2026"/>
    <s v="M"/>
    <s v="[1062] RAMGADH"/>
    <s v="[8401] DURGAWATI"/>
    <x v="65"/>
    <x v="65"/>
    <x v="65"/>
    <s v="C"/>
    <n v="53"/>
    <n v="3.1"/>
    <n v="8.1"/>
    <n v="1.643"/>
    <n v="4.2929999999999993"/>
    <n v="35.446125899999998"/>
    <n v="1878.6446727"/>
    <n v="417.01324588235298"/>
    <n v="278.0088305882353"/>
    <n v="32.876281772250003"/>
    <n v="198.75"/>
    <n v="2110.2709544722502"/>
    <n v="39.816433103250006"/>
    <n v="468.42862474411777"/>
    <n v="312.28574982941183"/>
  </r>
  <r>
    <s v="02/09/2026"/>
    <s v="E"/>
    <s v="[1062] RAMGADH"/>
    <s v="[8401] DURGAWATI"/>
    <x v="65"/>
    <x v="65"/>
    <x v="65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2/09/2026"/>
    <s v="E"/>
    <s v="[1062] RAMGADH"/>
    <s v="[8401] DURGAWATI"/>
    <x v="65"/>
    <x v="65"/>
    <x v="65"/>
    <s v="C"/>
    <n v="35"/>
    <n v="3.7"/>
    <n v="8.1"/>
    <n v="1.2949999999999999"/>
    <n v="2.835"/>
    <n v="37.948125900000008"/>
    <n v="1328.1844065000003"/>
    <n v="417.01237252747262"/>
    <n v="278.00824835164843"/>
    <n v="23.243227113750006"/>
    <n v="131.25"/>
    <n v="1482.6776336137502"/>
    <n v="42.362218103250008"/>
    <n v="465.51888025549459"/>
    <n v="310.34592017032975"/>
  </r>
  <r>
    <s v="03/09/2026"/>
    <s v="M"/>
    <s v="[1062] RAMGADH"/>
    <s v="[8401] DURGAWATI"/>
    <x v="65"/>
    <x v="65"/>
    <x v="65"/>
    <s v="B"/>
    <n v="33"/>
    <n v="7.7"/>
    <n v="9"/>
    <n v="2.5409999999999999"/>
    <n v="2.97"/>
    <n v="64.295000000000002"/>
    <n v="2121.7350000000001"/>
    <n v="469.30656934306569"/>
    <n v="312.87104622871044"/>
    <n v="37.130362500000004"/>
    <n v="123.75"/>
    <n v="2282.6153625000002"/>
    <n v="69.170162500000004"/>
    <n v="504.89169708029198"/>
    <n v="336.59446472019465"/>
  </r>
  <r>
    <s v="03/09/2026"/>
    <s v="M"/>
    <s v="[1062] RAMGADH"/>
    <s v="[8401] DURGAWATI"/>
    <x v="65"/>
    <x v="65"/>
    <x v="65"/>
    <s v="C"/>
    <n v="55"/>
    <n v="3.1"/>
    <n v="8.1"/>
    <n v="1.7050000000000001"/>
    <n v="4.4550000000000001"/>
    <n v="35.446125899999998"/>
    <n v="1949.5369244999999"/>
    <n v="417.01324588235298"/>
    <n v="278.0088305882353"/>
    <n v="34.116896178750004"/>
    <n v="206.25"/>
    <n v="2189.90382067875"/>
    <n v="39.816433103249999"/>
    <n v="468.42862474411766"/>
    <n v="312.28574982941177"/>
  </r>
  <r>
    <s v="03/09/2026"/>
    <s v="E"/>
    <s v="[1062] RAMGADH"/>
    <s v="[8401] DURGAWATI"/>
    <x v="65"/>
    <x v="65"/>
    <x v="65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03/09/2026"/>
    <s v="E"/>
    <s v="[1062] RAMGADH"/>
    <s v="[8401] DURGAWATI"/>
    <x v="65"/>
    <x v="65"/>
    <x v="65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28/08/2026"/>
    <s v="M"/>
    <s v="[1062] RAMGADH"/>
    <s v="[8404] CHANDESH"/>
    <x v="66"/>
    <x v="66"/>
    <x v="66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28/08/2026"/>
    <s v="E"/>
    <s v="[1062] RAMGADH"/>
    <s v="[8404] CHANDESH"/>
    <x v="66"/>
    <x v="66"/>
    <x v="66"/>
    <s v="C"/>
    <n v="36"/>
    <n v="4.4000000000000004"/>
    <n v="8.5"/>
    <n v="1.5840000000000001"/>
    <n v="3.06"/>
    <n v="41.97918150000001"/>
    <n v="1511.2505340000002"/>
    <n v="417.01173675496693"/>
    <n v="278.00782450331127"/>
    <n v="26.446884345000008"/>
    <n v="135"/>
    <n v="1672.6974183450002"/>
    <n v="46.463817176250004"/>
    <n v="461.56109777731785"/>
    <n v="307.7073985182119"/>
  </r>
  <r>
    <s v="29/08/2026"/>
    <s v="M"/>
    <s v="[1062] RAMGADH"/>
    <s v="[8404] CHANDESH"/>
    <x v="66"/>
    <x v="66"/>
    <x v="66"/>
    <s v="C"/>
    <n v="40"/>
    <n v="3.6"/>
    <n v="8.4"/>
    <n v="1.44"/>
    <n v="3.36"/>
    <n v="38.365167600000007"/>
    <n v="1534.6067040000003"/>
    <n v="417.01269130434792"/>
    <n v="278.00846086956528"/>
    <n v="26.855617320000007"/>
    <n v="150"/>
    <n v="1711.4623213200002"/>
    <n v="42.786558033000006"/>
    <n v="465.07128296739137"/>
    <n v="310.04752197826093"/>
  </r>
  <r>
    <s v="29/08/2026"/>
    <s v="E"/>
    <s v="[1062] RAMGADH"/>
    <s v="[8404] CHANDESH"/>
    <x v="66"/>
    <x v="66"/>
    <x v="66"/>
    <s v="C"/>
    <n v="27"/>
    <n v="3.7"/>
    <n v="8.5"/>
    <n v="0.99900000000000011"/>
    <n v="2.2949999999999999"/>
    <n v="39.060181500000006"/>
    <n v="1054.6249005000002"/>
    <n v="417.0126138790036"/>
    <n v="278.00840925266908"/>
    <n v="18.455935758750005"/>
    <n v="101.25"/>
    <n v="1174.3308362587502"/>
    <n v="43.493734676250007"/>
    <n v="464.34592181049823"/>
    <n v="309.56394787366548"/>
  </r>
  <r>
    <s v="30/08/2026"/>
    <s v="M"/>
    <s v="[1062] RAMGADH"/>
    <s v="[8404] CHANDESH"/>
    <x v="66"/>
    <x v="66"/>
    <x v="66"/>
    <s v="C"/>
    <n v="33"/>
    <n v="3.9"/>
    <n v="8.5"/>
    <n v="1.2869999999999999"/>
    <n v="2.8050000000000002"/>
    <n v="39.894181500000002"/>
    <n v="1316.5079895000001"/>
    <n v="417.01235017421601"/>
    <n v="278.00823344947736"/>
    <n v="23.038889816250006"/>
    <n v="123.75"/>
    <n v="1463.2968793162502"/>
    <n v="44.342329676250003"/>
    <n v="463.50867257404178"/>
    <n v="309.00578171602785"/>
  </r>
  <r>
    <s v="30/08/2026"/>
    <s v="E"/>
    <s v="[1062] RAMGADH"/>
    <s v="[8404] CHANDESH"/>
    <x v="66"/>
    <x v="66"/>
    <x v="66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30/08/2026"/>
    <s v="E"/>
    <s v="[1062] RAMGADH"/>
    <s v="[8404] CHANDESH"/>
    <x v="66"/>
    <x v="66"/>
    <x v="66"/>
    <s v="C"/>
    <n v="33"/>
    <n v="3.1"/>
    <n v="8.3000000000000007"/>
    <n v="1.0229999999999999"/>
    <n v="2.7390000000000003"/>
    <n v="36.002153700000008"/>
    <n v="1188.0710721000003"/>
    <n v="417.01336332046338"/>
    <n v="278.00890888030892"/>
    <n v="20.791243761750007"/>
    <n v="123.75"/>
    <n v="1332.6123158617502"/>
    <n v="40.382191389750005"/>
    <n v="467.74739061486486"/>
    <n v="311.83159374324322"/>
  </r>
  <r>
    <s v="31/08/2026"/>
    <s v="M"/>
    <s v="[1062] RAMGADH"/>
    <s v="[8404] CHANDESH"/>
    <x v="66"/>
    <x v="66"/>
    <x v="66"/>
    <s v="C"/>
    <n v="40"/>
    <n v="4.5"/>
    <n v="8.5"/>
    <n v="1.8"/>
    <n v="3.4"/>
    <n v="42.396181500000004"/>
    <n v="1695.8472600000002"/>
    <n v="417.01162131147544"/>
    <n v="278.00774754098364"/>
    <n v="29.677327050000006"/>
    <n v="150"/>
    <n v="1875.5245870500003"/>
    <n v="46.888114676250005"/>
    <n v="461.19457058606559"/>
    <n v="307.46304705737708"/>
  </r>
  <r>
    <s v="31/08/2026"/>
    <s v="E"/>
    <s v="[1062] RAMGADH"/>
    <s v="[8404] CHANDESH"/>
    <x v="66"/>
    <x v="66"/>
    <x v="66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31/08/2026"/>
    <s v="E"/>
    <s v="[1062] RAMGADH"/>
    <s v="[8404] CHANDESH"/>
    <x v="66"/>
    <x v="66"/>
    <x v="66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01/09/2026"/>
    <s v="M"/>
    <s v="[1062] RAMGADH"/>
    <s v="[8404] CHANDESH"/>
    <x v="66"/>
    <x v="66"/>
    <x v="66"/>
    <s v="B"/>
    <n v="23"/>
    <n v="6"/>
    <n v="9"/>
    <n v="1.38"/>
    <n v="2.0699999999999998"/>
    <n v="50.1"/>
    <n v="1152.3"/>
    <n v="417.5"/>
    <n v="278.33333333333331"/>
    <n v="20.16525"/>
    <n v="86.25"/>
    <n v="1258.71525"/>
    <n v="54.726749999999996"/>
    <n v="456.05624999999998"/>
    <n v="304.03749999999997"/>
  </r>
  <r>
    <s v="01/09/2026"/>
    <s v="M"/>
    <s v="[1062] RAMGADH"/>
    <s v="[8404] CHANDESH"/>
    <x v="66"/>
    <x v="66"/>
    <x v="66"/>
    <s v="C"/>
    <n v="62"/>
    <n v="3.5"/>
    <n v="8.1999999999999993"/>
    <n v="2.17"/>
    <n v="5.0839999999999996"/>
    <n v="37.392139800000002"/>
    <n v="2318.3126676000002"/>
    <n v="417.01271152416359"/>
    <n v="278.00847434944239"/>
    <n v="40.570471683000008"/>
    <n v="232.5"/>
    <n v="2591.3831392830002"/>
    <n v="41.796502246500005"/>
    <n v="466.13199531412641"/>
    <n v="310.75466354275096"/>
  </r>
  <r>
    <s v="01/09/2026"/>
    <s v="E"/>
    <s v="[1062] RAMGADH"/>
    <s v="[8404] CHANDESH"/>
    <x v="66"/>
    <x v="66"/>
    <x v="66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01/09/2026"/>
    <s v="E"/>
    <s v="[1062] RAMGADH"/>
    <s v="[8404] CHANDESH"/>
    <x v="66"/>
    <x v="66"/>
    <x v="6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9/2026"/>
    <s v="M"/>
    <s v="[1062] RAMGADH"/>
    <s v="[8404] CHANDESH"/>
    <x v="66"/>
    <x v="66"/>
    <x v="66"/>
    <s v="C"/>
    <n v="40"/>
    <n v="3.5"/>
    <n v="8.3000000000000007"/>
    <n v="1.4"/>
    <n v="3.32"/>
    <n v="37.670153700000007"/>
    <n v="1506.8061480000003"/>
    <n v="417.01277158671587"/>
    <n v="278.00851439114393"/>
    <n v="26.369107590000009"/>
    <n v="150"/>
    <n v="1683.1752555900002"/>
    <n v="42.079381389750004"/>
    <n v="465.82341021863465"/>
    <n v="310.54894014575643"/>
  </r>
  <r>
    <s v="02/09/2026"/>
    <s v="E"/>
    <s v="[1062] RAMGADH"/>
    <s v="[8404] CHANDESH"/>
    <x v="66"/>
    <x v="66"/>
    <x v="66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2/09/2026"/>
    <s v="E"/>
    <s v="[1062] RAMGADH"/>
    <s v="[8404] CHANDESH"/>
    <x v="66"/>
    <x v="66"/>
    <x v="66"/>
    <s v="C"/>
    <n v="42"/>
    <n v="3"/>
    <n v="8.1"/>
    <n v="1.26"/>
    <n v="3.4019999999999997"/>
    <n v="35.029125900000004"/>
    <n v="1471.2232878000002"/>
    <n v="417.01340357142868"/>
    <n v="278.00893571428577"/>
    <n v="25.746407536500005"/>
    <n v="157.5"/>
    <n v="1654.4696953365003"/>
    <n v="39.392135603250004"/>
    <n v="468.9539952767858"/>
    <n v="312.63599685119055"/>
  </r>
  <r>
    <s v="03/09/2026"/>
    <s v="M"/>
    <s v="[1062] RAMGADH"/>
    <s v="[8404] CHANDESH"/>
    <x v="66"/>
    <x v="66"/>
    <x v="66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03/09/2026"/>
    <s v="M"/>
    <s v="[1062] RAMGADH"/>
    <s v="[8404] CHANDESH"/>
    <x v="66"/>
    <x v="66"/>
    <x v="66"/>
    <s v="C"/>
    <n v="72"/>
    <n v="3.5"/>
    <n v="8.1999999999999993"/>
    <n v="2.52"/>
    <n v="5.9039999999999999"/>
    <n v="37.392139800000002"/>
    <n v="2692.2340656000001"/>
    <n v="417.01271152416359"/>
    <n v="278.00847434944239"/>
    <n v="47.114096148000009"/>
    <n v="270"/>
    <n v="3009.3481617480002"/>
    <n v="41.796502246500005"/>
    <n v="466.13199531412641"/>
    <n v="310.75466354275096"/>
  </r>
  <r>
    <s v="03/09/2026"/>
    <s v="E"/>
    <s v="[1062] RAMGADH"/>
    <s v="[8404] CHANDESH"/>
    <x v="66"/>
    <x v="66"/>
    <x v="66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03/09/2026"/>
    <s v="E"/>
    <s v="[1062] RAMGADH"/>
    <s v="[8404] CHANDESH"/>
    <x v="66"/>
    <x v="66"/>
    <x v="6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8/08/2026"/>
    <s v="M"/>
    <s v="[1062] RAMGADH"/>
    <s v="[8404] CHANDESH"/>
    <x v="67"/>
    <x v="67"/>
    <x v="67"/>
    <s v="C"/>
    <n v="5"/>
    <n v="3.7"/>
    <n v="8"/>
    <n v="0.185"/>
    <n v="0.4"/>
    <n v="37.670112000000003"/>
    <n v="188.35056000000003"/>
    <n v="417.0123099630996"/>
    <n v="278.0082066420664"/>
    <n v="3.2961348000000008"/>
    <n v="18.75"/>
    <n v="210.39669480000003"/>
    <n v="42.079338960000008"/>
    <n v="465.82294051660517"/>
    <n v="310.5486270110701"/>
  </r>
  <r>
    <s v="28/08/2026"/>
    <s v="E"/>
    <s v="[1062] RAMGADH"/>
    <s v="[8404] CHANDESH"/>
    <x v="67"/>
    <x v="67"/>
    <x v="67"/>
    <s v="C"/>
    <n v="10"/>
    <n v="4.5"/>
    <n v="8.5"/>
    <n v="0.45"/>
    <n v="0.85"/>
    <n v="42.396181500000004"/>
    <n v="423.96181500000006"/>
    <n v="417.01162131147544"/>
    <n v="278.00774754098364"/>
    <n v="7.4193317625000015"/>
    <n v="37.5"/>
    <n v="468.88114676250007"/>
    <n v="46.888114676250005"/>
    <n v="461.19457058606559"/>
    <n v="307.46304705737708"/>
  </r>
  <r>
    <s v="29/08/2026"/>
    <s v="M"/>
    <s v="[1062] RAMGADH"/>
    <s v="[8404] CHANDESH"/>
    <x v="67"/>
    <x v="67"/>
    <x v="67"/>
    <s v="C"/>
    <n v="5"/>
    <n v="3"/>
    <n v="8.1"/>
    <n v="0.15"/>
    <n v="0.40500000000000003"/>
    <n v="35.029125900000004"/>
    <n v="175.14562950000001"/>
    <n v="417.01340357142868"/>
    <n v="278.00893571428577"/>
    <n v="3.0650485162500005"/>
    <n v="18.75"/>
    <n v="196.96067801625003"/>
    <n v="39.392135603250004"/>
    <n v="468.9539952767858"/>
    <n v="312.63599685119055"/>
  </r>
  <r>
    <s v="29/08/2026"/>
    <s v="E"/>
    <s v="[1062] RAMGADH"/>
    <s v="[8404] CHANDESH"/>
    <x v="67"/>
    <x v="67"/>
    <x v="67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30/08/2026"/>
    <s v="M"/>
    <s v="[1062] RAMGADH"/>
    <s v="[8404] CHANDESH"/>
    <x v="67"/>
    <x v="67"/>
    <x v="67"/>
    <s v="C"/>
    <n v="6"/>
    <n v="3.2"/>
    <n v="8"/>
    <n v="0.19200000000000003"/>
    <n v="0.48"/>
    <n v="35.585112000000002"/>
    <n v="213.510672"/>
    <n v="417.01303124999998"/>
    <n v="278.00868750000001"/>
    <n v="3.7364367600000001"/>
    <n v="22.5"/>
    <n v="239.74710876"/>
    <n v="39.957851460000001"/>
    <n v="468.25607179687495"/>
    <n v="312.17071453124998"/>
  </r>
  <r>
    <s v="30/08/2026"/>
    <s v="E"/>
    <s v="[1062] RAMGADH"/>
    <s v="[8404] CHANDESH"/>
    <x v="67"/>
    <x v="67"/>
    <x v="67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31/08/2026"/>
    <s v="M"/>
    <s v="[1062] RAMGADH"/>
    <s v="[8404] CHANDESH"/>
    <x v="67"/>
    <x v="67"/>
    <x v="6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31/08/2026"/>
    <s v="E"/>
    <s v="[1062] RAMGADH"/>
    <s v="[8404] CHANDESH"/>
    <x v="67"/>
    <x v="67"/>
    <x v="67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01/09/2026"/>
    <s v="M"/>
    <s v="[1062] RAMGADH"/>
    <s v="[8404] CHANDESH"/>
    <x v="67"/>
    <x v="67"/>
    <x v="67"/>
    <s v="C"/>
    <n v="6"/>
    <n v="3.4"/>
    <n v="8"/>
    <n v="0.20399999999999999"/>
    <n v="0.48"/>
    <n v="36.419112000000005"/>
    <n v="218.51467200000002"/>
    <n v="417.01273282442747"/>
    <n v="278.00848854961833"/>
    <n v="3.8240067600000005"/>
    <n v="22.5"/>
    <n v="244.83867876000002"/>
    <n v="40.806446460000004"/>
    <n v="467.24938694656487"/>
    <n v="311.49959129770991"/>
  </r>
  <r>
    <s v="01/09/2026"/>
    <s v="E"/>
    <s v="[1062] RAMGADH"/>
    <s v="[8404] CHANDESH"/>
    <x v="67"/>
    <x v="67"/>
    <x v="67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02/09/2026"/>
    <s v="M"/>
    <s v="[1062] RAMGADH"/>
    <s v="[8404] CHANDESH"/>
    <x v="67"/>
    <x v="67"/>
    <x v="67"/>
    <s v="C"/>
    <n v="6"/>
    <n v="3.3"/>
    <n v="8.1"/>
    <n v="0.19799999999999998"/>
    <n v="0.48599999999999993"/>
    <n v="36.280125900000002"/>
    <n v="217.68075540000001"/>
    <n v="417.0129413793104"/>
    <n v="278.00862758620696"/>
    <n v="3.8094132195000006"/>
    <n v="22.5"/>
    <n v="243.99016861950003"/>
    <n v="40.665028103250002"/>
    <n v="467.4141161293104"/>
    <n v="311.6094107528736"/>
  </r>
  <r>
    <s v="02/09/2026"/>
    <s v="E"/>
    <s v="[1062] RAMGADH"/>
    <s v="[8404] CHANDESH"/>
    <x v="67"/>
    <x v="67"/>
    <x v="67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03/09/2026"/>
    <s v="M"/>
    <s v="[1062] RAMGADH"/>
    <s v="[8404] CHANDESH"/>
    <x v="67"/>
    <x v="67"/>
    <x v="67"/>
    <s v="C"/>
    <n v="6"/>
    <n v="3.3"/>
    <n v="8.1"/>
    <n v="0.19799999999999998"/>
    <n v="0.48599999999999993"/>
    <n v="36.280125900000002"/>
    <n v="217.68075540000001"/>
    <n v="417.0129413793104"/>
    <n v="278.00862758620696"/>
    <n v="3.8094132195000006"/>
    <n v="22.5"/>
    <n v="243.99016861950003"/>
    <n v="40.665028103250002"/>
    <n v="467.4141161293104"/>
    <n v="311.6094107528736"/>
  </r>
  <r>
    <s v="03/09/2026"/>
    <s v="E"/>
    <s v="[1062] RAMGADH"/>
    <s v="[8404] CHANDESH"/>
    <x v="67"/>
    <x v="67"/>
    <x v="67"/>
    <s v="C"/>
    <n v="12"/>
    <n v="4.3"/>
    <n v="8.4"/>
    <n v="0.5159999999999999"/>
    <n v="1.008"/>
    <n v="41.284167600000004"/>
    <n v="495.41001120000004"/>
    <n v="417.01179393939395"/>
    <n v="278.00786262626264"/>
    <n v="8.6696751960000018"/>
    <n v="45"/>
    <n v="549.07968639600006"/>
    <n v="45.756640533000002"/>
    <n v="462.18828821212122"/>
    <n v="308.12552547474746"/>
  </r>
  <r>
    <s v="28/08/2026"/>
    <s v="M"/>
    <s v="[1062] RAMGADH"/>
    <s v="[8401] DURGAWATI"/>
    <x v="68"/>
    <x v="68"/>
    <x v="68"/>
    <s v="B"/>
    <n v="5"/>
    <n v="7.2"/>
    <n v="9"/>
    <n v="0.36"/>
    <n v="0.45"/>
    <n v="60.120000000000005"/>
    <n v="300.60000000000002"/>
    <n v="455.4545454545455"/>
    <n v="303.63636363636368"/>
    <n v="5.2605000000000013"/>
    <n v="18.75"/>
    <n v="324.6105"/>
    <n v="64.9221"/>
    <n v="491.83409090909089"/>
    <n v="327.88939393939393"/>
  </r>
  <r>
    <s v="28/08/2026"/>
    <s v="M"/>
    <s v="[1062] RAMGADH"/>
    <s v="[8401] DURGAWATI"/>
    <x v="68"/>
    <x v="68"/>
    <x v="68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28/08/2026"/>
    <s v="E"/>
    <s v="[1062] RAMGADH"/>
    <s v="[8401] DURGAWATI"/>
    <x v="68"/>
    <x v="68"/>
    <x v="68"/>
    <s v="B"/>
    <n v="15"/>
    <n v="6.4"/>
    <n v="8.6"/>
    <n v="0.96"/>
    <n v="1.29"/>
    <n v="52.371199999999995"/>
    <n v="785.56799999999987"/>
    <n v="431.6307692307692"/>
    <n v="287.75384615384615"/>
    <n v="13.747439999999999"/>
    <n v="56.25"/>
    <n v="855.56543999999985"/>
    <n v="57.03769599999999"/>
    <n v="470.09090109890104"/>
    <n v="313.39393406593405"/>
  </r>
  <r>
    <s v="28/08/2026"/>
    <s v="E"/>
    <s v="[1062] RAMGADH"/>
    <s v="[8401] DURGAWATI"/>
    <x v="68"/>
    <x v="68"/>
    <x v="68"/>
    <s v="C"/>
    <n v="27"/>
    <n v="4.3"/>
    <n v="8.5"/>
    <n v="1.161"/>
    <n v="2.2949999999999999"/>
    <n v="41.562181500000001"/>
    <n v="1122.1789005000001"/>
    <n v="417.01185451505017"/>
    <n v="278.00790301003343"/>
    <n v="19.638130758750002"/>
    <n v="101.25"/>
    <n v="1243.0670312587501"/>
    <n v="46.039519676250002"/>
    <n v="461.93498002926424"/>
    <n v="307.95665335284281"/>
  </r>
  <r>
    <s v="29/08/2026"/>
    <s v="M"/>
    <s v="[1062] RAMGADH"/>
    <s v="[8401] DURGAWATI"/>
    <x v="68"/>
    <x v="68"/>
    <x v="68"/>
    <s v="C"/>
    <n v="32"/>
    <n v="4.3"/>
    <n v="8.5"/>
    <n v="1.3759999999999999"/>
    <n v="2.72"/>
    <n v="41.562181500000001"/>
    <n v="1329.989808"/>
    <n v="417.01185451505017"/>
    <n v="278.00790301003343"/>
    <n v="23.274821640000003"/>
    <n v="120"/>
    <n v="1473.2646296400001"/>
    <n v="46.039519676250002"/>
    <n v="461.93498002926424"/>
    <n v="307.95665335284281"/>
  </r>
  <r>
    <s v="29/08/2026"/>
    <s v="E"/>
    <s v="[1062] RAMGADH"/>
    <s v="[8401] DURGAWATI"/>
    <x v="68"/>
    <x v="68"/>
    <x v="68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9/08/2026"/>
    <s v="E"/>
    <s v="[1062] RAMGADH"/>
    <s v="[8401] DURGAWATI"/>
    <x v="68"/>
    <x v="68"/>
    <x v="68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30/08/2026"/>
    <s v="M"/>
    <s v="[1062] RAMGADH"/>
    <s v="[8401] DURGAWATI"/>
    <x v="68"/>
    <x v="68"/>
    <x v="68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30/08/2026"/>
    <s v="E"/>
    <s v="[1062] RAMGADH"/>
    <s v="[8401] DURGAWATI"/>
    <x v="68"/>
    <x v="68"/>
    <x v="6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30/08/2026"/>
    <s v="E"/>
    <s v="[1062] RAMGADH"/>
    <s v="[8401] DURGAWATI"/>
    <x v="68"/>
    <x v="68"/>
    <x v="68"/>
    <s v="C"/>
    <n v="24"/>
    <n v="4.3"/>
    <n v="8.5"/>
    <n v="1.0319999999999998"/>
    <n v="2.04"/>
    <n v="41.562181500000001"/>
    <n v="997.49235599999997"/>
    <n v="417.01185451505017"/>
    <n v="278.00790301003343"/>
    <n v="17.456116230000003"/>
    <n v="90"/>
    <n v="1104.9484722299999"/>
    <n v="46.039519676249995"/>
    <n v="461.93498002926418"/>
    <n v="307.95665335284281"/>
  </r>
  <r>
    <s v="31/08/2026"/>
    <s v="M"/>
    <s v="[1062] RAMGADH"/>
    <s v="[8401] DURGAWATI"/>
    <x v="68"/>
    <x v="68"/>
    <x v="68"/>
    <s v="C"/>
    <n v="35"/>
    <n v="4.3"/>
    <n v="8.5"/>
    <n v="1.5049999999999999"/>
    <n v="2.9750000000000001"/>
    <n v="41.562181500000001"/>
    <n v="1454.6763525000001"/>
    <n v="417.01185451505017"/>
    <n v="278.00790301003343"/>
    <n v="25.456836168750005"/>
    <n v="131.25"/>
    <n v="1611.3831886687501"/>
    <n v="46.039519676250002"/>
    <n v="461.93498002926424"/>
    <n v="307.95665335284281"/>
  </r>
  <r>
    <s v="31/08/2026"/>
    <s v="E"/>
    <s v="[1062] RAMGADH"/>
    <s v="[8401] DURGAWATI"/>
    <x v="68"/>
    <x v="68"/>
    <x v="6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31/08/2026"/>
    <s v="E"/>
    <s v="[1062] RAMGADH"/>
    <s v="[8401] DURGAWATI"/>
    <x v="68"/>
    <x v="68"/>
    <x v="68"/>
    <s v="C"/>
    <n v="21"/>
    <n v="4.5999999999999996"/>
    <n v="8.5"/>
    <n v="0.96599999999999997"/>
    <n v="1.7849999999999999"/>
    <n v="42.813181499999999"/>
    <n v="899.07681149999996"/>
    <n v="417.01150811688308"/>
    <n v="278.00767207792205"/>
    <n v="15.733844201250001"/>
    <n v="78.75"/>
    <n v="993.56065570124997"/>
    <n v="47.31241217625"/>
    <n v="460.83518353490257"/>
    <n v="307.22345568993507"/>
  </r>
  <r>
    <s v="01/09/2026"/>
    <s v="M"/>
    <s v="[1062] RAMGADH"/>
    <s v="[8401] DURGAWATI"/>
    <x v="68"/>
    <x v="68"/>
    <x v="68"/>
    <s v="C"/>
    <n v="42"/>
    <n v="4.0999999999999996"/>
    <n v="8.5"/>
    <n v="1.722"/>
    <n v="3.57"/>
    <n v="40.728181500000005"/>
    <n v="1710.5836230000002"/>
    <n v="417.01209726962463"/>
    <n v="278.0080648464164"/>
    <n v="29.935213402500008"/>
    <n v="157.5"/>
    <n v="1898.0188364025003"/>
    <n v="45.190924676250006"/>
    <n v="462.70571340870316"/>
    <n v="308.47047560580211"/>
  </r>
  <r>
    <s v="01/09/2026"/>
    <s v="E"/>
    <s v="[1062] RAMGADH"/>
    <s v="[8401] DURGAWATI"/>
    <x v="68"/>
    <x v="68"/>
    <x v="68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01/09/2026"/>
    <s v="E"/>
    <s v="[1062] RAMGADH"/>
    <s v="[8401] DURGAWATI"/>
    <x v="68"/>
    <x v="68"/>
    <x v="68"/>
    <s v="C"/>
    <n v="19"/>
    <n v="4.3"/>
    <n v="8.5"/>
    <n v="0.81700000000000006"/>
    <n v="1.615"/>
    <n v="41.562181500000001"/>
    <n v="789.68144849999999"/>
    <n v="417.01185451505017"/>
    <n v="278.00790301003343"/>
    <n v="13.81942534875"/>
    <n v="71.25"/>
    <n v="874.75087384874996"/>
    <n v="46.039519676249995"/>
    <n v="461.93498002926418"/>
    <n v="307.95665335284281"/>
  </r>
  <r>
    <s v="02/09/2026"/>
    <s v="M"/>
    <s v="[1062] RAMGADH"/>
    <s v="[8401] DURGAWATI"/>
    <x v="68"/>
    <x v="68"/>
    <x v="68"/>
    <s v="C"/>
    <n v="38"/>
    <n v="4"/>
    <n v="8.5"/>
    <n v="1.52"/>
    <n v="3.23"/>
    <n v="40.311181500000004"/>
    <n v="1531.8248970000002"/>
    <n v="417.0122224137931"/>
    <n v="278.00814827586208"/>
    <n v="26.806935697500005"/>
    <n v="142.5"/>
    <n v="1701.1318326975002"/>
    <n v="44.766627176250005"/>
    <n v="463.10303975431032"/>
    <n v="308.7353598362069"/>
  </r>
  <r>
    <s v="02/09/2026"/>
    <s v="E"/>
    <s v="[1062] RAMGADH"/>
    <s v="[8401] DURGAWATI"/>
    <x v="68"/>
    <x v="68"/>
    <x v="68"/>
    <s v="B"/>
    <n v="11"/>
    <n v="6"/>
    <n v="9"/>
    <n v="0.66"/>
    <n v="0.99"/>
    <n v="50.1"/>
    <n v="551.1"/>
    <n v="417.5"/>
    <n v="278.33333333333331"/>
    <n v="9.6442500000000013"/>
    <n v="41.25"/>
    <n v="601.99424999999997"/>
    <n v="54.726749999999996"/>
    <n v="456.05624999999998"/>
    <n v="304.03749999999997"/>
  </r>
  <r>
    <s v="02/09/2026"/>
    <s v="E"/>
    <s v="[1062] RAMGADH"/>
    <s v="[8401] DURGAWATI"/>
    <x v="68"/>
    <x v="68"/>
    <x v="68"/>
    <s v="C"/>
    <n v="28"/>
    <n v="4.4000000000000004"/>
    <n v="8.5"/>
    <n v="1.2320000000000002"/>
    <n v="2.38"/>
    <n v="41.97918150000001"/>
    <n v="1175.4170820000004"/>
    <n v="417.01173675496693"/>
    <n v="278.00782450331127"/>
    <n v="20.569798935000009"/>
    <n v="105"/>
    <n v="1300.9868809350005"/>
    <n v="46.463817176250018"/>
    <n v="461.56109777731797"/>
    <n v="307.70739851821196"/>
  </r>
  <r>
    <s v="03/09/2026"/>
    <s v="M"/>
    <s v="[1062] RAMGADH"/>
    <s v="[8401] DURGAWATI"/>
    <x v="68"/>
    <x v="68"/>
    <x v="68"/>
    <s v="C"/>
    <n v="32"/>
    <n v="4.5"/>
    <n v="8.5"/>
    <n v="1.44"/>
    <n v="2.72"/>
    <n v="42.396181500000004"/>
    <n v="1356.6778080000001"/>
    <n v="417.01162131147544"/>
    <n v="278.00774754098364"/>
    <n v="23.741861640000003"/>
    <n v="120"/>
    <n v="1500.4196696400002"/>
    <n v="46.888114676250005"/>
    <n v="461.19457058606559"/>
    <n v="307.46304705737708"/>
  </r>
  <r>
    <s v="03/09/2026"/>
    <s v="E"/>
    <s v="[1062] RAMGADH"/>
    <s v="[8401] DURGAWATI"/>
    <x v="68"/>
    <x v="68"/>
    <x v="68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03/09/2026"/>
    <s v="E"/>
    <s v="[1062] RAMGADH"/>
    <s v="[8401] DURGAWATI"/>
    <x v="68"/>
    <x v="68"/>
    <x v="68"/>
    <s v="C"/>
    <n v="26"/>
    <n v="4.3"/>
    <n v="8.5"/>
    <n v="1.1179999999999999"/>
    <n v="2.21"/>
    <n v="41.562181500000001"/>
    <n v="1080.6167190000001"/>
    <n v="417.01185451505017"/>
    <n v="278.00790301003343"/>
    <n v="18.910792582500004"/>
    <n v="97.5"/>
    <n v="1197.0275115825002"/>
    <n v="46.039519676250009"/>
    <n v="461.9349800292643"/>
    <n v="307.95665335284286"/>
  </r>
  <r>
    <s v="29/08/2026"/>
    <s v="E"/>
    <s v="[1062] RAMGADH"/>
    <s v="[8402] RAMPUR"/>
    <x v="69"/>
    <x v="69"/>
    <x v="69"/>
    <s v="C"/>
    <n v="34"/>
    <n v="5"/>
    <n v="8.5"/>
    <n v="1.7"/>
    <n v="2.89"/>
    <n v="44.481181500000005"/>
    <n v="1512.3601710000003"/>
    <n v="417.01107656250002"/>
    <n v="278.00738437500002"/>
    <n v="26.466302992500008"/>
    <n v="127.5"/>
    <n v="1666.3264739925003"/>
    <n v="49.009602176250006"/>
    <n v="459.46502040234378"/>
    <n v="306.3100136015625"/>
  </r>
  <r>
    <s v="31/08/2026"/>
    <s v="E"/>
    <s v="[1062] RAMGADH"/>
    <s v="[8402] RAMPUR"/>
    <x v="69"/>
    <x v="69"/>
    <x v="69"/>
    <s v="B"/>
    <n v="24"/>
    <n v="5.5"/>
    <n v="8.6"/>
    <n v="1.32"/>
    <n v="2.0639999999999996"/>
    <n v="46.566181499999999"/>
    <n v="1117.588356"/>
    <n v="414.53574035608312"/>
    <n v="276.35716023738877"/>
    <n v="19.557796230000001"/>
    <n v="90"/>
    <n v="1227.1461522300001"/>
    <n v="51.131089676250006"/>
    <n v="455.17290512982203"/>
    <n v="303.44860341988135"/>
  </r>
  <r>
    <s v="01/09/2026"/>
    <s v="M"/>
    <s v="[1062] RAMGADH"/>
    <s v="[8402] RAMPUR"/>
    <x v="69"/>
    <x v="69"/>
    <x v="69"/>
    <s v="C"/>
    <n v="101"/>
    <n v="5"/>
    <n v="8.5"/>
    <n v="5.05"/>
    <n v="8.5850000000000009"/>
    <n v="44.481181500000005"/>
    <n v="4492.5993315000005"/>
    <n v="417.01107656250002"/>
    <n v="278.00738437500002"/>
    <n v="78.62048830125002"/>
    <n v="378.75"/>
    <n v="4949.9698198012502"/>
    <n v="49.009602176249999"/>
    <n v="459.46502040234373"/>
    <n v="306.3100136015625"/>
  </r>
  <r>
    <s v="01/09/2026"/>
    <s v="E"/>
    <s v="[1062] RAMGADH"/>
    <s v="[8402] RAMPUR"/>
    <x v="69"/>
    <x v="69"/>
    <x v="69"/>
    <s v="C"/>
    <n v="36"/>
    <n v="4.8"/>
    <n v="8.5"/>
    <n v="1.7279999999999998"/>
    <n v="3.06"/>
    <n v="43.647181500000002"/>
    <n v="1571.298534"/>
    <n v="417.0112882165605"/>
    <n v="278.00752547770702"/>
    <n v="27.497724345000002"/>
    <n v="135"/>
    <n v="1733.7962583450001"/>
    <n v="48.161007176250003"/>
    <n v="460.13701123805731"/>
    <n v="306.75800749203819"/>
  </r>
  <r>
    <s v="02/09/2026"/>
    <s v="M"/>
    <s v="[1062] RAMGADH"/>
    <s v="[8402] RAMPUR"/>
    <x v="69"/>
    <x v="69"/>
    <x v="69"/>
    <s v="B"/>
    <n v="72"/>
    <n v="5.7"/>
    <n v="9"/>
    <n v="4.1040000000000001"/>
    <n v="6.48"/>
    <n v="47.594999999999999"/>
    <n v="3426.84"/>
    <n v="406.79487179487182"/>
    <n v="271.19658119658123"/>
    <n v="59.96970000000001"/>
    <n v="270"/>
    <n v="3756.8097000000002"/>
    <n v="52.177912500000005"/>
    <n v="445.96506410256416"/>
    <n v="297.31004273504277"/>
  </r>
  <r>
    <s v="02/09/2026"/>
    <s v="M"/>
    <s v="[1062] RAMGADH"/>
    <s v="[8402] RAMPUR"/>
    <x v="69"/>
    <x v="69"/>
    <x v="69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02/09/2026"/>
    <s v="E"/>
    <s v="[1062] RAMGADH"/>
    <s v="[8402] RAMPUR"/>
    <x v="69"/>
    <x v="69"/>
    <x v="69"/>
    <s v="C"/>
    <n v="38"/>
    <n v="4.7"/>
    <n v="8.5"/>
    <n v="1.786"/>
    <n v="3.23"/>
    <n v="43.2301815"/>
    <n v="1642.746897"/>
    <n v="417.01139710610931"/>
    <n v="278.00759807073956"/>
    <n v="28.748070697500001"/>
    <n v="142.5"/>
    <n v="1813.9949676975"/>
    <n v="47.736709676250001"/>
    <n v="460.48272999598072"/>
    <n v="306.98848666398715"/>
  </r>
  <r>
    <s v="03/09/2026"/>
    <s v="M"/>
    <s v="[1062] RAMGADH"/>
    <s v="[8402] RAMPUR"/>
    <x v="69"/>
    <x v="69"/>
    <x v="69"/>
    <s v="B"/>
    <n v="68"/>
    <n v="5.6"/>
    <n v="9"/>
    <n v="3.8079999999999994"/>
    <n v="6.12"/>
    <n v="46.76"/>
    <n v="3179.68"/>
    <n v="403.10344827586209"/>
    <n v="268.73563218390808"/>
    <n v="55.644400000000005"/>
    <n v="255"/>
    <n v="3490.3244"/>
    <n v="51.328299999999999"/>
    <n v="442.48534482758623"/>
    <n v="294.99022988505749"/>
  </r>
  <r>
    <s v="03/09/2026"/>
    <s v="M"/>
    <s v="[1062] RAMGADH"/>
    <s v="[8402] RAMPUR"/>
    <x v="69"/>
    <x v="69"/>
    <x v="69"/>
    <s v="C"/>
    <n v="30"/>
    <n v="3.9"/>
    <n v="8.3000000000000007"/>
    <n v="1.17"/>
    <n v="2.4900000000000002"/>
    <n v="39.338153700000007"/>
    <n v="1180.1446110000002"/>
    <n v="417.01223003533573"/>
    <n v="278.00815335689049"/>
    <n v="20.652530692500005"/>
    <n v="112.5"/>
    <n v="1313.2971416925002"/>
    <n v="43.776571389750004"/>
    <n v="464.06259423763254"/>
    <n v="309.37506282508838"/>
  </r>
  <r>
    <s v="03/09/2026"/>
    <s v="E"/>
    <s v="[1062] RAMGADH"/>
    <s v="[8402] RAMPUR"/>
    <x v="69"/>
    <x v="69"/>
    <x v="69"/>
    <s v="C"/>
    <n v="36"/>
    <n v="4.3"/>
    <n v="8.5"/>
    <n v="1.5479999999999998"/>
    <n v="3.06"/>
    <n v="41.562181500000001"/>
    <n v="1496.2385340000001"/>
    <n v="417.01185451505017"/>
    <n v="278.00790301003343"/>
    <n v="26.184174345000002"/>
    <n v="135"/>
    <n v="1657.422708345"/>
    <n v="46.039519676250002"/>
    <n v="461.93498002926424"/>
    <n v="307.95665335284281"/>
  </r>
  <r>
    <s v="28/08/2026"/>
    <s v="M"/>
    <s v="[1062] RAMGADH"/>
    <s v="[8401] DURGAWATI"/>
    <x v="70"/>
    <x v="70"/>
    <x v="70"/>
    <s v="B"/>
    <n v="17"/>
    <n v="5.6"/>
    <n v="9"/>
    <n v="0.95199999999999985"/>
    <n v="1.53"/>
    <n v="46.76"/>
    <n v="794.92"/>
    <n v="403.10344827586209"/>
    <n v="268.73563218390808"/>
    <n v="13.911100000000001"/>
    <n v="63.75"/>
    <n v="872.58109999999999"/>
    <n v="51.328299999999999"/>
    <n v="442.48534482758623"/>
    <n v="294.99022988505749"/>
  </r>
  <r>
    <s v="28/08/2026"/>
    <s v="M"/>
    <s v="[1062] RAMGADH"/>
    <s v="[8401] DURGAWATI"/>
    <x v="70"/>
    <x v="70"/>
    <x v="70"/>
    <s v="C"/>
    <n v="30"/>
    <n v="3"/>
    <n v="8.1999999999999993"/>
    <n v="0.9"/>
    <n v="2.4599999999999995"/>
    <n v="35.307139800000002"/>
    <n v="1059.2141940000001"/>
    <n v="417.01346220472442"/>
    <n v="278.00897480314961"/>
    <n v="18.536248395000005"/>
    <n v="112.5"/>
    <n v="1190.2504423950002"/>
    <n v="39.675014746500004"/>
    <n v="468.6025363759843"/>
    <n v="312.40169091732287"/>
  </r>
  <r>
    <s v="28/08/2026"/>
    <s v="E"/>
    <s v="[1062] RAMGADH"/>
    <s v="[8401] DURGAWATI"/>
    <x v="70"/>
    <x v="70"/>
    <x v="70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28/08/2026"/>
    <s v="E"/>
    <s v="[1062] RAMGADH"/>
    <s v="[8401] DURGAWATI"/>
    <x v="70"/>
    <x v="70"/>
    <x v="70"/>
    <s v="C"/>
    <n v="31"/>
    <n v="4.0999999999999996"/>
    <n v="8.5"/>
    <n v="1.2709999999999999"/>
    <n v="2.6349999999999998"/>
    <n v="40.728181500000005"/>
    <n v="1262.5736265"/>
    <n v="417.01209726962463"/>
    <n v="278.0080648464164"/>
    <n v="22.095038463750004"/>
    <n v="116.25"/>
    <n v="1400.91866496375"/>
    <n v="45.190924676249999"/>
    <n v="462.70571340870305"/>
    <n v="308.47047560580205"/>
  </r>
  <r>
    <s v="29/08/2026"/>
    <s v="M"/>
    <s v="[1062] RAMGADH"/>
    <s v="[8401] DURGAWATI"/>
    <x v="70"/>
    <x v="70"/>
    <x v="70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9/08/2026"/>
    <s v="M"/>
    <s v="[1062] RAMGADH"/>
    <s v="[8401] DURGAWATI"/>
    <x v="70"/>
    <x v="70"/>
    <x v="70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9/08/2026"/>
    <s v="E"/>
    <s v="[1062] RAMGADH"/>
    <s v="[8401] DURGAWATI"/>
    <x v="70"/>
    <x v="70"/>
    <x v="70"/>
    <s v="B"/>
    <n v="24"/>
    <n v="5.9"/>
    <n v="9"/>
    <n v="1.4160000000000001"/>
    <n v="2.16"/>
    <n v="49.265000000000001"/>
    <n v="1182.3600000000001"/>
    <n v="413.99159663865549"/>
    <n v="275.99439775910366"/>
    <n v="20.691300000000005"/>
    <n v="90"/>
    <n v="1293.0513000000001"/>
    <n v="53.877137500000003"/>
    <n v="452.74905462184881"/>
    <n v="301.83270308123252"/>
  </r>
  <r>
    <s v="29/08/2026"/>
    <s v="E"/>
    <s v="[1062] RAMGADH"/>
    <s v="[8401] DURGAWATI"/>
    <x v="70"/>
    <x v="70"/>
    <x v="70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30/08/2026"/>
    <s v="M"/>
    <s v="[1062] RAMGADH"/>
    <s v="[8401] DURGAWATI"/>
    <x v="70"/>
    <x v="70"/>
    <x v="70"/>
    <s v="B"/>
    <n v="36"/>
    <n v="5.7"/>
    <n v="8.8000000000000007"/>
    <n v="2.052"/>
    <n v="3.1680000000000001"/>
    <n v="47.119050000000001"/>
    <n v="1696.2858000000001"/>
    <n v="407.3693083573487"/>
    <n v="271.57953890489915"/>
    <n v="29.685001500000006"/>
    <n v="135"/>
    <n v="1860.9708015000001"/>
    <n v="51.693633375000005"/>
    <n v="446.91902053314124"/>
    <n v="297.94601368876084"/>
  </r>
  <r>
    <s v="30/08/2026"/>
    <s v="M"/>
    <s v="[1062] RAMGADH"/>
    <s v="[8401] DURGAWATI"/>
    <x v="70"/>
    <x v="70"/>
    <x v="70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30/08/2026"/>
    <s v="E"/>
    <s v="[1062] RAMGADH"/>
    <s v="[8401] DURGAWATI"/>
    <x v="70"/>
    <x v="70"/>
    <x v="70"/>
    <s v="B"/>
    <n v="24"/>
    <n v="6.5"/>
    <n v="9"/>
    <n v="1.56"/>
    <n v="2.16"/>
    <n v="54.274999999999999"/>
    <n v="1302.5999999999999"/>
    <n v="434.2"/>
    <n v="289.46666666666664"/>
    <n v="22.795500000000001"/>
    <n v="90"/>
    <n v="1415.3954999999999"/>
    <n v="58.974812499999992"/>
    <n v="471.79849999999993"/>
    <n v="314.53233333333327"/>
  </r>
  <r>
    <s v="30/08/2026"/>
    <s v="E"/>
    <s v="[1062] RAMGADH"/>
    <s v="[8401] DURGAWATI"/>
    <x v="70"/>
    <x v="70"/>
    <x v="70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31/08/2026"/>
    <s v="M"/>
    <s v="[1062] RAMGADH"/>
    <s v="[8401] DURGAWATI"/>
    <x v="70"/>
    <x v="70"/>
    <x v="70"/>
    <s v="C"/>
    <n v="49"/>
    <n v="3.2"/>
    <n v="8.3000000000000007"/>
    <n v="1.5680000000000001"/>
    <n v="4.0670000000000002"/>
    <n v="36.419153700000003"/>
    <n v="1784.5385313000002"/>
    <n v="417.01321030534348"/>
    <n v="278.00880687022897"/>
    <n v="31.229424297750004"/>
    <n v="183.75"/>
    <n v="1999.5179555977502"/>
    <n v="40.806488889750007"/>
    <n v="467.24987278339694"/>
    <n v="311.49991518893131"/>
  </r>
  <r>
    <s v="31/08/2026"/>
    <s v="E"/>
    <s v="[1062] RAMGADH"/>
    <s v="[8401] DURGAWATI"/>
    <x v="70"/>
    <x v="70"/>
    <x v="70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31/08/2026"/>
    <s v="E"/>
    <s v="[1062] RAMGADH"/>
    <s v="[8401] DURGAWATI"/>
    <x v="70"/>
    <x v="70"/>
    <x v="70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01/09/2026"/>
    <s v="M"/>
    <s v="[1062] RAMGADH"/>
    <s v="[8401] DURGAWATI"/>
    <x v="70"/>
    <x v="70"/>
    <x v="70"/>
    <s v="B"/>
    <n v="27"/>
    <n v="5.9"/>
    <n v="9"/>
    <n v="1.5930000000000002"/>
    <n v="2.4300000000000002"/>
    <n v="49.265000000000001"/>
    <n v="1330.155"/>
    <n v="413.99159663865549"/>
    <n v="275.99439775910366"/>
    <n v="23.277712500000003"/>
    <n v="101.25"/>
    <n v="1454.6827125"/>
    <n v="53.877137499999996"/>
    <n v="452.74905462184876"/>
    <n v="301.83270308123252"/>
  </r>
  <r>
    <s v="01/09/2026"/>
    <s v="M"/>
    <s v="[1062] RAMGADH"/>
    <s v="[8401] DURGAWATI"/>
    <x v="70"/>
    <x v="70"/>
    <x v="70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01/09/2026"/>
    <s v="E"/>
    <s v="[1062] RAMGADH"/>
    <s v="[8401] DURGAWATI"/>
    <x v="70"/>
    <x v="70"/>
    <x v="70"/>
    <s v="B"/>
    <n v="21"/>
    <n v="6.2"/>
    <n v="9"/>
    <n v="1.3020000000000003"/>
    <n v="1.89"/>
    <n v="51.77"/>
    <n v="1087.17"/>
    <n v="424.34426229508199"/>
    <n v="282.89617486338801"/>
    <n v="19.025475000000004"/>
    <n v="78.75"/>
    <n v="1184.945475"/>
    <n v="56.425975000000001"/>
    <n v="462.50799180327868"/>
    <n v="308.33866120218579"/>
  </r>
  <r>
    <s v="01/09/2026"/>
    <s v="E"/>
    <s v="[1062] RAMGADH"/>
    <s v="[8401] DURGAWATI"/>
    <x v="70"/>
    <x v="70"/>
    <x v="70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02/09/2026"/>
    <s v="M"/>
    <s v="[1062] RAMGADH"/>
    <s v="[8401] DURGAWATI"/>
    <x v="70"/>
    <x v="70"/>
    <x v="70"/>
    <s v="B"/>
    <n v="43"/>
    <n v="6.3"/>
    <n v="9"/>
    <n v="2.7089999999999996"/>
    <n v="3.87"/>
    <n v="52.604999999999997"/>
    <n v="2262.0149999999999"/>
    <n v="427.6829268292683"/>
    <n v="285.1219512195122"/>
    <n v="39.585262499999999"/>
    <n v="161.25"/>
    <n v="2462.8502625000001"/>
    <n v="57.2755875"/>
    <n v="465.6551829268293"/>
    <n v="310.43678861788618"/>
  </r>
  <r>
    <s v="02/09/2026"/>
    <s v="M"/>
    <s v="[1062] RAMGADH"/>
    <s v="[8401] DURGAWATI"/>
    <x v="70"/>
    <x v="70"/>
    <x v="70"/>
    <s v="C"/>
    <n v="42"/>
    <n v="3.5"/>
    <n v="8.4"/>
    <n v="1.47"/>
    <n v="3.528"/>
    <n v="37.948167600000005"/>
    <n v="1593.8230392000003"/>
    <n v="417.01283076923085"/>
    <n v="278.00855384615392"/>
    <n v="27.891903186000008"/>
    <n v="157.5"/>
    <n v="1779.2149423860003"/>
    <n v="42.362260533000004"/>
    <n v="465.51934651648355"/>
    <n v="310.34623101098902"/>
  </r>
  <r>
    <s v="02/09/2026"/>
    <s v="E"/>
    <s v="[1062] RAMGADH"/>
    <s v="[8401] DURGAWATI"/>
    <x v="70"/>
    <x v="70"/>
    <x v="70"/>
    <s v="B"/>
    <n v="17"/>
    <n v="5.7"/>
    <n v="9"/>
    <n v="0.96900000000000008"/>
    <n v="1.53"/>
    <n v="47.594999999999999"/>
    <n v="809.11500000000001"/>
    <n v="406.79487179487182"/>
    <n v="271.19658119658123"/>
    <n v="14.159512500000002"/>
    <n v="63.75"/>
    <n v="887.02451250000001"/>
    <n v="52.177912499999998"/>
    <n v="445.9650641025641"/>
    <n v="297.31004273504271"/>
  </r>
  <r>
    <s v="02/09/2026"/>
    <s v="E"/>
    <s v="[1062] RAMGADH"/>
    <s v="[8401] DURGAWATI"/>
    <x v="70"/>
    <x v="70"/>
    <x v="70"/>
    <s v="C"/>
    <n v="24"/>
    <n v="3.4"/>
    <n v="8.3000000000000007"/>
    <n v="0.81599999999999995"/>
    <n v="1.9920000000000002"/>
    <n v="37.253153700000006"/>
    <n v="894.07568880000008"/>
    <n v="417.01291455223878"/>
    <n v="278.0086097014925"/>
    <n v="15.646324554000003"/>
    <n v="90"/>
    <n v="999.72201335400007"/>
    <n v="41.655083889750003"/>
    <n v="466.28825249720143"/>
    <n v="310.85883499813428"/>
  </r>
  <r>
    <s v="03/09/2026"/>
    <s v="M"/>
    <s v="[1062] RAMGADH"/>
    <s v="[8401] DURGAWATI"/>
    <x v="70"/>
    <x v="70"/>
    <x v="70"/>
    <s v="B"/>
    <n v="42"/>
    <n v="6.3"/>
    <n v="9"/>
    <n v="2.6459999999999995"/>
    <n v="3.78"/>
    <n v="52.604999999999997"/>
    <n v="2209.41"/>
    <n v="427.6829268292683"/>
    <n v="285.1219512195122"/>
    <n v="38.664675000000003"/>
    <n v="157.5"/>
    <n v="2405.5746749999998"/>
    <n v="57.275587499999993"/>
    <n v="465.65518292682924"/>
    <n v="310.43678861788618"/>
  </r>
  <r>
    <s v="03/09/2026"/>
    <s v="M"/>
    <s v="[1062] RAMGADH"/>
    <s v="[8401] DURGAWATI"/>
    <x v="70"/>
    <x v="70"/>
    <x v="70"/>
    <s v="C"/>
    <n v="32"/>
    <n v="3.3"/>
    <n v="8.1999999999999993"/>
    <n v="1.056"/>
    <n v="2.6239999999999997"/>
    <n v="36.558139799999999"/>
    <n v="1169.8604736"/>
    <n v="417.0130015209125"/>
    <n v="278.00866768060831"/>
    <n v="20.472558288000002"/>
    <n v="120"/>
    <n v="1310.3330318880001"/>
    <n v="40.947907246500002"/>
    <n v="467.08639444676805"/>
    <n v="311.39092963117872"/>
  </r>
  <r>
    <s v="03/09/2026"/>
    <s v="E"/>
    <s v="[1062] RAMGADH"/>
    <s v="[8401] DURGAWATI"/>
    <x v="70"/>
    <x v="70"/>
    <x v="7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4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3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4E065-E9F3-40FF-AC57-7CDF3841AB72}" name="PivotTable1" cacheId="7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6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2"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0"/>
        <item x="1"/>
        <item x="5"/>
        <item x="8"/>
        <item x="34"/>
        <item x="2"/>
        <item x="3"/>
        <item x="7"/>
        <item x="9"/>
        <item x="10"/>
        <item x="4"/>
        <item x="11"/>
        <item x="37"/>
        <item x="70"/>
        <item x="13"/>
        <item x="53"/>
        <item x="14"/>
        <item x="15"/>
        <item x="16"/>
        <item x="17"/>
        <item x="6"/>
        <item x="55"/>
        <item x="18"/>
        <item x="19"/>
        <item x="12"/>
        <item x="26"/>
        <item x="69"/>
        <item t="default"/>
      </items>
    </pivotField>
    <pivotField axis="axisRow" compact="0" outline="0" showAll="0" defaultSubtotal="0">
      <items count="71"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0"/>
        <item x="1"/>
        <item x="5"/>
        <item x="8"/>
        <item x="34"/>
        <item x="2"/>
        <item x="3"/>
        <item x="7"/>
        <item x="9"/>
        <item x="10"/>
        <item x="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1"/>
        <item x="37"/>
        <item x="70"/>
        <item x="13"/>
        <item x="53"/>
        <item x="14"/>
        <item x="15"/>
        <item x="16"/>
        <item x="17"/>
        <item x="6"/>
        <item x="55"/>
        <item x="18"/>
        <item x="19"/>
        <item x="12"/>
        <item x="26"/>
        <item x="69"/>
      </items>
    </pivotField>
    <pivotField axis="axisRow" compact="0" outline="0" showAll="0" sortType="ascending" defaultSubtotal="0">
      <items count="71">
        <item x="68"/>
        <item x="70"/>
        <item x="35"/>
        <item x="55"/>
        <item x="65"/>
        <item x="37"/>
        <item x="43"/>
        <item x="46"/>
        <item x="32"/>
        <item x="50"/>
        <item x="45"/>
        <item x="59"/>
        <item x="64"/>
        <item x="57"/>
        <item x="24"/>
        <item x="25"/>
        <item x="27"/>
        <item x="47"/>
        <item x="26"/>
        <item x="56"/>
        <item x="42"/>
        <item x="58"/>
        <item x="69"/>
        <item x="38"/>
        <item x="36"/>
        <item x="49"/>
        <item x="60"/>
        <item x="39"/>
        <item x="41"/>
        <item x="61"/>
        <item x="44"/>
        <item x="54"/>
        <item x="28"/>
        <item x="66"/>
        <item x="62"/>
        <item x="40"/>
        <item x="52"/>
        <item x="20"/>
        <item x="23"/>
        <item x="67"/>
        <item x="48"/>
        <item x="30"/>
        <item x="21"/>
        <item x="51"/>
        <item x="63"/>
        <item x="29"/>
        <item x="19"/>
        <item x="53"/>
        <item x="22"/>
        <item x="31"/>
        <item x="34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2">
    <i>
      <x/>
      <x v="54"/>
      <x v="43"/>
    </i>
    <i>
      <x v="1"/>
      <x v="57"/>
      <x v="57"/>
    </i>
    <i>
      <x v="2"/>
      <x v="13"/>
      <x v="13"/>
    </i>
    <i>
      <x v="3"/>
      <x v="65"/>
      <x v="65"/>
    </i>
    <i>
      <x v="4"/>
      <x v="51"/>
      <x v="40"/>
    </i>
    <i>
      <x v="5"/>
      <x v="56"/>
      <x v="56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69"/>
      <x v="69"/>
    </i>
    <i>
      <x v="19"/>
      <x v="42"/>
      <x v="31"/>
    </i>
    <i>
      <x v="20"/>
      <x v="19"/>
      <x v="19"/>
    </i>
    <i>
      <x v="21"/>
      <x v="44"/>
      <x v="33"/>
    </i>
    <i>
      <x v="22"/>
      <x v="70"/>
      <x v="70"/>
    </i>
    <i>
      <x v="23"/>
      <x v="15"/>
      <x v="15"/>
    </i>
    <i>
      <x v="24"/>
      <x v="14"/>
      <x v="14"/>
    </i>
    <i>
      <x v="25"/>
      <x v="26"/>
      <x v="26"/>
    </i>
    <i>
      <x v="26"/>
      <x v="46"/>
      <x v="35"/>
    </i>
    <i>
      <x v="27"/>
      <x v="16"/>
      <x v="16"/>
    </i>
    <i>
      <x v="28"/>
      <x v="18"/>
      <x v="18"/>
    </i>
    <i>
      <x v="29"/>
      <x v="47"/>
      <x v="36"/>
    </i>
    <i>
      <x v="30"/>
      <x v="21"/>
      <x v="21"/>
    </i>
    <i>
      <x v="31"/>
      <x v="30"/>
      <x v="30"/>
    </i>
    <i>
      <x v="32"/>
      <x v="7"/>
      <x v="7"/>
    </i>
    <i>
      <x v="33"/>
      <x v="52"/>
      <x v="41"/>
    </i>
    <i>
      <x v="34"/>
      <x v="48"/>
      <x v="37"/>
    </i>
    <i>
      <x v="35"/>
      <x v="17"/>
      <x v="17"/>
    </i>
    <i>
      <x v="36"/>
      <x v="29"/>
      <x v="29"/>
    </i>
    <i>
      <x v="37"/>
      <x/>
      <x/>
    </i>
    <i>
      <x v="38"/>
      <x v="3"/>
      <x v="3"/>
    </i>
    <i>
      <x v="39"/>
      <x v="53"/>
      <x v="42"/>
    </i>
    <i>
      <x v="40"/>
      <x v="25"/>
      <x v="25"/>
    </i>
    <i>
      <x v="41"/>
      <x v="9"/>
      <x v="9"/>
    </i>
    <i>
      <x v="42"/>
      <x v="1"/>
      <x v="1"/>
    </i>
    <i>
      <x v="43"/>
      <x v="28"/>
      <x v="28"/>
    </i>
    <i>
      <x v="44"/>
      <x v="49"/>
      <x v="38"/>
    </i>
    <i>
      <x v="45"/>
      <x v="8"/>
      <x v="8"/>
    </i>
    <i>
      <x v="46"/>
      <x v="67"/>
      <x v="67"/>
    </i>
    <i>
      <x v="47"/>
      <x v="59"/>
      <x v="59"/>
    </i>
    <i>
      <x v="48"/>
      <x v="2"/>
      <x v="2"/>
    </i>
    <i>
      <x v="49"/>
      <x v="10"/>
      <x v="10"/>
    </i>
    <i>
      <x v="50"/>
      <x v="35"/>
      <x v="48"/>
    </i>
    <i>
      <x v="51"/>
      <x v="12"/>
      <x v="12"/>
    </i>
    <i>
      <x v="52"/>
      <x v="31"/>
      <x v="44"/>
    </i>
    <i>
      <x v="53"/>
      <x v="32"/>
      <x v="45"/>
    </i>
    <i>
      <x v="54"/>
      <x v="36"/>
      <x v="49"/>
    </i>
    <i>
      <x v="55"/>
      <x v="37"/>
      <x v="50"/>
    </i>
    <i>
      <x v="56"/>
      <x v="41"/>
      <x v="54"/>
    </i>
    <i>
      <x v="57"/>
      <x v="33"/>
      <x v="46"/>
    </i>
    <i>
      <x v="58"/>
      <x v="64"/>
      <x v="64"/>
    </i>
    <i>
      <x v="59"/>
      <x v="38"/>
      <x v="51"/>
    </i>
    <i>
      <x v="60"/>
      <x v="34"/>
      <x v="47"/>
    </i>
    <i>
      <x v="61"/>
      <x v="39"/>
      <x v="52"/>
    </i>
    <i>
      <x v="62"/>
      <x v="40"/>
      <x v="53"/>
    </i>
    <i>
      <x v="63"/>
      <x v="55"/>
      <x v="55"/>
    </i>
    <i>
      <x v="64"/>
      <x v="68"/>
      <x v="68"/>
    </i>
    <i>
      <x v="65"/>
      <x v="58"/>
      <x v="58"/>
    </i>
    <i>
      <x v="66"/>
      <x v="60"/>
      <x v="60"/>
    </i>
    <i>
      <x v="67"/>
      <x v="61"/>
      <x v="61"/>
    </i>
    <i>
      <x v="68"/>
      <x v="62"/>
      <x v="62"/>
    </i>
    <i>
      <x v="69"/>
      <x v="63"/>
      <x v="63"/>
    </i>
    <i>
      <x v="70"/>
      <x v="66"/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8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2"/>
            <x v="43"/>
            <x v="44"/>
            <x v="45"/>
            <x v="49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8"/>
            <x v="49"/>
          </reference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8">
      <pivotArea field="1" type="button" dataOnly="0" labelOnly="1" outline="0" axis="axisRow" fieldPosition="1"/>
    </format>
    <format dxfId="37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K95"/>
  <sheetViews>
    <sheetView tabSelected="1" zoomScale="80" zoomScaleNormal="80" workbookViewId="0">
      <pane xSplit="3" ySplit="2" topLeftCell="D58" activePane="bottomRight" state="frozen"/>
      <selection activeCell="D2" sqref="D2"/>
      <selection pane="topRight" activeCell="D2" sqref="D2"/>
      <selection pane="bottomLeft" activeCell="D2" sqref="D2"/>
      <selection pane="bottomRight" activeCell="AA83" sqref="AA83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34" width="6.140625" style="3"/>
    <col min="35" max="35" width="6.140625" style="3" customWidth="1"/>
    <col min="36" max="36" width="0" style="3" hidden="1" customWidth="1"/>
    <col min="37" max="37" width="17" style="3" hidden="1" customWidth="1"/>
    <col min="38" max="38" width="6.5703125" style="3" bestFit="1" customWidth="1"/>
    <col min="39" max="16384" width="6.140625" style="3"/>
  </cols>
  <sheetData>
    <row r="1" spans="1:37" x14ac:dyDescent="0.25">
      <c r="S1" s="6"/>
      <c r="T1" s="6"/>
      <c r="U1" s="6"/>
    </row>
    <row r="2" spans="1:37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479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914</v>
      </c>
      <c r="N2" s="44" t="s">
        <v>300</v>
      </c>
      <c r="O2" s="44" t="s">
        <v>312</v>
      </c>
      <c r="P2" s="44" t="s">
        <v>317</v>
      </c>
      <c r="Q2" s="44" t="s">
        <v>318</v>
      </c>
      <c r="R2" s="45" t="s">
        <v>301</v>
      </c>
      <c r="S2" s="46" t="s">
        <v>313</v>
      </c>
      <c r="T2" s="46" t="s">
        <v>302</v>
      </c>
      <c r="U2" s="39"/>
      <c r="V2" s="47" t="s">
        <v>475</v>
      </c>
      <c r="W2" s="47" t="s">
        <v>314</v>
      </c>
      <c r="X2" s="47" t="s">
        <v>315</v>
      </c>
      <c r="Y2" s="47" t="s">
        <v>311</v>
      </c>
      <c r="Z2" s="47" t="s">
        <v>316</v>
      </c>
      <c r="AB2" s="40" t="s">
        <v>9</v>
      </c>
      <c r="AC2" s="40" t="s">
        <v>8</v>
      </c>
      <c r="AD2" s="40" t="s">
        <v>699</v>
      </c>
      <c r="AE2" s="227" t="s">
        <v>788</v>
      </c>
      <c r="AF2" s="226" t="s">
        <v>787</v>
      </c>
      <c r="AG2" s="226" t="s">
        <v>786</v>
      </c>
      <c r="AK2" s="251" t="s">
        <v>938</v>
      </c>
    </row>
    <row r="3" spans="1:37" x14ac:dyDescent="0.25">
      <c r="A3" s="8">
        <v>1062</v>
      </c>
      <c r="B3" s="38" t="s">
        <v>319</v>
      </c>
      <c r="C3" s="9">
        <v>10620002</v>
      </c>
      <c r="D3" s="8">
        <f>VLOOKUP(C3,DSC_Master!$C$1:D101,2,0)</f>
        <v>64592</v>
      </c>
      <c r="E3" s="10" t="str">
        <f>VLOOKUP(C3,DSC_Master!$C$1:$K$201,4,0)</f>
        <v>UDHAPURA DSK</v>
      </c>
      <c r="F3" s="11" t="s">
        <v>303</v>
      </c>
      <c r="G3" s="11" t="s">
        <v>394</v>
      </c>
      <c r="H3" s="12">
        <v>464</v>
      </c>
      <c r="I3" s="12">
        <v>20166.570207000001</v>
      </c>
      <c r="J3" s="14">
        <f>I3</f>
        <v>20166.570207000001</v>
      </c>
      <c r="K3" s="13"/>
      <c r="L3" s="13"/>
      <c r="M3" s="13">
        <f>IF(AK3&gt;0,MAX(IF(AK3&gt;0,J3*2%),300),0)</f>
        <v>0</v>
      </c>
      <c r="N3" s="13"/>
      <c r="O3" s="13">
        <f>J3-SUM(K3:N3)</f>
        <v>20166.570207000001</v>
      </c>
      <c r="P3" s="13">
        <f>IF(R3="Yes",O3,0)</f>
        <v>0</v>
      </c>
      <c r="Q3" s="15">
        <f>O3-P3</f>
        <v>20166.570207000001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Payment_28-03 Aug.xlsx</v>
      </c>
      <c r="U3" s="19"/>
      <c r="V3" s="36">
        <f>I3*1.75%</f>
        <v>352.91497862250003</v>
      </c>
      <c r="W3" s="20">
        <f>I3*0.25%</f>
        <v>50.416425517500002</v>
      </c>
      <c r="X3" s="59">
        <f>V3-W3</f>
        <v>302.49855310500004</v>
      </c>
      <c r="Y3" s="21">
        <v>0</v>
      </c>
      <c r="Z3" s="48">
        <f>X3-Y3</f>
        <v>302.49855310500004</v>
      </c>
      <c r="AB3" s="22" t="str">
        <f>VLOOKUP(C3,DSC_Master!$C$1:$K$201,9,0)</f>
        <v>BAL GOPAL YADAV</v>
      </c>
      <c r="AC3" s="22" t="str">
        <f>VLOOKUP(C3,DSC_Master!$C$1:$J$202,8,0)</f>
        <v>37483995547</v>
      </c>
      <c r="AD3" s="22" t="str">
        <f>VLOOKUP(C3,DSC_Master!$C$1:$J$202,7,0)</f>
        <v>SBIN0000076</v>
      </c>
      <c r="AE3" s="159"/>
      <c r="AF3" s="3">
        <v>20168.36</v>
      </c>
      <c r="AG3" s="5">
        <f>Q3-AF3</f>
        <v>-1.7897929999999178</v>
      </c>
      <c r="AK3" s="250">
        <f>IFERROR(VLOOKUP(D3,'Milk Can'!D:U,18,0),0)</f>
        <v>0</v>
      </c>
    </row>
    <row r="4" spans="1:37" x14ac:dyDescent="0.25">
      <c r="A4" s="8">
        <v>1062</v>
      </c>
      <c r="B4" s="38" t="s">
        <v>319</v>
      </c>
      <c r="C4" s="8">
        <v>10620004</v>
      </c>
      <c r="D4" s="8">
        <f>VLOOKUP(C4,DSC_Master!$C$1:D102,2,0)</f>
        <v>64600</v>
      </c>
      <c r="E4" s="10" t="str">
        <f>VLOOKUP(C4,DSC_Master!$C$1:$K$201,4,0)</f>
        <v>BHAMBHHOR DSK</v>
      </c>
      <c r="F4" s="11" t="s">
        <v>303</v>
      </c>
      <c r="G4" s="11" t="s">
        <v>394</v>
      </c>
      <c r="H4" s="12">
        <v>767</v>
      </c>
      <c r="I4" s="12">
        <v>32671.052423900004</v>
      </c>
      <c r="J4" s="14">
        <f t="shared" ref="J4:J70" si="0">I4</f>
        <v>32671.052423900004</v>
      </c>
      <c r="K4" s="13"/>
      <c r="L4" s="13"/>
      <c r="M4" s="13">
        <f>IF(AK4&gt;0,MAX(IF(AK4&gt;0,J4*2%),300),0)</f>
        <v>653.4210484780001</v>
      </c>
      <c r="N4" s="13"/>
      <c r="O4" s="13">
        <f t="shared" ref="O4:O70" si="1">J4-SUM(K4:N4)</f>
        <v>32017.631375422003</v>
      </c>
      <c r="P4" s="13">
        <f t="shared" ref="P4:P70" si="2">IF(R4="Yes",O4,0)</f>
        <v>0</v>
      </c>
      <c r="Q4" s="15">
        <f t="shared" ref="Q4:Q70" si="3">O4-P4</f>
        <v>32017.631375422003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Payment_28-03 Aug.xlsx</v>
      </c>
      <c r="U4" s="19"/>
      <c r="V4" s="36">
        <f t="shared" ref="V4:V70" si="4">I4*1.75%</f>
        <v>571.74341741825015</v>
      </c>
      <c r="W4" s="20">
        <f t="shared" ref="W4:W70" si="5">I4*0.25%</f>
        <v>81.677631059750013</v>
      </c>
      <c r="X4" s="59">
        <f t="shared" ref="X4:X70" si="6">V4-W4</f>
        <v>490.06578635850013</v>
      </c>
      <c r="Y4" s="21">
        <v>0</v>
      </c>
      <c r="Z4" s="48">
        <f t="shared" ref="Z4:Z70" si="7">X4-Y4</f>
        <v>490.06578635850013</v>
      </c>
      <c r="AA4" s="23"/>
      <c r="AB4" s="22" t="str">
        <f>VLOOKUP(C4,DSC_Master!$C$1:$K$201,9,0)</f>
        <v>DEEPAK KUMAR YADAV</v>
      </c>
      <c r="AC4" s="22" t="str">
        <f>VLOOKUP(C4,DSC_Master!$C$1:$J$202,8,0)</f>
        <v>924010010956816</v>
      </c>
      <c r="AD4" s="22" t="str">
        <f>VLOOKUP(C4,DSC_Master!$C$1:$J$202,7,0)</f>
        <v>UTIB0001632</v>
      </c>
      <c r="AE4" s="159"/>
      <c r="AF4" s="3">
        <v>32672.54</v>
      </c>
      <c r="AG4" s="5">
        <f t="shared" ref="AG4:AG70" si="8">Q4-AF4</f>
        <v>-654.90862457799813</v>
      </c>
      <c r="AK4" s="250">
        <f>IFERROR(VLOOKUP(D4,'Milk Can'!D:U,18,0),0)</f>
        <v>2895.1583106019998</v>
      </c>
    </row>
    <row r="5" spans="1:37" x14ac:dyDescent="0.25">
      <c r="A5" s="8">
        <v>1062</v>
      </c>
      <c r="B5" s="38" t="s">
        <v>319</v>
      </c>
      <c r="C5" s="9">
        <v>10620005</v>
      </c>
      <c r="D5" s="8">
        <f>VLOOKUP(C5,DSC_Master!$C$1:D103,2,0)</f>
        <v>64505</v>
      </c>
      <c r="E5" s="10" t="str">
        <f>VLOOKUP(C5,DSC_Master!$C$1:$K$201,4,0)</f>
        <v>MAHUWARIYA DSK</v>
      </c>
      <c r="F5" s="11" t="s">
        <v>303</v>
      </c>
      <c r="G5" s="11" t="s">
        <v>394</v>
      </c>
      <c r="H5" s="24">
        <v>548</v>
      </c>
      <c r="I5" s="24">
        <v>32729.774514400004</v>
      </c>
      <c r="J5" s="14">
        <f t="shared" si="0"/>
        <v>32729.774514400004</v>
      </c>
      <c r="K5" s="13"/>
      <c r="L5" s="13"/>
      <c r="M5" s="13">
        <f t="shared" ref="M5:M70" si="9">IF(AK5&gt;0,MAX(IF(AK5&gt;0,J5*2%),300),0)</f>
        <v>0</v>
      </c>
      <c r="N5" s="13"/>
      <c r="O5" s="13">
        <f t="shared" si="1"/>
        <v>32729.774514400004</v>
      </c>
      <c r="P5" s="13">
        <f t="shared" si="2"/>
        <v>0</v>
      </c>
      <c r="Q5" s="15">
        <f t="shared" si="3"/>
        <v>32729.774514400004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Payment_28-03 Aug.xlsx</v>
      </c>
      <c r="U5" s="19"/>
      <c r="V5" s="36">
        <f t="shared" si="4"/>
        <v>572.77105400200014</v>
      </c>
      <c r="W5" s="20">
        <f t="shared" si="5"/>
        <v>81.824436286000008</v>
      </c>
      <c r="X5" s="59">
        <f t="shared" si="6"/>
        <v>490.94661771600011</v>
      </c>
      <c r="Y5" s="21">
        <v>0</v>
      </c>
      <c r="Z5" s="48">
        <f t="shared" si="7"/>
        <v>490.94661771600011</v>
      </c>
      <c r="AA5" s="23"/>
      <c r="AB5" s="22" t="str">
        <f>VLOOKUP(C5,DSC_Master!$C$1:$K$201,9,0)</f>
        <v>DINESH KUMAR</v>
      </c>
      <c r="AC5" s="22" t="str">
        <f>VLOOKUP(C5,DSC_Master!$C$1:$J$202,8,0)</f>
        <v>20315506501</v>
      </c>
      <c r="AD5" s="22" t="str">
        <f>VLOOKUP(C5,DSC_Master!$C$1:$J$202,7,0)</f>
        <v>SBIN0014328</v>
      </c>
      <c r="AE5" s="159"/>
      <c r="AF5" s="3">
        <v>32730.76</v>
      </c>
      <c r="AG5" s="5">
        <f t="shared" si="8"/>
        <v>-0.98548559999471763</v>
      </c>
      <c r="AK5" s="250">
        <f>IFERROR(VLOOKUP(D5,'Milk Can'!D:U,18,0),0)</f>
        <v>0</v>
      </c>
    </row>
    <row r="6" spans="1:37" x14ac:dyDescent="0.25">
      <c r="A6" s="8">
        <v>1062</v>
      </c>
      <c r="B6" s="38" t="s">
        <v>319</v>
      </c>
      <c r="C6" s="9">
        <v>10620008</v>
      </c>
      <c r="D6" s="8">
        <f>VLOOKUP(C6,DSC_Master!$C$1:D104,2,0)</f>
        <v>64544</v>
      </c>
      <c r="E6" s="10" t="str">
        <f>VLOOKUP(C6,DSC_Master!$C$1:$K$201,4,0)</f>
        <v>ASHUDHA DSK</v>
      </c>
      <c r="F6" s="11" t="s">
        <v>303</v>
      </c>
      <c r="G6" s="11" t="s">
        <v>394</v>
      </c>
      <c r="H6" s="24">
        <v>361</v>
      </c>
      <c r="I6" s="24">
        <v>19264.285</v>
      </c>
      <c r="J6" s="14">
        <f t="shared" si="0"/>
        <v>19264.285</v>
      </c>
      <c r="K6" s="13"/>
      <c r="L6" s="13"/>
      <c r="M6" s="13">
        <f t="shared" si="9"/>
        <v>0</v>
      </c>
      <c r="N6" s="13"/>
      <c r="O6" s="13">
        <f t="shared" si="1"/>
        <v>19264.285</v>
      </c>
      <c r="P6" s="13">
        <f t="shared" si="2"/>
        <v>0</v>
      </c>
      <c r="Q6" s="15">
        <f t="shared" si="3"/>
        <v>19264.285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Payment_28-03 Aug.xlsx</v>
      </c>
      <c r="U6" s="19"/>
      <c r="V6" s="36">
        <f t="shared" si="4"/>
        <v>337.12498750000003</v>
      </c>
      <c r="W6" s="20">
        <f t="shared" si="5"/>
        <v>48.160712500000002</v>
      </c>
      <c r="X6" s="59">
        <f t="shared" si="6"/>
        <v>288.96427500000004</v>
      </c>
      <c r="Y6" s="21">
        <v>0</v>
      </c>
      <c r="Z6" s="48">
        <f t="shared" si="7"/>
        <v>288.96427500000004</v>
      </c>
      <c r="AB6" s="22" t="str">
        <f>VLOOKUP(C6,DSC_Master!$C$1:$K$201,9,0)</f>
        <v>KAMLESH SINGH</v>
      </c>
      <c r="AC6" s="22" t="str">
        <f>VLOOKUP(C6,DSC_Master!$C$1:$J$202,8,0)</f>
        <v>20100077569381</v>
      </c>
      <c r="AD6" s="22" t="str">
        <f>VLOOKUP(C6,DSC_Master!$C$1:$J$202,7,0)</f>
        <v>BDBL0001544</v>
      </c>
      <c r="AE6" s="159"/>
      <c r="AF6" s="3">
        <v>19264.87</v>
      </c>
      <c r="AG6" s="5">
        <f t="shared" si="8"/>
        <v>-0.58499999999912689</v>
      </c>
      <c r="AK6" s="250">
        <f>IFERROR(VLOOKUP(D6,'Milk Can'!D:U,18,0),0)</f>
        <v>0</v>
      </c>
    </row>
    <row r="7" spans="1:37" x14ac:dyDescent="0.25">
      <c r="A7" s="8">
        <v>1062</v>
      </c>
      <c r="B7" s="38" t="s">
        <v>319</v>
      </c>
      <c r="C7" s="9">
        <v>10620009</v>
      </c>
      <c r="D7" s="8">
        <f>VLOOKUP(C7,DSC_Master!$C$1:D105,2,0)</f>
        <v>64571</v>
      </c>
      <c r="E7" s="10" t="str">
        <f>VLOOKUP(C7,DSC_Master!$C$1:$K$201,4,0)</f>
        <v>JAVRI DSK</v>
      </c>
      <c r="F7" s="11" t="s">
        <v>303</v>
      </c>
      <c r="G7" s="11" t="s">
        <v>394</v>
      </c>
      <c r="H7" s="24">
        <v>819</v>
      </c>
      <c r="I7" s="24">
        <v>37592.411689099994</v>
      </c>
      <c r="J7" s="14">
        <f t="shared" si="0"/>
        <v>37592.411689099994</v>
      </c>
      <c r="K7" s="13"/>
      <c r="L7" s="13"/>
      <c r="M7" s="13">
        <f t="shared" si="9"/>
        <v>0</v>
      </c>
      <c r="N7" s="13"/>
      <c r="O7" s="13">
        <f t="shared" si="1"/>
        <v>37592.411689099994</v>
      </c>
      <c r="P7" s="13">
        <f t="shared" si="2"/>
        <v>0</v>
      </c>
      <c r="Q7" s="15">
        <f t="shared" si="3"/>
        <v>37592.411689099994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Payment_28-03 Aug.xlsx</v>
      </c>
      <c r="U7" s="19"/>
      <c r="V7" s="36">
        <f t="shared" si="4"/>
        <v>657.86720455925001</v>
      </c>
      <c r="W7" s="20">
        <f t="shared" si="5"/>
        <v>93.981029222749981</v>
      </c>
      <c r="X7" s="59">
        <f t="shared" si="6"/>
        <v>563.88617533650006</v>
      </c>
      <c r="Y7" s="21">
        <v>0</v>
      </c>
      <c r="Z7" s="48">
        <f t="shared" si="7"/>
        <v>563.88617533650006</v>
      </c>
      <c r="AB7" s="22" t="str">
        <f>VLOOKUP(C7,DSC_Master!$C$1:$K$201,9,0)</f>
        <v>KANHAIYA YADAV</v>
      </c>
      <c r="AC7" s="22" t="str">
        <f>VLOOKUP(C7,DSC_Master!$C$1:$J$202,8,0)</f>
        <v>42108869535</v>
      </c>
      <c r="AD7" s="22" t="str">
        <f>VLOOKUP(C7,DSC_Master!$C$1:$J$202,7,0)</f>
        <v>SBIN0014328</v>
      </c>
      <c r="AE7" s="159"/>
      <c r="AF7" s="3">
        <v>37593.96</v>
      </c>
      <c r="AG7" s="5">
        <f t="shared" si="8"/>
        <v>-1.5483109000051627</v>
      </c>
      <c r="AK7" s="250">
        <f>IFERROR(VLOOKUP(D7,'Milk Can'!D:U,18,0),0)</f>
        <v>0</v>
      </c>
    </row>
    <row r="8" spans="1:37" x14ac:dyDescent="0.25">
      <c r="A8" s="8">
        <v>1062</v>
      </c>
      <c r="B8" s="38" t="s">
        <v>319</v>
      </c>
      <c r="C8" s="9">
        <v>10620010</v>
      </c>
      <c r="D8" s="8">
        <f>VLOOKUP(C8,DSC_Master!$C$1:D106,2,0)</f>
        <v>64508</v>
      </c>
      <c r="E8" s="10" t="str">
        <f>VLOOKUP(C8,DSC_Master!$C$1:$K$201,4,0)</f>
        <v>LARMA DSK</v>
      </c>
      <c r="F8" s="11" t="s">
        <v>303</v>
      </c>
      <c r="G8" s="11" t="s">
        <v>394</v>
      </c>
      <c r="H8" s="24">
        <v>405</v>
      </c>
      <c r="I8" s="24">
        <v>22184.013694499998</v>
      </c>
      <c r="J8" s="14">
        <f t="shared" si="0"/>
        <v>22184.013694499998</v>
      </c>
      <c r="K8" s="13"/>
      <c r="L8" s="13"/>
      <c r="M8" s="13">
        <f t="shared" si="9"/>
        <v>0</v>
      </c>
      <c r="N8" s="13"/>
      <c r="O8" s="13">
        <f t="shared" si="1"/>
        <v>22184.013694499998</v>
      </c>
      <c r="P8" s="13">
        <f t="shared" si="2"/>
        <v>0</v>
      </c>
      <c r="Q8" s="15">
        <f t="shared" si="3"/>
        <v>22184.013694499998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Payment_28-03 Aug.xlsx</v>
      </c>
      <c r="U8" s="19"/>
      <c r="V8" s="36">
        <f t="shared" si="4"/>
        <v>388.22023965375001</v>
      </c>
      <c r="W8" s="20">
        <f t="shared" si="5"/>
        <v>55.460034236249996</v>
      </c>
      <c r="X8" s="59">
        <f t="shared" si="6"/>
        <v>332.7602054175</v>
      </c>
      <c r="Y8" s="21">
        <v>0</v>
      </c>
      <c r="Z8" s="48">
        <f t="shared" si="7"/>
        <v>332.7602054175</v>
      </c>
      <c r="AB8" s="22" t="str">
        <f>VLOOKUP(C8,DSC_Master!$C$1:$K$201,9,0)</f>
        <v>KHUSHABU YADAV</v>
      </c>
      <c r="AC8" s="22" t="str">
        <f>VLOOKUP(C8,DSC_Master!$C$1:$J$202,8,0)</f>
        <v>2367000100137224</v>
      </c>
      <c r="AD8" s="22" t="str">
        <f>VLOOKUP(C8,DSC_Master!$C$1:$J$202,7,0)</f>
        <v>PUNB0236700</v>
      </c>
      <c r="AE8" s="159"/>
      <c r="AF8" s="3">
        <v>22184.89</v>
      </c>
      <c r="AG8" s="5">
        <f t="shared" si="8"/>
        <v>-0.87630550000176299</v>
      </c>
      <c r="AK8" s="250">
        <f>IFERROR(VLOOKUP(D8,'Milk Can'!D:U,18,0),0)</f>
        <v>0</v>
      </c>
    </row>
    <row r="9" spans="1:37" x14ac:dyDescent="0.25">
      <c r="A9" s="8">
        <v>1062</v>
      </c>
      <c r="B9" s="38" t="s">
        <v>319</v>
      </c>
      <c r="C9" s="9">
        <v>10620012</v>
      </c>
      <c r="D9" s="8">
        <f>VLOOKUP(C9,DSC_Master!$C$1:D107,2,0)</f>
        <v>64515</v>
      </c>
      <c r="E9" s="10" t="str">
        <f>VLOOKUP(C9,DSC_Master!$C$1:$K$201,4,0)</f>
        <v>DHARHARA DSK</v>
      </c>
      <c r="F9" s="11" t="s">
        <v>303</v>
      </c>
      <c r="G9" s="11" t="s">
        <v>394</v>
      </c>
      <c r="H9" s="24">
        <v>679</v>
      </c>
      <c r="I9" s="24">
        <v>32742.795700499999</v>
      </c>
      <c r="J9" s="14">
        <f t="shared" si="0"/>
        <v>32742.795700499999</v>
      </c>
      <c r="K9" s="13"/>
      <c r="L9" s="13"/>
      <c r="M9" s="13">
        <f t="shared" si="9"/>
        <v>0</v>
      </c>
      <c r="N9" s="13"/>
      <c r="O9" s="13">
        <f t="shared" si="1"/>
        <v>32742.795700499999</v>
      </c>
      <c r="P9" s="13">
        <f t="shared" si="2"/>
        <v>0</v>
      </c>
      <c r="Q9" s="15">
        <f t="shared" si="3"/>
        <v>32742.795700499999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Payment_28-03 Aug.xlsx</v>
      </c>
      <c r="U9" s="19"/>
      <c r="V9" s="36">
        <f t="shared" si="4"/>
        <v>572.99892475875004</v>
      </c>
      <c r="W9" s="20">
        <f t="shared" si="5"/>
        <v>81.856989251249999</v>
      </c>
      <c r="X9" s="59">
        <f t="shared" si="6"/>
        <v>491.14193550750002</v>
      </c>
      <c r="Y9" s="21">
        <v>0</v>
      </c>
      <c r="Z9" s="48">
        <f t="shared" si="7"/>
        <v>491.14193550750002</v>
      </c>
      <c r="AA9" s="23"/>
      <c r="AB9" s="22" t="str">
        <f>VLOOKUP(C9,DSC_Master!$C$1:$K$201,9,0)</f>
        <v>SHREE NIWAS YADAV</v>
      </c>
      <c r="AC9" s="22" t="str">
        <f>VLOOKUP(C9,DSC_Master!$C$1:$J$202,8,0)</f>
        <v>37905177514</v>
      </c>
      <c r="AD9" s="22" t="str">
        <f>VLOOKUP(C9,DSC_Master!$C$1:$J$202,7,0)</f>
        <v>SBIN0006137</v>
      </c>
      <c r="AE9" s="159"/>
      <c r="AF9" s="3">
        <v>32743.119999999999</v>
      </c>
      <c r="AG9" s="5">
        <f t="shared" si="8"/>
        <v>-0.32429950000005192</v>
      </c>
      <c r="AK9" s="250">
        <f>IFERROR(VLOOKUP(D9,'Milk Can'!D:U,18,0),0)</f>
        <v>0</v>
      </c>
    </row>
    <row r="10" spans="1:37" x14ac:dyDescent="0.25">
      <c r="A10" s="8">
        <v>1062</v>
      </c>
      <c r="B10" s="38" t="s">
        <v>319</v>
      </c>
      <c r="C10" s="9">
        <v>10620013</v>
      </c>
      <c r="D10" s="8">
        <f>VLOOKUP(C10,DSC_Master!$C$1:D108,2,0)</f>
        <v>64523</v>
      </c>
      <c r="E10" s="10" t="str">
        <f>VLOOKUP(C10,DSC_Master!$C$1:$K$201,4,0)</f>
        <v>KHADSARA DSK</v>
      </c>
      <c r="F10" s="11" t="s">
        <v>303</v>
      </c>
      <c r="G10" s="11" t="s">
        <v>394</v>
      </c>
      <c r="H10" s="24">
        <v>166</v>
      </c>
      <c r="I10" s="24">
        <v>10827.445</v>
      </c>
      <c r="J10" s="14">
        <f t="shared" si="0"/>
        <v>10827.445</v>
      </c>
      <c r="K10" s="13"/>
      <c r="L10" s="13"/>
      <c r="M10" s="13">
        <f t="shared" si="9"/>
        <v>300</v>
      </c>
      <c r="N10" s="13"/>
      <c r="O10" s="13">
        <f t="shared" si="1"/>
        <v>10527.445</v>
      </c>
      <c r="P10" s="13">
        <f t="shared" si="2"/>
        <v>0</v>
      </c>
      <c r="Q10" s="15">
        <f t="shared" si="3"/>
        <v>10527.445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Payment_28-03 Aug.xlsx</v>
      </c>
      <c r="U10" s="19"/>
      <c r="V10" s="36">
        <f t="shared" si="4"/>
        <v>189.4802875</v>
      </c>
      <c r="W10" s="20">
        <f t="shared" si="5"/>
        <v>27.0686125</v>
      </c>
      <c r="X10" s="59">
        <f t="shared" si="6"/>
        <v>162.411675</v>
      </c>
      <c r="Y10" s="21">
        <v>0</v>
      </c>
      <c r="Z10" s="48">
        <f t="shared" si="7"/>
        <v>162.411675</v>
      </c>
      <c r="AB10" s="22" t="str">
        <f>VLOOKUP(C10,DSC_Master!$C$1:$K$201,9,0)</f>
        <v>SONU KUMAR</v>
      </c>
      <c r="AC10" s="22" t="str">
        <f>VLOOKUP(C10,DSC_Master!$C$1:$J$202,8,0)</f>
        <v>20421372063</v>
      </c>
      <c r="AD10" s="22" t="str">
        <f>VLOOKUP(C10,DSC_Master!$C$1:$J$202,7,0)</f>
        <v>SBIN0014328</v>
      </c>
      <c r="AE10" s="159"/>
      <c r="AF10" s="3">
        <v>10827.91</v>
      </c>
      <c r="AG10" s="5">
        <f t="shared" si="8"/>
        <v>-300.46500000000015</v>
      </c>
      <c r="AK10" s="250">
        <f>IFERROR(VLOOKUP(D10,'Milk Can'!D:U,18,0),0)</f>
        <v>9600</v>
      </c>
    </row>
    <row r="11" spans="1:37" x14ac:dyDescent="0.25">
      <c r="A11" s="8">
        <v>1062</v>
      </c>
      <c r="B11" s="38" t="s">
        <v>319</v>
      </c>
      <c r="C11" s="9">
        <v>10620014</v>
      </c>
      <c r="D11" s="8">
        <f>VLOOKUP(C11,DSC_Master!$C$1:D109,2,0)</f>
        <v>60628</v>
      </c>
      <c r="E11" s="10" t="str">
        <f>VLOOKUP(C11,DSC_Master!$C$1:$K$201,4,0)</f>
        <v>BAIJNATH DSK</v>
      </c>
      <c r="F11" s="11" t="s">
        <v>303</v>
      </c>
      <c r="G11" s="11" t="s">
        <v>394</v>
      </c>
      <c r="H11" s="24">
        <v>142</v>
      </c>
      <c r="I11" s="24">
        <v>6284.0504270000001</v>
      </c>
      <c r="J11" s="14">
        <f t="shared" si="0"/>
        <v>6284.0504270000001</v>
      </c>
      <c r="K11" s="13"/>
      <c r="L11" s="13"/>
      <c r="M11" s="13">
        <f t="shared" si="9"/>
        <v>0</v>
      </c>
      <c r="N11" s="13"/>
      <c r="O11" s="13">
        <f t="shared" si="1"/>
        <v>6284.0504270000001</v>
      </c>
      <c r="P11" s="13">
        <f t="shared" si="2"/>
        <v>0</v>
      </c>
      <c r="Q11" s="15">
        <f t="shared" si="3"/>
        <v>6284.0504270000001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Payment_28-03 Aug.xlsx</v>
      </c>
      <c r="U11" s="19"/>
      <c r="V11" s="36">
        <f t="shared" si="4"/>
        <v>109.97088247250001</v>
      </c>
      <c r="W11" s="20">
        <f t="shared" si="5"/>
        <v>15.710126067500001</v>
      </c>
      <c r="X11" s="59">
        <f t="shared" si="6"/>
        <v>94.260756405000009</v>
      </c>
      <c r="Y11" s="21">
        <v>0</v>
      </c>
      <c r="Z11" s="48">
        <f t="shared" si="7"/>
        <v>94.260756405000009</v>
      </c>
      <c r="AB11" s="22" t="str">
        <f>VLOOKUP(C11,DSC_Master!$C$1:$K$201,9,0)</f>
        <v>PARASH SINGH</v>
      </c>
      <c r="AC11" s="22" t="str">
        <f>VLOOKUP(C11,DSC_Master!$C$1:$J$202,8,0)</f>
        <v>2784000100175715</v>
      </c>
      <c r="AD11" s="22" t="str">
        <f>VLOOKUP(C11,DSC_Master!$C$1:$J$202,7,0)</f>
        <v>PUNB0278400</v>
      </c>
      <c r="AE11" s="159"/>
      <c r="AF11" s="3">
        <v>6284.24</v>
      </c>
      <c r="AG11" s="5">
        <f t="shared" si="8"/>
        <v>-0.18957299999965471</v>
      </c>
      <c r="AK11" s="250">
        <f>IFERROR(VLOOKUP(D11,'Milk Can'!D:U,18,0),0)</f>
        <v>0</v>
      </c>
    </row>
    <row r="12" spans="1:37" x14ac:dyDescent="0.25">
      <c r="A12" s="8">
        <v>1062</v>
      </c>
      <c r="B12" s="38" t="s">
        <v>319</v>
      </c>
      <c r="C12" s="9">
        <v>10620015</v>
      </c>
      <c r="D12" s="8">
        <f>VLOOKUP(C12,DSC_Master!$C$1:D110,2,0)</f>
        <v>64537</v>
      </c>
      <c r="E12" s="10" t="str">
        <f>VLOOKUP(C12,DSC_Master!$C$1:$K$201,4,0)</f>
        <v>KASTHARI DSK</v>
      </c>
      <c r="F12" s="11" t="s">
        <v>303</v>
      </c>
      <c r="G12" s="11" t="s">
        <v>394</v>
      </c>
      <c r="H12" s="24">
        <v>497</v>
      </c>
      <c r="I12" s="24">
        <v>22849.1825942</v>
      </c>
      <c r="J12" s="14">
        <f t="shared" si="0"/>
        <v>22849.1825942</v>
      </c>
      <c r="K12" s="13"/>
      <c r="L12" s="13"/>
      <c r="M12" s="13">
        <f t="shared" si="9"/>
        <v>0</v>
      </c>
      <c r="N12" s="13"/>
      <c r="O12" s="13">
        <f t="shared" si="1"/>
        <v>22849.1825942</v>
      </c>
      <c r="P12" s="13">
        <f t="shared" si="2"/>
        <v>0</v>
      </c>
      <c r="Q12" s="15">
        <f t="shared" si="3"/>
        <v>22849.1825942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Payment_28-03 Aug.xlsx</v>
      </c>
      <c r="U12" s="19"/>
      <c r="V12" s="36">
        <f t="shared" si="4"/>
        <v>399.86069539850001</v>
      </c>
      <c r="W12" s="20">
        <f t="shared" si="5"/>
        <v>57.122956485499998</v>
      </c>
      <c r="X12" s="59">
        <f t="shared" si="6"/>
        <v>342.73773891300004</v>
      </c>
      <c r="Y12" s="21">
        <v>0</v>
      </c>
      <c r="Z12" s="48">
        <f t="shared" si="7"/>
        <v>342.73773891300004</v>
      </c>
      <c r="AA12" s="23"/>
      <c r="AB12" s="22" t="str">
        <f>VLOOKUP(C12,DSC_Master!$C$1:$K$201,9,0)</f>
        <v>PAWAN KUMAR SINGH</v>
      </c>
      <c r="AC12" s="22" t="str">
        <f>VLOOKUP(C12,DSC_Master!$C$1:$J$202,8,0)</f>
        <v>2374001500005364</v>
      </c>
      <c r="AD12" s="22" t="str">
        <f>VLOOKUP(C12,DSC_Master!$C$1:$J$202,7,0)</f>
        <v>PUNB0237400</v>
      </c>
      <c r="AE12" s="159"/>
      <c r="AF12" s="3">
        <v>22849.64</v>
      </c>
      <c r="AG12" s="5">
        <f t="shared" si="8"/>
        <v>-0.45740579999983311</v>
      </c>
      <c r="AK12" s="250">
        <f>IFERROR(VLOOKUP(D12,'Milk Can'!D:U,18,0),0)</f>
        <v>0</v>
      </c>
    </row>
    <row r="13" spans="1:37" x14ac:dyDescent="0.25">
      <c r="A13" s="8">
        <v>1062</v>
      </c>
      <c r="B13" s="38" t="s">
        <v>319</v>
      </c>
      <c r="C13" s="9">
        <v>10620016</v>
      </c>
      <c r="D13" s="8">
        <f>VLOOKUP(C13,DSC_Master!$C$1:D111,2,0)</f>
        <v>64522</v>
      </c>
      <c r="E13" s="10" t="str">
        <f>VLOOKUP(C13,DSC_Master!$C$1:$K$201,4,0)</f>
        <v>MADANPURA DSK</v>
      </c>
      <c r="F13" s="11" t="s">
        <v>303</v>
      </c>
      <c r="G13" s="11" t="s">
        <v>394</v>
      </c>
      <c r="H13" s="24">
        <v>396</v>
      </c>
      <c r="I13" s="24">
        <v>21290.395799999998</v>
      </c>
      <c r="J13" s="14">
        <f t="shared" si="0"/>
        <v>21290.395799999998</v>
      </c>
      <c r="K13" s="13"/>
      <c r="L13" s="13"/>
      <c r="M13" s="13">
        <f t="shared" si="9"/>
        <v>0</v>
      </c>
      <c r="N13" s="13"/>
      <c r="O13" s="13">
        <f t="shared" si="1"/>
        <v>21290.395799999998</v>
      </c>
      <c r="P13" s="13">
        <f t="shared" si="2"/>
        <v>0</v>
      </c>
      <c r="Q13" s="15">
        <f t="shared" si="3"/>
        <v>21290.395799999998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Payment_28-03 Aug.xlsx</v>
      </c>
      <c r="U13" s="19"/>
      <c r="V13" s="36">
        <f t="shared" si="4"/>
        <v>372.58192650000001</v>
      </c>
      <c r="W13" s="20">
        <f t="shared" si="5"/>
        <v>53.225989499999997</v>
      </c>
      <c r="X13" s="59">
        <f t="shared" si="6"/>
        <v>319.35593700000004</v>
      </c>
      <c r="Y13" s="21">
        <v>0</v>
      </c>
      <c r="Z13" s="48">
        <f t="shared" si="7"/>
        <v>319.35593700000004</v>
      </c>
      <c r="AB13" s="22" t="str">
        <f>VLOOKUP(C13,DSC_Master!$C$1:$K$201,9,0)</f>
        <v>RAM CHARAN RAI</v>
      </c>
      <c r="AC13" s="22" t="str">
        <f>VLOOKUP(C13,DSC_Master!$C$1:$J$202,8,0)</f>
        <v>2374000100165377</v>
      </c>
      <c r="AD13" s="22" t="str">
        <f>VLOOKUP(C13,DSC_Master!$C$1:$J$202,7,0)</f>
        <v>PUNB0237400</v>
      </c>
      <c r="AE13" s="159"/>
      <c r="AF13" s="3">
        <v>21291.21</v>
      </c>
      <c r="AG13" s="5">
        <f t="shared" si="8"/>
        <v>-0.81420000000071013</v>
      </c>
      <c r="AK13" s="250">
        <f>IFERROR(VLOOKUP(D13,'Milk Can'!D:U,18,0),0)</f>
        <v>0</v>
      </c>
    </row>
    <row r="14" spans="1:37" x14ac:dyDescent="0.25">
      <c r="A14" s="8">
        <v>1062</v>
      </c>
      <c r="B14" s="38" t="s">
        <v>319</v>
      </c>
      <c r="C14" s="9">
        <v>10620017</v>
      </c>
      <c r="D14" s="8">
        <f>VLOOKUP(C14,DSC_Master!$C$1:D112,2,0)</f>
        <v>64555</v>
      </c>
      <c r="E14" s="10" t="str">
        <f>VLOOKUP(C14,DSC_Master!$C$1:$K$201,4,0)</f>
        <v>DEHWALIYA DSK</v>
      </c>
      <c r="F14" s="11" t="s">
        <v>303</v>
      </c>
      <c r="G14" s="11" t="s">
        <v>394</v>
      </c>
      <c r="H14" s="24">
        <v>281</v>
      </c>
      <c r="I14" s="24">
        <v>11103.224979600001</v>
      </c>
      <c r="J14" s="14">
        <f t="shared" si="0"/>
        <v>11103.224979600001</v>
      </c>
      <c r="K14" s="13"/>
      <c r="L14" s="13"/>
      <c r="M14" s="13">
        <f t="shared" si="9"/>
        <v>300</v>
      </c>
      <c r="N14" s="13"/>
      <c r="O14" s="13">
        <f t="shared" si="1"/>
        <v>10803.224979600001</v>
      </c>
      <c r="P14" s="13">
        <f t="shared" si="2"/>
        <v>0</v>
      </c>
      <c r="Q14" s="15">
        <f t="shared" si="3"/>
        <v>10803.224979600001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Payment_28-03 Aug.xlsx</v>
      </c>
      <c r="U14" s="19"/>
      <c r="V14" s="36">
        <f t="shared" si="4"/>
        <v>194.30643714300004</v>
      </c>
      <c r="W14" s="20">
        <f t="shared" si="5"/>
        <v>27.758062449000004</v>
      </c>
      <c r="X14" s="59">
        <f t="shared" si="6"/>
        <v>166.54837469400005</v>
      </c>
      <c r="Y14" s="21">
        <v>0</v>
      </c>
      <c r="Z14" s="48">
        <f t="shared" si="7"/>
        <v>166.54837469400005</v>
      </c>
      <c r="AB14" s="22" t="str">
        <f>VLOOKUP(C14,DSC_Master!$C$1:$K$201,9,0)</f>
        <v>SATENDRA YADAV</v>
      </c>
      <c r="AC14" s="22" t="str">
        <f>VLOOKUP(C14,DSC_Master!$C$1:$J$202,8,0)</f>
        <v>14462413000951</v>
      </c>
      <c r="AD14" s="22" t="str">
        <f>VLOOKUP(C14,DSC_Master!$C$1:$J$202,7,0)</f>
        <v>PUNB0269600</v>
      </c>
      <c r="AE14" s="159"/>
      <c r="AF14" s="3">
        <v>11103.13</v>
      </c>
      <c r="AG14" s="5">
        <f t="shared" si="8"/>
        <v>-299.90502039999774</v>
      </c>
      <c r="AK14" s="250">
        <f>IFERROR(VLOOKUP(D14,'Milk Can'!D:U,18,0),0)</f>
        <v>6300</v>
      </c>
    </row>
    <row r="15" spans="1:37" x14ac:dyDescent="0.25">
      <c r="A15" s="8">
        <v>1062</v>
      </c>
      <c r="B15" s="38" t="s">
        <v>319</v>
      </c>
      <c r="C15" s="9">
        <v>10620019</v>
      </c>
      <c r="D15" s="8">
        <f>VLOOKUP(C15,DSC_Master!$C$1:D113,2,0)</f>
        <v>64569</v>
      </c>
      <c r="E15" s="10" t="str">
        <f>VLOOKUP(C15,DSC_Master!$C$1:$K$201,4,0)</f>
        <v>BICCHIYA DSK</v>
      </c>
      <c r="F15" s="11" t="s">
        <v>303</v>
      </c>
      <c r="G15" s="11" t="s">
        <v>394</v>
      </c>
      <c r="H15" s="24">
        <v>927</v>
      </c>
      <c r="I15" s="24">
        <v>43240.417594800005</v>
      </c>
      <c r="J15" s="14">
        <f t="shared" si="0"/>
        <v>43240.417594800005</v>
      </c>
      <c r="K15" s="13"/>
      <c r="L15" s="13"/>
      <c r="M15" s="13">
        <f t="shared" si="9"/>
        <v>864.80835189600009</v>
      </c>
      <c r="N15" s="13"/>
      <c r="O15" s="13">
        <f t="shared" si="1"/>
        <v>42375.609242904007</v>
      </c>
      <c r="P15" s="13">
        <f t="shared" si="2"/>
        <v>0</v>
      </c>
      <c r="Q15" s="15">
        <f t="shared" si="3"/>
        <v>42375.609242904007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Payment_28-03 Aug.xlsx</v>
      </c>
      <c r="U15" s="19"/>
      <c r="V15" s="36">
        <f t="shared" si="4"/>
        <v>756.70730790900018</v>
      </c>
      <c r="W15" s="20">
        <f t="shared" si="5"/>
        <v>108.10104398700001</v>
      </c>
      <c r="X15" s="59">
        <f t="shared" si="6"/>
        <v>648.60626392200015</v>
      </c>
      <c r="Y15" s="21">
        <v>0</v>
      </c>
      <c r="Z15" s="48">
        <f t="shared" si="7"/>
        <v>648.60626392200015</v>
      </c>
      <c r="AB15" s="22" t="str">
        <f>VLOOKUP(C15,DSC_Master!$C$1:$K$201,9,0)</f>
        <v>VANSHIDHAR SINGH</v>
      </c>
      <c r="AC15" s="22" t="str">
        <f>VLOOKUP(C15,DSC_Master!$C$1:$J$202,8,0)</f>
        <v>50200067834898</v>
      </c>
      <c r="AD15" s="22" t="str">
        <f>VLOOKUP(C15,DSC_Master!$C$1:$J$202,7,0)</f>
        <v>HDFC0002625</v>
      </c>
      <c r="AE15" s="159"/>
      <c r="AF15" s="3">
        <v>43241.94</v>
      </c>
      <c r="AG15" s="5">
        <f t="shared" si="8"/>
        <v>-866.33075709599507</v>
      </c>
      <c r="AK15" s="250">
        <f>IFERROR(VLOOKUP(D15,'Milk Can'!D:U,18,0),0)</f>
        <v>32478.042491357999</v>
      </c>
    </row>
    <row r="16" spans="1:37" x14ac:dyDescent="0.25">
      <c r="A16" s="8">
        <v>1062</v>
      </c>
      <c r="B16" s="38" t="s">
        <v>319</v>
      </c>
      <c r="C16" s="9">
        <v>10620020</v>
      </c>
      <c r="D16" s="8">
        <f>VLOOKUP(C16,DSC_Master!$C$1:D114,2,0)</f>
        <v>64552</v>
      </c>
      <c r="E16" s="10" t="str">
        <f>VLOOKUP(C16,DSC_Master!$C$1:$K$201,4,0)</f>
        <v>KRAPALPUR DSK</v>
      </c>
      <c r="F16" s="11" t="s">
        <v>303</v>
      </c>
      <c r="G16" s="11" t="s">
        <v>394</v>
      </c>
      <c r="H16" s="24">
        <v>169</v>
      </c>
      <c r="I16" s="24">
        <v>8950.3649999999998</v>
      </c>
      <c r="J16" s="14">
        <f t="shared" si="0"/>
        <v>8950.3649999999998</v>
      </c>
      <c r="K16" s="13"/>
      <c r="L16" s="13"/>
      <c r="M16" s="13">
        <f t="shared" si="9"/>
        <v>0</v>
      </c>
      <c r="N16" s="13"/>
      <c r="O16" s="13">
        <f t="shared" si="1"/>
        <v>8950.3649999999998</v>
      </c>
      <c r="P16" s="13">
        <f t="shared" si="2"/>
        <v>0</v>
      </c>
      <c r="Q16" s="15">
        <f t="shared" si="3"/>
        <v>8950.3649999999998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Payment_28-03 Aug.xlsx</v>
      </c>
      <c r="U16" s="19"/>
      <c r="V16" s="36">
        <f t="shared" si="4"/>
        <v>156.63138750000002</v>
      </c>
      <c r="W16" s="20">
        <f t="shared" si="5"/>
        <v>22.375912499999998</v>
      </c>
      <c r="X16" s="59">
        <f t="shared" si="6"/>
        <v>134.25547500000002</v>
      </c>
      <c r="Y16" s="21">
        <v>0</v>
      </c>
      <c r="Z16" s="48">
        <f t="shared" si="7"/>
        <v>134.25547500000002</v>
      </c>
      <c r="AB16" s="22" t="str">
        <f>VLOOKUP(C16,DSC_Master!$C$1:$K$201,9,0)</f>
        <v>VIJAY NARAYAN SINGH</v>
      </c>
      <c r="AC16" s="22" t="str">
        <f>VLOOKUP(C16,DSC_Master!$C$1:$J$202,8,0)</f>
        <v>2374000100170476</v>
      </c>
      <c r="AD16" s="22" t="str">
        <f>VLOOKUP(C16,DSC_Master!$C$1:$J$202,7,0)</f>
        <v>PUNB0237400</v>
      </c>
      <c r="AE16" s="159"/>
      <c r="AF16" s="3">
        <v>8950.67</v>
      </c>
      <c r="AG16" s="5">
        <f t="shared" si="8"/>
        <v>-0.30500000000029104</v>
      </c>
      <c r="AK16" s="250">
        <f>IFERROR(VLOOKUP(D16,'Milk Can'!D:U,18,0),0)</f>
        <v>0</v>
      </c>
    </row>
    <row r="17" spans="1:37" x14ac:dyDescent="0.25">
      <c r="A17" s="8">
        <v>1062</v>
      </c>
      <c r="B17" s="38" t="s">
        <v>319</v>
      </c>
      <c r="C17" s="9">
        <v>10620023</v>
      </c>
      <c r="D17" s="8">
        <f>VLOOKUP(C17,DSC_Master!$C$1:D116,2,0)</f>
        <v>60606</v>
      </c>
      <c r="E17" s="10" t="str">
        <f>VLOOKUP(C17,DSC_Master!$C$1:$K$201,4,0)</f>
        <v>SISODA DSK</v>
      </c>
      <c r="F17" s="11" t="s">
        <v>303</v>
      </c>
      <c r="G17" s="11" t="s">
        <v>394</v>
      </c>
      <c r="H17" s="24">
        <v>101</v>
      </c>
      <c r="I17" s="24">
        <v>5382.9890813000002</v>
      </c>
      <c r="J17" s="14">
        <f t="shared" si="0"/>
        <v>5382.9890813000002</v>
      </c>
      <c r="K17" s="13"/>
      <c r="L17" s="13"/>
      <c r="M17" s="13">
        <f t="shared" si="9"/>
        <v>0</v>
      </c>
      <c r="N17" s="13"/>
      <c r="O17" s="13">
        <f t="shared" si="1"/>
        <v>5382.9890813000002</v>
      </c>
      <c r="P17" s="13">
        <f t="shared" si="2"/>
        <v>0</v>
      </c>
      <c r="Q17" s="15">
        <f t="shared" si="3"/>
        <v>5382.9890813000002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Payment_28-03 Aug.xlsx</v>
      </c>
      <c r="U17" s="19"/>
      <c r="V17" s="36">
        <f t="shared" si="4"/>
        <v>94.202308922750007</v>
      </c>
      <c r="W17" s="20">
        <f t="shared" si="5"/>
        <v>13.457472703250001</v>
      </c>
      <c r="X17" s="59">
        <f t="shared" si="6"/>
        <v>80.744836219500002</v>
      </c>
      <c r="Y17" s="21">
        <v>0</v>
      </c>
      <c r="Z17" s="48">
        <f t="shared" si="7"/>
        <v>80.744836219500002</v>
      </c>
      <c r="AA17" s="23"/>
      <c r="AB17" s="22" t="str">
        <f>VLOOKUP(C17,DSC_Master!$C$1:$K$201,9,0)</f>
        <v>ARVIND SINGH</v>
      </c>
      <c r="AC17" s="22" t="str">
        <f>VLOOKUP(C17,DSC_Master!$C$1:$J$202,8,0)</f>
        <v>461110510000144</v>
      </c>
      <c r="AD17" s="22" t="str">
        <f>VLOOKUP(C17,DSC_Master!$C$1:$J$202,7,0)</f>
        <v>BKID0004611</v>
      </c>
      <c r="AE17" s="159"/>
      <c r="AF17" s="3">
        <v>5383.03</v>
      </c>
      <c r="AG17" s="5">
        <f t="shared" si="8"/>
        <v>-4.0918699999565433E-2</v>
      </c>
      <c r="AK17" s="250">
        <f>IFERROR(VLOOKUP(D17,'Milk Can'!D:U,18,0),0)</f>
        <v>0</v>
      </c>
    </row>
    <row r="18" spans="1:37" x14ac:dyDescent="0.25">
      <c r="A18" s="8">
        <v>1062</v>
      </c>
      <c r="B18" s="38" t="s">
        <v>319</v>
      </c>
      <c r="C18" s="9">
        <v>10620024</v>
      </c>
      <c r="D18" s="8">
        <f>VLOOKUP(C18,DSC_Master!$C$1:D117,2,0)</f>
        <v>60610</v>
      </c>
      <c r="E18" s="10" t="str">
        <f>VLOOKUP(C18,DSC_Master!$C$1:$K$201,4,0)</f>
        <v>KARIRAM DSK</v>
      </c>
      <c r="F18" s="11" t="s">
        <v>303</v>
      </c>
      <c r="G18" s="11" t="s">
        <v>394</v>
      </c>
      <c r="H18" s="24">
        <v>155</v>
      </c>
      <c r="I18" s="24">
        <v>5918.9336952000012</v>
      </c>
      <c r="J18" s="14">
        <f t="shared" si="0"/>
        <v>5918.9336952000012</v>
      </c>
      <c r="K18" s="13"/>
      <c r="L18" s="13"/>
      <c r="M18" s="13">
        <f t="shared" si="9"/>
        <v>0</v>
      </c>
      <c r="N18" s="13"/>
      <c r="O18" s="13">
        <f t="shared" si="1"/>
        <v>5918.9336952000012</v>
      </c>
      <c r="P18" s="13">
        <f t="shared" si="2"/>
        <v>0</v>
      </c>
      <c r="Q18" s="15">
        <f t="shared" si="3"/>
        <v>5918.9336952000012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Payment_28-03 Aug.xlsx</v>
      </c>
      <c r="U18" s="19"/>
      <c r="V18" s="36">
        <f t="shared" si="4"/>
        <v>103.58133966600003</v>
      </c>
      <c r="W18" s="20">
        <f t="shared" si="5"/>
        <v>14.797334238000003</v>
      </c>
      <c r="X18" s="59">
        <f t="shared" si="6"/>
        <v>88.784005428000029</v>
      </c>
      <c r="Y18" s="21">
        <v>0</v>
      </c>
      <c r="Z18" s="48">
        <f t="shared" si="7"/>
        <v>88.784005428000029</v>
      </c>
      <c r="AB18" s="22" t="str">
        <f>VLOOKUP(C18,DSC_Master!$C$1:$K$201,9,0)</f>
        <v>BHARAT SINGH</v>
      </c>
      <c r="AC18" s="22" t="str">
        <f>VLOOKUP(C18,DSC_Master!$C$1:$J$202,8,0)</f>
        <v>6008001700141624</v>
      </c>
      <c r="AD18" s="22" t="str">
        <f>VLOOKUP(C18,DSC_Master!$C$1:$J$202,7,0)</f>
        <v>PUNB0600800</v>
      </c>
      <c r="AE18" s="159"/>
      <c r="AF18" s="3">
        <v>5918.86</v>
      </c>
      <c r="AG18" s="5">
        <f t="shared" si="8"/>
        <v>7.3695200001566263E-2</v>
      </c>
      <c r="AK18" s="250">
        <f>IFERROR(VLOOKUP(D18,'Milk Can'!D:U,18,0),0)</f>
        <v>0</v>
      </c>
    </row>
    <row r="19" spans="1:37" x14ac:dyDescent="0.25">
      <c r="A19" s="8">
        <v>1062</v>
      </c>
      <c r="B19" s="38" t="s">
        <v>319</v>
      </c>
      <c r="C19" s="9">
        <v>10620025</v>
      </c>
      <c r="D19" s="8">
        <f>VLOOKUP(C19,DSC_Master!$C$1:D118,2,0)</f>
        <v>60612</v>
      </c>
      <c r="E19" s="10" t="str">
        <f>VLOOKUP(C19,DSC_Master!$C$1:$K$201,4,0)</f>
        <v>DAVWARIYA DSK</v>
      </c>
      <c r="F19" s="11" t="s">
        <v>303</v>
      </c>
      <c r="G19" s="11" t="s">
        <v>394</v>
      </c>
      <c r="H19" s="24">
        <v>285</v>
      </c>
      <c r="I19" s="24">
        <v>13801.690026499999</v>
      </c>
      <c r="J19" s="14">
        <f t="shared" si="0"/>
        <v>13801.690026499999</v>
      </c>
      <c r="K19" s="13"/>
      <c r="L19" s="13"/>
      <c r="M19" s="13">
        <f t="shared" si="9"/>
        <v>0</v>
      </c>
      <c r="N19" s="13"/>
      <c r="O19" s="13">
        <f t="shared" si="1"/>
        <v>13801.690026499999</v>
      </c>
      <c r="P19" s="13">
        <f t="shared" si="2"/>
        <v>0</v>
      </c>
      <c r="Q19" s="15">
        <f t="shared" si="3"/>
        <v>13801.690026499999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Payment_28-03 Aug.xlsx</v>
      </c>
      <c r="U19" s="19"/>
      <c r="V19" s="36">
        <f t="shared" si="4"/>
        <v>241.52957546375001</v>
      </c>
      <c r="W19" s="20">
        <f t="shared" si="5"/>
        <v>34.504225066249994</v>
      </c>
      <c r="X19" s="59">
        <f t="shared" si="6"/>
        <v>207.02535039750001</v>
      </c>
      <c r="Y19" s="21">
        <v>0</v>
      </c>
      <c r="Z19" s="48">
        <f t="shared" si="7"/>
        <v>207.02535039750001</v>
      </c>
      <c r="AB19" s="22" t="str">
        <f>VLOOKUP(C19,DSC_Master!$C$1:$K$201,9,0)</f>
        <v>DINESH SINGH</v>
      </c>
      <c r="AC19" s="22" t="str">
        <f>VLOOKUP(C19,DSC_Master!$C$1:$J$202,8,0)</f>
        <v>6008000100136180</v>
      </c>
      <c r="AD19" s="22" t="str">
        <f>VLOOKUP(C19,DSC_Master!$C$1:$J$202,7,0)</f>
        <v>PUNB0600800</v>
      </c>
      <c r="AE19" s="159"/>
      <c r="AF19" s="3">
        <v>13802.4</v>
      </c>
      <c r="AG19" s="5">
        <f t="shared" si="8"/>
        <v>-0.70997350000106962</v>
      </c>
      <c r="AK19" s="250">
        <f>IFERROR(VLOOKUP(D19,'Milk Can'!D:U,18,0),0)</f>
        <v>0</v>
      </c>
    </row>
    <row r="20" spans="1:37" x14ac:dyDescent="0.25">
      <c r="A20" s="8">
        <v>1062</v>
      </c>
      <c r="B20" s="38" t="s">
        <v>319</v>
      </c>
      <c r="C20" s="9">
        <v>10620026</v>
      </c>
      <c r="D20" s="8">
        <f>VLOOKUP(C20,DSC_Master!$C$1:D119,2,0)</f>
        <v>64528</v>
      </c>
      <c r="E20" s="10" t="str">
        <f>VLOOKUP(C20,DSC_Master!$C$1:$K$201,4,0)</f>
        <v>TARITHA DSK</v>
      </c>
      <c r="F20" s="11" t="s">
        <v>303</v>
      </c>
      <c r="G20" s="11" t="s">
        <v>394</v>
      </c>
      <c r="H20" s="24">
        <v>449</v>
      </c>
      <c r="I20" s="24">
        <v>22837.641872500004</v>
      </c>
      <c r="J20" s="14">
        <f t="shared" si="0"/>
        <v>22837.641872500004</v>
      </c>
      <c r="K20" s="13"/>
      <c r="L20" s="13"/>
      <c r="M20" s="13">
        <f t="shared" si="9"/>
        <v>456.75283745000007</v>
      </c>
      <c r="N20" s="13"/>
      <c r="O20" s="13">
        <f t="shared" si="1"/>
        <v>22380.889035050004</v>
      </c>
      <c r="P20" s="13">
        <f t="shared" si="2"/>
        <v>0</v>
      </c>
      <c r="Q20" s="15">
        <f t="shared" si="3"/>
        <v>22380.889035050004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Payment_28-03 Aug.xlsx</v>
      </c>
      <c r="U20" s="19"/>
      <c r="V20" s="36">
        <f t="shared" si="4"/>
        <v>399.6587327687501</v>
      </c>
      <c r="W20" s="20">
        <f t="shared" si="5"/>
        <v>57.094104681250009</v>
      </c>
      <c r="X20" s="59">
        <f t="shared" si="6"/>
        <v>342.56462808750007</v>
      </c>
      <c r="Y20" s="21">
        <v>0</v>
      </c>
      <c r="Z20" s="48">
        <f t="shared" si="7"/>
        <v>342.56462808750007</v>
      </c>
      <c r="AB20" s="22" t="str">
        <f>VLOOKUP(C20,DSC_Master!$C$1:$K$201,9,0)</f>
        <v>MANOJ KUMAR SINGH</v>
      </c>
      <c r="AC20" s="22" t="str">
        <f>VLOOKUP(C20,DSC_Master!$C$1:$J$202,8,0)</f>
        <v>461118210002964</v>
      </c>
      <c r="AD20" s="22" t="str">
        <f>VLOOKUP(C20,DSC_Master!$C$1:$J$202,7,0)</f>
        <v>BKID0004611</v>
      </c>
      <c r="AE20" s="159"/>
      <c r="AF20" s="3">
        <v>22951.75</v>
      </c>
      <c r="AG20" s="5">
        <f t="shared" si="8"/>
        <v>-570.86096494999583</v>
      </c>
      <c r="AK20" s="250">
        <f>IFERROR(VLOOKUP(D20,'Milk Can'!D:U,18,0),0)</f>
        <v>2843.0427970999999</v>
      </c>
    </row>
    <row r="21" spans="1:37" x14ac:dyDescent="0.25">
      <c r="A21" s="8">
        <v>1062</v>
      </c>
      <c r="B21" s="38" t="s">
        <v>319</v>
      </c>
      <c r="C21" s="9">
        <v>10620028</v>
      </c>
      <c r="D21" s="8">
        <f>VLOOKUP(C21,DSC_Master!$C$1:D120,2,0)</f>
        <v>60611</v>
      </c>
      <c r="E21" s="10" t="str">
        <f>VLOOKUP(C21,DSC_Master!$C$1:$K$201,4,0)</f>
        <v>AKHOLI DSK</v>
      </c>
      <c r="F21" s="11" t="s">
        <v>303</v>
      </c>
      <c r="G21" s="11" t="s">
        <v>394</v>
      </c>
      <c r="H21" s="24">
        <v>72</v>
      </c>
      <c r="I21" s="24">
        <v>3124.9429977</v>
      </c>
      <c r="J21" s="14">
        <f t="shared" si="0"/>
        <v>3124.9429977</v>
      </c>
      <c r="K21" s="13"/>
      <c r="L21" s="13"/>
      <c r="M21" s="13">
        <f t="shared" si="9"/>
        <v>0</v>
      </c>
      <c r="N21" s="13"/>
      <c r="O21" s="13">
        <f t="shared" si="1"/>
        <v>3124.9429977</v>
      </c>
      <c r="P21" s="13">
        <f t="shared" si="2"/>
        <v>0</v>
      </c>
      <c r="Q21" s="15">
        <f t="shared" si="3"/>
        <v>3124.9429977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Payment_28-03 Aug.xlsx</v>
      </c>
      <c r="U21" s="19"/>
      <c r="V21" s="36">
        <f t="shared" si="4"/>
        <v>54.686502459750002</v>
      </c>
      <c r="W21" s="20">
        <f t="shared" si="5"/>
        <v>7.8123574942500005</v>
      </c>
      <c r="X21" s="59">
        <f t="shared" si="6"/>
        <v>46.874144965500001</v>
      </c>
      <c r="Y21" s="21">
        <v>0</v>
      </c>
      <c r="Z21" s="48">
        <f t="shared" si="7"/>
        <v>46.874144965500001</v>
      </c>
      <c r="AA21" s="23"/>
      <c r="AB21" s="22" t="str">
        <f>VLOOKUP(C21,DSC_Master!$C$1:$K$201,9,0)</f>
        <v>RAJU JAISWAL</v>
      </c>
      <c r="AC21" s="22" t="str">
        <f>VLOOKUP(C21,DSC_Master!$C$1:$J$202,8,0)</f>
        <v>6008000100017669</v>
      </c>
      <c r="AD21" s="22" t="str">
        <f>VLOOKUP(C21,DSC_Master!$C$1:$J$202,7,0)</f>
        <v>PUNB0600800</v>
      </c>
      <c r="AE21" s="159"/>
      <c r="AF21" s="3">
        <v>3125</v>
      </c>
      <c r="AG21" s="5">
        <f t="shared" si="8"/>
        <v>-5.7002300000021933E-2</v>
      </c>
      <c r="AK21" s="250">
        <f>IFERROR(VLOOKUP(D21,'Milk Can'!D:U,18,0),0)</f>
        <v>0</v>
      </c>
    </row>
    <row r="22" spans="1:37" x14ac:dyDescent="0.25">
      <c r="A22" s="8">
        <v>1062</v>
      </c>
      <c r="B22" s="38" t="s">
        <v>319</v>
      </c>
      <c r="C22" s="9">
        <v>10620029</v>
      </c>
      <c r="D22" s="8">
        <f>VLOOKUP(C22,DSC_Master!$C$1:D121,2,0)</f>
        <v>64547</v>
      </c>
      <c r="E22" s="10" t="str">
        <f>VLOOKUP(C22,DSC_Master!$C$1:$K$201,4,0)</f>
        <v>TIWAY DSK</v>
      </c>
      <c r="F22" s="11" t="s">
        <v>303</v>
      </c>
      <c r="G22" s="11" t="s">
        <v>394</v>
      </c>
      <c r="H22" s="24">
        <v>1783</v>
      </c>
      <c r="I22" s="24">
        <v>88551.628552999973</v>
      </c>
      <c r="J22" s="14">
        <f t="shared" si="0"/>
        <v>88551.628552999973</v>
      </c>
      <c r="K22" s="13"/>
      <c r="L22" s="13"/>
      <c r="M22" s="13">
        <f t="shared" si="9"/>
        <v>1771.0325710599996</v>
      </c>
      <c r="N22" s="13"/>
      <c r="O22" s="13">
        <f t="shared" si="1"/>
        <v>86780.595981939972</v>
      </c>
      <c r="P22" s="13">
        <f t="shared" si="2"/>
        <v>0</v>
      </c>
      <c r="Q22" s="15">
        <f t="shared" si="3"/>
        <v>86780.595981939972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Payment_28-03 Aug.xlsx</v>
      </c>
      <c r="U22" s="19"/>
      <c r="V22" s="36">
        <f t="shared" si="4"/>
        <v>1549.6534996774997</v>
      </c>
      <c r="W22" s="20">
        <f t="shared" si="5"/>
        <v>221.37907138249994</v>
      </c>
      <c r="X22" s="59">
        <f t="shared" si="6"/>
        <v>1328.2744282949998</v>
      </c>
      <c r="Y22" s="21">
        <v>0</v>
      </c>
      <c r="Z22" s="48">
        <f t="shared" si="7"/>
        <v>1328.2744282949998</v>
      </c>
      <c r="AB22" s="22" t="str">
        <f>VLOOKUP(C22,DSC_Master!$C$1:$K$201,9,0)</f>
        <v>RAKESH GUPTA</v>
      </c>
      <c r="AC22" s="22" t="str">
        <f>VLOOKUP(C22,DSC_Master!$C$1:$J$202,8,0)</f>
        <v>6008001700240518</v>
      </c>
      <c r="AD22" s="22" t="str">
        <f>VLOOKUP(C22,DSC_Master!$C$1:$J$202,7,0)</f>
        <v>PUNB0600800</v>
      </c>
      <c r="AE22" s="159"/>
      <c r="AF22" s="3">
        <v>88553.53</v>
      </c>
      <c r="AG22" s="5">
        <f t="shared" si="8"/>
        <v>-1772.9340180600266</v>
      </c>
      <c r="AK22" s="250">
        <f>IFERROR(VLOOKUP(D22,'Milk Can'!D:U,18,0),0)</f>
        <v>5764.95643569</v>
      </c>
    </row>
    <row r="23" spans="1:37" x14ac:dyDescent="0.25">
      <c r="A23" s="8">
        <v>1062</v>
      </c>
      <c r="B23" s="38" t="s">
        <v>319</v>
      </c>
      <c r="C23" s="9">
        <v>10620030</v>
      </c>
      <c r="D23" s="8">
        <f>VLOOKUP(C23,DSC_Master!$C$1:D122,2,0)</f>
        <v>64514</v>
      </c>
      <c r="E23" s="10" t="str">
        <f>VLOOKUP(C23,DSC_Master!$C$1:$K$201,4,0)</f>
        <v>PAJRAWN DSK</v>
      </c>
      <c r="F23" s="11" t="s">
        <v>303</v>
      </c>
      <c r="G23" s="11" t="s">
        <v>394</v>
      </c>
      <c r="H23" s="24">
        <v>964</v>
      </c>
      <c r="I23" s="24">
        <v>47615.491623900016</v>
      </c>
      <c r="J23" s="14">
        <f t="shared" si="0"/>
        <v>47615.491623900016</v>
      </c>
      <c r="K23" s="13"/>
      <c r="L23" s="13"/>
      <c r="M23" s="13">
        <f t="shared" si="9"/>
        <v>952.30983247800032</v>
      </c>
      <c r="N23" s="13"/>
      <c r="O23" s="13">
        <f t="shared" si="1"/>
        <v>46663.181791422016</v>
      </c>
      <c r="P23" s="13">
        <f t="shared" si="2"/>
        <v>0</v>
      </c>
      <c r="Q23" s="15">
        <f t="shared" si="3"/>
        <v>46663.181791422016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Payment_28-03 Aug.xlsx</v>
      </c>
      <c r="U23" s="19"/>
      <c r="V23" s="36">
        <f t="shared" si="4"/>
        <v>833.27110341825039</v>
      </c>
      <c r="W23" s="20">
        <f t="shared" si="5"/>
        <v>119.03872905975004</v>
      </c>
      <c r="X23" s="59">
        <f t="shared" si="6"/>
        <v>714.23237435850035</v>
      </c>
      <c r="Y23" s="21">
        <v>0</v>
      </c>
      <c r="Z23" s="48">
        <f t="shared" si="7"/>
        <v>714.23237435850035</v>
      </c>
      <c r="AB23" s="22" t="str">
        <f>VLOOKUP(C23,DSC_Master!$C$1:$K$201,9,0)</f>
        <v>RAKESH KUMAR YADAV</v>
      </c>
      <c r="AC23" s="22" t="str">
        <f>VLOOKUP(C23,DSC_Master!$C$1:$J$202,8,0)</f>
        <v>6008001700156088</v>
      </c>
      <c r="AD23" s="22" t="str">
        <f>VLOOKUP(C23,DSC_Master!$C$1:$J$202,7,0)</f>
        <v>PUNB0600800</v>
      </c>
      <c r="AE23" s="159"/>
      <c r="AF23" s="3">
        <v>47617.13</v>
      </c>
      <c r="AG23" s="5">
        <f t="shared" si="8"/>
        <v>-953.94820857798186</v>
      </c>
      <c r="AK23" s="250">
        <f>IFERROR(VLOOKUP(D23,'Milk Can'!D:U,18,0),0)</f>
        <v>3000</v>
      </c>
    </row>
    <row r="24" spans="1:37" x14ac:dyDescent="0.25">
      <c r="A24" s="8">
        <v>1062</v>
      </c>
      <c r="B24" s="38" t="s">
        <v>319</v>
      </c>
      <c r="C24" s="9">
        <v>10620031</v>
      </c>
      <c r="D24" s="8">
        <f>VLOOKUP(C24,DSC_Master!$C$1:D123,2,0)</f>
        <v>64553</v>
      </c>
      <c r="E24" s="10" t="str">
        <f>VLOOKUP(C24,DSC_Master!$C$1:$K$201,4,0)</f>
        <v>GAJDHARA DSK</v>
      </c>
      <c r="F24" s="11" t="s">
        <v>303</v>
      </c>
      <c r="G24" s="11" t="s">
        <v>394</v>
      </c>
      <c r="H24" s="24">
        <v>88</v>
      </c>
      <c r="I24" s="24">
        <v>4043.5793636000008</v>
      </c>
      <c r="J24" s="14">
        <f t="shared" si="0"/>
        <v>4043.5793636000008</v>
      </c>
      <c r="K24" s="13"/>
      <c r="L24" s="13"/>
      <c r="M24" s="13">
        <f t="shared" si="9"/>
        <v>300</v>
      </c>
      <c r="N24" s="13"/>
      <c r="O24" s="13">
        <f t="shared" si="1"/>
        <v>3743.5793636000008</v>
      </c>
      <c r="P24" s="13">
        <f t="shared" si="2"/>
        <v>0</v>
      </c>
      <c r="Q24" s="15">
        <f t="shared" si="3"/>
        <v>3743.5793636000008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Payment_28-03 Aug.xlsx</v>
      </c>
      <c r="U24" s="19"/>
      <c r="V24" s="36">
        <f t="shared" si="4"/>
        <v>70.762638863000021</v>
      </c>
      <c r="W24" s="20">
        <f t="shared" si="5"/>
        <v>10.108948409000002</v>
      </c>
      <c r="X24" s="59">
        <f t="shared" si="6"/>
        <v>60.653690454000021</v>
      </c>
      <c r="Y24" s="21">
        <v>0</v>
      </c>
      <c r="Z24" s="48">
        <f t="shared" si="7"/>
        <v>60.653690454000021</v>
      </c>
      <c r="AB24" s="22" t="str">
        <f>VLOOKUP(C24,DSC_Master!$C$1:$K$201,9,0)</f>
        <v>RAM MOHAN SINGH</v>
      </c>
      <c r="AC24" s="22" t="str">
        <f>VLOOKUP(C24,DSC_Master!$C$1:$J$202,8,0)</f>
        <v>3005000100091168</v>
      </c>
      <c r="AD24" s="22" t="str">
        <f>VLOOKUP(C24,DSC_Master!$C$1:$J$202,7,0)</f>
        <v>PUNB0300500</v>
      </c>
      <c r="AE24" s="159"/>
      <c r="AF24" s="3">
        <v>4043.54</v>
      </c>
      <c r="AG24" s="5">
        <f t="shared" si="8"/>
        <v>-299.9606363999992</v>
      </c>
      <c r="AK24" s="250">
        <f>IFERROR(VLOOKUP(D24,'Milk Can'!D:U,18,0),0)</f>
        <v>12900</v>
      </c>
    </row>
    <row r="25" spans="1:37" x14ac:dyDescent="0.25">
      <c r="A25" s="8">
        <v>1062</v>
      </c>
      <c r="B25" s="38" t="s">
        <v>319</v>
      </c>
      <c r="C25" s="9">
        <v>10620032</v>
      </c>
      <c r="D25" s="8">
        <f>VLOOKUP(C25,DSC_Master!$C$1:D124,2,0)</f>
        <v>64594</v>
      </c>
      <c r="E25" s="10" t="str">
        <f>VLOOKUP(C25,DSC_Master!$C$1:$K$201,4,0)</f>
        <v>AKHOLI DSK</v>
      </c>
      <c r="F25" s="11" t="s">
        <v>303</v>
      </c>
      <c r="G25" s="11" t="s">
        <v>394</v>
      </c>
      <c r="H25" s="24">
        <v>468</v>
      </c>
      <c r="I25" s="24">
        <v>20671.620085600003</v>
      </c>
      <c r="J25" s="14">
        <f t="shared" si="0"/>
        <v>20671.620085600003</v>
      </c>
      <c r="K25" s="13"/>
      <c r="L25" s="13"/>
      <c r="M25" s="13">
        <f t="shared" si="9"/>
        <v>413.43240171200006</v>
      </c>
      <c r="N25" s="13"/>
      <c r="O25" s="13">
        <f t="shared" si="1"/>
        <v>20258.187683888002</v>
      </c>
      <c r="P25" s="13">
        <f t="shared" si="2"/>
        <v>0</v>
      </c>
      <c r="Q25" s="15">
        <f t="shared" si="3"/>
        <v>20258.187683888002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Payment_28-03 Aug.xlsx</v>
      </c>
      <c r="U25" s="19"/>
      <c r="V25" s="36">
        <f t="shared" si="4"/>
        <v>361.75335149800009</v>
      </c>
      <c r="W25" s="20">
        <f t="shared" si="5"/>
        <v>51.679050214000007</v>
      </c>
      <c r="X25" s="59">
        <f t="shared" si="6"/>
        <v>310.07430128400006</v>
      </c>
      <c r="Y25" s="21">
        <v>0</v>
      </c>
      <c r="Z25" s="48">
        <f t="shared" si="7"/>
        <v>310.07430128400006</v>
      </c>
      <c r="AB25" s="22" t="str">
        <f>VLOOKUP(C25,DSC_Master!$C$1:$K$201,9,0)</f>
        <v>RAMESH KUMAR YADAV</v>
      </c>
      <c r="AC25" s="22" t="str">
        <f>VLOOKUP(C25,DSC_Master!$C$1:$J$202,8,0)</f>
        <v>6008001700173623</v>
      </c>
      <c r="AD25" s="22" t="str">
        <f>VLOOKUP(C25,DSC_Master!$C$1:$J$202,7,0)</f>
        <v>PUNB0600800</v>
      </c>
      <c r="AE25" s="159"/>
      <c r="AF25" s="3">
        <v>20671.98</v>
      </c>
      <c r="AG25" s="5">
        <f t="shared" si="8"/>
        <v>-413.79231611199793</v>
      </c>
      <c r="AK25" s="250">
        <f>IFERROR(VLOOKUP(D25,'Milk Can'!D:U,18,0),0)</f>
        <v>3300</v>
      </c>
    </row>
    <row r="26" spans="1:37" x14ac:dyDescent="0.25">
      <c r="A26" s="8">
        <v>1062</v>
      </c>
      <c r="B26" s="38" t="s">
        <v>319</v>
      </c>
      <c r="C26" s="9">
        <v>10620034</v>
      </c>
      <c r="D26" s="8">
        <f>VLOOKUP(C26,DSC_Master!$C$1:D125,2,0)</f>
        <v>64509</v>
      </c>
      <c r="E26" s="10" t="str">
        <f>VLOOKUP(C26,DSC_Master!$C$1:$K$201,4,0)</f>
        <v>CHHOTKI KULHARIYA</v>
      </c>
      <c r="F26" s="11" t="s">
        <v>303</v>
      </c>
      <c r="G26" s="11" t="s">
        <v>394</v>
      </c>
      <c r="H26" s="24">
        <v>422</v>
      </c>
      <c r="I26" s="24">
        <v>15867.0633566</v>
      </c>
      <c r="J26" s="14">
        <f t="shared" si="0"/>
        <v>15867.0633566</v>
      </c>
      <c r="K26" s="13"/>
      <c r="L26" s="13"/>
      <c r="M26" s="13">
        <f t="shared" si="9"/>
        <v>317.34126713199998</v>
      </c>
      <c r="N26" s="13"/>
      <c r="O26" s="13">
        <f t="shared" si="1"/>
        <v>15549.722089467999</v>
      </c>
      <c r="P26" s="13">
        <f t="shared" si="2"/>
        <v>0</v>
      </c>
      <c r="Q26" s="15">
        <f t="shared" si="3"/>
        <v>15549.722089467999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Payment_28-03 Aug.xlsx</v>
      </c>
      <c r="U26" s="19"/>
      <c r="V26" s="36">
        <f t="shared" si="4"/>
        <v>277.67360874050001</v>
      </c>
      <c r="W26" s="20">
        <f t="shared" si="5"/>
        <v>39.667658391499998</v>
      </c>
      <c r="X26" s="59">
        <f t="shared" si="6"/>
        <v>238.00595034900002</v>
      </c>
      <c r="Y26" s="21">
        <v>0</v>
      </c>
      <c r="Z26" s="48">
        <f t="shared" si="7"/>
        <v>238.00595034900002</v>
      </c>
      <c r="AA26" s="23"/>
      <c r="AB26" s="22" t="str">
        <f>VLOOKUP(C26,DSC_Master!$C$1:$K$201,9,0)</f>
        <v>ABHIMANYU KUMAR SINGH</v>
      </c>
      <c r="AC26" s="22" t="str">
        <f>VLOOKUP(C26,DSC_Master!$C$1:$J$202,8,0)</f>
        <v>50100492904593</v>
      </c>
      <c r="AD26" s="22" t="str">
        <f>VLOOKUP(C26,DSC_Master!$C$1:$J$202,7,0)</f>
        <v>HDFC0002625</v>
      </c>
      <c r="AE26" s="159"/>
      <c r="AF26" s="3">
        <v>15876.74</v>
      </c>
      <c r="AG26" s="5">
        <f t="shared" si="8"/>
        <v>-327.01791053200031</v>
      </c>
      <c r="AK26" s="250">
        <f>IFERROR(VLOOKUP(D26,'Milk Can'!D:U,18,0),0)</f>
        <v>12871.476357797999</v>
      </c>
    </row>
    <row r="27" spans="1:37" x14ac:dyDescent="0.25">
      <c r="A27" s="8">
        <v>1062</v>
      </c>
      <c r="B27" s="38" t="s">
        <v>319</v>
      </c>
      <c r="C27" s="9">
        <v>10620037</v>
      </c>
      <c r="D27" s="8">
        <f>VLOOKUP(C27,DSC_Master!$C$1:D126,2,0)</f>
        <v>64506</v>
      </c>
      <c r="E27" s="10" t="str">
        <f>VLOOKUP(C27,DSC_Master!$C$1:$K$201,4,0)</f>
        <v>KRESOPUR DSK</v>
      </c>
      <c r="F27" s="11" t="s">
        <v>303</v>
      </c>
      <c r="G27" s="11" t="s">
        <v>394</v>
      </c>
      <c r="H27" s="24">
        <v>826</v>
      </c>
      <c r="I27" s="24">
        <v>37586.910875400004</v>
      </c>
      <c r="J27" s="14">
        <f t="shared" si="0"/>
        <v>37586.910875400004</v>
      </c>
      <c r="K27" s="13"/>
      <c r="L27" s="13"/>
      <c r="M27" s="13">
        <f t="shared" si="9"/>
        <v>0</v>
      </c>
      <c r="N27" s="13"/>
      <c r="O27" s="13">
        <f t="shared" si="1"/>
        <v>37586.910875400004</v>
      </c>
      <c r="P27" s="13">
        <f t="shared" si="2"/>
        <v>0</v>
      </c>
      <c r="Q27" s="15">
        <f t="shared" si="3"/>
        <v>37586.910875400004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Payment_28-03 Aug.xlsx</v>
      </c>
      <c r="U27" s="19"/>
      <c r="V27" s="36">
        <f t="shared" si="4"/>
        <v>657.77094031950014</v>
      </c>
      <c r="W27" s="20">
        <f t="shared" si="5"/>
        <v>93.967277188500006</v>
      </c>
      <c r="X27" s="59">
        <f t="shared" si="6"/>
        <v>563.80366313100012</v>
      </c>
      <c r="Y27" s="21">
        <v>0</v>
      </c>
      <c r="Z27" s="48">
        <f t="shared" si="7"/>
        <v>563.80366313100012</v>
      </c>
      <c r="AB27" s="22" t="str">
        <f>VLOOKUP(C27,DSC_Master!$C$1:$K$201,9,0)</f>
        <v>BRIJESH KUMAR</v>
      </c>
      <c r="AC27" s="22" t="str">
        <f>VLOOKUP(C27,DSC_Master!$C$1:$J$202,8,0)</f>
        <v>50100615862711</v>
      </c>
      <c r="AD27" s="22" t="str">
        <f>VLOOKUP(C27,DSC_Master!$C$1:$J$202,7,0)</f>
        <v>HDFC0002625</v>
      </c>
      <c r="AE27" s="159"/>
      <c r="AF27" s="3">
        <v>37592.28</v>
      </c>
      <c r="AG27" s="5">
        <f t="shared" si="8"/>
        <v>-5.3691245999943931</v>
      </c>
      <c r="AK27" s="250">
        <f>IFERROR(VLOOKUP(D27,'Milk Can'!D:U,18,0),0)</f>
        <v>0</v>
      </c>
    </row>
    <row r="28" spans="1:37" x14ac:dyDescent="0.25">
      <c r="A28" s="8">
        <v>1062</v>
      </c>
      <c r="B28" s="38" t="s">
        <v>319</v>
      </c>
      <c r="C28" s="9">
        <v>10620038</v>
      </c>
      <c r="D28" s="8">
        <f>VLOOKUP(C28,DSC_Master!$C$1:D127,2,0)</f>
        <v>64534</v>
      </c>
      <c r="E28" s="10" t="str">
        <f>VLOOKUP(C28,DSC_Master!$C$1:$K$201,4,0)</f>
        <v>MIRCHA DSK</v>
      </c>
      <c r="F28" s="11" t="s">
        <v>303</v>
      </c>
      <c r="G28" s="11" t="s">
        <v>394</v>
      </c>
      <c r="H28" s="24">
        <v>320</v>
      </c>
      <c r="I28" s="24">
        <v>15062.438939399999</v>
      </c>
      <c r="J28" s="14">
        <f t="shared" si="0"/>
        <v>15062.438939399999</v>
      </c>
      <c r="K28" s="13"/>
      <c r="L28" s="13"/>
      <c r="M28" s="13">
        <f t="shared" si="9"/>
        <v>0</v>
      </c>
      <c r="N28" s="13"/>
      <c r="O28" s="13">
        <f t="shared" si="1"/>
        <v>15062.438939399999</v>
      </c>
      <c r="P28" s="13">
        <f t="shared" si="2"/>
        <v>0</v>
      </c>
      <c r="Q28" s="15">
        <f t="shared" si="3"/>
        <v>15062.438939399999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Payment_28-03 Aug.xlsx</v>
      </c>
      <c r="U28" s="19"/>
      <c r="V28" s="36">
        <f t="shared" si="4"/>
        <v>263.59268143949998</v>
      </c>
      <c r="W28" s="20">
        <f t="shared" si="5"/>
        <v>37.656097348499998</v>
      </c>
      <c r="X28" s="59">
        <f t="shared" si="6"/>
        <v>225.93658409099999</v>
      </c>
      <c r="Y28" s="21">
        <v>0</v>
      </c>
      <c r="Z28" s="48">
        <f t="shared" si="7"/>
        <v>225.93658409099999</v>
      </c>
      <c r="AB28" s="22" t="str">
        <f>VLOOKUP(C28,DSC_Master!$C$1:$K$201,9,0)</f>
        <v>CHANDAN YADAV</v>
      </c>
      <c r="AC28" s="22" t="str">
        <f>VLOOKUP(C28,DSC_Master!$C$1:$J$202,8,0)</f>
        <v>40043294718</v>
      </c>
      <c r="AD28" s="22" t="str">
        <f>VLOOKUP(C28,DSC_Master!$C$1:$J$202,7,0)</f>
        <v>SBIN0006137</v>
      </c>
      <c r="AE28" s="159"/>
      <c r="AF28" s="3">
        <v>15062.98</v>
      </c>
      <c r="AG28" s="5">
        <f t="shared" si="8"/>
        <v>-0.54106060000049183</v>
      </c>
      <c r="AK28" s="250">
        <f>IFERROR(VLOOKUP(D28,'Milk Can'!D:U,18,0),0)</f>
        <v>0</v>
      </c>
    </row>
    <row r="29" spans="1:37" x14ac:dyDescent="0.25">
      <c r="A29" s="8">
        <v>1062</v>
      </c>
      <c r="B29" s="38" t="s">
        <v>319</v>
      </c>
      <c r="C29" s="9">
        <v>10620042</v>
      </c>
      <c r="D29" s="8">
        <f>VLOOKUP(C29,DSC_Master!$C$1:D128,2,0)</f>
        <v>64559</v>
      </c>
      <c r="E29" s="10" t="str">
        <f>VLOOKUP(C29,DSC_Master!$C$1:$K$201,4,0)</f>
        <v>MUJAN DSK</v>
      </c>
      <c r="F29" s="11" t="s">
        <v>303</v>
      </c>
      <c r="G29" s="11" t="s">
        <v>394</v>
      </c>
      <c r="H29" s="24">
        <v>610</v>
      </c>
      <c r="I29" s="24">
        <v>30104.569148799997</v>
      </c>
      <c r="J29" s="14">
        <f t="shared" si="0"/>
        <v>30104.569148799997</v>
      </c>
      <c r="K29" s="13"/>
      <c r="L29" s="13"/>
      <c r="M29" s="13">
        <f t="shared" si="9"/>
        <v>602.09138297599998</v>
      </c>
      <c r="N29" s="13"/>
      <c r="O29" s="13">
        <f t="shared" si="1"/>
        <v>29502.477765823998</v>
      </c>
      <c r="P29" s="13">
        <f t="shared" si="2"/>
        <v>0</v>
      </c>
      <c r="Q29" s="15">
        <f t="shared" si="3"/>
        <v>29502.477765823998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Payment_28-03 Aug.xlsx</v>
      </c>
      <c r="U29" s="19"/>
      <c r="V29" s="36">
        <f t="shared" si="4"/>
        <v>526.82996010399995</v>
      </c>
      <c r="W29" s="20">
        <f t="shared" si="5"/>
        <v>75.261422871999997</v>
      </c>
      <c r="X29" s="59">
        <f t="shared" si="6"/>
        <v>451.56853723199993</v>
      </c>
      <c r="Y29" s="21">
        <v>0</v>
      </c>
      <c r="Z29" s="48">
        <f t="shared" si="7"/>
        <v>451.56853723199993</v>
      </c>
      <c r="AB29" s="22" t="str">
        <f>VLOOKUP(C29,DSC_Master!$C$1:$K$201,9,0)</f>
        <v>HARI KISHUN TIWARI</v>
      </c>
      <c r="AC29" s="22" t="str">
        <f>VLOOKUP(C29,DSC_Master!$C$1:$J$202,8,0)</f>
        <v>50100292592830</v>
      </c>
      <c r="AD29" s="22" t="str">
        <f>VLOOKUP(C29,DSC_Master!$C$1:$J$202,7,0)</f>
        <v>HDFC0002625</v>
      </c>
      <c r="AE29" s="159"/>
      <c r="AF29" s="3">
        <v>30105.13</v>
      </c>
      <c r="AG29" s="5">
        <f t="shared" si="8"/>
        <v>-602.65223417600282</v>
      </c>
      <c r="AK29" s="250">
        <f>IFERROR(VLOOKUP(D29,'Milk Can'!D:U,18,0),0)</f>
        <v>6173.6503667480001</v>
      </c>
    </row>
    <row r="30" spans="1:37" x14ac:dyDescent="0.25">
      <c r="A30" s="8">
        <v>1062</v>
      </c>
      <c r="B30" s="38" t="s">
        <v>319</v>
      </c>
      <c r="C30" s="9">
        <v>10620043</v>
      </c>
      <c r="D30" s="8">
        <f>VLOOKUP(C30,DSC_Master!$C$1:D129,2,0)</f>
        <v>64510</v>
      </c>
      <c r="E30" s="10" t="str">
        <f>VLOOKUP(C30,DSC_Master!$C$1:$K$201,4,0)</f>
        <v>BHIRKHIRA DSK</v>
      </c>
      <c r="F30" s="11" t="s">
        <v>303</v>
      </c>
      <c r="G30" s="11" t="s">
        <v>394</v>
      </c>
      <c r="H30" s="24">
        <v>515</v>
      </c>
      <c r="I30" s="24">
        <v>23148.802814500003</v>
      </c>
      <c r="J30" s="14">
        <f t="shared" si="0"/>
        <v>23148.802814500003</v>
      </c>
      <c r="K30" s="13"/>
      <c r="L30" s="13"/>
      <c r="M30" s="13">
        <f t="shared" si="9"/>
        <v>0</v>
      </c>
      <c r="N30" s="13"/>
      <c r="O30" s="13">
        <f t="shared" si="1"/>
        <v>23148.802814500003</v>
      </c>
      <c r="P30" s="13">
        <f t="shared" si="2"/>
        <v>0</v>
      </c>
      <c r="Q30" s="15">
        <f t="shared" si="3"/>
        <v>23148.802814500003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Payment_28-03 Aug.xlsx</v>
      </c>
      <c r="U30" s="19"/>
      <c r="V30" s="36">
        <f t="shared" si="4"/>
        <v>405.10404925375008</v>
      </c>
      <c r="W30" s="20">
        <f t="shared" si="5"/>
        <v>57.872007036250011</v>
      </c>
      <c r="X30" s="59">
        <f t="shared" si="6"/>
        <v>347.23204221750007</v>
      </c>
      <c r="Y30" s="21">
        <v>0</v>
      </c>
      <c r="Z30" s="48">
        <f t="shared" si="7"/>
        <v>347.23204221750007</v>
      </c>
      <c r="AB30" s="22" t="str">
        <f>VLOOKUP(C30,DSC_Master!$C$1:$K$201,9,0)</f>
        <v>MANOJ KUMAR SINGH</v>
      </c>
      <c r="AC30" s="22" t="str">
        <f>VLOOKUP(C30,DSC_Master!$C$1:$J$202,8,0)</f>
        <v>2784000100083409</v>
      </c>
      <c r="AD30" s="22" t="str">
        <f>VLOOKUP(C30,DSC_Master!$C$1:$J$202,7,0)</f>
        <v>PUNB0278400</v>
      </c>
      <c r="AE30" s="159"/>
      <c r="AF30" s="3">
        <v>23149.38</v>
      </c>
      <c r="AG30" s="5">
        <f t="shared" si="8"/>
        <v>-0.57718549999844981</v>
      </c>
      <c r="AK30" s="250">
        <f>IFERROR(VLOOKUP(D30,'Milk Can'!D:U,18,0),0)</f>
        <v>0</v>
      </c>
    </row>
    <row r="31" spans="1:37" x14ac:dyDescent="0.25">
      <c r="A31" s="8">
        <v>1062</v>
      </c>
      <c r="B31" s="38" t="s">
        <v>319</v>
      </c>
      <c r="C31" s="9">
        <v>10620044</v>
      </c>
      <c r="D31" s="8">
        <f>VLOOKUP(C31,DSC_Master!$C$1:D130,2,0)</f>
        <v>64513</v>
      </c>
      <c r="E31" s="10" t="str">
        <f>VLOOKUP(C31,DSC_Master!$C$1:$K$201,4,0)</f>
        <v>BHOKARI DSK</v>
      </c>
      <c r="F31" s="11" t="s">
        <v>303</v>
      </c>
      <c r="G31" s="11" t="s">
        <v>394</v>
      </c>
      <c r="H31" s="24">
        <v>471</v>
      </c>
      <c r="I31" s="24">
        <v>20432.556543399998</v>
      </c>
      <c r="J31" s="14">
        <f t="shared" si="0"/>
        <v>20432.556543399998</v>
      </c>
      <c r="K31" s="13"/>
      <c r="L31" s="13"/>
      <c r="M31" s="13">
        <f t="shared" si="9"/>
        <v>0</v>
      </c>
      <c r="N31" s="13"/>
      <c r="O31" s="13">
        <f t="shared" si="1"/>
        <v>20432.556543399998</v>
      </c>
      <c r="P31" s="13">
        <f t="shared" si="2"/>
        <v>0</v>
      </c>
      <c r="Q31" s="15">
        <f t="shared" si="3"/>
        <v>20432.556543399998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Payment_28-03 Aug.xlsx</v>
      </c>
      <c r="U31" s="19"/>
      <c r="V31" s="36">
        <f t="shared" si="4"/>
        <v>357.56973950949998</v>
      </c>
      <c r="W31" s="20">
        <f t="shared" si="5"/>
        <v>51.081391358499999</v>
      </c>
      <c r="X31" s="59">
        <f t="shared" si="6"/>
        <v>306.48834815099997</v>
      </c>
      <c r="Y31" s="21">
        <v>0</v>
      </c>
      <c r="Z31" s="48">
        <f t="shared" si="7"/>
        <v>306.48834815099997</v>
      </c>
      <c r="AB31" s="22" t="str">
        <f>VLOOKUP(C31,DSC_Master!$C$1:$K$201,9,0)</f>
        <v>NAGENDRA KUMAR YADAV</v>
      </c>
      <c r="AC31" s="22" t="str">
        <f>VLOOKUP(C31,DSC_Master!$C$1:$J$202,8,0)</f>
        <v>461910110002388</v>
      </c>
      <c r="AD31" s="22" t="str">
        <f>VLOOKUP(C31,DSC_Master!$C$1:$J$202,7,0)</f>
        <v>BKID0004619</v>
      </c>
      <c r="AE31" s="159"/>
      <c r="AF31" s="3">
        <v>20432.400000000001</v>
      </c>
      <c r="AG31" s="5">
        <f t="shared" si="8"/>
        <v>0.15654339999673539</v>
      </c>
      <c r="AK31" s="250">
        <f>IFERROR(VLOOKUP(D31,'Milk Can'!D:U,18,0),0)</f>
        <v>0</v>
      </c>
    </row>
    <row r="32" spans="1:37" x14ac:dyDescent="0.25">
      <c r="A32" s="8">
        <v>1062</v>
      </c>
      <c r="B32" s="38" t="s">
        <v>319</v>
      </c>
      <c r="C32" s="9">
        <v>10620048</v>
      </c>
      <c r="D32" s="8">
        <f>VLOOKUP(C32,DSC_Master!$C$1:D131,2,0)</f>
        <v>64560</v>
      </c>
      <c r="E32" s="10" t="str">
        <f>VLOOKUP(C32,DSC_Master!$C$1:$K$201,4,0)</f>
        <v>SAHDULLAPUR DSK</v>
      </c>
      <c r="F32" s="11" t="s">
        <v>303</v>
      </c>
      <c r="G32" s="11" t="s">
        <v>394</v>
      </c>
      <c r="H32" s="24">
        <v>130</v>
      </c>
      <c r="I32" s="24">
        <v>6359.2310115</v>
      </c>
      <c r="J32" s="14">
        <f t="shared" si="0"/>
        <v>6359.2310115</v>
      </c>
      <c r="K32" s="13"/>
      <c r="L32" s="13"/>
      <c r="M32" s="13">
        <f t="shared" si="9"/>
        <v>300</v>
      </c>
      <c r="N32" s="13"/>
      <c r="O32" s="13">
        <f t="shared" si="1"/>
        <v>6059.2310115</v>
      </c>
      <c r="P32" s="13">
        <f t="shared" si="2"/>
        <v>0</v>
      </c>
      <c r="Q32" s="15">
        <f t="shared" si="3"/>
        <v>6059.2310115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Payment_28-03 Aug.xlsx</v>
      </c>
      <c r="U32" s="19"/>
      <c r="V32" s="36">
        <f t="shared" si="4"/>
        <v>111.28654270125001</v>
      </c>
      <c r="W32" s="20">
        <f t="shared" si="5"/>
        <v>15.898077528750001</v>
      </c>
      <c r="X32" s="59">
        <f t="shared" si="6"/>
        <v>95.38846517250002</v>
      </c>
      <c r="Y32" s="21">
        <v>0</v>
      </c>
      <c r="Z32" s="48">
        <f t="shared" si="7"/>
        <v>95.38846517250002</v>
      </c>
      <c r="AB32" s="22" t="str">
        <f>VLOOKUP(C32,DSC_Master!$C$1:$K$201,9,0)</f>
        <v>UMESH BIND</v>
      </c>
      <c r="AC32" s="22" t="str">
        <f>VLOOKUP(C32,DSC_Master!$C$1:$J$202,8,0)</f>
        <v>00070100030318</v>
      </c>
      <c r="AD32" s="22" t="str">
        <f>VLOOKUP(C32,DSC_Master!$C$1:$J$202,7,0)</f>
        <v>BARB0MOHANI</v>
      </c>
      <c r="AE32" s="159"/>
      <c r="AF32" s="3">
        <v>6359.48</v>
      </c>
      <c r="AG32" s="5">
        <f t="shared" si="8"/>
        <v>-300.24898849999954</v>
      </c>
      <c r="AK32" s="250">
        <f>IFERROR(VLOOKUP(D32,'Milk Can'!D:U,18,0),0)</f>
        <v>6300</v>
      </c>
    </row>
    <row r="33" spans="1:37" x14ac:dyDescent="0.25">
      <c r="A33" s="8">
        <v>1062</v>
      </c>
      <c r="B33" s="38" t="s">
        <v>319</v>
      </c>
      <c r="C33" s="9">
        <v>10620049</v>
      </c>
      <c r="D33" s="8">
        <f>VLOOKUP(C33,DSC_Master!$C$1:D132,2,0)</f>
        <v>64517</v>
      </c>
      <c r="E33" s="10" t="str">
        <f>VLOOKUP(C33,DSC_Master!$C$1:$K$201,4,0)</f>
        <v>BHALUHI DSK</v>
      </c>
      <c r="F33" s="11" t="s">
        <v>303</v>
      </c>
      <c r="G33" s="11" t="s">
        <v>394</v>
      </c>
      <c r="H33" s="24">
        <v>646</v>
      </c>
      <c r="I33" s="24">
        <v>26880.242133499996</v>
      </c>
      <c r="J33" s="14">
        <f t="shared" si="0"/>
        <v>26880.242133499996</v>
      </c>
      <c r="K33" s="13"/>
      <c r="L33" s="13"/>
      <c r="M33" s="13">
        <f t="shared" si="9"/>
        <v>0</v>
      </c>
      <c r="N33" s="13"/>
      <c r="O33" s="13">
        <f t="shared" si="1"/>
        <v>26880.242133499996</v>
      </c>
      <c r="P33" s="13">
        <f t="shared" si="2"/>
        <v>0</v>
      </c>
      <c r="Q33" s="15">
        <f t="shared" si="3"/>
        <v>26880.242133499996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Payment_28-03 Aug.xlsx</v>
      </c>
      <c r="U33" s="19"/>
      <c r="V33" s="36">
        <f t="shared" si="4"/>
        <v>470.40423733624999</v>
      </c>
      <c r="W33" s="20">
        <f t="shared" si="5"/>
        <v>67.200605333749991</v>
      </c>
      <c r="X33" s="59">
        <f t="shared" si="6"/>
        <v>403.2036320025</v>
      </c>
      <c r="Y33" s="21">
        <v>0</v>
      </c>
      <c r="Z33" s="48">
        <f t="shared" si="7"/>
        <v>403.2036320025</v>
      </c>
      <c r="AB33" s="22" t="str">
        <f>VLOOKUP(C33,DSC_Master!$C$1:$K$201,9,0)</f>
        <v>VIJENDRA SINGH</v>
      </c>
      <c r="AC33" s="22" t="str">
        <f>VLOOKUP(C33,DSC_Master!$C$1:$J$202,8,0)</f>
        <v>603001010050830</v>
      </c>
      <c r="AD33" s="22" t="str">
        <f>VLOOKUP(C33,DSC_Master!$C$1:$J$202,7,0)</f>
        <v>UBIN0560308</v>
      </c>
      <c r="AE33" s="159"/>
      <c r="AF33" s="3">
        <v>26880.41</v>
      </c>
      <c r="AG33" s="5">
        <f t="shared" si="8"/>
        <v>-0.1678665000035835</v>
      </c>
      <c r="AK33" s="250">
        <f>IFERROR(VLOOKUP(D33,'Milk Can'!D:U,18,0),0)</f>
        <v>0</v>
      </c>
    </row>
    <row r="34" spans="1:37" x14ac:dyDescent="0.25">
      <c r="A34" s="8">
        <v>1062</v>
      </c>
      <c r="B34" s="38" t="s">
        <v>319</v>
      </c>
      <c r="C34" s="9">
        <v>10620051</v>
      </c>
      <c r="D34" s="8">
        <f>VLOOKUP(C34,DSC_Master!$C$1:D133,2,0)</f>
        <v>64543</v>
      </c>
      <c r="E34" s="10" t="str">
        <f>VLOOKUP(C34,DSC_Master!$C$1:$K$201,4,0)</f>
        <v>SUHWAL DSK</v>
      </c>
      <c r="F34" s="11" t="s">
        <v>303</v>
      </c>
      <c r="G34" s="11" t="s">
        <v>394</v>
      </c>
      <c r="H34" s="24">
        <v>780</v>
      </c>
      <c r="I34" s="24">
        <v>44331.819999999992</v>
      </c>
      <c r="J34" s="14">
        <f t="shared" si="0"/>
        <v>44331.819999999992</v>
      </c>
      <c r="K34" s="13"/>
      <c r="L34" s="13"/>
      <c r="M34" s="13">
        <f t="shared" si="9"/>
        <v>0</v>
      </c>
      <c r="N34" s="13"/>
      <c r="O34" s="13">
        <f t="shared" si="1"/>
        <v>44331.819999999992</v>
      </c>
      <c r="P34" s="13">
        <f t="shared" si="2"/>
        <v>0</v>
      </c>
      <c r="Q34" s="15">
        <f t="shared" si="3"/>
        <v>44331.819999999992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Payment_28-03 Aug.xlsx</v>
      </c>
      <c r="U34" s="19"/>
      <c r="V34" s="36">
        <f t="shared" si="4"/>
        <v>775.80684999999994</v>
      </c>
      <c r="W34" s="20">
        <f t="shared" si="5"/>
        <v>110.82954999999998</v>
      </c>
      <c r="X34" s="59">
        <f t="shared" si="6"/>
        <v>664.97730000000001</v>
      </c>
      <c r="Y34" s="21">
        <v>0</v>
      </c>
      <c r="Z34" s="48">
        <f t="shared" si="7"/>
        <v>664.97730000000001</v>
      </c>
      <c r="AA34" s="23"/>
      <c r="AB34" s="22" t="str">
        <f>VLOOKUP(C34,DSC_Master!$C$1:$K$201,9,0)</f>
        <v>ADITI PANDEY</v>
      </c>
      <c r="AC34" s="22" t="str">
        <f>VLOOKUP(C34,DSC_Master!$C$1:$J$202,8,0)</f>
        <v>719210110003860</v>
      </c>
      <c r="AD34" s="22" t="str">
        <f>VLOOKUP(C34,DSC_Master!$C$1:$J$202,7,0)</f>
        <v>BKID0007192</v>
      </c>
      <c r="AE34" s="159"/>
      <c r="AF34" s="3">
        <v>44333.78</v>
      </c>
      <c r="AG34" s="5">
        <f t="shared" si="8"/>
        <v>-1.9600000000064028</v>
      </c>
      <c r="AK34" s="250">
        <f>IFERROR(VLOOKUP(D34,'Milk Can'!D:U,18,0),0)</f>
        <v>-2906.3057440000021</v>
      </c>
    </row>
    <row r="35" spans="1:37" x14ac:dyDescent="0.25">
      <c r="A35" s="8">
        <v>1062</v>
      </c>
      <c r="B35" s="38" t="s">
        <v>319</v>
      </c>
      <c r="C35" s="9">
        <v>10620052</v>
      </c>
      <c r="D35" s="8">
        <f>VLOOKUP(C35,DSC_Master!$C$1:D134,2,0)</f>
        <v>60614</v>
      </c>
      <c r="E35" s="10" t="str">
        <f>VLOOKUP(C35,DSC_Master!$C$1:$K$201,4,0)</f>
        <v>BAHPURA DSK</v>
      </c>
      <c r="F35" s="11" t="s">
        <v>303</v>
      </c>
      <c r="G35" s="11" t="s">
        <v>394</v>
      </c>
      <c r="H35" s="24">
        <v>692</v>
      </c>
      <c r="I35" s="24">
        <v>31694.349947999999</v>
      </c>
      <c r="J35" s="14">
        <f t="shared" si="0"/>
        <v>31694.349947999999</v>
      </c>
      <c r="K35" s="13"/>
      <c r="L35" s="13"/>
      <c r="M35" s="13">
        <f t="shared" si="9"/>
        <v>0</v>
      </c>
      <c r="N35" s="13"/>
      <c r="O35" s="13">
        <f t="shared" si="1"/>
        <v>31694.349947999999</v>
      </c>
      <c r="P35" s="13">
        <f t="shared" si="2"/>
        <v>0</v>
      </c>
      <c r="Q35" s="15">
        <f t="shared" si="3"/>
        <v>31694.349947999999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Payment_28-03 Aug.xlsx</v>
      </c>
      <c r="U35" s="19"/>
      <c r="V35" s="36">
        <f t="shared" si="4"/>
        <v>554.65112409000005</v>
      </c>
      <c r="W35" s="20">
        <f t="shared" si="5"/>
        <v>79.235874870000004</v>
      </c>
      <c r="X35" s="59">
        <f t="shared" si="6"/>
        <v>475.41524922000008</v>
      </c>
      <c r="Y35" s="21">
        <v>0</v>
      </c>
      <c r="Z35" s="48">
        <f t="shared" si="7"/>
        <v>475.41524922000008</v>
      </c>
      <c r="AB35" s="22" t="str">
        <f>VLOOKUP(C35,DSC_Master!$C$1:$K$201,9,0)</f>
        <v>ARVIND SINGH</v>
      </c>
      <c r="AC35" s="22" t="str">
        <f>VLOOKUP(C35,DSC_Master!$C$1:$J$202,8,0)</f>
        <v>2784000100277129</v>
      </c>
      <c r="AD35" s="22" t="str">
        <f>VLOOKUP(C35,DSC_Master!$C$1:$J$202,7,0)</f>
        <v>PUNB0278400</v>
      </c>
      <c r="AE35" s="159"/>
      <c r="AF35" s="3">
        <v>31695.25</v>
      </c>
      <c r="AG35" s="5">
        <f t="shared" si="8"/>
        <v>-0.90005200000086916</v>
      </c>
      <c r="AK35" s="250">
        <f>IFERROR(VLOOKUP(D35,'Milk Can'!D:U,18,0),0)</f>
        <v>0</v>
      </c>
    </row>
    <row r="36" spans="1:37" x14ac:dyDescent="0.25">
      <c r="A36" s="8">
        <v>1062</v>
      </c>
      <c r="B36" s="38" t="s">
        <v>319</v>
      </c>
      <c r="C36" s="9">
        <v>10620053</v>
      </c>
      <c r="D36" s="8">
        <f>VLOOKUP(C36,DSC_Master!$C$1:D135,2,0)</f>
        <v>64573</v>
      </c>
      <c r="E36" s="10" t="str">
        <f>VLOOKUP(C36,DSC_Master!$C$1:$K$201,4,0)</f>
        <v>KAMHARI DSK</v>
      </c>
      <c r="F36" s="11" t="s">
        <v>303</v>
      </c>
      <c r="G36" s="11" t="s">
        <v>394</v>
      </c>
      <c r="H36" s="24">
        <v>689</v>
      </c>
      <c r="I36" s="24">
        <v>28115.479284500005</v>
      </c>
      <c r="J36" s="14">
        <f t="shared" si="0"/>
        <v>28115.479284500005</v>
      </c>
      <c r="K36" s="13"/>
      <c r="L36" s="13"/>
      <c r="M36" s="13">
        <f t="shared" si="9"/>
        <v>562.30958569000006</v>
      </c>
      <c r="N36" s="13"/>
      <c r="O36" s="13">
        <f t="shared" si="1"/>
        <v>27553.169698810005</v>
      </c>
      <c r="P36" s="13">
        <f t="shared" si="2"/>
        <v>0</v>
      </c>
      <c r="Q36" s="15">
        <f t="shared" si="3"/>
        <v>27553.169698810005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Payment_28-03 Aug.xlsx</v>
      </c>
      <c r="U36" s="19"/>
      <c r="V36" s="36">
        <f t="shared" si="4"/>
        <v>492.02088747875013</v>
      </c>
      <c r="W36" s="20">
        <f t="shared" si="5"/>
        <v>70.288698211250008</v>
      </c>
      <c r="X36" s="59">
        <f t="shared" si="6"/>
        <v>421.73218926750013</v>
      </c>
      <c r="Y36" s="21">
        <v>0</v>
      </c>
      <c r="Z36" s="48">
        <f t="shared" si="7"/>
        <v>421.73218926750013</v>
      </c>
      <c r="AB36" s="22" t="str">
        <f>VLOOKUP(C36,DSC_Master!$C$1:$K$201,9,0)</f>
        <v>ARVIND SINGH</v>
      </c>
      <c r="AC36" s="22" t="str">
        <f>VLOOKUP(C36,DSC_Master!$C$1:$J$202,8,0)</f>
        <v>6008000100167773</v>
      </c>
      <c r="AD36" s="22" t="str">
        <f>VLOOKUP(C36,DSC_Master!$C$1:$J$202,7,0)</f>
        <v>PUNB0600800</v>
      </c>
      <c r="AE36" s="159"/>
      <c r="AF36" s="3">
        <v>28115.31</v>
      </c>
      <c r="AG36" s="5">
        <f t="shared" si="8"/>
        <v>-562.14030118999653</v>
      </c>
      <c r="AK36" s="250">
        <f>IFERROR(VLOOKUP(D36,'Milk Can'!D:U,18,0),0)</f>
        <v>12900</v>
      </c>
    </row>
    <row r="37" spans="1:37" x14ac:dyDescent="0.25">
      <c r="A37" s="8">
        <v>1062</v>
      </c>
      <c r="B37" s="38" t="s">
        <v>319</v>
      </c>
      <c r="C37" s="9">
        <v>10620054</v>
      </c>
      <c r="D37" s="8">
        <f>VLOOKUP(C37,DSC_Master!$C$1:D136,2,0)</f>
        <v>64562</v>
      </c>
      <c r="E37" s="10" t="str">
        <f>VLOOKUP(C37,DSC_Master!$C$1:$K$201,4,0)</f>
        <v>KAJARIYA DSK</v>
      </c>
      <c r="F37" s="11" t="s">
        <v>303</v>
      </c>
      <c r="G37" s="11" t="s">
        <v>394</v>
      </c>
      <c r="H37" s="24">
        <v>730</v>
      </c>
      <c r="I37" s="24">
        <v>33239.473727700002</v>
      </c>
      <c r="J37" s="14">
        <f t="shared" si="0"/>
        <v>33239.473727700002</v>
      </c>
      <c r="K37" s="13"/>
      <c r="L37" s="13"/>
      <c r="M37" s="13">
        <f t="shared" si="9"/>
        <v>664.78947455400009</v>
      </c>
      <c r="N37" s="13"/>
      <c r="O37" s="13">
        <f t="shared" si="1"/>
        <v>32574.684253146002</v>
      </c>
      <c r="P37" s="13">
        <f t="shared" si="2"/>
        <v>0</v>
      </c>
      <c r="Q37" s="15">
        <f t="shared" si="3"/>
        <v>32574.684253146002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Payment_28-03 Aug.xlsx</v>
      </c>
      <c r="U37" s="19"/>
      <c r="V37" s="36">
        <f t="shared" si="4"/>
        <v>581.69079023475012</v>
      </c>
      <c r="W37" s="20">
        <f t="shared" si="5"/>
        <v>83.098684319250012</v>
      </c>
      <c r="X37" s="59">
        <f t="shared" si="6"/>
        <v>498.5921059155001</v>
      </c>
      <c r="Y37" s="21">
        <v>0</v>
      </c>
      <c r="Z37" s="48">
        <f t="shared" si="7"/>
        <v>498.5921059155001</v>
      </c>
      <c r="AB37" s="22" t="str">
        <f>VLOOKUP(C37,DSC_Master!$C$1:$K$201,9,0)</f>
        <v>HARERAM KUMAR</v>
      </c>
      <c r="AC37" s="22" t="str">
        <f>VLOOKUP(C37,DSC_Master!$C$1:$J$202,8,0)</f>
        <v>924010015769691</v>
      </c>
      <c r="AD37" s="22" t="str">
        <f>VLOOKUP(C37,DSC_Master!$C$1:$J$202,7,0)</f>
        <v>UTIB0001816</v>
      </c>
      <c r="AE37" s="159"/>
      <c r="AF37" s="3">
        <v>33240.629999999997</v>
      </c>
      <c r="AG37" s="5">
        <f t="shared" si="8"/>
        <v>-665.94574685399493</v>
      </c>
      <c r="AK37" s="250">
        <f>IFERROR(VLOOKUP(D37,'Milk Can'!D:U,18,0),0)</f>
        <v>5966.964958818</v>
      </c>
    </row>
    <row r="38" spans="1:37" x14ac:dyDescent="0.25">
      <c r="A38" s="8">
        <v>1062</v>
      </c>
      <c r="B38" s="38" t="s">
        <v>319</v>
      </c>
      <c r="C38" s="9">
        <v>10620057</v>
      </c>
      <c r="D38" s="8">
        <f>VLOOKUP(C38,DSC_Master!$C$1:D137,2,0)</f>
        <v>64511</v>
      </c>
      <c r="E38" s="10" t="str">
        <f>VLOOKUP(C38,DSC_Master!$C$1:$K$201,4,0)</f>
        <v>DAROLI DSK</v>
      </c>
      <c r="F38" s="11" t="s">
        <v>303</v>
      </c>
      <c r="G38" s="11" t="s">
        <v>394</v>
      </c>
      <c r="H38" s="24">
        <v>611</v>
      </c>
      <c r="I38" s="24">
        <v>28988.195996600003</v>
      </c>
      <c r="J38" s="14">
        <f t="shared" si="0"/>
        <v>28988.195996600003</v>
      </c>
      <c r="K38" s="13"/>
      <c r="L38" s="13"/>
      <c r="M38" s="13">
        <f t="shared" si="9"/>
        <v>0</v>
      </c>
      <c r="N38" s="13"/>
      <c r="O38" s="13">
        <f t="shared" si="1"/>
        <v>28988.195996600003</v>
      </c>
      <c r="P38" s="13">
        <f t="shared" si="2"/>
        <v>0</v>
      </c>
      <c r="Q38" s="15">
        <f t="shared" si="3"/>
        <v>28988.195996600003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Payment_28-03 Aug.xlsx</v>
      </c>
      <c r="U38" s="19"/>
      <c r="V38" s="36">
        <f t="shared" si="4"/>
        <v>507.29342994050012</v>
      </c>
      <c r="W38" s="20">
        <f t="shared" si="5"/>
        <v>72.470489991500003</v>
      </c>
      <c r="X38" s="59">
        <f t="shared" si="6"/>
        <v>434.8229399490001</v>
      </c>
      <c r="Y38" s="21">
        <v>0</v>
      </c>
      <c r="Z38" s="48">
        <f t="shared" si="7"/>
        <v>434.8229399490001</v>
      </c>
      <c r="AB38" s="22" t="str">
        <f>VLOOKUP(C38,DSC_Master!$C$1:$K$201,9,0)</f>
        <v>KAPIL MUNI SINGH</v>
      </c>
      <c r="AC38" s="22" t="str">
        <f>VLOOKUP(C38,DSC_Master!$C$1:$J$202,8,0)</f>
        <v>461110100003922</v>
      </c>
      <c r="AD38" s="22" t="str">
        <f>VLOOKUP(C38,DSC_Master!$C$1:$J$202,7,0)</f>
        <v>BKID0004611</v>
      </c>
      <c r="AE38" s="159"/>
      <c r="AF38" s="3">
        <v>28989.4</v>
      </c>
      <c r="AG38" s="5">
        <f t="shared" si="8"/>
        <v>-1.204003399998328</v>
      </c>
      <c r="AK38" s="250">
        <f>IFERROR(VLOOKUP(D38,'Milk Can'!D:U,18,0),0)</f>
        <v>0</v>
      </c>
    </row>
    <row r="39" spans="1:37" x14ac:dyDescent="0.25">
      <c r="A39" s="8">
        <v>1062</v>
      </c>
      <c r="B39" s="38" t="s">
        <v>319</v>
      </c>
      <c r="C39" s="9">
        <v>10620058</v>
      </c>
      <c r="D39" s="8">
        <f>VLOOKUP(C39,DSC_Master!$C$1:D138,2,0)</f>
        <v>64541</v>
      </c>
      <c r="E39" s="10" t="str">
        <f>VLOOKUP(C39,DSC_Master!$C$1:$K$201,4,0)</f>
        <v>JALDHAH DSK</v>
      </c>
      <c r="F39" s="11" t="s">
        <v>303</v>
      </c>
      <c r="G39" s="11" t="s">
        <v>394</v>
      </c>
      <c r="H39" s="24">
        <v>88</v>
      </c>
      <c r="I39" s="24">
        <v>3819.6172241000004</v>
      </c>
      <c r="J39" s="14">
        <f t="shared" si="0"/>
        <v>3819.6172241000004</v>
      </c>
      <c r="K39" s="13"/>
      <c r="L39" s="13"/>
      <c r="M39" s="13">
        <f t="shared" si="9"/>
        <v>300</v>
      </c>
      <c r="N39" s="13"/>
      <c r="O39" s="13">
        <f t="shared" si="1"/>
        <v>3519.6172241000004</v>
      </c>
      <c r="P39" s="13">
        <f t="shared" si="2"/>
        <v>0</v>
      </c>
      <c r="Q39" s="15">
        <f t="shared" si="3"/>
        <v>3519.6172241000004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Payment_28-03 Aug.xlsx</v>
      </c>
      <c r="U39" s="19"/>
      <c r="V39" s="36">
        <f t="shared" si="4"/>
        <v>66.843301421750013</v>
      </c>
      <c r="W39" s="20">
        <f t="shared" si="5"/>
        <v>9.5490430602500016</v>
      </c>
      <c r="X39" s="59">
        <f t="shared" si="6"/>
        <v>57.294258361500013</v>
      </c>
      <c r="Y39" s="21">
        <v>0</v>
      </c>
      <c r="Z39" s="48">
        <f t="shared" si="7"/>
        <v>57.294258361500013</v>
      </c>
      <c r="AB39" s="22" t="str">
        <f>VLOOKUP(C39,DSC_Master!$C$1:$K$201,9,0)</f>
        <v>KIRAN DEVI</v>
      </c>
      <c r="AC39" s="22" t="str">
        <f>VLOOKUP(C39,DSC_Master!$C$1:$J$202,8,0)</f>
        <v>00070100029906</v>
      </c>
      <c r="AD39" s="22" t="str">
        <f>VLOOKUP(C39,DSC_Master!$C$1:$J$202,7,0)</f>
        <v>BARB0MOHANI</v>
      </c>
      <c r="AE39" s="159"/>
      <c r="AF39" s="3">
        <v>3819.73</v>
      </c>
      <c r="AG39" s="5">
        <f t="shared" si="8"/>
        <v>-300.11277589999963</v>
      </c>
      <c r="AK39" s="250">
        <f>IFERROR(VLOOKUP(D39,'Milk Can'!D:U,18,0),0)</f>
        <v>3000</v>
      </c>
    </row>
    <row r="40" spans="1:37" x14ac:dyDescent="0.25">
      <c r="A40" s="8">
        <v>1062</v>
      </c>
      <c r="B40" s="38" t="s">
        <v>319</v>
      </c>
      <c r="C40" s="9">
        <v>10620059</v>
      </c>
      <c r="D40" s="8">
        <f>VLOOKUP(C40,DSC_Master!$C$1:D139,2,0)</f>
        <v>60566</v>
      </c>
      <c r="E40" s="10" t="str">
        <f>VLOOKUP(C40,DSC_Master!$C$1:$K$201,4,0)</f>
        <v>BARUNA DSK</v>
      </c>
      <c r="F40" s="11" t="s">
        <v>303</v>
      </c>
      <c r="G40" s="11" t="s">
        <v>394</v>
      </c>
      <c r="H40" s="24">
        <v>810</v>
      </c>
      <c r="I40" s="24">
        <v>33064.069823200007</v>
      </c>
      <c r="J40" s="14">
        <f t="shared" si="0"/>
        <v>33064.069823200007</v>
      </c>
      <c r="K40" s="13"/>
      <c r="L40" s="13"/>
      <c r="M40" s="13">
        <f t="shared" si="9"/>
        <v>661.28139646400018</v>
      </c>
      <c r="N40" s="13"/>
      <c r="O40" s="13">
        <f t="shared" si="1"/>
        <v>32402.788426736006</v>
      </c>
      <c r="P40" s="13">
        <f t="shared" si="2"/>
        <v>0</v>
      </c>
      <c r="Q40" s="15">
        <f t="shared" si="3"/>
        <v>32402.788426736006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Payment_28-03 Aug.xlsx</v>
      </c>
      <c r="U40" s="19"/>
      <c r="V40" s="36">
        <f t="shared" si="4"/>
        <v>578.62122190600019</v>
      </c>
      <c r="W40" s="20">
        <f t="shared" si="5"/>
        <v>82.660174558000023</v>
      </c>
      <c r="X40" s="59">
        <f t="shared" si="6"/>
        <v>495.96104734800019</v>
      </c>
      <c r="Y40" s="21">
        <v>0</v>
      </c>
      <c r="Z40" s="48">
        <f t="shared" si="7"/>
        <v>495.96104734800019</v>
      </c>
      <c r="AB40" s="22" t="str">
        <f>VLOOKUP(C40,DSC_Master!$C$1:$K$201,9,0)</f>
        <v>KRISHNA NAND SINGH</v>
      </c>
      <c r="AC40" s="22" t="str">
        <f>VLOOKUP(C40,DSC_Master!$C$1:$J$202,8,0)</f>
        <v>625310110006613</v>
      </c>
      <c r="AD40" s="22" t="str">
        <f>VLOOKUP(C40,DSC_Master!$C$1:$J$202,7,0)</f>
        <v>BKID0006253</v>
      </c>
      <c r="AE40" s="159"/>
      <c r="AF40" s="3">
        <v>33068.99</v>
      </c>
      <c r="AG40" s="5">
        <f t="shared" si="8"/>
        <v>-666.20157326399203</v>
      </c>
      <c r="AK40" s="250">
        <f>IFERROR(VLOOKUP(D40,'Milk Can'!D:U,18,0),0)</f>
        <v>9600</v>
      </c>
    </row>
    <row r="41" spans="1:37" x14ac:dyDescent="0.25">
      <c r="A41" s="8">
        <v>1062</v>
      </c>
      <c r="B41" s="38" t="s">
        <v>319</v>
      </c>
      <c r="C41" s="9">
        <v>10620061</v>
      </c>
      <c r="D41" s="8">
        <f>VLOOKUP(C41,DSC_Master!$C$1:D140,2,0)</f>
        <v>60605</v>
      </c>
      <c r="E41" s="10" t="str">
        <f>VLOOKUP(C41,DSC_Master!$C$1:$K$201,4,0)</f>
        <v>BADORA DSK</v>
      </c>
      <c r="F41" s="11" t="s">
        <v>303</v>
      </c>
      <c r="G41" s="11" t="s">
        <v>394</v>
      </c>
      <c r="H41" s="24">
        <v>1277</v>
      </c>
      <c r="I41" s="24">
        <v>56659.890109399996</v>
      </c>
      <c r="J41" s="14">
        <f t="shared" si="0"/>
        <v>56659.890109399996</v>
      </c>
      <c r="K41" s="13"/>
      <c r="L41" s="13"/>
      <c r="M41" s="13">
        <f t="shared" si="9"/>
        <v>1133.197802188</v>
      </c>
      <c r="N41" s="13"/>
      <c r="O41" s="13">
        <f t="shared" si="1"/>
        <v>55526.692307211997</v>
      </c>
      <c r="P41" s="13">
        <f t="shared" si="2"/>
        <v>0</v>
      </c>
      <c r="Q41" s="15">
        <f t="shared" si="3"/>
        <v>55526.692307211997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Payment_28-03 Aug.xlsx</v>
      </c>
      <c r="U41" s="19"/>
      <c r="V41" s="36">
        <f t="shared" si="4"/>
        <v>991.54807691450003</v>
      </c>
      <c r="W41" s="20">
        <f t="shared" si="5"/>
        <v>141.6497252735</v>
      </c>
      <c r="X41" s="59">
        <f t="shared" si="6"/>
        <v>849.89835164100009</v>
      </c>
      <c r="Y41" s="21">
        <v>0</v>
      </c>
      <c r="Z41" s="48">
        <f t="shared" si="7"/>
        <v>849.89835164100009</v>
      </c>
      <c r="AB41" s="22" t="str">
        <f>VLOOKUP(C41,DSC_Master!$C$1:$K$201,9,0)</f>
        <v>SUMAN DEVI</v>
      </c>
      <c r="AC41" s="22" t="str">
        <f>VLOOKUP(C41,DSC_Master!$C$1:$J$202,8,0)</f>
        <v>40819491150</v>
      </c>
      <c r="AD41" s="22" t="str">
        <f>VLOOKUP(C41,DSC_Master!$C$1:$J$202,7,0)</f>
        <v>SBIN0011251</v>
      </c>
      <c r="AE41" s="159"/>
      <c r="AF41" s="3">
        <v>56661.03</v>
      </c>
      <c r="AG41" s="5">
        <f t="shared" si="8"/>
        <v>-1134.3376927880017</v>
      </c>
      <c r="AK41" s="250">
        <f>IFERROR(VLOOKUP(D41,'Milk Can'!D:U,18,0),0)</f>
        <v>18906.206581636001</v>
      </c>
    </row>
    <row r="42" spans="1:37" x14ac:dyDescent="0.25">
      <c r="A42" s="8">
        <v>1062</v>
      </c>
      <c r="B42" s="38" t="s">
        <v>319</v>
      </c>
      <c r="C42" s="9">
        <v>10620062</v>
      </c>
      <c r="D42" s="8">
        <f>VLOOKUP(C42,DSC_Master!$C$1:D141,2,0)</f>
        <v>64590</v>
      </c>
      <c r="E42" s="10" t="str">
        <f>VLOOKUP(C42,DSC_Master!$C$1:$K$201,4,0)</f>
        <v>CHATRA DSK</v>
      </c>
      <c r="F42" s="11" t="s">
        <v>303</v>
      </c>
      <c r="G42" s="11" t="s">
        <v>394</v>
      </c>
      <c r="H42" s="24">
        <v>117</v>
      </c>
      <c r="I42" s="24">
        <v>4693.1925945000003</v>
      </c>
      <c r="J42" s="14">
        <f t="shared" si="0"/>
        <v>4693.1925945000003</v>
      </c>
      <c r="K42" s="13"/>
      <c r="L42" s="13"/>
      <c r="M42" s="13">
        <f t="shared" si="9"/>
        <v>300</v>
      </c>
      <c r="N42" s="13"/>
      <c r="O42" s="13">
        <f t="shared" si="1"/>
        <v>4393.1925945000003</v>
      </c>
      <c r="P42" s="13">
        <f t="shared" si="2"/>
        <v>0</v>
      </c>
      <c r="Q42" s="15">
        <f t="shared" si="3"/>
        <v>4393.1925945000003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Payment_28-03 Aug.xlsx</v>
      </c>
      <c r="U42" s="19"/>
      <c r="V42" s="36">
        <f t="shared" si="4"/>
        <v>82.130870403750009</v>
      </c>
      <c r="W42" s="20">
        <f t="shared" si="5"/>
        <v>11.732981486250001</v>
      </c>
      <c r="X42" s="59">
        <f t="shared" si="6"/>
        <v>70.397888917500012</v>
      </c>
      <c r="Y42" s="21">
        <v>0</v>
      </c>
      <c r="Z42" s="48">
        <f t="shared" si="7"/>
        <v>70.397888917500012</v>
      </c>
      <c r="AB42" s="22" t="str">
        <f>VLOOKUP(C42,DSC_Master!$C$1:$K$201,9,0)</f>
        <v>USHA DEVI</v>
      </c>
      <c r="AC42" s="22" t="str">
        <f>VLOOKUP(C42,DSC_Master!$C$1:$J$202,8,0)</f>
        <v>39981585891</v>
      </c>
      <c r="AD42" s="22" t="str">
        <f>VLOOKUP(C42,DSC_Master!$C$1:$J$202,7,0)</f>
        <v>SBIN0002964</v>
      </c>
      <c r="AE42" s="159"/>
      <c r="AF42" s="3">
        <v>4693.18</v>
      </c>
      <c r="AG42" s="5">
        <f t="shared" si="8"/>
        <v>-299.98740550000002</v>
      </c>
      <c r="AK42" s="250">
        <f>IFERROR(VLOOKUP(D42,'Milk Can'!D:U,18,0),0)</f>
        <v>3000</v>
      </c>
    </row>
    <row r="43" spans="1:37" x14ac:dyDescent="0.25">
      <c r="A43" s="8">
        <v>1062</v>
      </c>
      <c r="B43" s="38" t="s">
        <v>319</v>
      </c>
      <c r="C43" s="9">
        <v>10620063</v>
      </c>
      <c r="D43" s="8">
        <f>VLOOKUP(C43,DSC_Master!$C$1:D142,2,0)</f>
        <v>64532</v>
      </c>
      <c r="E43" s="10" t="str">
        <f>VLOOKUP(C43,DSC_Master!$C$1:$K$201,4,0)</f>
        <v>ASADE DSK</v>
      </c>
      <c r="F43" s="11" t="s">
        <v>303</v>
      </c>
      <c r="G43" s="11" t="s">
        <v>394</v>
      </c>
      <c r="H43" s="24">
        <v>280</v>
      </c>
      <c r="I43" s="24">
        <v>13482.298473499999</v>
      </c>
      <c r="J43" s="14">
        <f t="shared" si="0"/>
        <v>13482.298473499999</v>
      </c>
      <c r="K43" s="13"/>
      <c r="L43" s="13"/>
      <c r="M43" s="13">
        <f t="shared" si="9"/>
        <v>0</v>
      </c>
      <c r="N43" s="13"/>
      <c r="O43" s="13">
        <f t="shared" si="1"/>
        <v>13482.298473499999</v>
      </c>
      <c r="P43" s="13">
        <f t="shared" si="2"/>
        <v>0</v>
      </c>
      <c r="Q43" s="15">
        <f t="shared" si="3"/>
        <v>13482.298473499999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Payment_28-03 Aug.xlsx</v>
      </c>
      <c r="U43" s="19"/>
      <c r="V43" s="36">
        <f t="shared" si="4"/>
        <v>235.94022328625002</v>
      </c>
      <c r="W43" s="20">
        <f t="shared" si="5"/>
        <v>33.705746183750001</v>
      </c>
      <c r="X43" s="59">
        <f t="shared" si="6"/>
        <v>202.23447710250002</v>
      </c>
      <c r="Y43" s="21">
        <v>0</v>
      </c>
      <c r="Z43" s="48">
        <f t="shared" si="7"/>
        <v>202.23447710250002</v>
      </c>
      <c r="AB43" s="22" t="str">
        <f>VLOOKUP(C43,DSC_Master!$C$1:$K$201,9,0)</f>
        <v>SUNIL KUMAR SINGH</v>
      </c>
      <c r="AC43" s="22" t="str">
        <f>VLOOKUP(C43,DSC_Master!$C$1:$J$202,8,0)</f>
        <v>38205293083</v>
      </c>
      <c r="AD43" s="22" t="str">
        <f>VLOOKUP(C43,DSC_Master!$C$1:$J$202,7,0)</f>
        <v>SBIN0017163</v>
      </c>
      <c r="AE43" s="159"/>
      <c r="AF43" s="3">
        <v>13488.64</v>
      </c>
      <c r="AG43" s="5">
        <f t="shared" si="8"/>
        <v>-6.3415265000003274</v>
      </c>
      <c r="AK43" s="250">
        <f>IFERROR(VLOOKUP(D43,'Milk Can'!D:U,18,0),0)</f>
        <v>0</v>
      </c>
    </row>
    <row r="44" spans="1:37" x14ac:dyDescent="0.25">
      <c r="A44" s="8">
        <v>1062</v>
      </c>
      <c r="B44" s="38" t="s">
        <v>319</v>
      </c>
      <c r="C44" s="9">
        <v>10620064</v>
      </c>
      <c r="D44" s="8">
        <f>VLOOKUP(C44,DSC_Master!$C$1:D143,2,0)</f>
        <v>60617</v>
      </c>
      <c r="E44" s="10" t="str">
        <f>VLOOKUP(C44,DSC_Master!$C$1:$K$201,4,0)</f>
        <v>NARHAN DSK</v>
      </c>
      <c r="F44" s="11" t="s">
        <v>303</v>
      </c>
      <c r="G44" s="11" t="s">
        <v>394</v>
      </c>
      <c r="H44" s="24">
        <v>845</v>
      </c>
      <c r="I44" s="24">
        <v>42864.723097200003</v>
      </c>
      <c r="J44" s="14">
        <f t="shared" si="0"/>
        <v>42864.723097200003</v>
      </c>
      <c r="K44" s="13"/>
      <c r="L44" s="13"/>
      <c r="M44" s="13">
        <f t="shared" si="9"/>
        <v>0</v>
      </c>
      <c r="N44" s="13"/>
      <c r="O44" s="13">
        <f t="shared" si="1"/>
        <v>42864.723097200003</v>
      </c>
      <c r="P44" s="13">
        <f t="shared" si="2"/>
        <v>0</v>
      </c>
      <c r="Q44" s="15">
        <f t="shared" si="3"/>
        <v>42864.723097200003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Payment_28-03 Aug.xlsx</v>
      </c>
      <c r="U44" s="19"/>
      <c r="V44" s="36">
        <f t="shared" si="4"/>
        <v>750.13265420100015</v>
      </c>
      <c r="W44" s="20">
        <f t="shared" si="5"/>
        <v>107.16180774300001</v>
      </c>
      <c r="X44" s="59">
        <f t="shared" si="6"/>
        <v>642.9708464580001</v>
      </c>
      <c r="Y44" s="21">
        <v>0</v>
      </c>
      <c r="Z44" s="48">
        <f t="shared" si="7"/>
        <v>642.9708464580001</v>
      </c>
      <c r="AB44" s="22" t="str">
        <f>VLOOKUP(C44,DSC_Master!$C$1:$K$201,9,0)</f>
        <v>NARENDRA SINGH</v>
      </c>
      <c r="AC44" s="22" t="str">
        <f>VLOOKUP(C44,DSC_Master!$C$1:$J$202,8,0)</f>
        <v>2784001700058608</v>
      </c>
      <c r="AD44" s="22" t="str">
        <f>VLOOKUP(C44,DSC_Master!$C$1:$J$202,7,0)</f>
        <v>PUNB0278400</v>
      </c>
      <c r="AE44" s="159"/>
      <c r="AF44" s="3">
        <v>42865.68</v>
      </c>
      <c r="AG44" s="5">
        <f t="shared" si="8"/>
        <v>-0.95690279999689665</v>
      </c>
      <c r="AK44" s="250">
        <f>IFERROR(VLOOKUP(D44,'Milk Can'!D:U,18,0),0)</f>
        <v>0</v>
      </c>
    </row>
    <row r="45" spans="1:37" x14ac:dyDescent="0.25">
      <c r="A45" s="8">
        <v>1062</v>
      </c>
      <c r="B45" s="38" t="s">
        <v>319</v>
      </c>
      <c r="C45" s="9">
        <v>10620067</v>
      </c>
      <c r="D45" s="8">
        <f>VLOOKUP(C45,DSC_Master!$C$1:D144,2,0)</f>
        <v>60573</v>
      </c>
      <c r="E45" s="10" t="str">
        <f>VLOOKUP(C45,DSC_Master!$C$1:$K$201,4,0)</f>
        <v>PATKHOLIYA DSK</v>
      </c>
      <c r="F45" s="11" t="s">
        <v>303</v>
      </c>
      <c r="G45" s="11" t="s">
        <v>394</v>
      </c>
      <c r="H45" s="24">
        <v>902</v>
      </c>
      <c r="I45" s="24">
        <v>41233.303970399997</v>
      </c>
      <c r="J45" s="14">
        <f t="shared" si="0"/>
        <v>41233.303970399997</v>
      </c>
      <c r="K45" s="13"/>
      <c r="L45" s="13"/>
      <c r="M45" s="13">
        <f t="shared" si="9"/>
        <v>0</v>
      </c>
      <c r="N45" s="13"/>
      <c r="O45" s="13">
        <f t="shared" si="1"/>
        <v>41233.303970399997</v>
      </c>
      <c r="P45" s="13">
        <f t="shared" si="2"/>
        <v>0</v>
      </c>
      <c r="Q45" s="15">
        <f t="shared" si="3"/>
        <v>41233.303970399997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Payment_28-03 Aug.xlsx</v>
      </c>
      <c r="U45" s="19"/>
      <c r="V45" s="36">
        <f t="shared" si="4"/>
        <v>721.58281948199999</v>
      </c>
      <c r="W45" s="20">
        <f t="shared" si="5"/>
        <v>103.083259926</v>
      </c>
      <c r="X45" s="59">
        <f t="shared" si="6"/>
        <v>618.49955955600001</v>
      </c>
      <c r="Y45" s="21">
        <v>0</v>
      </c>
      <c r="Z45" s="48">
        <f t="shared" si="7"/>
        <v>618.49955955600001</v>
      </c>
      <c r="AB45" s="22" t="str">
        <f>VLOOKUP(C45,DSC_Master!$C$1:$K$201,9,0)</f>
        <v>RAMESH KUMAR KHARWAR</v>
      </c>
      <c r="AC45" s="22" t="str">
        <f>VLOOKUP(C45,DSC_Master!$C$1:$J$202,8,0)</f>
        <v>2784000100220723</v>
      </c>
      <c r="AD45" s="22" t="str">
        <f>VLOOKUP(C45,DSC_Master!$C$1:$J$202,7,0)</f>
        <v>PUNB0278400</v>
      </c>
      <c r="AE45" s="159"/>
      <c r="AF45" s="3">
        <v>41233.74</v>
      </c>
      <c r="AG45" s="5">
        <f t="shared" si="8"/>
        <v>-0.43602960000134772</v>
      </c>
      <c r="AK45" s="250">
        <f>IFERROR(VLOOKUP(D45,'Milk Can'!D:U,18,0),0)</f>
        <v>0</v>
      </c>
    </row>
    <row r="46" spans="1:37" x14ac:dyDescent="0.25">
      <c r="A46" s="8">
        <v>1062</v>
      </c>
      <c r="B46" s="38" t="s">
        <v>319</v>
      </c>
      <c r="C46" s="9">
        <v>10620068</v>
      </c>
      <c r="D46" s="8">
        <f>VLOOKUP(C46,DSC_Master!$C$1:D145,2,0)</f>
        <v>64539</v>
      </c>
      <c r="E46" s="10" t="str">
        <f>VLOOKUP(C46,DSC_Master!$C$1:$K$201,4,0)</f>
        <v>MOHANPUR DSK</v>
      </c>
      <c r="F46" s="11" t="s">
        <v>303</v>
      </c>
      <c r="G46" s="11" t="s">
        <v>394</v>
      </c>
      <c r="H46" s="24">
        <v>649</v>
      </c>
      <c r="I46" s="24">
        <v>28136.239608899996</v>
      </c>
      <c r="J46" s="14">
        <f t="shared" si="0"/>
        <v>28136.239608899996</v>
      </c>
      <c r="K46" s="13"/>
      <c r="L46" s="13"/>
      <c r="M46" s="13">
        <f t="shared" si="9"/>
        <v>562.72479217799992</v>
      </c>
      <c r="N46" s="13"/>
      <c r="O46" s="13">
        <f t="shared" si="1"/>
        <v>27573.514816721996</v>
      </c>
      <c r="P46" s="13">
        <f t="shared" si="2"/>
        <v>0</v>
      </c>
      <c r="Q46" s="15">
        <f t="shared" si="3"/>
        <v>27573.514816721996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Payment_28-03 Aug.xlsx</v>
      </c>
      <c r="U46" s="19"/>
      <c r="V46" s="36">
        <f t="shared" si="4"/>
        <v>492.38419315574998</v>
      </c>
      <c r="W46" s="20">
        <f t="shared" si="5"/>
        <v>70.34059902224999</v>
      </c>
      <c r="X46" s="59">
        <f t="shared" si="6"/>
        <v>422.04359413349999</v>
      </c>
      <c r="Y46" s="21">
        <v>0</v>
      </c>
      <c r="Z46" s="48">
        <f t="shared" si="7"/>
        <v>422.04359413349999</v>
      </c>
      <c r="AB46" s="22" t="str">
        <f>VLOOKUP(C46,DSC_Master!$C$1:$K$201,9,0)</f>
        <v>RAS BIHARI SINGH</v>
      </c>
      <c r="AC46" s="22" t="str">
        <f>VLOOKUP(C46,DSC_Master!$C$1:$J$202,8,0)</f>
        <v>460610110004946</v>
      </c>
      <c r="AD46" s="22" t="str">
        <f>VLOOKUP(C46,DSC_Master!$C$1:$J$202,7,0)</f>
        <v>BKID0006253</v>
      </c>
      <c r="AE46" s="159"/>
      <c r="AF46" s="3">
        <v>28136.66</v>
      </c>
      <c r="AG46" s="5">
        <f t="shared" si="8"/>
        <v>-563.14518327800397</v>
      </c>
      <c r="AK46" s="250">
        <f>IFERROR(VLOOKUP(D46,'Milk Can'!D:U,18,0),0)</f>
        <v>6300</v>
      </c>
    </row>
    <row r="47" spans="1:37" x14ac:dyDescent="0.25">
      <c r="A47" s="8">
        <v>1062</v>
      </c>
      <c r="B47" s="38" t="s">
        <v>319</v>
      </c>
      <c r="C47" s="9">
        <v>10620069</v>
      </c>
      <c r="D47" s="8">
        <f>VLOOKUP(C47,DSC_Master!$C$1:D146,2,0)</f>
        <v>64567</v>
      </c>
      <c r="E47" s="10" t="str">
        <f>VLOOKUP(C47,DSC_Master!$C$1:$K$201,4,0)</f>
        <v>CHANDDWA DSK</v>
      </c>
      <c r="F47" s="11" t="s">
        <v>303</v>
      </c>
      <c r="G47" s="11" t="s">
        <v>394</v>
      </c>
      <c r="H47" s="24">
        <v>827</v>
      </c>
      <c r="I47" s="24">
        <v>38194.085949100008</v>
      </c>
      <c r="J47" s="14">
        <f t="shared" si="0"/>
        <v>38194.085949100008</v>
      </c>
      <c r="K47" s="13"/>
      <c r="L47" s="13"/>
      <c r="M47" s="13">
        <f t="shared" si="9"/>
        <v>763.88171898200017</v>
      </c>
      <c r="N47" s="13"/>
      <c r="O47" s="13">
        <f t="shared" si="1"/>
        <v>37430.204230118004</v>
      </c>
      <c r="P47" s="13">
        <f t="shared" si="2"/>
        <v>0</v>
      </c>
      <c r="Q47" s="15">
        <f t="shared" si="3"/>
        <v>37430.204230118004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Payment_28-03 Aug.xlsx</v>
      </c>
      <c r="U47" s="19"/>
      <c r="V47" s="36">
        <f t="shared" si="4"/>
        <v>668.39650410925026</v>
      </c>
      <c r="W47" s="20">
        <f t="shared" si="5"/>
        <v>95.485214872750021</v>
      </c>
      <c r="X47" s="59">
        <f t="shared" si="6"/>
        <v>572.91128923650024</v>
      </c>
      <c r="Y47" s="21">
        <v>0</v>
      </c>
      <c r="Z47" s="48">
        <f t="shared" si="7"/>
        <v>572.91128923650024</v>
      </c>
      <c r="AB47" s="22" t="str">
        <f>VLOOKUP(C47,DSC_Master!$C$1:$K$201,9,0)</f>
        <v>RAVI KUMAR PATEL</v>
      </c>
      <c r="AC47" s="22" t="str">
        <f>VLOOKUP(C47,DSC_Master!$C$1:$J$202,8,0)</f>
        <v>21910100008905</v>
      </c>
      <c r="AD47" s="22" t="str">
        <f>VLOOKUP(C47,DSC_Master!$C$1:$J$202,7,0)</f>
        <v>BARB0DAMOHA</v>
      </c>
      <c r="AE47" s="159"/>
      <c r="AF47" s="3">
        <v>38195.4</v>
      </c>
      <c r="AG47" s="5">
        <f t="shared" si="8"/>
        <v>-765.19576988199697</v>
      </c>
      <c r="AK47" s="250">
        <f>IFERROR(VLOOKUP(D47,'Milk Can'!D:U,18,0),0)</f>
        <v>15872.868657655999</v>
      </c>
    </row>
    <row r="48" spans="1:37" x14ac:dyDescent="0.25">
      <c r="A48" s="8">
        <v>1062</v>
      </c>
      <c r="B48" s="38" t="s">
        <v>319</v>
      </c>
      <c r="C48" s="9">
        <v>10620070</v>
      </c>
      <c r="D48" s="8">
        <f>VLOOKUP(C48,DSC_Master!$C$1:D147,2,0)</f>
        <v>60616</v>
      </c>
      <c r="E48" s="10" t="str">
        <f>VLOOKUP(C48,DSC_Master!$C$1:$K$201,4,0)</f>
        <v>AKHOLI DSK</v>
      </c>
      <c r="F48" s="11" t="s">
        <v>303</v>
      </c>
      <c r="G48" s="11" t="s">
        <v>394</v>
      </c>
      <c r="H48" s="24">
        <v>580</v>
      </c>
      <c r="I48" s="24">
        <v>26767.658526799994</v>
      </c>
      <c r="J48" s="14">
        <f t="shared" si="0"/>
        <v>26767.658526799994</v>
      </c>
      <c r="K48" s="13"/>
      <c r="L48" s="13"/>
      <c r="M48" s="13">
        <f t="shared" si="9"/>
        <v>535.35317053599988</v>
      </c>
      <c r="N48" s="13"/>
      <c r="O48" s="13">
        <f t="shared" si="1"/>
        <v>26232.305356263994</v>
      </c>
      <c r="P48" s="13">
        <f t="shared" si="2"/>
        <v>0</v>
      </c>
      <c r="Q48" s="15">
        <f t="shared" si="3"/>
        <v>26232.305356263994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Payment_28-03 Aug.xlsx</v>
      </c>
      <c r="U48" s="19"/>
      <c r="V48" s="36">
        <f t="shared" si="4"/>
        <v>468.43402421899992</v>
      </c>
      <c r="W48" s="20">
        <f t="shared" si="5"/>
        <v>66.919146316999985</v>
      </c>
      <c r="X48" s="59">
        <f t="shared" si="6"/>
        <v>401.51487790199997</v>
      </c>
      <c r="Y48" s="21">
        <v>0</v>
      </c>
      <c r="Z48" s="48">
        <f t="shared" si="7"/>
        <v>401.51487790199997</v>
      </c>
      <c r="AB48" s="22" t="str">
        <f>VLOOKUP(C48,DSC_Master!$C$1:$K$201,9,0)</f>
        <v>RAVIKANT SINGH</v>
      </c>
      <c r="AC48" s="22" t="str">
        <f>VLOOKUP(C48,DSC_Master!$C$1:$J$202,8,0)</f>
        <v>441810110003058</v>
      </c>
      <c r="AD48" s="22" t="str">
        <f>VLOOKUP(C48,DSC_Master!$C$1:$J$202,7,0)</f>
        <v>BKID0004418</v>
      </c>
      <c r="AE48" s="159"/>
      <c r="AF48" s="3">
        <v>26768.31</v>
      </c>
      <c r="AG48" s="5">
        <f t="shared" si="8"/>
        <v>-536.00464373600698</v>
      </c>
      <c r="AK48" s="250">
        <f>IFERROR(VLOOKUP(D48,'Milk Can'!D:U,18,0),0)</f>
        <v>2758.7012817799996</v>
      </c>
    </row>
    <row r="49" spans="1:37" x14ac:dyDescent="0.25">
      <c r="A49" s="8">
        <v>1062</v>
      </c>
      <c r="B49" s="38" t="s">
        <v>319</v>
      </c>
      <c r="C49" s="9">
        <v>10620072</v>
      </c>
      <c r="D49" s="8">
        <f>VLOOKUP(C49,DSC_Master!$C$1:D148,2,0)</f>
        <v>60526</v>
      </c>
      <c r="E49" s="10" t="str">
        <f>VLOOKUP(C49,DSC_Master!$C$1:$K$201,4,0)</f>
        <v>CHANDESH DSK</v>
      </c>
      <c r="F49" s="11" t="s">
        <v>303</v>
      </c>
      <c r="G49" s="11" t="s">
        <v>394</v>
      </c>
      <c r="H49" s="24">
        <v>103</v>
      </c>
      <c r="I49" s="24">
        <v>4586.8994202000003</v>
      </c>
      <c r="J49" s="14">
        <f t="shared" si="0"/>
        <v>4586.8994202000003</v>
      </c>
      <c r="K49" s="13"/>
      <c r="L49" s="13"/>
      <c r="M49" s="13">
        <f t="shared" si="9"/>
        <v>0</v>
      </c>
      <c r="N49" s="13"/>
      <c r="O49" s="13">
        <f t="shared" si="1"/>
        <v>4586.8994202000003</v>
      </c>
      <c r="P49" s="13">
        <f t="shared" si="2"/>
        <v>0</v>
      </c>
      <c r="Q49" s="15">
        <f t="shared" si="3"/>
        <v>4586.8994202000003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Payment_28-03 Aug.xlsx</v>
      </c>
      <c r="U49" s="19"/>
      <c r="V49" s="36">
        <f t="shared" si="4"/>
        <v>80.270739853500018</v>
      </c>
      <c r="W49" s="20">
        <f t="shared" si="5"/>
        <v>11.467248550500001</v>
      </c>
      <c r="X49" s="59">
        <f t="shared" si="6"/>
        <v>68.803491303000015</v>
      </c>
      <c r="Y49" s="21">
        <v>0</v>
      </c>
      <c r="Z49" s="48">
        <f t="shared" si="7"/>
        <v>68.803491303000015</v>
      </c>
      <c r="AA49" s="23"/>
      <c r="AB49" s="22" t="str">
        <f>VLOOKUP(C49,DSC_Master!$C$1:$K$201,9,0)</f>
        <v>RAVISHANKAR RAI</v>
      </c>
      <c r="AC49" s="22" t="str">
        <f>VLOOKUP(C49,DSC_Master!$C$1:$J$202,8,0)</f>
        <v>20348864069</v>
      </c>
      <c r="AD49" s="22" t="str">
        <f>VLOOKUP(C49,DSC_Master!$C$1:$J$202,7,0)</f>
        <v>SBIN0017163</v>
      </c>
      <c r="AE49" s="159"/>
      <c r="AF49" s="3">
        <v>4587.03</v>
      </c>
      <c r="AG49" s="5">
        <f t="shared" si="8"/>
        <v>-0.13057979999939562</v>
      </c>
      <c r="AK49" s="250">
        <f>IFERROR(VLOOKUP(D49,'Milk Can'!D:U,18,0),0)</f>
        <v>0</v>
      </c>
    </row>
    <row r="50" spans="1:37" x14ac:dyDescent="0.25">
      <c r="A50" s="8">
        <v>1062</v>
      </c>
      <c r="B50" s="38" t="s">
        <v>319</v>
      </c>
      <c r="C50" s="9">
        <v>10620075</v>
      </c>
      <c r="D50" s="8">
        <f>VLOOKUP(C50,DSC_Master!$C$1:D149,2,0)</f>
        <v>64542</v>
      </c>
      <c r="E50" s="10" t="str">
        <f>VLOOKUP(C50,DSC_Master!$C$1:$K$201,4,0)</f>
        <v>KUCHHALA DSK</v>
      </c>
      <c r="F50" s="11" t="s">
        <v>303</v>
      </c>
      <c r="G50" s="11" t="s">
        <v>394</v>
      </c>
      <c r="H50" s="24">
        <v>515</v>
      </c>
      <c r="I50" s="24">
        <v>25136.583777699998</v>
      </c>
      <c r="J50" s="14">
        <f t="shared" si="0"/>
        <v>25136.583777699998</v>
      </c>
      <c r="K50" s="13"/>
      <c r="L50" s="13"/>
      <c r="M50" s="13">
        <f t="shared" si="9"/>
        <v>502.73167555399999</v>
      </c>
      <c r="N50" s="13"/>
      <c r="O50" s="13">
        <f t="shared" si="1"/>
        <v>24633.852102145996</v>
      </c>
      <c r="P50" s="13">
        <f t="shared" si="2"/>
        <v>0</v>
      </c>
      <c r="Q50" s="15">
        <f t="shared" si="3"/>
        <v>24633.852102145996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Payment_28-03 Aug.xlsx</v>
      </c>
      <c r="U50" s="19"/>
      <c r="V50" s="36">
        <f t="shared" si="4"/>
        <v>439.89021610974999</v>
      </c>
      <c r="W50" s="20">
        <f t="shared" si="5"/>
        <v>62.841459444249999</v>
      </c>
      <c r="X50" s="59">
        <f t="shared" si="6"/>
        <v>377.04875666549998</v>
      </c>
      <c r="Y50" s="21">
        <v>0</v>
      </c>
      <c r="Z50" s="48">
        <f t="shared" si="7"/>
        <v>377.04875666549998</v>
      </c>
      <c r="AB50" s="22" t="str">
        <f>VLOOKUP(C50,DSC_Master!$C$1:$K$201,9,0)</f>
        <v>SUNITA DEVI</v>
      </c>
      <c r="AC50" s="22" t="str">
        <f>VLOOKUP(C50,DSC_Master!$C$1:$J$202,8,0)</f>
        <v>579410110012870</v>
      </c>
      <c r="AD50" s="22" t="str">
        <f>VLOOKUP(C50,DSC_Master!$C$1:$J$202,7,0)</f>
        <v>BKID0005794</v>
      </c>
      <c r="AE50" s="159"/>
      <c r="AF50" s="3">
        <v>25137.13</v>
      </c>
      <c r="AG50" s="5">
        <f t="shared" si="8"/>
        <v>-503.27789785400455</v>
      </c>
      <c r="AK50" s="250">
        <f>IFERROR(VLOOKUP(D50,'Milk Can'!D:U,18,0),0)</f>
        <v>22595.769589089999</v>
      </c>
    </row>
    <row r="51" spans="1:37" x14ac:dyDescent="0.25">
      <c r="A51" s="8">
        <v>1062</v>
      </c>
      <c r="B51" s="38" t="s">
        <v>319</v>
      </c>
      <c r="C51" s="9">
        <v>10620076</v>
      </c>
      <c r="D51" s="8">
        <f>VLOOKUP(C51,DSC_Master!$C$1:D150,2,0)</f>
        <v>60604</v>
      </c>
      <c r="E51" s="10" t="str">
        <f>VLOOKUP(C51,DSC_Master!$C$1:$K$201,4,0)</f>
        <v>SANISARAI DSK</v>
      </c>
      <c r="F51" s="11" t="s">
        <v>303</v>
      </c>
      <c r="G51" s="11" t="s">
        <v>394</v>
      </c>
      <c r="H51" s="24">
        <v>258</v>
      </c>
      <c r="I51" s="24">
        <v>11158.529729700002</v>
      </c>
      <c r="J51" s="14">
        <f t="shared" si="0"/>
        <v>11158.529729700002</v>
      </c>
      <c r="K51" s="13"/>
      <c r="L51" s="13"/>
      <c r="M51" s="13">
        <f t="shared" si="9"/>
        <v>0</v>
      </c>
      <c r="N51" s="13"/>
      <c r="O51" s="13">
        <f t="shared" si="1"/>
        <v>11158.529729700002</v>
      </c>
      <c r="P51" s="13">
        <f t="shared" si="2"/>
        <v>0</v>
      </c>
      <c r="Q51" s="15">
        <f t="shared" si="3"/>
        <v>11158.529729700002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Payment_28-03 Aug.xlsx</v>
      </c>
      <c r="U51" s="19"/>
      <c r="V51" s="36">
        <f t="shared" si="4"/>
        <v>195.27427026975005</v>
      </c>
      <c r="W51" s="20">
        <f t="shared" si="5"/>
        <v>27.896324324250003</v>
      </c>
      <c r="X51" s="59">
        <f t="shared" si="6"/>
        <v>167.37794594550004</v>
      </c>
      <c r="Y51" s="21">
        <v>0</v>
      </c>
      <c r="Z51" s="48">
        <f t="shared" si="7"/>
        <v>167.37794594550004</v>
      </c>
      <c r="AA51" s="23"/>
      <c r="AB51" s="22" t="str">
        <f>VLOOKUP(C51,DSC_Master!$C$1:$K$201,9,0)</f>
        <v>SURESH SINGH</v>
      </c>
      <c r="AC51" s="22" t="str">
        <f>VLOOKUP(C51,DSC_Master!$C$1:$J$202,8,0)</f>
        <v>2784001700140817</v>
      </c>
      <c r="AD51" s="22" t="str">
        <f>VLOOKUP(C51,DSC_Master!$C$1:$J$202,7,0)</f>
        <v>PUNB0278400</v>
      </c>
      <c r="AE51" s="159"/>
      <c r="AF51" s="3">
        <v>11158.7</v>
      </c>
      <c r="AG51" s="5">
        <f t="shared" si="8"/>
        <v>-0.17027029999917431</v>
      </c>
      <c r="AK51" s="250">
        <f>IFERROR(VLOOKUP(D51,'Milk Can'!D:U,18,0),0)</f>
        <v>0</v>
      </c>
    </row>
    <row r="52" spans="1:37" x14ac:dyDescent="0.25">
      <c r="A52" s="8">
        <v>1062</v>
      </c>
      <c r="B52" s="38" t="s">
        <v>319</v>
      </c>
      <c r="C52" s="9">
        <v>10620077</v>
      </c>
      <c r="D52" s="8">
        <f>VLOOKUP(C52,DSC_Master!$C$1:D151,2,0)</f>
        <v>60627</v>
      </c>
      <c r="E52" s="10" t="str">
        <f>VLOOKUP(C52,DSC_Master!$C$1:$K$201,4,0)</f>
        <v>KHANATI DSK</v>
      </c>
      <c r="F52" s="11" t="s">
        <v>303</v>
      </c>
      <c r="G52" s="11" t="s">
        <v>394</v>
      </c>
      <c r="H52" s="24">
        <v>705</v>
      </c>
      <c r="I52" s="24">
        <v>29430.120573000007</v>
      </c>
      <c r="J52" s="14">
        <f t="shared" si="0"/>
        <v>29430.120573000007</v>
      </c>
      <c r="K52" s="13"/>
      <c r="L52" s="13"/>
      <c r="M52" s="13">
        <f t="shared" si="9"/>
        <v>0</v>
      </c>
      <c r="N52" s="13"/>
      <c r="O52" s="13">
        <f t="shared" si="1"/>
        <v>29430.120573000007</v>
      </c>
      <c r="P52" s="13">
        <f t="shared" si="2"/>
        <v>0</v>
      </c>
      <c r="Q52" s="15">
        <f t="shared" si="3"/>
        <v>29430.120573000007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Payment_28-03 Aug.xlsx</v>
      </c>
      <c r="U52" s="19"/>
      <c r="V52" s="36">
        <f t="shared" si="4"/>
        <v>515.02711002750016</v>
      </c>
      <c r="W52" s="20">
        <f t="shared" si="5"/>
        <v>73.575301432500027</v>
      </c>
      <c r="X52" s="59">
        <f t="shared" si="6"/>
        <v>441.4518085950001</v>
      </c>
      <c r="Y52" s="21">
        <v>0</v>
      </c>
      <c r="Z52" s="48">
        <f t="shared" si="7"/>
        <v>441.4518085950001</v>
      </c>
      <c r="AB52" s="22" t="str">
        <f>VLOOKUP(C52,DSC_Master!$C$1:$K$201,9,0)</f>
        <v>SUSHIL YADAV</v>
      </c>
      <c r="AC52" s="22" t="str">
        <f>VLOOKUP(C52,DSC_Master!$C$1:$J$202,8,0)</f>
        <v>2784001700136197</v>
      </c>
      <c r="AD52" s="22" t="str">
        <f>VLOOKUP(C52,DSC_Master!$C$1:$J$202,7,0)</f>
        <v>PUNB0278400</v>
      </c>
      <c r="AE52" s="159"/>
      <c r="AF52" s="3">
        <v>29431.06</v>
      </c>
      <c r="AG52" s="5">
        <f t="shared" si="8"/>
        <v>-0.93942699999388424</v>
      </c>
      <c r="AK52" s="250">
        <f>IFERROR(VLOOKUP(D52,'Milk Can'!D:U,18,0),0)</f>
        <v>0</v>
      </c>
    </row>
    <row r="53" spans="1:37" x14ac:dyDescent="0.25">
      <c r="A53" s="8">
        <v>1062</v>
      </c>
      <c r="B53" s="38" t="s">
        <v>319</v>
      </c>
      <c r="C53" s="9">
        <v>10620099</v>
      </c>
      <c r="D53" s="8">
        <f>VLOOKUP(C53,DSC_Master!$C$1:D152,2,0)</f>
        <v>64504</v>
      </c>
      <c r="E53" s="10" t="str">
        <f>VLOOKUP(C53,DSC_Master!$C$1:$K$201,4,0)</f>
        <v>NONAR DSK</v>
      </c>
      <c r="F53" s="11" t="s">
        <v>303</v>
      </c>
      <c r="G53" s="11" t="s">
        <v>394</v>
      </c>
      <c r="H53" s="24">
        <v>328</v>
      </c>
      <c r="I53" s="24">
        <v>12352.187309100003</v>
      </c>
      <c r="J53" s="14">
        <f t="shared" si="0"/>
        <v>12352.187309100003</v>
      </c>
      <c r="K53" s="13"/>
      <c r="L53" s="13"/>
      <c r="M53" s="13">
        <f t="shared" si="9"/>
        <v>300</v>
      </c>
      <c r="N53" s="13"/>
      <c r="O53" s="13">
        <f t="shared" si="1"/>
        <v>12052.187309100003</v>
      </c>
      <c r="P53" s="13">
        <f t="shared" si="2"/>
        <v>0</v>
      </c>
      <c r="Q53" s="15">
        <f t="shared" si="3"/>
        <v>12052.187309100003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Payment_28-03 Aug.xlsx</v>
      </c>
      <c r="U53" s="19"/>
      <c r="V53" s="36">
        <f t="shared" si="4"/>
        <v>216.16327790925007</v>
      </c>
      <c r="W53" s="20">
        <f t="shared" si="5"/>
        <v>30.880468272750008</v>
      </c>
      <c r="X53" s="59">
        <f t="shared" si="6"/>
        <v>185.28280963650008</v>
      </c>
      <c r="Y53" s="21">
        <v>0</v>
      </c>
      <c r="Z53" s="48">
        <f t="shared" si="7"/>
        <v>185.28280963650008</v>
      </c>
      <c r="AB53" s="22" t="str">
        <f>VLOOKUP(C53,DSC_Master!$C$1:$K$201,9,0)</f>
        <v>SURESH KHARWAR</v>
      </c>
      <c r="AC53" s="22" t="str">
        <f>VLOOKUP(C53,DSC_Master!$C$1:$J$202,8,0)</f>
        <v>2784000100286464</v>
      </c>
      <c r="AD53" s="22" t="str">
        <f>VLOOKUP(C53,DSC_Master!$C$1:$J$202,7,0)</f>
        <v>PUNB0278400</v>
      </c>
      <c r="AE53" s="159"/>
      <c r="AF53" s="3">
        <v>12352.54</v>
      </c>
      <c r="AG53" s="5">
        <f t="shared" si="8"/>
        <v>-300.35269089999747</v>
      </c>
      <c r="AK53" s="250">
        <f>IFERROR(VLOOKUP(D53,'Milk Can'!D:U,18,0),0)</f>
        <v>3000</v>
      </c>
    </row>
    <row r="54" spans="1:37" x14ac:dyDescent="0.25">
      <c r="A54" s="8">
        <v>1062</v>
      </c>
      <c r="B54" s="38" t="s">
        <v>319</v>
      </c>
      <c r="C54" s="9">
        <v>10620100</v>
      </c>
      <c r="D54" s="8">
        <f>VLOOKUP(C54,DSC_Master!$C$1:D153,2,0)</f>
        <v>60646</v>
      </c>
      <c r="E54" s="10" t="str">
        <f>VLOOKUP(C54,DSC_Master!$C$1:$K$201,4,0)</f>
        <v>RAMGARH DSK</v>
      </c>
      <c r="F54" s="11" t="s">
        <v>303</v>
      </c>
      <c r="G54" s="11" t="s">
        <v>394</v>
      </c>
      <c r="H54" s="24">
        <v>782</v>
      </c>
      <c r="I54" s="24">
        <v>43786.564999999995</v>
      </c>
      <c r="J54" s="14">
        <f t="shared" si="0"/>
        <v>43786.564999999995</v>
      </c>
      <c r="K54" s="13"/>
      <c r="L54" s="13"/>
      <c r="M54" s="13">
        <f t="shared" si="9"/>
        <v>0</v>
      </c>
      <c r="N54" s="13"/>
      <c r="O54" s="13">
        <f t="shared" si="1"/>
        <v>43786.564999999995</v>
      </c>
      <c r="P54" s="13">
        <f t="shared" si="2"/>
        <v>0</v>
      </c>
      <c r="Q54" s="15">
        <f t="shared" si="3"/>
        <v>43786.564999999995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Payment_28-03 Aug.xlsx</v>
      </c>
      <c r="U54" s="19"/>
      <c r="V54" s="36">
        <f t="shared" si="4"/>
        <v>766.26488749999999</v>
      </c>
      <c r="W54" s="20">
        <f t="shared" si="5"/>
        <v>109.46641249999999</v>
      </c>
      <c r="X54" s="59">
        <f t="shared" si="6"/>
        <v>656.79847500000005</v>
      </c>
      <c r="Y54" s="21">
        <v>0</v>
      </c>
      <c r="Z54" s="48">
        <f t="shared" si="7"/>
        <v>656.79847500000005</v>
      </c>
      <c r="AA54" s="23"/>
      <c r="AB54" s="22" t="str">
        <f>VLOOKUP(C54,DSC_Master!$C$1:$K$201,9,0)</f>
        <v>SHRI SHYAM DAIRY CO</v>
      </c>
      <c r="AC54" s="22" t="str">
        <f>VLOOKUP(C54,DSC_Master!$C$1:$J$202,8,0)</f>
        <v>579420110000403</v>
      </c>
      <c r="AD54" s="22" t="str">
        <f>VLOOKUP(C54,DSC_Master!$C$1:$J$202,7,0)</f>
        <v>BKID0005794</v>
      </c>
      <c r="AE54" s="159"/>
      <c r="AF54" s="3">
        <v>43789.65</v>
      </c>
      <c r="AG54" s="5">
        <f t="shared" si="8"/>
        <v>-3.0850000000064028</v>
      </c>
      <c r="AK54" s="250">
        <f>IFERROR(VLOOKUP(D54,'Milk Can'!D:U,18,0),0)</f>
        <v>0</v>
      </c>
    </row>
    <row r="55" spans="1:37" x14ac:dyDescent="0.25">
      <c r="A55" s="8">
        <v>1062</v>
      </c>
      <c r="B55" s="38" t="s">
        <v>319</v>
      </c>
      <c r="C55" s="9">
        <v>10620101</v>
      </c>
      <c r="D55" s="8">
        <f>VLOOKUP(C55,DSC_Master!$C$1:D154,2,0)</f>
        <v>20101</v>
      </c>
      <c r="E55" s="10" t="str">
        <f>VLOOKUP(C55,DSC_Master!$C$1:$K$201,4,0)</f>
        <v>JABURNA DSK</v>
      </c>
      <c r="F55" s="11" t="s">
        <v>303</v>
      </c>
      <c r="G55" s="11" t="s">
        <v>394</v>
      </c>
      <c r="H55" s="24">
        <v>200</v>
      </c>
      <c r="I55" s="24">
        <v>10360.4170056</v>
      </c>
      <c r="J55" s="14">
        <f t="shared" si="0"/>
        <v>10360.4170056</v>
      </c>
      <c r="K55" s="13"/>
      <c r="L55" s="13"/>
      <c r="M55" s="13">
        <f t="shared" si="9"/>
        <v>300</v>
      </c>
      <c r="N55" s="13"/>
      <c r="O55" s="13">
        <f t="shared" si="1"/>
        <v>10060.4170056</v>
      </c>
      <c r="P55" s="13">
        <f t="shared" si="2"/>
        <v>0</v>
      </c>
      <c r="Q55" s="15">
        <f t="shared" si="3"/>
        <v>10060.4170056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Payment_28-03 Aug.xlsx</v>
      </c>
      <c r="U55" s="19"/>
      <c r="V55" s="36">
        <f t="shared" si="4"/>
        <v>181.30729759800002</v>
      </c>
      <c r="W55" s="20">
        <f t="shared" si="5"/>
        <v>25.901042514</v>
      </c>
      <c r="X55" s="59">
        <f t="shared" si="6"/>
        <v>155.40625508400001</v>
      </c>
      <c r="Y55" s="21">
        <v>0</v>
      </c>
      <c r="Z55" s="48">
        <f t="shared" si="7"/>
        <v>155.40625508400001</v>
      </c>
      <c r="AA55" s="23"/>
      <c r="AB55" s="22" t="str">
        <f>VLOOKUP(C55,DSC_Master!$C$1:$K$201,9,0)</f>
        <v>MD IMRAN KHAN</v>
      </c>
      <c r="AC55" s="22" t="str">
        <f>VLOOKUP(C55,DSC_Master!$C$1:$J$202,8,0)</f>
        <v>43620100017275</v>
      </c>
      <c r="AD55" s="22" t="str">
        <f>VLOOKUP(C55,DSC_Master!$C$1:$J$202,7,0)</f>
        <v>BARB0DILDAR</v>
      </c>
      <c r="AE55" s="159"/>
      <c r="AF55" s="3">
        <v>10360.969999999999</v>
      </c>
      <c r="AG55" s="5">
        <f t="shared" si="8"/>
        <v>-300.55299439999908</v>
      </c>
      <c r="AK55" s="250">
        <f>IFERROR(VLOOKUP(D55,'Milk Can'!D:U,18,0),0)</f>
        <v>19500</v>
      </c>
    </row>
    <row r="56" spans="1:37" x14ac:dyDescent="0.25">
      <c r="A56" s="8">
        <v>1062</v>
      </c>
      <c r="B56" s="38" t="s">
        <v>319</v>
      </c>
      <c r="C56" s="9">
        <v>10620102</v>
      </c>
      <c r="D56" s="8">
        <f>VLOOKUP(C56,DSC_Master!$C$1:D155,2,0)</f>
        <v>20102</v>
      </c>
      <c r="E56" s="10" t="str">
        <f>VLOOKUP(C56,DSC_Master!$C$1:$K$201,4,0)</f>
        <v>KALANI DSK</v>
      </c>
      <c r="F56" s="11" t="s">
        <v>303</v>
      </c>
      <c r="G56" s="11" t="s">
        <v>394</v>
      </c>
      <c r="H56" s="24">
        <v>640</v>
      </c>
      <c r="I56" s="24">
        <v>27903.281782500002</v>
      </c>
      <c r="J56" s="14">
        <f t="shared" si="0"/>
        <v>27903.281782500002</v>
      </c>
      <c r="K56" s="13"/>
      <c r="L56" s="13"/>
      <c r="M56" s="13">
        <f t="shared" si="9"/>
        <v>558.0656356500001</v>
      </c>
      <c r="N56" s="13"/>
      <c r="O56" s="13">
        <f t="shared" si="1"/>
        <v>27345.216146850002</v>
      </c>
      <c r="P56" s="13">
        <f t="shared" si="2"/>
        <v>0</v>
      </c>
      <c r="Q56" s="15">
        <f t="shared" si="3"/>
        <v>27345.216146850002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Payment_28-03 Aug.xlsx</v>
      </c>
      <c r="U56" s="19"/>
      <c r="V56" s="36">
        <f t="shared" si="4"/>
        <v>488.30743119375006</v>
      </c>
      <c r="W56" s="20">
        <f t="shared" si="5"/>
        <v>69.758204456250013</v>
      </c>
      <c r="X56" s="59">
        <f t="shared" si="6"/>
        <v>418.54922673750002</v>
      </c>
      <c r="Y56" s="21">
        <v>0</v>
      </c>
      <c r="Z56" s="48">
        <f t="shared" si="7"/>
        <v>418.54922673750002</v>
      </c>
      <c r="AA56" s="23"/>
      <c r="AB56" s="22" t="str">
        <f>VLOOKUP(C56,DSC_Master!$C$1:$K$201,9,0)</f>
        <v>MAYA KUMARI</v>
      </c>
      <c r="AC56" s="22" t="str">
        <f>VLOOKUP(C56,DSC_Master!$C$1:$J$202,8,0)</f>
        <v>461110110010454</v>
      </c>
      <c r="AD56" s="22" t="str">
        <f>VLOOKUP(C56,DSC_Master!$C$1:$J$202,7,0)</f>
        <v>BKID0004611</v>
      </c>
      <c r="AE56" s="159"/>
      <c r="AF56" s="3">
        <v>27904.06</v>
      </c>
      <c r="AG56" s="5">
        <f t="shared" si="8"/>
        <v>-558.84385314999963</v>
      </c>
      <c r="AK56" s="250">
        <f>IFERROR(VLOOKUP(D56,'Milk Can'!D:U,18,0),0)</f>
        <v>19500</v>
      </c>
    </row>
    <row r="57" spans="1:37" x14ac:dyDescent="0.25">
      <c r="A57" s="8">
        <v>1062</v>
      </c>
      <c r="B57" s="38" t="s">
        <v>319</v>
      </c>
      <c r="C57" s="9">
        <v>10620104</v>
      </c>
      <c r="D57" s="8">
        <f>VLOOKUP(C57,DSC_Master!$C$1:D156,2,0)</f>
        <v>20104</v>
      </c>
      <c r="E57" s="10" t="str">
        <f>VLOOKUP(C57,DSC_Master!$C$1:$K$201,4,0)</f>
        <v>PANAPUR - PURVY DSK</v>
      </c>
      <c r="F57" s="11" t="s">
        <v>303</v>
      </c>
      <c r="G57" s="11" t="s">
        <v>394</v>
      </c>
      <c r="H57" s="24">
        <v>251</v>
      </c>
      <c r="I57" s="24">
        <v>10645.469401200002</v>
      </c>
      <c r="J57" s="14">
        <f t="shared" si="0"/>
        <v>10645.469401200002</v>
      </c>
      <c r="K57" s="13"/>
      <c r="L57" s="13"/>
      <c r="M57" s="13">
        <f t="shared" si="9"/>
        <v>300</v>
      </c>
      <c r="N57" s="13"/>
      <c r="O57" s="13">
        <f t="shared" si="1"/>
        <v>10345.469401200002</v>
      </c>
      <c r="P57" s="13">
        <f t="shared" si="2"/>
        <v>0</v>
      </c>
      <c r="Q57" s="15">
        <f t="shared" si="3"/>
        <v>10345.469401200002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Payment_28-03 Aug.xlsx</v>
      </c>
      <c r="U57" s="19"/>
      <c r="V57" s="36">
        <f t="shared" si="4"/>
        <v>186.29571452100004</v>
      </c>
      <c r="W57" s="20">
        <f t="shared" si="5"/>
        <v>26.613673503000005</v>
      </c>
      <c r="X57" s="59">
        <f t="shared" si="6"/>
        <v>159.68204101800004</v>
      </c>
      <c r="Y57" s="21">
        <v>0</v>
      </c>
      <c r="Z57" s="48">
        <f t="shared" si="7"/>
        <v>159.68204101800004</v>
      </c>
      <c r="AB57" s="22" t="str">
        <f>VLOOKUP(C57,DSC_Master!$C$1:$K$201,9,0)</f>
        <v>NEERAJ KUMAR</v>
      </c>
      <c r="AC57" s="22" t="str">
        <f>VLOOKUP(C57,DSC_Master!$C$1:$J$202,8,0)</f>
        <v>20200123940927</v>
      </c>
      <c r="AD57" s="22" t="str">
        <f>VLOOKUP(C57,DSC_Master!$C$1:$J$202,7,0)</f>
        <v>BDBL0001544</v>
      </c>
      <c r="AE57" s="159"/>
      <c r="AF57" s="3">
        <v>10645.66</v>
      </c>
      <c r="AG57" s="5">
        <f t="shared" si="8"/>
        <v>-300.19059879999804</v>
      </c>
      <c r="AK57" s="250">
        <f>IFERROR(VLOOKUP(D57,'Milk Can'!D:U,18,0),0)</f>
        <v>19500</v>
      </c>
    </row>
    <row r="58" spans="1:37" x14ac:dyDescent="0.25">
      <c r="A58" s="8">
        <v>1062</v>
      </c>
      <c r="B58" s="38" t="s">
        <v>319</v>
      </c>
      <c r="C58" s="9">
        <v>10620106</v>
      </c>
      <c r="D58" s="8">
        <f>VLOOKUP(C58,DSC_Master!$C$1:D157,2,0)</f>
        <v>20106</v>
      </c>
      <c r="E58" s="10" t="str">
        <f>VLOOKUP(C58,DSC_Master!$C$1:$K$201,4,0)</f>
        <v>MACHHANHATA DSK</v>
      </c>
      <c r="F58" s="11" t="s">
        <v>303</v>
      </c>
      <c r="G58" s="11" t="s">
        <v>394</v>
      </c>
      <c r="H58" s="24">
        <v>211</v>
      </c>
      <c r="I58" s="24">
        <v>9340.2584144999983</v>
      </c>
      <c r="J58" s="14">
        <f t="shared" ref="J58:J65" si="10">I58</f>
        <v>9340.2584144999983</v>
      </c>
      <c r="K58" s="13"/>
      <c r="L58" s="13"/>
      <c r="M58" s="13">
        <f t="shared" si="9"/>
        <v>0</v>
      </c>
      <c r="N58" s="13"/>
      <c r="O58" s="13">
        <f t="shared" ref="O58:O65" si="11">J58-SUM(K58:N58)</f>
        <v>9340.2584144999983</v>
      </c>
      <c r="P58" s="13">
        <f t="shared" ref="P58:P65" si="12">IF(R58="Yes",O58,0)</f>
        <v>0</v>
      </c>
      <c r="Q58" s="15">
        <f t="shared" ref="Q58:Q65" si="13">O58-P58</f>
        <v>9340.2584144999983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Payment_28-03 Aug.xlsx</v>
      </c>
      <c r="U58" s="19"/>
      <c r="V58" s="36">
        <f t="shared" ref="V58:V65" si="14">I58*1.75%</f>
        <v>163.45452225374999</v>
      </c>
      <c r="W58" s="20">
        <f t="shared" ref="W58:W65" si="15">I58*0.25%</f>
        <v>23.350646036249994</v>
      </c>
      <c r="X58" s="59">
        <f t="shared" ref="X58:X65" si="16">V58-W58</f>
        <v>140.10387621749999</v>
      </c>
      <c r="Y58" s="21">
        <v>0</v>
      </c>
      <c r="Z58" s="48">
        <f t="shared" ref="Z58:Z65" si="17">X58-Y58</f>
        <v>140.10387621749999</v>
      </c>
      <c r="AB58" s="22" t="str">
        <f>VLOOKUP(C58,DSC_Master!$C$1:$K$201,9,0)</f>
        <v>PARASNATH SINGH</v>
      </c>
      <c r="AC58" s="22" t="str">
        <f>VLOOKUP(C58,DSC_Master!$C$1:$J$202,8,0)</f>
        <v>924010067199253</v>
      </c>
      <c r="AD58" s="22" t="str">
        <f>VLOOKUP(C58,DSC_Master!$C$1:$J$202,7,0)</f>
        <v>UTIB0005542</v>
      </c>
      <c r="AE58" s="159"/>
      <c r="AF58" s="3">
        <v>9340.6</v>
      </c>
      <c r="AG58" s="5">
        <f t="shared" ref="AG58:AG65" si="18">Q58-AF58</f>
        <v>-0.34158550000211108</v>
      </c>
      <c r="AK58" s="250">
        <f>IFERROR(VLOOKUP(D58,'Milk Can'!D:U,18,0),0)</f>
        <v>0</v>
      </c>
    </row>
    <row r="59" spans="1:37" x14ac:dyDescent="0.25">
      <c r="A59" s="8">
        <v>1062</v>
      </c>
      <c r="B59" s="38" t="s">
        <v>319</v>
      </c>
      <c r="C59" s="9">
        <v>10620107</v>
      </c>
      <c r="D59" s="8">
        <f>VLOOKUP(C59,DSC_Master!$C$1:D158,2,0)</f>
        <v>20107</v>
      </c>
      <c r="E59" s="10" t="str">
        <f>VLOOKUP(C59,DSC_Master!$C$1:$K$201,4,0)</f>
        <v>DANDAWAS DSK</v>
      </c>
      <c r="F59" s="11" t="s">
        <v>303</v>
      </c>
      <c r="G59" s="11" t="s">
        <v>394</v>
      </c>
      <c r="H59" s="24">
        <v>76</v>
      </c>
      <c r="I59" s="24">
        <v>2915.0575569000002</v>
      </c>
      <c r="J59" s="14">
        <f t="shared" si="10"/>
        <v>2915.0575569000002</v>
      </c>
      <c r="K59" s="13"/>
      <c r="L59" s="13"/>
      <c r="M59" s="13">
        <f t="shared" si="9"/>
        <v>0</v>
      </c>
      <c r="N59" s="13"/>
      <c r="O59" s="13">
        <f t="shared" si="11"/>
        <v>2915.0575569000002</v>
      </c>
      <c r="P59" s="13">
        <f t="shared" si="12"/>
        <v>0</v>
      </c>
      <c r="Q59" s="15">
        <f t="shared" si="13"/>
        <v>2915.0575569000002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Payment_28-03 Aug.xlsx</v>
      </c>
      <c r="U59" s="19"/>
      <c r="V59" s="36">
        <f t="shared" si="14"/>
        <v>51.013507245750006</v>
      </c>
      <c r="W59" s="20">
        <f t="shared" si="15"/>
        <v>7.2876438922500011</v>
      </c>
      <c r="X59" s="59">
        <f t="shared" si="16"/>
        <v>43.725863353500003</v>
      </c>
      <c r="Y59" s="21">
        <v>0</v>
      </c>
      <c r="Z59" s="48">
        <f t="shared" si="17"/>
        <v>43.725863353500003</v>
      </c>
      <c r="AB59" s="22" t="str">
        <f>VLOOKUP(C59,DSC_Master!$C$1:$K$201,9,0)</f>
        <v>DHANANJAY SINGH</v>
      </c>
      <c r="AC59" s="22" t="str">
        <f>VLOOKUP(C59,DSC_Master!$C$1:$J$202,8,0)</f>
        <v>110291410255</v>
      </c>
      <c r="AD59" s="22" t="str">
        <f>VLOOKUP(C59,DSC_Master!$C$1:$J$202,7,0)</f>
        <v>CNRB0007689</v>
      </c>
      <c r="AE59" s="159"/>
      <c r="AF59" s="3">
        <v>2915.05</v>
      </c>
      <c r="AG59" s="5">
        <f t="shared" si="18"/>
        <v>7.5569000000541564E-3</v>
      </c>
      <c r="AK59" s="250">
        <f>IFERROR(VLOOKUP(D59,'Milk Can'!D:U,18,0),0)</f>
        <v>0</v>
      </c>
    </row>
    <row r="60" spans="1:37" x14ac:dyDescent="0.25">
      <c r="A60" s="8">
        <v>1062</v>
      </c>
      <c r="B60" s="38" t="s">
        <v>319</v>
      </c>
      <c r="C60" s="9">
        <v>10620109</v>
      </c>
      <c r="D60" s="8">
        <f>VLOOKUP(C60,DSC_Master!$C$1:D159,2,0)</f>
        <v>20109</v>
      </c>
      <c r="E60" s="10" t="str">
        <f>VLOOKUP(C60,DSC_Master!$C$1:$K$201,4,0)</f>
        <v>YUVRAJPUR DSK</v>
      </c>
      <c r="F60" s="11" t="s">
        <v>303</v>
      </c>
      <c r="G60" s="11" t="s">
        <v>394</v>
      </c>
      <c r="H60" s="24">
        <v>12010</v>
      </c>
      <c r="I60" s="24">
        <v>534218.9898150001</v>
      </c>
      <c r="J60" s="14">
        <f t="shared" ref="J60:J62" si="19">I60</f>
        <v>534218.9898150001</v>
      </c>
      <c r="K60" s="13"/>
      <c r="L60" s="13"/>
      <c r="M60" s="13">
        <f t="shared" ref="M60:M62" si="20">IF(AK60&gt;0,MAX(IF(AK60&gt;0,J60*2%),300),0)</f>
        <v>0</v>
      </c>
      <c r="N60" s="13"/>
      <c r="O60" s="13">
        <f t="shared" ref="O60:O62" si="21">J60-SUM(K60:N60)</f>
        <v>534218.9898150001</v>
      </c>
      <c r="P60" s="13">
        <f t="shared" ref="P60:P62" si="22">IF(R60="Yes",O60,0)</f>
        <v>0</v>
      </c>
      <c r="Q60" s="15">
        <f t="shared" ref="Q60:Q62" si="23">O60-P60</f>
        <v>534218.9898150001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Payment_28-03 Aug.xlsx</v>
      </c>
      <c r="U60" s="19"/>
      <c r="V60" s="36">
        <f t="shared" ref="V60:V62" si="24">I60*1.75%</f>
        <v>9348.832321762502</v>
      </c>
      <c r="W60" s="20">
        <f t="shared" ref="W60:W62" si="25">I60*0.25%</f>
        <v>1335.5474745375002</v>
      </c>
      <c r="X60" s="59">
        <f t="shared" ref="X60:X62" si="26">V60-W60</f>
        <v>8013.2848472250016</v>
      </c>
      <c r="Y60" s="21">
        <v>0</v>
      </c>
      <c r="Z60" s="48">
        <f t="shared" ref="Z60:Z62" si="27">X60-Y60</f>
        <v>8013.2848472250016</v>
      </c>
      <c r="AB60" s="22" t="str">
        <f>VLOOKUP(C60,DSC_Master!$C$1:$K$201,9,0)</f>
        <v>PRIYANKA PANDEY</v>
      </c>
      <c r="AC60" s="22" t="str">
        <f>VLOOKUP(C60,DSC_Master!$C$1:$J$202,8,0)</f>
        <v>0662001500012630</v>
      </c>
      <c r="AD60" s="22" t="str">
        <f>VLOOKUP(C60,DSC_Master!$C$1:$J$202,7,0)</f>
        <v>PUNB0066200</v>
      </c>
      <c r="AE60" s="159"/>
      <c r="AF60" s="3">
        <v>534204.80000000005</v>
      </c>
      <c r="AG60" s="5">
        <f t="shared" ref="AG60:AG62" si="28">Q60-AF60</f>
        <v>14.189815000048839</v>
      </c>
      <c r="AK60" s="250">
        <f>IFERROR(VLOOKUP(D60,'Milk Can'!D:U,18,0),0)</f>
        <v>0</v>
      </c>
    </row>
    <row r="61" spans="1:37" x14ac:dyDescent="0.25">
      <c r="A61" s="8">
        <v>1062</v>
      </c>
      <c r="B61" s="38" t="s">
        <v>319</v>
      </c>
      <c r="C61" s="9">
        <v>10620111</v>
      </c>
      <c r="D61" s="8">
        <f>VLOOKUP(C61,DSC_Master!$C$1:D160,2,0)</f>
        <v>20111</v>
      </c>
      <c r="E61" s="10" t="str">
        <f>VLOOKUP(C61,DSC_Master!$C$1:$K$201,4,0)</f>
        <v>SUHWAL</v>
      </c>
      <c r="F61" s="11" t="s">
        <v>303</v>
      </c>
      <c r="G61" s="11" t="s">
        <v>394</v>
      </c>
      <c r="H61" s="24">
        <v>300</v>
      </c>
      <c r="I61" s="24">
        <v>13344.354450000001</v>
      </c>
      <c r="J61" s="14">
        <f t="shared" si="19"/>
        <v>13344.354450000001</v>
      </c>
      <c r="K61" s="13"/>
      <c r="L61" s="13"/>
      <c r="M61" s="13">
        <f t="shared" si="20"/>
        <v>0</v>
      </c>
      <c r="N61" s="13"/>
      <c r="O61" s="13">
        <f t="shared" si="21"/>
        <v>13344.354450000001</v>
      </c>
      <c r="P61" s="13">
        <f t="shared" si="22"/>
        <v>0</v>
      </c>
      <c r="Q61" s="15">
        <f t="shared" si="23"/>
        <v>13344.354450000001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Payment_28-03 Aug.xlsx</v>
      </c>
      <c r="U61" s="19"/>
      <c r="V61" s="36">
        <f t="shared" si="24"/>
        <v>233.52620287500002</v>
      </c>
      <c r="W61" s="20">
        <f t="shared" si="25"/>
        <v>33.360886125</v>
      </c>
      <c r="X61" s="59">
        <f t="shared" si="26"/>
        <v>200.16531675000002</v>
      </c>
      <c r="Y61" s="21">
        <v>0</v>
      </c>
      <c r="Z61" s="48">
        <f t="shared" si="27"/>
        <v>200.16531675000002</v>
      </c>
      <c r="AB61" s="22" t="str">
        <f>VLOOKUP(C61,DSC_Master!$C$1:$K$201,9,0)</f>
        <v>PRIYA PANDEY</v>
      </c>
      <c r="AC61" s="22" t="str">
        <f>VLOOKUP(C61,DSC_Master!$C$1:$J$202,8,0)</f>
        <v>43605915887</v>
      </c>
      <c r="AD61" s="22" t="str">
        <f>VLOOKUP(C61,DSC_Master!$C$1:$J$202,7,0)</f>
        <v>SBIN0003683</v>
      </c>
      <c r="AE61" s="159"/>
      <c r="AF61" s="3">
        <v>13344</v>
      </c>
      <c r="AG61" s="5">
        <f t="shared" si="28"/>
        <v>0.35445000000072469</v>
      </c>
      <c r="AK61" s="250">
        <f>IFERROR(VLOOKUP(D61,'Milk Can'!D:U,18,0),0)</f>
        <v>0</v>
      </c>
    </row>
    <row r="62" spans="1:37" x14ac:dyDescent="0.25">
      <c r="A62" s="8">
        <v>1062</v>
      </c>
      <c r="B62" s="38" t="s">
        <v>319</v>
      </c>
      <c r="C62" s="9">
        <v>10620112</v>
      </c>
      <c r="D62" s="8">
        <f>VLOOKUP(C62,DSC_Master!$C$1:D161,2,0)</f>
        <v>20112</v>
      </c>
      <c r="E62" s="10" t="str">
        <f>VLOOKUP(C62,DSC_Master!$C$1:$K$201,4,0)</f>
        <v>PARSATHUA DSK</v>
      </c>
      <c r="F62" s="11" t="s">
        <v>303</v>
      </c>
      <c r="G62" s="11" t="s">
        <v>394</v>
      </c>
      <c r="H62" s="24">
        <v>127</v>
      </c>
      <c r="I62" s="24">
        <v>5051.4062697000008</v>
      </c>
      <c r="J62" s="14">
        <f t="shared" si="19"/>
        <v>5051.4062697000008</v>
      </c>
      <c r="K62" s="13"/>
      <c r="L62" s="13"/>
      <c r="M62" s="13">
        <f t="shared" si="20"/>
        <v>0</v>
      </c>
      <c r="N62" s="13"/>
      <c r="O62" s="13">
        <f t="shared" si="21"/>
        <v>5051.4062697000008</v>
      </c>
      <c r="P62" s="13">
        <f t="shared" si="22"/>
        <v>0</v>
      </c>
      <c r="Q62" s="15">
        <f t="shared" si="23"/>
        <v>5051.4062697000008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Payment_28-03 Aug.xlsx</v>
      </c>
      <c r="U62" s="19"/>
      <c r="V62" s="36">
        <f t="shared" si="24"/>
        <v>88.399609719750018</v>
      </c>
      <c r="W62" s="20">
        <f t="shared" si="25"/>
        <v>12.628515674250002</v>
      </c>
      <c r="X62" s="59">
        <f t="shared" si="26"/>
        <v>75.771094045500021</v>
      </c>
      <c r="Y62" s="21">
        <v>0</v>
      </c>
      <c r="Z62" s="48">
        <f t="shared" si="27"/>
        <v>75.771094045500021</v>
      </c>
      <c r="AB62" s="22" t="str">
        <f>VLOOKUP(C62,DSC_Master!$C$1:$K$201,9,0)</f>
        <v>ANJU DEVI</v>
      </c>
      <c r="AC62" s="22" t="str">
        <f>VLOOKUP(C62,DSC_Master!$C$1:$J$202,8,0)</f>
        <v>50100615862671</v>
      </c>
      <c r="AD62" s="22" t="str">
        <f>VLOOKUP(C62,DSC_Master!$C$1:$J$202,7,0)</f>
        <v>HDFC0002625</v>
      </c>
      <c r="AE62" s="159"/>
      <c r="AF62" s="3">
        <v>5051.6099999999997</v>
      </c>
      <c r="AG62" s="5">
        <f t="shared" si="28"/>
        <v>-0.20373029999882419</v>
      </c>
      <c r="AK62" s="250">
        <f>IFERROR(VLOOKUP(D62,'Milk Can'!D:U,18,0),0)</f>
        <v>0</v>
      </c>
    </row>
    <row r="63" spans="1:37" x14ac:dyDescent="0.25">
      <c r="A63" s="8">
        <v>1062</v>
      </c>
      <c r="B63" s="38" t="s">
        <v>319</v>
      </c>
      <c r="C63" s="9">
        <v>10620115</v>
      </c>
      <c r="D63" s="8">
        <f>VLOOKUP(C63,DSC_Master!$C$1:D159,2,0)</f>
        <v>20115</v>
      </c>
      <c r="E63" s="10" t="str">
        <f>VLOOKUP(C63,DSC_Master!$C$1:$K$201,4,0)</f>
        <v>BADAKI KULHARIA DSK</v>
      </c>
      <c r="F63" s="11" t="s">
        <v>303</v>
      </c>
      <c r="G63" s="11" t="s">
        <v>394</v>
      </c>
      <c r="H63" s="24">
        <v>389</v>
      </c>
      <c r="I63" s="24">
        <v>15693.969806400002</v>
      </c>
      <c r="J63" s="14">
        <f t="shared" ref="J63:J64" si="29">I63</f>
        <v>15693.969806400002</v>
      </c>
      <c r="K63" s="13"/>
      <c r="L63" s="13"/>
      <c r="M63" s="13">
        <f t="shared" si="9"/>
        <v>313.87939612800005</v>
      </c>
      <c r="N63" s="13"/>
      <c r="O63" s="13">
        <f t="shared" ref="O63:O64" si="30">J63-SUM(K63:N63)</f>
        <v>15380.090410272001</v>
      </c>
      <c r="P63" s="13">
        <f t="shared" ref="P63:P64" si="31">IF(R63="Yes",O63,0)</f>
        <v>0</v>
      </c>
      <c r="Q63" s="15">
        <f t="shared" ref="Q63:Q64" si="32">O63-P63</f>
        <v>15380.090410272001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Payment_28-03 Aug.xlsx</v>
      </c>
      <c r="U63" s="19"/>
      <c r="V63" s="36">
        <f t="shared" ref="V63:V64" si="33">I63*1.75%</f>
        <v>274.64447161200007</v>
      </c>
      <c r="W63" s="20">
        <f t="shared" ref="W63:W64" si="34">I63*0.25%</f>
        <v>39.234924516000007</v>
      </c>
      <c r="X63" s="59">
        <f t="shared" ref="X63:X64" si="35">V63-W63</f>
        <v>235.40954709600007</v>
      </c>
      <c r="Y63" s="21">
        <v>0</v>
      </c>
      <c r="Z63" s="48">
        <f t="shared" ref="Z63:Z64" si="36">X63-Y63</f>
        <v>235.40954709600007</v>
      </c>
      <c r="AB63" s="22" t="str">
        <f>VLOOKUP(C63,DSC_Master!$C$1:$K$201,9,0)</f>
        <v>AJAY KUMAR SINGH</v>
      </c>
      <c r="AC63" s="22" t="str">
        <f>VLOOKUP(C63,DSC_Master!$C$1:$J$202,8,0)</f>
        <v>41684045867</v>
      </c>
      <c r="AD63" s="22" t="str">
        <f>VLOOKUP(C63,DSC_Master!$C$1:$J$202,7,0)</f>
        <v>SBIN0017163</v>
      </c>
      <c r="AE63" s="159"/>
      <c r="AF63" s="3">
        <v>15694.46</v>
      </c>
      <c r="AG63" s="5">
        <f t="shared" ref="AG63:AG64" si="37">Q63-AF63</f>
        <v>-314.36958972799766</v>
      </c>
      <c r="AK63" s="250">
        <f>IFERROR(VLOOKUP(D63,'Milk Can'!D:U,18,0),0)</f>
        <v>19472.514872153999</v>
      </c>
    </row>
    <row r="64" spans="1:37" x14ac:dyDescent="0.25">
      <c r="A64" s="8">
        <v>1062</v>
      </c>
      <c r="B64" s="38" t="s">
        <v>319</v>
      </c>
      <c r="C64" s="9">
        <v>10620119</v>
      </c>
      <c r="D64" s="8">
        <f>VLOOKUP(C64,DSC_Master!$C$1:D160,2,0)</f>
        <v>20119</v>
      </c>
      <c r="E64" s="10" t="str">
        <f>VLOOKUP(C64,DSC_Master!$C$1:$K$201,4,0)</f>
        <v>KURRA NEW DSK</v>
      </c>
      <c r="F64" s="11" t="s">
        <v>303</v>
      </c>
      <c r="G64" s="11" t="s">
        <v>394</v>
      </c>
      <c r="H64" s="24">
        <v>3250</v>
      </c>
      <c r="I64" s="24">
        <v>141169.29015600003</v>
      </c>
      <c r="J64" s="14">
        <f t="shared" si="29"/>
        <v>141169.29015600003</v>
      </c>
      <c r="K64" s="13"/>
      <c r="L64" s="13"/>
      <c r="M64" s="13">
        <f t="shared" si="9"/>
        <v>2823.3858031200007</v>
      </c>
      <c r="N64" s="13"/>
      <c r="O64" s="13">
        <f t="shared" si="30"/>
        <v>138345.90435288002</v>
      </c>
      <c r="P64" s="13">
        <f t="shared" si="31"/>
        <v>0</v>
      </c>
      <c r="Q64" s="15">
        <f t="shared" si="32"/>
        <v>138345.90435288002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Payment_28-03 Aug.xlsx</v>
      </c>
      <c r="U64" s="19"/>
      <c r="V64" s="36">
        <f t="shared" si="33"/>
        <v>2470.4625777300007</v>
      </c>
      <c r="W64" s="20">
        <f t="shared" si="34"/>
        <v>352.92322539000008</v>
      </c>
      <c r="X64" s="59">
        <f t="shared" si="35"/>
        <v>2117.5393523400007</v>
      </c>
      <c r="Y64" s="21">
        <v>0</v>
      </c>
      <c r="Z64" s="48">
        <f t="shared" si="36"/>
        <v>2117.5393523400007</v>
      </c>
      <c r="AB64" s="22" t="str">
        <f>VLOOKUP(C64,DSC_Master!$C$1:$K$201,9,0)</f>
        <v>DIVYANSHI DAIRY MILK</v>
      </c>
      <c r="AC64" s="22" t="str">
        <f>VLOOKUP(C64,DSC_Master!$C$1:$J$202,8,0)</f>
        <v>8136244333</v>
      </c>
      <c r="AD64" s="22" t="str">
        <f>VLOOKUP(C64,DSC_Master!$C$1:$J$202,7,0)</f>
        <v>IDIB000M430</v>
      </c>
      <c r="AE64" s="159"/>
      <c r="AF64" s="3">
        <v>140915.4</v>
      </c>
      <c r="AG64" s="5">
        <f t="shared" si="37"/>
        <v>-2569.4956471199694</v>
      </c>
      <c r="AK64" s="250">
        <f>IFERROR(VLOOKUP(D64,'Milk Can'!D:U,18,0),0)</f>
        <v>21635.596079999999</v>
      </c>
    </row>
    <row r="65" spans="1:37" x14ac:dyDescent="0.25">
      <c r="A65" s="8">
        <v>1062</v>
      </c>
      <c r="B65" s="38" t="s">
        <v>319</v>
      </c>
      <c r="C65" s="9">
        <v>10620120</v>
      </c>
      <c r="D65" s="8">
        <f>VLOOKUP(C65,DSC_Master!$C$1:D159,2,0)</f>
        <v>20120</v>
      </c>
      <c r="E65" s="10" t="str">
        <f>VLOOKUP(C65,DSC_Master!$C$1:$K$201,4,0)</f>
        <v>TIYARA DSK</v>
      </c>
      <c r="F65" s="11" t="s">
        <v>303</v>
      </c>
      <c r="G65" s="11" t="s">
        <v>394</v>
      </c>
      <c r="H65" s="24">
        <v>139</v>
      </c>
      <c r="I65" s="24">
        <v>8077.7899999999991</v>
      </c>
      <c r="J65" s="14">
        <f t="shared" si="10"/>
        <v>8077.7899999999991</v>
      </c>
      <c r="K65" s="13"/>
      <c r="L65" s="13"/>
      <c r="M65" s="13">
        <f t="shared" si="9"/>
        <v>0</v>
      </c>
      <c r="N65" s="13"/>
      <c r="O65" s="13">
        <f t="shared" si="11"/>
        <v>8077.7899999999991</v>
      </c>
      <c r="P65" s="13">
        <f t="shared" si="12"/>
        <v>0</v>
      </c>
      <c r="Q65" s="15">
        <f t="shared" si="13"/>
        <v>8077.7899999999991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Payment_28-03 Aug.xlsx</v>
      </c>
      <c r="U65" s="19"/>
      <c r="V65" s="36">
        <f t="shared" si="14"/>
        <v>141.36132499999999</v>
      </c>
      <c r="W65" s="20">
        <f t="shared" si="15"/>
        <v>20.194474999999997</v>
      </c>
      <c r="X65" s="59">
        <f t="shared" si="16"/>
        <v>121.16685</v>
      </c>
      <c r="Y65" s="21">
        <v>0</v>
      </c>
      <c r="Z65" s="48">
        <f t="shared" si="17"/>
        <v>121.16685</v>
      </c>
      <c r="AB65" s="22" t="str">
        <f>VLOOKUP(C65,DSC_Master!$C$1:$K$201,9,0)</f>
        <v>NIRMAL SINGH</v>
      </c>
      <c r="AC65" s="22" t="str">
        <f>VLOOKUP(C65,DSC_Master!$C$1:$J$202,8,0)</f>
        <v>2784000100110417</v>
      </c>
      <c r="AD65" s="22" t="str">
        <f>VLOOKUP(C65,DSC_Master!$C$1:$J$202,7,0)</f>
        <v>PUNB0278400</v>
      </c>
      <c r="AE65" s="159"/>
      <c r="AF65" s="3">
        <v>8078.17</v>
      </c>
      <c r="AG65" s="5">
        <f t="shared" si="18"/>
        <v>-0.38000000000101863</v>
      </c>
      <c r="AK65" s="250">
        <f>IFERROR(VLOOKUP(D65,'Milk Can'!D:U,18,0),0)</f>
        <v>0</v>
      </c>
    </row>
    <row r="66" spans="1:37" x14ac:dyDescent="0.25">
      <c r="A66" s="8">
        <v>1062</v>
      </c>
      <c r="B66" s="38" t="s">
        <v>319</v>
      </c>
      <c r="C66" s="9">
        <v>10620121</v>
      </c>
      <c r="D66" s="8">
        <f>VLOOKUP(C66,DSC_Master!$C$1:D157,2,0)</f>
        <v>20121</v>
      </c>
      <c r="E66" s="10" t="str">
        <f>VLOOKUP(C66,DSC_Master!$C$1:$K$201,4,0)</f>
        <v>DUMDUMA DSK</v>
      </c>
      <c r="F66" s="11" t="s">
        <v>303</v>
      </c>
      <c r="G66" s="11" t="s">
        <v>394</v>
      </c>
      <c r="H66" s="24">
        <v>661</v>
      </c>
      <c r="I66" s="24">
        <v>28951.8683762</v>
      </c>
      <c r="J66" s="14">
        <f t="shared" si="0"/>
        <v>28951.8683762</v>
      </c>
      <c r="K66" s="13"/>
      <c r="L66" s="13"/>
      <c r="M66" s="13">
        <f t="shared" si="9"/>
        <v>0</v>
      </c>
      <c r="N66" s="13"/>
      <c r="O66" s="13">
        <f t="shared" si="1"/>
        <v>28951.8683762</v>
      </c>
      <c r="P66" s="13">
        <f t="shared" si="2"/>
        <v>0</v>
      </c>
      <c r="Q66" s="15">
        <f t="shared" si="3"/>
        <v>28951.8683762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Payment_28-03 Aug.xlsx</v>
      </c>
      <c r="U66" s="19"/>
      <c r="V66" s="36">
        <f t="shared" si="4"/>
        <v>506.65769658350007</v>
      </c>
      <c r="W66" s="20">
        <f t="shared" si="5"/>
        <v>72.379670940500006</v>
      </c>
      <c r="X66" s="59">
        <f t="shared" si="6"/>
        <v>434.27802564300009</v>
      </c>
      <c r="Y66" s="21">
        <v>0</v>
      </c>
      <c r="Z66" s="48">
        <f t="shared" si="7"/>
        <v>434.27802564300009</v>
      </c>
      <c r="AB66" s="22" t="str">
        <f>VLOOKUP(C66,DSC_Master!$C$1:$K$201,9,0)</f>
        <v>CHANDRA MANI RAI</v>
      </c>
      <c r="AC66" s="22" t="str">
        <f>VLOOKUP(C66,DSC_Master!$C$1:$J$202,8,0)</f>
        <v>625310110008012</v>
      </c>
      <c r="AD66" s="22" t="str">
        <f>VLOOKUP(C66,DSC_Master!$C$1:$J$202,7,0)</f>
        <v>BKID0006253</v>
      </c>
      <c r="AE66" s="159"/>
      <c r="AF66" s="3">
        <v>28952.39</v>
      </c>
      <c r="AG66" s="5">
        <f t="shared" si="8"/>
        <v>-0.52162379999936093</v>
      </c>
      <c r="AK66" s="250">
        <f>IFERROR(VLOOKUP(D66,'Milk Can'!D:U,18,0),0)</f>
        <v>0</v>
      </c>
    </row>
    <row r="67" spans="1:37" x14ac:dyDescent="0.25">
      <c r="A67" s="8">
        <v>1062</v>
      </c>
      <c r="B67" s="38" t="s">
        <v>319</v>
      </c>
      <c r="C67" s="9">
        <v>10620122</v>
      </c>
      <c r="D67" s="8">
        <f>VLOOKUP(C67,DSC_Master!$C$1:D158,2,0)</f>
        <v>20122</v>
      </c>
      <c r="E67" s="10" t="str">
        <f>VLOOKUP(C67,DSC_Master!$C$1:$K$201,4,0)</f>
        <v xml:space="preserve"> NOUAN DSK</v>
      </c>
      <c r="F67" s="11" t="s">
        <v>303</v>
      </c>
      <c r="G67" s="11" t="s">
        <v>394</v>
      </c>
      <c r="H67" s="24">
        <v>11</v>
      </c>
      <c r="I67" s="24">
        <v>382.26223200000004</v>
      </c>
      <c r="J67" s="14">
        <f t="shared" si="0"/>
        <v>382.26223200000004</v>
      </c>
      <c r="K67" s="13"/>
      <c r="L67" s="13"/>
      <c r="M67" s="13">
        <f t="shared" si="9"/>
        <v>0</v>
      </c>
      <c r="N67" s="13"/>
      <c r="O67" s="13">
        <f t="shared" si="1"/>
        <v>382.26223200000004</v>
      </c>
      <c r="P67" s="13">
        <f t="shared" si="2"/>
        <v>0</v>
      </c>
      <c r="Q67" s="15">
        <f t="shared" si="3"/>
        <v>382.26223200000004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Payment_28-03 Aug.xlsx</v>
      </c>
      <c r="U67" s="19"/>
      <c r="V67" s="36">
        <f t="shared" si="4"/>
        <v>6.6895890600000012</v>
      </c>
      <c r="W67" s="20">
        <f t="shared" si="5"/>
        <v>0.95565558000000017</v>
      </c>
      <c r="X67" s="59">
        <f t="shared" si="6"/>
        <v>5.733933480000001</v>
      </c>
      <c r="Y67" s="21">
        <v>0</v>
      </c>
      <c r="Z67" s="48">
        <f t="shared" si="7"/>
        <v>5.733933480000001</v>
      </c>
      <c r="AB67" s="22" t="str">
        <f>VLOOKUP(C67,DSC_Master!$C$1:$K$201,9,0)</f>
        <v xml:space="preserve">JAISHANKAR JAISWAL </v>
      </c>
      <c r="AC67" s="22" t="str">
        <f>VLOOKUP(C67,DSC_Master!$C$1:$J$202,8,0)</f>
        <v>461110110007555</v>
      </c>
      <c r="AD67" s="22" t="str">
        <f>VLOOKUP(C67,DSC_Master!$C$1:$J$202,7,0)</f>
        <v>BKID0004611</v>
      </c>
      <c r="AE67" s="159"/>
      <c r="AF67" s="3">
        <v>382.25</v>
      </c>
      <c r="AG67" s="5">
        <f t="shared" si="8"/>
        <v>1.2232000000039989E-2</v>
      </c>
      <c r="AK67" s="250">
        <f>IFERROR(VLOOKUP(D67,'Milk Can'!D:U,18,0),0)</f>
        <v>0</v>
      </c>
    </row>
    <row r="68" spans="1:37" x14ac:dyDescent="0.25">
      <c r="A68" s="8">
        <v>1062</v>
      </c>
      <c r="B68" s="38" t="s">
        <v>319</v>
      </c>
      <c r="C68" s="9">
        <v>10620123</v>
      </c>
      <c r="D68" s="8">
        <f>VLOOKUP(C68,DSC_Master!$C$1:D159,2,0)</f>
        <v>20123</v>
      </c>
      <c r="E68" s="10" t="str">
        <f>VLOOKUP(C68,DSC_Master!$C$1:$K$201,4,0)</f>
        <v>SAKRAULI DSK</v>
      </c>
      <c r="F68" s="11" t="s">
        <v>303</v>
      </c>
      <c r="G68" s="11" t="s">
        <v>394</v>
      </c>
      <c r="H68" s="24">
        <v>323</v>
      </c>
      <c r="I68" s="24">
        <v>13467.110659800002</v>
      </c>
      <c r="J68" s="14">
        <f t="shared" si="0"/>
        <v>13467.110659800002</v>
      </c>
      <c r="K68" s="13"/>
      <c r="L68" s="13"/>
      <c r="M68" s="13">
        <f t="shared" si="9"/>
        <v>0</v>
      </c>
      <c r="N68" s="13"/>
      <c r="O68" s="13">
        <f t="shared" si="1"/>
        <v>13467.110659800002</v>
      </c>
      <c r="P68" s="13">
        <f t="shared" si="2"/>
        <v>0</v>
      </c>
      <c r="Q68" s="15">
        <f t="shared" si="3"/>
        <v>13467.110659800002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Payment_28-03 Aug.xlsx</v>
      </c>
      <c r="U68" s="19"/>
      <c r="V68" s="36">
        <f t="shared" si="4"/>
        <v>235.67443654650006</v>
      </c>
      <c r="W68" s="20">
        <f t="shared" si="5"/>
        <v>33.667776649500006</v>
      </c>
      <c r="X68" s="59">
        <f t="shared" si="6"/>
        <v>202.00665989700005</v>
      </c>
      <c r="Y68" s="21">
        <v>0</v>
      </c>
      <c r="Z68" s="48">
        <f t="shared" si="7"/>
        <v>202.00665989700005</v>
      </c>
      <c r="AA68" s="23"/>
      <c r="AB68" s="22" t="str">
        <f>VLOOKUP(C68,DSC_Master!$C$1:$K$201,9,0)</f>
        <v>BECHU PASSI</v>
      </c>
      <c r="AC68" s="22" t="str">
        <f>VLOOKUP(C68,DSC_Master!$C$1:$J$202,8,0)</f>
        <v>2696000100200761</v>
      </c>
      <c r="AD68" s="22" t="str">
        <f>VLOOKUP(C68,DSC_Master!$C$1:$J$202,7,0)</f>
        <v>PUNB0269600</v>
      </c>
      <c r="AE68" s="159"/>
      <c r="AF68" s="3">
        <v>13467.44</v>
      </c>
      <c r="AG68" s="5">
        <f t="shared" si="8"/>
        <v>-0.32934019999811426</v>
      </c>
      <c r="AK68" s="250">
        <f>IFERROR(VLOOKUP(D68,'Milk Can'!D:U,18,0),0)</f>
        <v>0</v>
      </c>
    </row>
    <row r="69" spans="1:37" x14ac:dyDescent="0.25">
      <c r="A69" s="8">
        <v>1062</v>
      </c>
      <c r="B69" s="38" t="s">
        <v>319</v>
      </c>
      <c r="C69" s="9">
        <v>10620124</v>
      </c>
      <c r="D69" s="8">
        <f>VLOOKUP(C69,DSC_Master!$C$1:D160,2,0)</f>
        <v>20124</v>
      </c>
      <c r="E69" s="10" t="str">
        <f>VLOOKUP(C69,DSC_Master!$C$1:$K$201,4,0)</f>
        <v>ISARI DSK</v>
      </c>
      <c r="F69" s="11" t="s">
        <v>303</v>
      </c>
      <c r="G69" s="11" t="s">
        <v>394</v>
      </c>
      <c r="H69" s="24">
        <v>569</v>
      </c>
      <c r="I69" s="24">
        <v>24427.321736200003</v>
      </c>
      <c r="J69" s="14">
        <f t="shared" si="0"/>
        <v>24427.321736200003</v>
      </c>
      <c r="K69" s="13"/>
      <c r="L69" s="13"/>
      <c r="M69" s="13">
        <f t="shared" si="9"/>
        <v>488.54643472400005</v>
      </c>
      <c r="N69" s="13"/>
      <c r="O69" s="13">
        <f t="shared" si="1"/>
        <v>23938.775301476002</v>
      </c>
      <c r="P69" s="13">
        <f t="shared" si="2"/>
        <v>0</v>
      </c>
      <c r="Q69" s="15">
        <f t="shared" si="3"/>
        <v>23938.775301476002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Payment_28-03 Aug.xlsx</v>
      </c>
      <c r="U69" s="19"/>
      <c r="V69" s="36">
        <f t="shared" si="4"/>
        <v>427.47813038350012</v>
      </c>
      <c r="W69" s="20">
        <f t="shared" si="5"/>
        <v>61.068304340500006</v>
      </c>
      <c r="X69" s="59">
        <f t="shared" si="6"/>
        <v>366.40982604300012</v>
      </c>
      <c r="Y69" s="21">
        <v>0</v>
      </c>
      <c r="Z69" s="48">
        <f t="shared" si="7"/>
        <v>366.40982604300012</v>
      </c>
      <c r="AB69" s="22" t="str">
        <f>VLOOKUP(C69,DSC_Master!$C$1:$K$201,9,0)</f>
        <v>KUMAR ARJUN SINGH</v>
      </c>
      <c r="AC69" s="22" t="str">
        <f>VLOOKUP(C69,DSC_Master!$C$1:$J$202,8,0)</f>
        <v>42013101468</v>
      </c>
      <c r="AD69" s="22" t="str">
        <f>VLOOKUP(C69,DSC_Master!$C$1:$J$202,7,0)</f>
        <v>SBIN0017163</v>
      </c>
      <c r="AE69" s="159"/>
      <c r="AF69" s="3">
        <v>24428.15</v>
      </c>
      <c r="AG69" s="5">
        <f t="shared" si="8"/>
        <v>-489.37469852399954</v>
      </c>
      <c r="AK69" s="250">
        <f>IFERROR(VLOOKUP(D69,'Milk Can'!D:U,18,0),0)</f>
        <v>12871.611348038001</v>
      </c>
    </row>
    <row r="70" spans="1:37" x14ac:dyDescent="0.25">
      <c r="A70" s="8">
        <v>1062</v>
      </c>
      <c r="B70" s="38" t="s">
        <v>319</v>
      </c>
      <c r="C70" s="9">
        <v>10620125</v>
      </c>
      <c r="D70" s="8">
        <f>VLOOKUP(C70,DSC_Master!$C$1:D161,2,0)</f>
        <v>20125</v>
      </c>
      <c r="E70" s="10" t="str">
        <f>VLOOKUP(C70,DSC_Master!$C$1:$K$201,4,0)</f>
        <v>KUCHHILA DSK</v>
      </c>
      <c r="F70" s="11" t="s">
        <v>303</v>
      </c>
      <c r="G70" s="11" t="s">
        <v>394</v>
      </c>
      <c r="H70" s="24">
        <v>392</v>
      </c>
      <c r="I70" s="24">
        <v>17425.326544700001</v>
      </c>
      <c r="J70" s="14">
        <f t="shared" si="0"/>
        <v>17425.326544700001</v>
      </c>
      <c r="K70" s="13"/>
      <c r="L70" s="13"/>
      <c r="M70" s="13">
        <f t="shared" si="9"/>
        <v>0</v>
      </c>
      <c r="N70" s="13"/>
      <c r="O70" s="13">
        <f t="shared" si="1"/>
        <v>17425.326544700001</v>
      </c>
      <c r="P70" s="13">
        <f t="shared" si="2"/>
        <v>0</v>
      </c>
      <c r="Q70" s="15">
        <f t="shared" si="3"/>
        <v>17425.326544700001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Payment_28-03 Aug.xlsx</v>
      </c>
      <c r="U70" s="19"/>
      <c r="V70" s="36">
        <f t="shared" si="4"/>
        <v>304.94321453225007</v>
      </c>
      <c r="W70" s="20">
        <f t="shared" si="5"/>
        <v>43.563316361750005</v>
      </c>
      <c r="X70" s="59">
        <f t="shared" si="6"/>
        <v>261.37989817050004</v>
      </c>
      <c r="Y70" s="21">
        <v>0</v>
      </c>
      <c r="Z70" s="48">
        <f t="shared" si="7"/>
        <v>261.37989817050004</v>
      </c>
      <c r="AB70" s="22" t="str">
        <f>VLOOKUP(C70,DSC_Master!$C$1:$K$201,9,0)</f>
        <v>DINBANDHU RAI</v>
      </c>
      <c r="AC70" s="22" t="str">
        <f>VLOOKUP(C70,DSC_Master!$C$1:$J$202,8,0)</f>
        <v>2397000100605573</v>
      </c>
      <c r="AD70" s="22" t="str">
        <f>VLOOKUP(C70,DSC_Master!$C$1:$J$202,7,0)</f>
        <v>PUNB0239700</v>
      </c>
      <c r="AE70" s="159"/>
      <c r="AF70" s="3">
        <v>17423.78</v>
      </c>
      <c r="AG70" s="5">
        <f t="shared" si="8"/>
        <v>1.5465447000024142</v>
      </c>
      <c r="AK70" s="250">
        <f>IFERROR(VLOOKUP(D70,'Milk Can'!D:U,18,0),0)</f>
        <v>0</v>
      </c>
    </row>
    <row r="71" spans="1:37" x14ac:dyDescent="0.25">
      <c r="A71" s="8">
        <v>1062</v>
      </c>
      <c r="B71" s="38" t="s">
        <v>319</v>
      </c>
      <c r="C71" s="9">
        <v>10620126</v>
      </c>
      <c r="D71" s="8">
        <f>VLOOKUP(C71,DSC_Master!$C$1:D162,2,0)</f>
        <v>20126</v>
      </c>
      <c r="E71" s="10" t="str">
        <f>VLOOKUP(C71,DSC_Master!$C$1:$K$201,4,0)</f>
        <v>GAURA DSK</v>
      </c>
      <c r="F71" s="11" t="s">
        <v>303</v>
      </c>
      <c r="G71" s="11" t="s">
        <v>394</v>
      </c>
      <c r="H71" s="24">
        <v>269</v>
      </c>
      <c r="I71" s="24">
        <v>10198.884752400003</v>
      </c>
      <c r="J71" s="14">
        <f t="shared" ref="J71:J73" si="38">I71</f>
        <v>10198.884752400003</v>
      </c>
      <c r="K71" s="13"/>
      <c r="L71" s="13"/>
      <c r="M71" s="13">
        <f t="shared" ref="M71:M73" si="39">IF(AK71&gt;0,MAX(IF(AK71&gt;0,J71*2%),300),0)</f>
        <v>300</v>
      </c>
      <c r="N71" s="13"/>
      <c r="O71" s="13">
        <f t="shared" ref="O71:O73" si="40">J71-SUM(K71:N71)</f>
        <v>9898.884752400003</v>
      </c>
      <c r="P71" s="13">
        <f t="shared" ref="P71:P73" si="41">IF(R71="Yes",O71,0)</f>
        <v>0</v>
      </c>
      <c r="Q71" s="15">
        <f t="shared" ref="Q71:Q73" si="42">O71-P71</f>
        <v>9898.884752400003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Payment_28-03 Aug.xlsx</v>
      </c>
      <c r="U71" s="19"/>
      <c r="V71" s="36">
        <f t="shared" ref="V71:V73" si="43">I71*1.75%</f>
        <v>178.48048316700007</v>
      </c>
      <c r="W71" s="20">
        <f t="shared" ref="W71:W73" si="44">I71*0.25%</f>
        <v>25.497211881000009</v>
      </c>
      <c r="X71" s="59">
        <f t="shared" ref="X71:X73" si="45">V71-W71</f>
        <v>152.98327128600008</v>
      </c>
      <c r="Y71" s="21">
        <v>0</v>
      </c>
      <c r="Z71" s="48">
        <f t="shared" ref="Z71:Z73" si="46">X71-Y71</f>
        <v>152.98327128600008</v>
      </c>
      <c r="AB71" s="22" t="str">
        <f>VLOOKUP(C71,DSC_Master!$C$1:$K$201,9,0)</f>
        <v>TEJBAHADUR SINGH</v>
      </c>
      <c r="AC71" s="22" t="str">
        <f>VLOOKUP(C71,DSC_Master!$C$1:$J$202,8,0)</f>
        <v>625310110002788</v>
      </c>
      <c r="AD71" s="22" t="str">
        <f>VLOOKUP(C71,DSC_Master!$C$1:$J$202,7,0)</f>
        <v>BKID0006253</v>
      </c>
      <c r="AE71" s="159"/>
      <c r="AF71" s="3">
        <v>10198.93</v>
      </c>
      <c r="AG71" s="5">
        <f t="shared" ref="AG71:AG73" si="47">Q71-AF71</f>
        <v>-300.04524759999731</v>
      </c>
      <c r="AK71" s="250">
        <f>IFERROR(VLOOKUP(D71,'Milk Can'!D:U,18,0),0)</f>
        <v>19500</v>
      </c>
    </row>
    <row r="72" spans="1:37" x14ac:dyDescent="0.25">
      <c r="A72" s="8">
        <v>1062</v>
      </c>
      <c r="B72" s="38" t="s">
        <v>319</v>
      </c>
      <c r="C72" s="9">
        <v>10620127</v>
      </c>
      <c r="D72" s="8">
        <f>VLOOKUP(C72,DSC_Master!$C$1:D163,2,0)</f>
        <v>20127</v>
      </c>
      <c r="E72" s="10" t="str">
        <f>VLOOKUP(C72,DSC_Master!$C$1:$K$201,4,0)</f>
        <v>PHUPHUWAN DSK</v>
      </c>
      <c r="F72" s="11" t="s">
        <v>303</v>
      </c>
      <c r="G72" s="11" t="s">
        <v>394</v>
      </c>
      <c r="H72" s="24">
        <v>479</v>
      </c>
      <c r="I72" s="24">
        <v>18509.754849000004</v>
      </c>
      <c r="J72" s="14">
        <f t="shared" ref="J72" si="48">I72</f>
        <v>18509.754849000004</v>
      </c>
      <c r="K72" s="13"/>
      <c r="L72" s="13"/>
      <c r="M72" s="13">
        <f t="shared" si="39"/>
        <v>0</v>
      </c>
      <c r="N72" s="13"/>
      <c r="O72" s="13">
        <f t="shared" ref="O72" si="49">J72-SUM(K72:N72)</f>
        <v>18509.754849000004</v>
      </c>
      <c r="P72" s="13">
        <f t="shared" ref="P72" si="50">IF(R72="Yes",O72,0)</f>
        <v>0</v>
      </c>
      <c r="Q72" s="15">
        <f t="shared" ref="Q72" si="51">O72-P72</f>
        <v>18509.754849000004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Payment_28-03 Aug.xlsx</v>
      </c>
      <c r="U72" s="19"/>
      <c r="V72" s="36">
        <f t="shared" ref="V72" si="52">I72*1.75%</f>
        <v>323.92070985750013</v>
      </c>
      <c r="W72" s="20">
        <f t="shared" ref="W72" si="53">I72*0.25%</f>
        <v>46.274387122500009</v>
      </c>
      <c r="X72" s="59">
        <f t="shared" ref="X72" si="54">V72-W72</f>
        <v>277.64632273500013</v>
      </c>
      <c r="Y72" s="21">
        <v>0</v>
      </c>
      <c r="Z72" s="48">
        <f t="shared" ref="Z72" si="55">X72-Y72</f>
        <v>277.64632273500013</v>
      </c>
      <c r="AB72" s="22" t="str">
        <f>VLOOKUP(C72,DSC_Master!$C$1:$K$201,9,0)</f>
        <v>MEENU DEVI</v>
      </c>
      <c r="AC72" s="22" t="str">
        <f>VLOOKUP(C72,DSC_Master!$C$1:$J$202,8,0)</f>
        <v>750802010002939</v>
      </c>
      <c r="AD72" s="22" t="str">
        <f>VLOOKUP(C72,DSC_Master!$C$1:$J$202,7,0)</f>
        <v>UBIN0575089</v>
      </c>
      <c r="AE72" s="159"/>
      <c r="AF72" s="3">
        <v>18510.16</v>
      </c>
      <c r="AG72" s="5">
        <f t="shared" ref="AG72" si="56">Q72-AF72</f>
        <v>-0.40515099999538506</v>
      </c>
      <c r="AK72" s="250">
        <f>IFERROR(VLOOKUP(D72,'Milk Can'!D:U,18,0),0)</f>
        <v>0</v>
      </c>
    </row>
    <row r="73" spans="1:37" x14ac:dyDescent="0.25">
      <c r="A73" s="8">
        <v>1062</v>
      </c>
      <c r="B73" s="38" t="s">
        <v>319</v>
      </c>
      <c r="C73" s="9">
        <v>10620129</v>
      </c>
      <c r="D73" s="8">
        <f>VLOOKUP(C73,DSC_Master!$C$1:D163,2,0)</f>
        <v>20129</v>
      </c>
      <c r="E73" s="10" t="str">
        <f>VLOOKUP(C73,DSC_Master!$C$1:$K$201,4,0)</f>
        <v>DEWAITHA DSK</v>
      </c>
      <c r="F73" s="11" t="s">
        <v>303</v>
      </c>
      <c r="G73" s="11" t="s">
        <v>394</v>
      </c>
      <c r="H73" s="24">
        <v>101</v>
      </c>
      <c r="I73" s="24">
        <v>5420.2503900000002</v>
      </c>
      <c r="J73" s="14">
        <f t="shared" si="38"/>
        <v>5420.2503900000002</v>
      </c>
      <c r="K73" s="13"/>
      <c r="L73" s="13"/>
      <c r="M73" s="13">
        <f t="shared" si="39"/>
        <v>0</v>
      </c>
      <c r="N73" s="13"/>
      <c r="O73" s="13">
        <f t="shared" si="40"/>
        <v>5420.2503900000002</v>
      </c>
      <c r="P73" s="13">
        <f t="shared" si="41"/>
        <v>0</v>
      </c>
      <c r="Q73" s="15">
        <f t="shared" si="42"/>
        <v>5420.2503900000002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 Kaimur_Farmer Payment_28-03 Aug.xlsx</v>
      </c>
      <c r="U73" s="19"/>
      <c r="V73" s="36">
        <f t="shared" si="43"/>
        <v>94.854381825000019</v>
      </c>
      <c r="W73" s="20">
        <f t="shared" si="44"/>
        <v>13.550625975000001</v>
      </c>
      <c r="X73" s="59">
        <f t="shared" si="45"/>
        <v>81.303755850000016</v>
      </c>
      <c r="Y73" s="21">
        <v>0</v>
      </c>
      <c r="Z73" s="48">
        <f t="shared" si="46"/>
        <v>81.303755850000016</v>
      </c>
      <c r="AB73" s="22" t="str">
        <f>VLOOKUP(C73,DSC_Master!$C$1:$K$201,9,0)</f>
        <v>SUDHAR SINGH</v>
      </c>
      <c r="AC73" s="22" t="str">
        <f>VLOOKUP(C73,DSC_Master!$C$1:$J$202,8,0)</f>
        <v>466302010012219</v>
      </c>
      <c r="AD73" s="22" t="str">
        <f>VLOOKUP(C73,DSC_Master!$C$1:$J$202,7,0)</f>
        <v>UBIN0546631</v>
      </c>
      <c r="AE73" s="159"/>
      <c r="AF73" s="3">
        <v>5420.14</v>
      </c>
      <c r="AG73" s="5">
        <f t="shared" si="47"/>
        <v>0.11038999999982479</v>
      </c>
      <c r="AK73" s="250">
        <f>IFERROR(VLOOKUP(D73,'Milk Can'!D:U,18,0),0)</f>
        <v>0</v>
      </c>
    </row>
    <row r="74" spans="1:37" x14ac:dyDescent="0.25">
      <c r="A74" s="25"/>
      <c r="B74" s="26"/>
      <c r="C74" s="25"/>
      <c r="D74" s="25"/>
      <c r="E74" s="25"/>
      <c r="F74" s="25" t="s">
        <v>304</v>
      </c>
      <c r="G74" s="25">
        <f>COUNTA(G3:G73)</f>
        <v>71</v>
      </c>
      <c r="H74" s="27">
        <f t="shared" ref="H74:Q74" si="57">SUBTOTAL(109,H3:H73)</f>
        <v>47892</v>
      </c>
      <c r="I74" s="27">
        <f t="shared" si="57"/>
        <v>2188524.6650891001</v>
      </c>
      <c r="J74" s="28">
        <f t="shared" si="57"/>
        <v>2188524.6650891001</v>
      </c>
      <c r="K74" s="28">
        <f t="shared" si="57"/>
        <v>0</v>
      </c>
      <c r="L74" s="28">
        <f t="shared" si="57"/>
        <v>0</v>
      </c>
      <c r="M74" s="28">
        <f t="shared" si="57"/>
        <v>18601.336578950006</v>
      </c>
      <c r="N74" s="28">
        <f t="shared" si="57"/>
        <v>0</v>
      </c>
      <c r="O74" s="28">
        <f t="shared" si="57"/>
        <v>2169923.3285101508</v>
      </c>
      <c r="P74" s="28">
        <f t="shared" si="57"/>
        <v>0</v>
      </c>
      <c r="Q74" s="28">
        <f t="shared" si="57"/>
        <v>2169923.3285101508</v>
      </c>
      <c r="R74" s="29">
        <f>COUNTIF(R2:R73,"Yes")</f>
        <v>0</v>
      </c>
      <c r="S74" s="9"/>
      <c r="T74" s="22"/>
      <c r="U74" s="6"/>
      <c r="V74" s="48">
        <f>SUM(V3:V73)</f>
        <v>38299.181639059243</v>
      </c>
      <c r="W74" s="48">
        <f>SUM(W3:W73)</f>
        <v>5471.311662722751</v>
      </c>
      <c r="X74" s="48">
        <f>SUM(X3:X73)</f>
        <v>32827.869976336508</v>
      </c>
      <c r="Y74" s="48">
        <f>SUM(Y3:Y73)</f>
        <v>0</v>
      </c>
      <c r="Z74" s="48">
        <f>SUM(Z3:Z73)</f>
        <v>32827.869976336508</v>
      </c>
      <c r="AB74" s="22"/>
      <c r="AC74" s="22"/>
      <c r="AD74" s="22"/>
      <c r="AF74" s="3">
        <f>SUM(AF3:AF73)</f>
        <v>2188433.12</v>
      </c>
      <c r="AG74" s="5">
        <f>SUM(AG3:AG73)</f>
        <v>-18509.7914898499</v>
      </c>
      <c r="AK74" s="250">
        <f>IFERROR(VLOOKUP(D74,'Milk Can'!D:U,18,0),0)</f>
        <v>0</v>
      </c>
    </row>
    <row r="75" spans="1:37" x14ac:dyDescent="0.25">
      <c r="K75" s="5"/>
      <c r="O75" s="5"/>
      <c r="P75" s="5"/>
      <c r="Q75" s="5"/>
      <c r="R75" s="5"/>
      <c r="AF75" s="5"/>
    </row>
    <row r="76" spans="1:37" x14ac:dyDescent="0.25">
      <c r="E76" s="137" t="s">
        <v>309</v>
      </c>
      <c r="F76" s="138" t="s">
        <v>423</v>
      </c>
      <c r="G76"/>
      <c r="H76"/>
      <c r="J76" s="30"/>
      <c r="K76" s="30"/>
      <c r="L76" s="30"/>
      <c r="M76" s="30"/>
      <c r="N76" s="30"/>
      <c r="O76" s="30"/>
      <c r="P76" s="30"/>
      <c r="Q76" s="30"/>
    </row>
    <row r="77" spans="1:37" x14ac:dyDescent="0.25">
      <c r="E77" s="135" t="s">
        <v>305</v>
      </c>
      <c r="F77" s="139">
        <f>G74</f>
        <v>71</v>
      </c>
      <c r="G77"/>
      <c r="H77"/>
      <c r="K77" s="30"/>
      <c r="O77" s="23"/>
      <c r="P77" s="23"/>
      <c r="R77" s="5"/>
      <c r="X77" s="31"/>
    </row>
    <row r="78" spans="1:37" x14ac:dyDescent="0.25">
      <c r="E78" s="135" t="s">
        <v>306</v>
      </c>
      <c r="F78" s="139">
        <f>H74</f>
        <v>47892</v>
      </c>
      <c r="G78"/>
      <c r="H78"/>
      <c r="K78" s="5"/>
      <c r="L78" s="30"/>
      <c r="O78" s="23"/>
      <c r="P78" s="23"/>
      <c r="W78" s="5"/>
      <c r="X78" s="31"/>
    </row>
    <row r="79" spans="1:37" x14ac:dyDescent="0.25">
      <c r="E79" s="135" t="s">
        <v>307</v>
      </c>
      <c r="F79" s="139">
        <f>I74</f>
        <v>2188524.6650891001</v>
      </c>
      <c r="G79"/>
      <c r="H79"/>
      <c r="O79" s="5"/>
      <c r="P79" s="5"/>
      <c r="Q79" s="30"/>
      <c r="R79" s="5"/>
      <c r="X79" s="23"/>
    </row>
    <row r="80" spans="1:37" x14ac:dyDescent="0.25">
      <c r="E80" s="135" t="s">
        <v>308</v>
      </c>
      <c r="F80" s="139">
        <f>J74</f>
        <v>2188524.6650891001</v>
      </c>
      <c r="G80"/>
      <c r="H80"/>
      <c r="O80" s="5"/>
      <c r="P80" s="5"/>
      <c r="R80" s="6"/>
      <c r="W80" s="5"/>
    </row>
    <row r="81" spans="5:22" x14ac:dyDescent="0.25">
      <c r="E81" s="135" t="s">
        <v>298</v>
      </c>
      <c r="F81" s="139">
        <f>-K74</f>
        <v>0</v>
      </c>
      <c r="G81"/>
      <c r="H81"/>
      <c r="R81" s="5"/>
    </row>
    <row r="82" spans="5:22" x14ac:dyDescent="0.25">
      <c r="E82" s="135" t="s">
        <v>299</v>
      </c>
      <c r="F82" s="139">
        <f>-L74</f>
        <v>0</v>
      </c>
      <c r="G82"/>
      <c r="H82"/>
      <c r="O82" s="32"/>
      <c r="P82" s="32"/>
      <c r="Q82" s="33"/>
    </row>
    <row r="83" spans="5:22" x14ac:dyDescent="0.25">
      <c r="E83" s="252" t="s">
        <v>914</v>
      </c>
      <c r="F83" s="139">
        <f>-M74</f>
        <v>-18601.336578950006</v>
      </c>
      <c r="G83"/>
      <c r="H83"/>
      <c r="O83" s="32"/>
      <c r="P83" s="32"/>
      <c r="Q83" s="33"/>
    </row>
    <row r="84" spans="5:22" x14ac:dyDescent="0.25">
      <c r="E84" s="135" t="s">
        <v>300</v>
      </c>
      <c r="F84" s="139">
        <f>-N74</f>
        <v>0</v>
      </c>
      <c r="G84"/>
      <c r="H84"/>
      <c r="Q84" s="33"/>
    </row>
    <row r="85" spans="5:22" x14ac:dyDescent="0.25">
      <c r="E85" s="135" t="s">
        <v>312</v>
      </c>
      <c r="F85" s="139">
        <f>SUM(F80:F84)</f>
        <v>2169923.3285101503</v>
      </c>
      <c r="G85"/>
      <c r="H85"/>
      <c r="L85" s="5"/>
    </row>
    <row r="86" spans="5:22" x14ac:dyDescent="0.25">
      <c r="E86" s="135" t="s">
        <v>317</v>
      </c>
      <c r="F86" s="139">
        <f>P74</f>
        <v>0</v>
      </c>
      <c r="G86"/>
      <c r="H86"/>
      <c r="Q86" s="30"/>
    </row>
    <row r="87" spans="5:22" x14ac:dyDescent="0.25">
      <c r="E87" s="136" t="s">
        <v>318</v>
      </c>
      <c r="F87" s="141">
        <f>F85-F86</f>
        <v>2169923.3285101503</v>
      </c>
      <c r="G87" s="142">
        <f>F87-Q74</f>
        <v>0</v>
      </c>
      <c r="H87"/>
    </row>
    <row r="88" spans="5:22" x14ac:dyDescent="0.25">
      <c r="F88"/>
      <c r="G88"/>
      <c r="H88"/>
      <c r="J88" s="34"/>
      <c r="O88" s="32"/>
      <c r="P88" s="32"/>
    </row>
    <row r="89" spans="5:22" x14ac:dyDescent="0.25">
      <c r="E89" s="140" t="s">
        <v>476</v>
      </c>
      <c r="F89" s="144">
        <f>Data!R2</f>
        <v>38299.181639059192</v>
      </c>
      <c r="G89"/>
      <c r="H89"/>
    </row>
    <row r="90" spans="5:22" x14ac:dyDescent="0.25">
      <c r="E90" s="140" t="s">
        <v>420</v>
      </c>
      <c r="F90" s="144">
        <f>F79*0.25%</f>
        <v>5471.31166272275</v>
      </c>
      <c r="G90"/>
      <c r="H90"/>
      <c r="Q90" s="30"/>
    </row>
    <row r="91" spans="5:22" x14ac:dyDescent="0.25">
      <c r="E91" s="143" t="s">
        <v>477</v>
      </c>
      <c r="F91" s="145">
        <f>F89-F90</f>
        <v>32827.869976336442</v>
      </c>
      <c r="R91" s="6"/>
    </row>
    <row r="92" spans="5:22" x14ac:dyDescent="0.25">
      <c r="E92" s="3"/>
      <c r="F92" s="2"/>
      <c r="S92" s="35"/>
      <c r="V92" s="35"/>
    </row>
    <row r="93" spans="5:22" x14ac:dyDescent="0.25">
      <c r="E93" s="140" t="s">
        <v>419</v>
      </c>
      <c r="F93" s="144">
        <f>F78*3.75</f>
        <v>179595</v>
      </c>
    </row>
    <row r="94" spans="5:22" x14ac:dyDescent="0.25">
      <c r="E94" s="140" t="s">
        <v>421</v>
      </c>
      <c r="F94" s="144">
        <f>'TS Loss Gain'!AS27</f>
        <v>55366.886988001716</v>
      </c>
    </row>
    <row r="95" spans="5:22" x14ac:dyDescent="0.25">
      <c r="E95" s="143" t="s">
        <v>422</v>
      </c>
      <c r="F95" s="145">
        <f>F93-F94</f>
        <v>124228.11301199828</v>
      </c>
      <c r="G95" s="146"/>
    </row>
  </sheetData>
  <autoFilter ref="A2:AG73" xr:uid="{B867D296-FF59-4858-B862-B99F6D136FBB}"/>
  <conditionalFormatting sqref="C4">
    <cfRule type="duplicateValues" dxfId="20" priority="7"/>
  </conditionalFormatting>
  <conditionalFormatting sqref="C5:C73">
    <cfRule type="duplicateValues" dxfId="19" priority="55"/>
    <cfRule type="duplicateValues" dxfId="18" priority="56"/>
  </conditionalFormatting>
  <conditionalFormatting sqref="C74:D89 C2:D2">
    <cfRule type="duplicateValues" dxfId="17" priority="28" stopIfTrue="1"/>
  </conditionalFormatting>
  <conditionalFormatting sqref="E74">
    <cfRule type="duplicateValues" dxfId="16" priority="12" stopIfTrue="1"/>
  </conditionalFormatting>
  <conditionalFormatting sqref="F74">
    <cfRule type="duplicateValues" dxfId="15" priority="11" stopIfTrue="1"/>
  </conditionalFormatting>
  <conditionalFormatting sqref="G3:G73">
    <cfRule type="containsText" dxfId="14" priority="6" operator="containsText" text="Indirect">
      <formula>NOT(ISERROR(SEARCH("Indirect",G3)))</formula>
    </cfRule>
  </conditionalFormatting>
  <conditionalFormatting sqref="G74">
    <cfRule type="duplicateValues" dxfId="13" priority="10" stopIfTrue="1"/>
  </conditionalFormatting>
  <conditionalFormatting sqref="H74">
    <cfRule type="duplicateValues" dxfId="12" priority="9" stopIfTrue="1"/>
  </conditionalFormatting>
  <conditionalFormatting sqref="I74">
    <cfRule type="duplicateValues" dxfId="11" priority="8" stopIfTrue="1"/>
  </conditionalFormatting>
  <conditionalFormatting sqref="O3:P73">
    <cfRule type="cellIs" dxfId="10" priority="5" operator="lessThan">
      <formula>-1</formula>
    </cfRule>
  </conditionalFormatting>
  <conditionalFormatting sqref="Q3:Q73">
    <cfRule type="cellIs" dxfId="9" priority="13" operator="lessThan">
      <formula>0</formula>
    </cfRule>
  </conditionalFormatting>
  <conditionalFormatting sqref="C3:C73">
    <cfRule type="duplicateValues" dxfId="8" priority="1"/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576</v>
      </c>
      <c r="G1" s="151" t="s">
        <v>7</v>
      </c>
      <c r="H1" s="151" t="s">
        <v>8</v>
      </c>
      <c r="I1" s="151" t="s">
        <v>9</v>
      </c>
      <c r="J1" s="151" t="s">
        <v>690</v>
      </c>
      <c r="K1" s="151" t="s">
        <v>691</v>
      </c>
      <c r="L1" s="170" t="s">
        <v>743</v>
      </c>
      <c r="M1" s="170" t="s">
        <v>744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480</v>
      </c>
      <c r="F2" s="148" t="s">
        <v>592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693</v>
      </c>
      <c r="L2" s="171" t="e">
        <f>VLOOKUP(C2,'MPG Payment'!$C$3:$N$73,12,0)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491</v>
      </c>
      <c r="F3" s="148" t="s">
        <v>603</v>
      </c>
      <c r="G3" s="148" t="s">
        <v>52</v>
      </c>
      <c r="H3" s="149" t="s">
        <v>53</v>
      </c>
      <c r="I3" s="1" t="s">
        <v>462</v>
      </c>
      <c r="J3" s="160">
        <v>354.68345740000586</v>
      </c>
      <c r="K3" s="160" t="s">
        <v>693</v>
      </c>
      <c r="L3" s="171">
        <f>VLOOKUP(C3,'MPG Payment'!$C$3:$N$73,12,0)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494</v>
      </c>
      <c r="F4" s="148" t="s">
        <v>606</v>
      </c>
      <c r="G4" s="148" t="s">
        <v>25</v>
      </c>
      <c r="H4" s="149" t="s">
        <v>429</v>
      </c>
      <c r="I4" s="1" t="s">
        <v>59</v>
      </c>
      <c r="J4" s="160">
        <v>13702.65996579999</v>
      </c>
      <c r="K4" s="160" t="s">
        <v>693</v>
      </c>
      <c r="L4" s="171">
        <f>VLOOKUP(C4,'MPG Payment'!$C$3:$N$73,12,0)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497</v>
      </c>
      <c r="F5" s="148" t="s">
        <v>609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693</v>
      </c>
      <c r="L5" s="171" t="e">
        <f>VLOOKUP(C5,'MPG Payment'!$C$3:$N$73,12,0)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499</v>
      </c>
      <c r="F6" s="148" t="s">
        <v>610</v>
      </c>
      <c r="G6" s="148" t="s">
        <v>25</v>
      </c>
      <c r="H6" s="149" t="s">
        <v>431</v>
      </c>
      <c r="I6" s="1" t="s">
        <v>73</v>
      </c>
      <c r="J6" s="160">
        <v>27305.976272200005</v>
      </c>
      <c r="K6" s="160" t="s">
        <v>693</v>
      </c>
      <c r="L6" s="171">
        <f>VLOOKUP(C6,'MPG Payment'!$C$3:$N$73,12,0)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501</v>
      </c>
      <c r="F7" s="148" t="s">
        <v>612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693</v>
      </c>
      <c r="L7" s="171" t="e">
        <f>VLOOKUP(C7,'MPG Payment'!$C$3:$N$73,12,0)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503</v>
      </c>
      <c r="F8" s="148" t="s">
        <v>614</v>
      </c>
      <c r="G8" s="148" t="s">
        <v>86</v>
      </c>
      <c r="H8" s="149" t="s">
        <v>433</v>
      </c>
      <c r="I8" s="1" t="s">
        <v>84</v>
      </c>
      <c r="J8" s="160">
        <v>3070.7935340000022</v>
      </c>
      <c r="K8" s="160" t="s">
        <v>693</v>
      </c>
      <c r="L8" s="171">
        <f>VLOOKUP(C8,'MPG Payment'!$C$3:$N$73,12,0)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505</v>
      </c>
      <c r="F9" s="148" t="s">
        <v>616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693</v>
      </c>
      <c r="L9" s="171">
        <f>VLOOKUP(C9,'MPG Payment'!$C$3:$N$73,12,0)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512</v>
      </c>
      <c r="F10" s="148" t="s">
        <v>624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693</v>
      </c>
      <c r="L10" s="171">
        <f>VLOOKUP(C10,'MPG Payment'!$C$3:$N$73,12,0)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539</v>
      </c>
      <c r="F11" s="148" t="s">
        <v>651</v>
      </c>
      <c r="G11" s="148" t="s">
        <v>187</v>
      </c>
      <c r="H11" s="149" t="s">
        <v>188</v>
      </c>
      <c r="I11" s="1" t="s">
        <v>468</v>
      </c>
      <c r="J11" s="160">
        <v>46684.153015599994</v>
      </c>
      <c r="K11" s="160" t="s">
        <v>693</v>
      </c>
      <c r="L11" s="171">
        <f>VLOOKUP(C11,'MPG Payment'!$C$3:$N$73,12,0)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540</v>
      </c>
      <c r="F12" s="148" t="s">
        <v>652</v>
      </c>
      <c r="G12" s="148" t="s">
        <v>191</v>
      </c>
      <c r="H12" s="149" t="s">
        <v>192</v>
      </c>
      <c r="I12" s="1" t="s">
        <v>469</v>
      </c>
      <c r="J12" s="160">
        <v>22196.224707600006</v>
      </c>
      <c r="K12" s="160" t="s">
        <v>693</v>
      </c>
      <c r="L12" s="171">
        <f>VLOOKUP(C12,'MPG Payment'!$C$3:$N$73,12,0)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543</v>
      </c>
      <c r="F13" s="148" t="s">
        <v>655</v>
      </c>
      <c r="G13" s="148" t="s">
        <v>25</v>
      </c>
      <c r="H13" s="149" t="s">
        <v>445</v>
      </c>
      <c r="I13" s="1" t="s">
        <v>198</v>
      </c>
      <c r="J13" s="160">
        <v>4097.9232154000001</v>
      </c>
      <c r="K13" s="160" t="s">
        <v>693</v>
      </c>
      <c r="L13" s="171" t="e">
        <f>VLOOKUP(C13,'MPG Payment'!$C$3:$N$73,12,0)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551</v>
      </c>
      <c r="F14" s="148" t="s">
        <v>663</v>
      </c>
      <c r="G14" s="148" t="s">
        <v>36</v>
      </c>
      <c r="H14" s="149" t="s">
        <v>449</v>
      </c>
      <c r="I14" s="1" t="s">
        <v>222</v>
      </c>
      <c r="J14" s="160">
        <v>8838.3466590000025</v>
      </c>
      <c r="K14" s="160" t="s">
        <v>693</v>
      </c>
      <c r="L14" s="171" t="e">
        <f>VLOOKUP(C14,'MPG Payment'!$C$3:$N$73,12,0)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565</v>
      </c>
      <c r="F15" s="148" t="s">
        <v>679</v>
      </c>
      <c r="G15" s="148" t="s">
        <v>262</v>
      </c>
      <c r="H15" s="149" t="s">
        <v>263</v>
      </c>
      <c r="I15" s="1" t="s">
        <v>471</v>
      </c>
      <c r="J15" s="160">
        <v>5833.7612509999999</v>
      </c>
      <c r="K15" s="160" t="s">
        <v>693</v>
      </c>
      <c r="L15" s="171" t="e">
        <f>VLOOKUP(C15,'MPG Payment'!$C$3:$N$73,12,0)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567</v>
      </c>
      <c r="F16" s="148" t="s">
        <v>681</v>
      </c>
      <c r="G16" s="148" t="s">
        <v>262</v>
      </c>
      <c r="H16" s="149" t="s">
        <v>269</v>
      </c>
      <c r="I16" s="1" t="s">
        <v>473</v>
      </c>
      <c r="J16" s="160">
        <v>251.31523399999969</v>
      </c>
      <c r="K16" s="160" t="s">
        <v>693</v>
      </c>
      <c r="L16" s="171" t="e">
        <f>VLOOKUP(C16,'MPG Payment'!$C$3:$N$73,12,0)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569</v>
      </c>
      <c r="F17" s="148" t="s">
        <v>683</v>
      </c>
      <c r="G17" s="148" t="s">
        <v>272</v>
      </c>
      <c r="H17" s="149" t="s">
        <v>458</v>
      </c>
      <c r="I17" s="1" t="s">
        <v>270</v>
      </c>
      <c r="J17" s="160">
        <v>9307.5261475999996</v>
      </c>
      <c r="K17" s="160" t="s">
        <v>693</v>
      </c>
      <c r="L17" s="171" t="e">
        <f>VLOOKUP(C17,'MPG Payment'!$C$3:$N$73,12,0)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395</v>
      </c>
      <c r="C1" s="77"/>
      <c r="AP1" s="79">
        <v>436.77</v>
      </c>
      <c r="AQ1" s="79">
        <v>291.18</v>
      </c>
    </row>
    <row r="2" spans="2:45" x14ac:dyDescent="0.25">
      <c r="B2" s="260" t="s">
        <v>388</v>
      </c>
      <c r="C2" s="262" t="s">
        <v>389</v>
      </c>
      <c r="D2" s="264" t="s">
        <v>396</v>
      </c>
      <c r="E2" s="264"/>
      <c r="F2" s="264"/>
      <c r="G2" s="264"/>
      <c r="H2" s="265"/>
      <c r="I2" s="266" t="s">
        <v>751</v>
      </c>
      <c r="J2" s="257"/>
      <c r="K2" s="257"/>
      <c r="L2" s="258"/>
      <c r="M2" s="256" t="s">
        <v>397</v>
      </c>
      <c r="N2" s="267"/>
      <c r="O2" s="257"/>
      <c r="P2" s="257"/>
      <c r="Q2" s="258"/>
      <c r="R2" s="267" t="s">
        <v>398</v>
      </c>
      <c r="S2" s="257"/>
      <c r="T2" s="258"/>
      <c r="U2" s="253" t="s">
        <v>399</v>
      </c>
      <c r="V2" s="254"/>
      <c r="W2" s="254"/>
      <c r="X2" s="254"/>
      <c r="Y2" s="254"/>
      <c r="Z2" s="254"/>
      <c r="AA2" s="254"/>
      <c r="AB2" s="255"/>
      <c r="AC2" s="256" t="s">
        <v>322</v>
      </c>
      <c r="AD2" s="257"/>
      <c r="AE2" s="257"/>
      <c r="AF2" s="257"/>
      <c r="AG2" s="258"/>
      <c r="AH2" s="256" t="s">
        <v>400</v>
      </c>
      <c r="AI2" s="257"/>
      <c r="AJ2" s="257"/>
      <c r="AK2" s="257"/>
      <c r="AL2" s="259"/>
      <c r="AM2" s="253" t="s">
        <v>401</v>
      </c>
      <c r="AN2" s="254"/>
      <c r="AO2" s="254"/>
      <c r="AP2" s="254"/>
      <c r="AQ2" s="255"/>
    </row>
    <row r="3" spans="2:45" x14ac:dyDescent="0.25">
      <c r="B3" s="261"/>
      <c r="C3" s="263"/>
      <c r="D3" s="80" t="s">
        <v>402</v>
      </c>
      <c r="E3" s="80" t="s">
        <v>403</v>
      </c>
      <c r="F3" s="80" t="s">
        <v>404</v>
      </c>
      <c r="G3" s="80" t="s">
        <v>320</v>
      </c>
      <c r="H3" s="81" t="s">
        <v>321</v>
      </c>
      <c r="I3" s="80" t="s">
        <v>405</v>
      </c>
      <c r="J3" s="80" t="s">
        <v>405</v>
      </c>
      <c r="K3" s="80" t="s">
        <v>403</v>
      </c>
      <c r="L3" s="81" t="s">
        <v>404</v>
      </c>
      <c r="M3" s="82" t="s">
        <v>406</v>
      </c>
      <c r="N3" s="83" t="s">
        <v>407</v>
      </c>
      <c r="O3" s="80" t="s">
        <v>405</v>
      </c>
      <c r="P3" s="80" t="s">
        <v>403</v>
      </c>
      <c r="Q3" s="81" t="s">
        <v>404</v>
      </c>
      <c r="R3" s="83" t="s">
        <v>405</v>
      </c>
      <c r="S3" s="80" t="s">
        <v>320</v>
      </c>
      <c r="T3" s="81" t="s">
        <v>321</v>
      </c>
      <c r="U3" s="82" t="s">
        <v>408</v>
      </c>
      <c r="V3" s="80" t="s">
        <v>409</v>
      </c>
      <c r="W3" s="80" t="s">
        <v>410</v>
      </c>
      <c r="X3" s="80" t="s">
        <v>411</v>
      </c>
      <c r="Y3" s="80" t="s">
        <v>403</v>
      </c>
      <c r="Z3" s="80" t="s">
        <v>404</v>
      </c>
      <c r="AA3" s="80" t="s">
        <v>320</v>
      </c>
      <c r="AB3" s="81" t="s">
        <v>321</v>
      </c>
      <c r="AC3" s="82" t="s">
        <v>411</v>
      </c>
      <c r="AD3" s="80" t="s">
        <v>403</v>
      </c>
      <c r="AE3" s="80" t="s">
        <v>404</v>
      </c>
      <c r="AF3" s="80" t="s">
        <v>320</v>
      </c>
      <c r="AG3" s="81" t="s">
        <v>321</v>
      </c>
      <c r="AH3" s="82" t="s">
        <v>411</v>
      </c>
      <c r="AI3" s="80" t="s">
        <v>403</v>
      </c>
      <c r="AJ3" s="80" t="s">
        <v>404</v>
      </c>
      <c r="AK3" s="80" t="s">
        <v>320</v>
      </c>
      <c r="AL3" s="84" t="s">
        <v>321</v>
      </c>
      <c r="AM3" s="82" t="s">
        <v>411</v>
      </c>
      <c r="AN3" s="80" t="s">
        <v>320</v>
      </c>
      <c r="AO3" s="80" t="s">
        <v>321</v>
      </c>
      <c r="AP3" s="80" t="s">
        <v>412</v>
      </c>
      <c r="AQ3" s="85" t="s">
        <v>310</v>
      </c>
    </row>
    <row r="4" spans="2:45" x14ac:dyDescent="0.25">
      <c r="B4" s="86">
        <v>46054</v>
      </c>
      <c r="C4" s="87" t="s">
        <v>390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413</v>
      </c>
      <c r="V4" s="185" t="s">
        <v>745</v>
      </c>
      <c r="W4" s="186" t="s">
        <v>415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391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390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413</v>
      </c>
      <c r="V6" s="185" t="s">
        <v>414</v>
      </c>
      <c r="W6" s="186" t="s">
        <v>415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391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390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416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391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413</v>
      </c>
      <c r="V9" s="185" t="s">
        <v>417</v>
      </c>
      <c r="W9" s="186" t="s">
        <v>415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390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391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390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413</v>
      </c>
      <c r="V12" s="185" t="s">
        <v>418</v>
      </c>
      <c r="W12" s="186" t="s">
        <v>415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391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390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391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390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391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416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390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413</v>
      </c>
      <c r="V18" s="185" t="s">
        <v>746</v>
      </c>
      <c r="W18" s="186" t="s">
        <v>415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391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390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413</v>
      </c>
      <c r="V20" s="185" t="s">
        <v>747</v>
      </c>
      <c r="W20" s="186" t="s">
        <v>415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391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390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413</v>
      </c>
      <c r="V22" s="185" t="s">
        <v>748</v>
      </c>
      <c r="W22" s="186" t="s">
        <v>415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391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390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391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413</v>
      </c>
      <c r="V25" s="184" t="s">
        <v>749</v>
      </c>
      <c r="W25" s="186" t="s">
        <v>415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390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391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413</v>
      </c>
      <c r="V27" s="185" t="s">
        <v>750</v>
      </c>
      <c r="W27" s="186" t="s">
        <v>415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390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391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390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391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390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391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390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391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390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391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390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391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390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391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390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391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390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391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390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391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390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391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390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391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390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391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390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391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390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391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390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391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390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391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390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391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390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391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zoomScale="80" zoomScaleNormal="80" workbookViewId="0">
      <selection activeCell="J1" sqref="J1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576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383</v>
      </c>
      <c r="T1" s="37" t="s">
        <v>696</v>
      </c>
      <c r="U1" s="37" t="s">
        <v>695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480</v>
      </c>
      <c r="G2" s="148" t="s">
        <v>14</v>
      </c>
      <c r="H2" s="148" t="s">
        <v>592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481</v>
      </c>
      <c r="G3" s="1" t="s">
        <v>20</v>
      </c>
      <c r="H3" s="148" t="s">
        <v>593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694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482</v>
      </c>
      <c r="G4" s="1" t="s">
        <v>24</v>
      </c>
      <c r="H4" s="148" t="s">
        <v>594</v>
      </c>
      <c r="I4" s="148" t="s">
        <v>25</v>
      </c>
      <c r="J4" s="149" t="s">
        <v>424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692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483</v>
      </c>
      <c r="G5" s="1" t="s">
        <v>27</v>
      </c>
      <c r="H5" s="148" t="s">
        <v>595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693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484</v>
      </c>
      <c r="G6" s="1" t="s">
        <v>31</v>
      </c>
      <c r="H6" s="148" t="s">
        <v>596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312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485</v>
      </c>
      <c r="G7" s="1" t="s">
        <v>35</v>
      </c>
      <c r="H7" s="148" t="s">
        <v>597</v>
      </c>
      <c r="I7" s="148" t="s">
        <v>36</v>
      </c>
      <c r="J7" s="149" t="s">
        <v>425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384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486</v>
      </c>
      <c r="G8" s="1" t="s">
        <v>38</v>
      </c>
      <c r="H8" s="148" t="s">
        <v>598</v>
      </c>
      <c r="I8" s="148" t="s">
        <v>39</v>
      </c>
      <c r="J8" s="149" t="s">
        <v>767</v>
      </c>
      <c r="K8" s="1" t="s">
        <v>474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487</v>
      </c>
      <c r="G9" s="1" t="s">
        <v>41</v>
      </c>
      <c r="H9" s="148" t="s">
        <v>599</v>
      </c>
      <c r="I9" s="148" t="s">
        <v>794</v>
      </c>
      <c r="J9" s="149" t="s">
        <v>793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488</v>
      </c>
      <c r="G10" s="1" t="s">
        <v>43</v>
      </c>
      <c r="H10" s="148" t="s">
        <v>600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489</v>
      </c>
      <c r="G11" s="1" t="s">
        <v>46</v>
      </c>
      <c r="H11" s="148" t="s">
        <v>601</v>
      </c>
      <c r="I11" s="148" t="s">
        <v>47</v>
      </c>
      <c r="J11" s="149" t="s">
        <v>426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490</v>
      </c>
      <c r="G12" s="1" t="s">
        <v>49</v>
      </c>
      <c r="H12" s="148" t="s">
        <v>602</v>
      </c>
      <c r="I12" s="148" t="s">
        <v>25</v>
      </c>
      <c r="J12" s="149" t="s">
        <v>427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491</v>
      </c>
      <c r="G13" s="1" t="s">
        <v>51</v>
      </c>
      <c r="H13" s="148" t="s">
        <v>603</v>
      </c>
      <c r="I13" s="148" t="s">
        <v>52</v>
      </c>
      <c r="J13" s="149" t="s">
        <v>53</v>
      </c>
      <c r="K13" s="1" t="s">
        <v>462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492</v>
      </c>
      <c r="G14" s="1" t="s">
        <v>55</v>
      </c>
      <c r="H14" s="148" t="s">
        <v>604</v>
      </c>
      <c r="I14" s="148" t="s">
        <v>32</v>
      </c>
      <c r="J14" s="149" t="s">
        <v>56</v>
      </c>
      <c r="K14" s="1" t="s">
        <v>463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493</v>
      </c>
      <c r="G15" s="1" t="s">
        <v>58</v>
      </c>
      <c r="H15" s="148" t="s">
        <v>605</v>
      </c>
      <c r="I15" s="148" t="s">
        <v>36</v>
      </c>
      <c r="J15" s="149" t="s">
        <v>428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494</v>
      </c>
      <c r="G16" s="1" t="s">
        <v>60</v>
      </c>
      <c r="H16" s="148" t="s">
        <v>606</v>
      </c>
      <c r="I16" s="148" t="s">
        <v>25</v>
      </c>
      <c r="J16" s="149" t="s">
        <v>429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495</v>
      </c>
      <c r="G17" s="1" t="s">
        <v>62</v>
      </c>
      <c r="H17" s="148" t="s">
        <v>607</v>
      </c>
      <c r="I17" s="148" t="s">
        <v>25</v>
      </c>
      <c r="J17" s="149" t="s">
        <v>430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496</v>
      </c>
      <c r="G18" s="1" t="s">
        <v>64</v>
      </c>
      <c r="H18" s="148" t="s">
        <v>608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497</v>
      </c>
      <c r="G19" s="1" t="s">
        <v>68</v>
      </c>
      <c r="H19" s="148" t="s">
        <v>609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498</v>
      </c>
      <c r="G20" s="1" t="s">
        <v>24</v>
      </c>
      <c r="H20" s="148" t="s">
        <v>594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499</v>
      </c>
      <c r="G21" s="1" t="s">
        <v>74</v>
      </c>
      <c r="H21" s="148" t="s">
        <v>610</v>
      </c>
      <c r="I21" s="148" t="s">
        <v>25</v>
      </c>
      <c r="J21" s="149" t="s">
        <v>431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500</v>
      </c>
      <c r="G22" s="1" t="s">
        <v>76</v>
      </c>
      <c r="H22" s="148" t="s">
        <v>611</v>
      </c>
      <c r="I22" s="148" t="s">
        <v>25</v>
      </c>
      <c r="J22" s="149" t="s">
        <v>432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501</v>
      </c>
      <c r="G23" s="1" t="s">
        <v>78</v>
      </c>
      <c r="H23" s="148" t="s">
        <v>612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502</v>
      </c>
      <c r="G24" s="1" t="s">
        <v>82</v>
      </c>
      <c r="H24" s="148" t="s">
        <v>613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503</v>
      </c>
      <c r="G25" s="1" t="s">
        <v>85</v>
      </c>
      <c r="H25" s="148" t="s">
        <v>614</v>
      </c>
      <c r="I25" s="148" t="s">
        <v>86</v>
      </c>
      <c r="J25" s="149" t="s">
        <v>433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504</v>
      </c>
      <c r="G26" s="1" t="s">
        <v>88</v>
      </c>
      <c r="H26" s="148" t="s">
        <v>615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505</v>
      </c>
      <c r="G27" s="1" t="s">
        <v>91</v>
      </c>
      <c r="H27" s="148" t="s">
        <v>616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506</v>
      </c>
      <c r="G28" s="1" t="s">
        <v>94</v>
      </c>
      <c r="H28" s="148" t="s">
        <v>617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507</v>
      </c>
      <c r="G29" s="1" t="s">
        <v>98</v>
      </c>
      <c r="H29" s="148" t="s">
        <v>618</v>
      </c>
      <c r="I29" s="148" t="s">
        <v>86</v>
      </c>
      <c r="J29" s="149" t="s">
        <v>434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508</v>
      </c>
      <c r="G30" s="1" t="s">
        <v>100</v>
      </c>
      <c r="H30" s="148" t="s">
        <v>619</v>
      </c>
      <c r="I30" s="148" t="s">
        <v>86</v>
      </c>
      <c r="J30" s="149" t="s">
        <v>435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509</v>
      </c>
      <c r="G31" s="1" t="s">
        <v>102</v>
      </c>
      <c r="H31" s="148" t="s">
        <v>620</v>
      </c>
      <c r="I31" s="148" t="s">
        <v>86</v>
      </c>
      <c r="J31" s="149" t="s">
        <v>436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510</v>
      </c>
      <c r="G32" s="1" t="s">
        <v>104</v>
      </c>
      <c r="H32" s="148" t="s">
        <v>621</v>
      </c>
      <c r="I32" s="148" t="s">
        <v>105</v>
      </c>
      <c r="J32" s="149" t="s">
        <v>768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507</v>
      </c>
      <c r="G33" s="1" t="s">
        <v>98</v>
      </c>
      <c r="H33" s="148" t="s">
        <v>622</v>
      </c>
      <c r="I33" s="148" t="s">
        <v>86</v>
      </c>
      <c r="J33" s="149" t="s">
        <v>437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511</v>
      </c>
      <c r="G34" s="1" t="s">
        <v>108</v>
      </c>
      <c r="H34" s="148" t="s">
        <v>623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512</v>
      </c>
      <c r="G35" s="1" t="s">
        <v>112</v>
      </c>
      <c r="H35" s="148" t="s">
        <v>624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513</v>
      </c>
      <c r="G36" s="1" t="s">
        <v>115</v>
      </c>
      <c r="H36" s="148" t="s">
        <v>625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514</v>
      </c>
      <c r="G37" s="1" t="s">
        <v>118</v>
      </c>
      <c r="H37" s="148" t="s">
        <v>626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515</v>
      </c>
      <c r="G38" s="1" t="s">
        <v>122</v>
      </c>
      <c r="H38" s="148" t="s">
        <v>627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516</v>
      </c>
      <c r="G39" s="1" t="s">
        <v>125</v>
      </c>
      <c r="H39" s="148" t="s">
        <v>628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517</v>
      </c>
      <c r="G40" s="1" t="s">
        <v>128</v>
      </c>
      <c r="H40" s="148" t="s">
        <v>629</v>
      </c>
      <c r="I40" s="148" t="s">
        <v>36</v>
      </c>
      <c r="J40" s="149" t="s">
        <v>438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518</v>
      </c>
      <c r="G41" s="1" t="s">
        <v>130</v>
      </c>
      <c r="H41" s="148" t="s">
        <v>630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519</v>
      </c>
      <c r="G42" s="1" t="s">
        <v>134</v>
      </c>
      <c r="H42" s="148" t="s">
        <v>631</v>
      </c>
      <c r="I42" s="148" t="s">
        <v>95</v>
      </c>
      <c r="J42" s="158" t="s">
        <v>577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520</v>
      </c>
      <c r="G43" s="1" t="s">
        <v>136</v>
      </c>
      <c r="H43" s="148" t="s">
        <v>632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521</v>
      </c>
      <c r="G44" s="1" t="s">
        <v>139</v>
      </c>
      <c r="H44" s="148" t="s">
        <v>633</v>
      </c>
      <c r="I44" s="148" t="s">
        <v>36</v>
      </c>
      <c r="J44" s="149" t="s">
        <v>439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522</v>
      </c>
      <c r="G45" s="1" t="s">
        <v>141</v>
      </c>
      <c r="H45" s="148" t="s">
        <v>634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523</v>
      </c>
      <c r="G46" s="1" t="s">
        <v>144</v>
      </c>
      <c r="H46" s="148" t="s">
        <v>635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524</v>
      </c>
      <c r="G47" s="1" t="s">
        <v>147</v>
      </c>
      <c r="H47" s="148" t="s">
        <v>636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525</v>
      </c>
      <c r="G48" s="1" t="s">
        <v>150</v>
      </c>
      <c r="H48" s="148" t="s">
        <v>637</v>
      </c>
      <c r="I48" s="148" t="s">
        <v>86</v>
      </c>
      <c r="J48" s="149" t="s">
        <v>440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526</v>
      </c>
      <c r="G49" s="1" t="s">
        <v>152</v>
      </c>
      <c r="H49" s="148" t="s">
        <v>638</v>
      </c>
      <c r="I49" s="148" t="s">
        <v>153</v>
      </c>
      <c r="J49" s="158" t="s">
        <v>578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527</v>
      </c>
      <c r="G50" s="1" t="s">
        <v>155</v>
      </c>
      <c r="H50" s="148" t="s">
        <v>639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528</v>
      </c>
      <c r="G51" s="1" t="s">
        <v>158</v>
      </c>
      <c r="H51" s="148" t="s">
        <v>640</v>
      </c>
      <c r="I51" s="148" t="s">
        <v>131</v>
      </c>
      <c r="J51" s="158" t="s">
        <v>579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529</v>
      </c>
      <c r="G52" s="1" t="s">
        <v>160</v>
      </c>
      <c r="H52" s="148" t="s">
        <v>641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530</v>
      </c>
      <c r="G53" s="1" t="s">
        <v>163</v>
      </c>
      <c r="H53" s="148" t="s">
        <v>642</v>
      </c>
      <c r="I53" s="148" t="s">
        <v>36</v>
      </c>
      <c r="J53" s="149" t="s">
        <v>441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531</v>
      </c>
      <c r="G54" s="1" t="s">
        <v>164</v>
      </c>
      <c r="H54" s="148" t="s">
        <v>643</v>
      </c>
      <c r="I54" s="148" t="s">
        <v>86</v>
      </c>
      <c r="J54" s="149" t="s">
        <v>442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532</v>
      </c>
      <c r="G55" s="1" t="s">
        <v>166</v>
      </c>
      <c r="H55" s="148" t="s">
        <v>644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533</v>
      </c>
      <c r="G56" s="1" t="s">
        <v>170</v>
      </c>
      <c r="H56" s="148" t="s">
        <v>645</v>
      </c>
      <c r="I56" s="148" t="s">
        <v>25</v>
      </c>
      <c r="J56" s="149" t="s">
        <v>443</v>
      </c>
      <c r="K56" s="1" t="s">
        <v>464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534</v>
      </c>
      <c r="G57" s="1" t="s">
        <v>172</v>
      </c>
      <c r="H57" s="148" t="s">
        <v>646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535</v>
      </c>
      <c r="G58" s="1" t="s">
        <v>176</v>
      </c>
      <c r="H58" s="148" t="s">
        <v>647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536</v>
      </c>
      <c r="G59" s="1" t="s">
        <v>179</v>
      </c>
      <c r="H59" s="148" t="s">
        <v>648</v>
      </c>
      <c r="I59" s="148" t="s">
        <v>153</v>
      </c>
      <c r="J59" s="158" t="s">
        <v>580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537</v>
      </c>
      <c r="G60" s="1" t="s">
        <v>181</v>
      </c>
      <c r="H60" s="148" t="s">
        <v>649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538</v>
      </c>
      <c r="G61" s="1" t="s">
        <v>184</v>
      </c>
      <c r="H61" s="148" t="s">
        <v>650</v>
      </c>
      <c r="I61" s="148" t="s">
        <v>119</v>
      </c>
      <c r="J61" s="149" t="s">
        <v>185</v>
      </c>
      <c r="K61" s="1" t="s">
        <v>467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539</v>
      </c>
      <c r="G62" s="1" t="s">
        <v>160</v>
      </c>
      <c r="H62" s="148" t="s">
        <v>651</v>
      </c>
      <c r="I62" s="148" t="s">
        <v>187</v>
      </c>
      <c r="J62" s="149" t="s">
        <v>188</v>
      </c>
      <c r="K62" s="1" t="s">
        <v>468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540</v>
      </c>
      <c r="G63" s="1" t="s">
        <v>190</v>
      </c>
      <c r="H63" s="148" t="s">
        <v>652</v>
      </c>
      <c r="I63" s="148" t="s">
        <v>191</v>
      </c>
      <c r="J63" s="149" t="s">
        <v>192</v>
      </c>
      <c r="K63" s="1" t="s">
        <v>469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541</v>
      </c>
      <c r="G64" s="1" t="s">
        <v>194</v>
      </c>
      <c r="H64" s="148" t="s">
        <v>653</v>
      </c>
      <c r="I64" s="148" t="s">
        <v>119</v>
      </c>
      <c r="J64" s="149" t="s">
        <v>195</v>
      </c>
      <c r="K64" s="1" t="s">
        <v>470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542</v>
      </c>
      <c r="G65" s="1" t="s">
        <v>197</v>
      </c>
      <c r="H65" s="148" t="s">
        <v>654</v>
      </c>
      <c r="I65" s="148" t="s">
        <v>36</v>
      </c>
      <c r="J65" s="149" t="s">
        <v>444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543</v>
      </c>
      <c r="G66" s="1" t="s">
        <v>199</v>
      </c>
      <c r="H66" s="148" t="s">
        <v>655</v>
      </c>
      <c r="I66" s="148" t="s">
        <v>25</v>
      </c>
      <c r="J66" s="149" t="s">
        <v>445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544</v>
      </c>
      <c r="G67" s="1" t="s">
        <v>201</v>
      </c>
      <c r="H67" s="148" t="s">
        <v>648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545</v>
      </c>
      <c r="G68" s="1" t="s">
        <v>204</v>
      </c>
      <c r="H68" s="148" t="s">
        <v>656</v>
      </c>
      <c r="I68" s="148" t="s">
        <v>36</v>
      </c>
      <c r="J68" s="149" t="s">
        <v>446</v>
      </c>
      <c r="K68" s="1" t="s">
        <v>465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546</v>
      </c>
      <c r="G69" s="1" t="s">
        <v>206</v>
      </c>
      <c r="H69" s="148" t="s">
        <v>657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547</v>
      </c>
      <c r="G70" s="1" t="s">
        <v>209</v>
      </c>
      <c r="H70" s="148" t="s">
        <v>658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507</v>
      </c>
      <c r="G71" s="1" t="s">
        <v>213</v>
      </c>
      <c r="H71" s="148" t="s">
        <v>659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548</v>
      </c>
      <c r="G72" s="1" t="s">
        <v>216</v>
      </c>
      <c r="H72" s="148" t="s">
        <v>660</v>
      </c>
      <c r="I72" s="148" t="s">
        <v>217</v>
      </c>
      <c r="J72" s="149" t="s">
        <v>447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549</v>
      </c>
      <c r="G73" s="1" t="s">
        <v>218</v>
      </c>
      <c r="H73" s="148" t="s">
        <v>661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550</v>
      </c>
      <c r="G74" s="1" t="s">
        <v>221</v>
      </c>
      <c r="H74" s="148" t="s">
        <v>662</v>
      </c>
      <c r="I74" s="148" t="s">
        <v>36</v>
      </c>
      <c r="J74" s="149" t="s">
        <v>448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551</v>
      </c>
      <c r="G75" s="1" t="s">
        <v>223</v>
      </c>
      <c r="H75" s="148" t="s">
        <v>663</v>
      </c>
      <c r="I75" s="148" t="s">
        <v>36</v>
      </c>
      <c r="J75" s="149" t="s">
        <v>449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548</v>
      </c>
      <c r="G76" s="1" t="s">
        <v>216</v>
      </c>
      <c r="H76" s="148" t="s">
        <v>664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552</v>
      </c>
      <c r="G77" s="1" t="s">
        <v>228</v>
      </c>
      <c r="H77" s="148" t="s">
        <v>665</v>
      </c>
      <c r="I77" s="148" t="s">
        <v>36</v>
      </c>
      <c r="J77" s="149" t="s">
        <v>450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553</v>
      </c>
      <c r="G78" s="1" t="s">
        <v>230</v>
      </c>
      <c r="H78" s="148" t="s">
        <v>666</v>
      </c>
      <c r="I78" s="148" t="s">
        <v>36</v>
      </c>
      <c r="J78" s="149" t="s">
        <v>451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554</v>
      </c>
      <c r="G79" s="1" t="s">
        <v>232</v>
      </c>
      <c r="H79" s="148" t="s">
        <v>667</v>
      </c>
      <c r="I79" s="148" t="s">
        <v>36</v>
      </c>
      <c r="J79" s="149" t="s">
        <v>452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555</v>
      </c>
      <c r="G80" s="1" t="s">
        <v>234</v>
      </c>
      <c r="H80" s="148" t="s">
        <v>668</v>
      </c>
      <c r="I80" s="148" t="s">
        <v>36</v>
      </c>
      <c r="J80" s="149" t="s">
        <v>466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556</v>
      </c>
      <c r="G81" s="1" t="s">
        <v>236</v>
      </c>
      <c r="H81" s="148" t="s">
        <v>669</v>
      </c>
      <c r="I81" s="148" t="s">
        <v>453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557</v>
      </c>
      <c r="G82" s="1" t="s">
        <v>239</v>
      </c>
      <c r="H82" s="148" t="s">
        <v>670</v>
      </c>
      <c r="I82" s="148" t="s">
        <v>86</v>
      </c>
      <c r="J82" s="149" t="s">
        <v>454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558</v>
      </c>
      <c r="G83" s="1" t="s">
        <v>241</v>
      </c>
      <c r="H83" s="148" t="s">
        <v>671</v>
      </c>
      <c r="I83" s="148" t="s">
        <v>86</v>
      </c>
      <c r="J83" s="149" t="s">
        <v>455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559</v>
      </c>
      <c r="G84" s="1" t="s">
        <v>243</v>
      </c>
      <c r="H84" s="148" t="s">
        <v>672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560</v>
      </c>
      <c r="G85" s="1" t="s">
        <v>247</v>
      </c>
      <c r="H85" s="148" t="s">
        <v>673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561</v>
      </c>
      <c r="G86" s="1" t="s">
        <v>250</v>
      </c>
      <c r="H86" s="148" t="s">
        <v>674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562</v>
      </c>
      <c r="G87" s="1" t="s">
        <v>252</v>
      </c>
      <c r="H87" s="148" t="s">
        <v>675</v>
      </c>
      <c r="I87" s="148" t="s">
        <v>86</v>
      </c>
      <c r="J87" s="149" t="s">
        <v>456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556</v>
      </c>
      <c r="G88" s="1" t="s">
        <v>236</v>
      </c>
      <c r="H88" s="148" t="s">
        <v>676</v>
      </c>
      <c r="I88" s="148" t="s">
        <v>86</v>
      </c>
      <c r="J88" s="149" t="s">
        <v>457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563</v>
      </c>
      <c r="G89" s="1" t="s">
        <v>255</v>
      </c>
      <c r="H89" s="148" t="s">
        <v>677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564</v>
      </c>
      <c r="G90" s="1" t="s">
        <v>258</v>
      </c>
      <c r="H90" s="148" t="s">
        <v>678</v>
      </c>
      <c r="I90" s="148" t="s">
        <v>259</v>
      </c>
      <c r="J90" s="149" t="s">
        <v>766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565</v>
      </c>
      <c r="G91" s="1" t="s">
        <v>261</v>
      </c>
      <c r="H91" s="148" t="s">
        <v>679</v>
      </c>
      <c r="I91" s="148" t="s">
        <v>262</v>
      </c>
      <c r="J91" s="149" t="s">
        <v>263</v>
      </c>
      <c r="K91" s="1" t="s">
        <v>471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566</v>
      </c>
      <c r="G92" s="1" t="s">
        <v>265</v>
      </c>
      <c r="H92" s="148" t="s">
        <v>680</v>
      </c>
      <c r="I92" s="148" t="s">
        <v>262</v>
      </c>
      <c r="J92" s="149" t="s">
        <v>266</v>
      </c>
      <c r="K92" s="1" t="s">
        <v>472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567</v>
      </c>
      <c r="G93" s="1" t="s">
        <v>268</v>
      </c>
      <c r="H93" s="148" t="s">
        <v>681</v>
      </c>
      <c r="I93" s="148" t="s">
        <v>262</v>
      </c>
      <c r="J93" s="149" t="s">
        <v>269</v>
      </c>
      <c r="K93" s="1" t="s">
        <v>473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568</v>
      </c>
      <c r="G94" s="1" t="s">
        <v>286</v>
      </c>
      <c r="H94" s="148" t="s">
        <v>682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569</v>
      </c>
      <c r="G95" s="1" t="s">
        <v>271</v>
      </c>
      <c r="H95" s="148" t="s">
        <v>683</v>
      </c>
      <c r="I95" s="148" t="s">
        <v>272</v>
      </c>
      <c r="J95" s="149" t="s">
        <v>458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570</v>
      </c>
      <c r="G96" s="1" t="s">
        <v>274</v>
      </c>
      <c r="H96" s="148" t="s">
        <v>684</v>
      </c>
      <c r="I96" s="148" t="s">
        <v>275</v>
      </c>
      <c r="J96" s="149" t="s">
        <v>459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571</v>
      </c>
      <c r="G97" s="1" t="s">
        <v>277</v>
      </c>
      <c r="H97" s="148" t="s">
        <v>685</v>
      </c>
      <c r="I97" s="148" t="s">
        <v>278</v>
      </c>
      <c r="J97" s="149" t="s">
        <v>460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572</v>
      </c>
      <c r="G98" s="1" t="s">
        <v>261</v>
      </c>
      <c r="H98" s="148" t="s">
        <v>686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573</v>
      </c>
      <c r="G99" s="1" t="s">
        <v>283</v>
      </c>
      <c r="H99" s="148" t="s">
        <v>687</v>
      </c>
      <c r="I99" s="148" t="s">
        <v>284</v>
      </c>
      <c r="J99" s="149" t="s">
        <v>461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337</v>
      </c>
      <c r="F100" s="1" t="s">
        <v>574</v>
      </c>
      <c r="G100" s="1"/>
      <c r="H100" s="1" t="s">
        <v>688</v>
      </c>
      <c r="I100" s="1" t="s">
        <v>36</v>
      </c>
      <c r="J100" s="229" t="s">
        <v>338</v>
      </c>
      <c r="K100" s="1" t="s">
        <v>337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339</v>
      </c>
      <c r="F101" s="1" t="s">
        <v>575</v>
      </c>
      <c r="G101" s="1"/>
      <c r="H101" s="1" t="s">
        <v>689</v>
      </c>
      <c r="I101" s="1" t="s">
        <v>225</v>
      </c>
      <c r="J101" s="229" t="s">
        <v>340</v>
      </c>
      <c r="K101" s="1" t="s">
        <v>339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756</v>
      </c>
      <c r="F102" s="1" t="s">
        <v>759</v>
      </c>
      <c r="G102" s="1"/>
      <c r="H102" s="1"/>
      <c r="I102" s="1" t="s">
        <v>761</v>
      </c>
      <c r="J102" s="229" t="s">
        <v>763</v>
      </c>
      <c r="K102" s="1" t="s">
        <v>756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757</v>
      </c>
      <c r="F103" s="1" t="s">
        <v>538</v>
      </c>
      <c r="G103" s="1"/>
      <c r="H103" s="1"/>
      <c r="I103" s="1" t="s">
        <v>79</v>
      </c>
      <c r="J103" s="229" t="s">
        <v>764</v>
      </c>
      <c r="K103" s="1" t="s">
        <v>757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758</v>
      </c>
      <c r="F104" s="1" t="s">
        <v>760</v>
      </c>
      <c r="G104" s="1"/>
      <c r="H104" s="1"/>
      <c r="I104" s="1" t="s">
        <v>762</v>
      </c>
      <c r="J104" s="229" t="s">
        <v>765</v>
      </c>
      <c r="K104" s="1" t="s">
        <v>758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773</v>
      </c>
      <c r="F105" s="1" t="s">
        <v>773</v>
      </c>
      <c r="G105" s="1"/>
      <c r="H105" s="1"/>
      <c r="I105" s="1" t="s">
        <v>779</v>
      </c>
      <c r="J105" s="1" t="s">
        <v>777</v>
      </c>
      <c r="K105" s="1" t="s">
        <v>775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774</v>
      </c>
      <c r="F106" s="1" t="s">
        <v>774</v>
      </c>
      <c r="G106" s="1"/>
      <c r="H106" s="1"/>
      <c r="I106" s="1" t="s">
        <v>780</v>
      </c>
      <c r="J106" s="1" t="s">
        <v>778</v>
      </c>
      <c r="K106" s="1" t="s">
        <v>776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781</v>
      </c>
      <c r="F107" s="1" t="s">
        <v>782</v>
      </c>
      <c r="G107" s="1"/>
      <c r="H107" s="1"/>
      <c r="I107" s="1" t="s">
        <v>95</v>
      </c>
      <c r="J107" s="1" t="s">
        <v>784</v>
      </c>
      <c r="K107" s="1" t="s">
        <v>781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783</v>
      </c>
      <c r="G108" s="1"/>
      <c r="H108" s="1"/>
      <c r="I108" s="1" t="s">
        <v>119</v>
      </c>
      <c r="J108" s="1" t="s">
        <v>785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789</v>
      </c>
      <c r="F109" s="1" t="s">
        <v>790</v>
      </c>
      <c r="G109" s="1"/>
      <c r="H109" s="1"/>
      <c r="I109" s="1" t="s">
        <v>791</v>
      </c>
      <c r="J109" s="1" t="s">
        <v>792</v>
      </c>
      <c r="K109" s="1" t="s">
        <v>789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799</v>
      </c>
      <c r="F110" s="1" t="s">
        <v>799</v>
      </c>
      <c r="G110" s="1"/>
      <c r="H110" s="1"/>
      <c r="I110" s="1" t="s">
        <v>16</v>
      </c>
      <c r="J110" s="1" t="s">
        <v>801</v>
      </c>
      <c r="K110" s="1" t="s">
        <v>800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808</v>
      </c>
      <c r="F111" s="1" t="s">
        <v>809</v>
      </c>
      <c r="G111" s="1"/>
      <c r="H111" s="1" t="s">
        <v>810</v>
      </c>
      <c r="I111" s="1" t="s">
        <v>794</v>
      </c>
      <c r="J111" s="1" t="s">
        <v>811</v>
      </c>
      <c r="K111" s="1" t="s">
        <v>808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812</v>
      </c>
      <c r="F112" s="1" t="s">
        <v>813</v>
      </c>
      <c r="G112" s="1"/>
      <c r="H112" s="1" t="s">
        <v>814</v>
      </c>
      <c r="I112" s="1" t="s">
        <v>815</v>
      </c>
      <c r="J112" s="1" t="s">
        <v>816</v>
      </c>
      <c r="K112" s="1" t="s">
        <v>812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817</v>
      </c>
      <c r="F113" s="1" t="s">
        <v>819</v>
      </c>
      <c r="G113" s="1"/>
      <c r="H113" s="1" t="s">
        <v>821</v>
      </c>
      <c r="I113" s="1" t="s">
        <v>823</v>
      </c>
      <c r="J113" s="1" t="s">
        <v>824</v>
      </c>
      <c r="K113" s="1" t="s">
        <v>817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818</v>
      </c>
      <c r="F114" s="1" t="s">
        <v>820</v>
      </c>
      <c r="G114" s="1"/>
      <c r="H114" s="1" t="s">
        <v>822</v>
      </c>
      <c r="I114" s="1" t="s">
        <v>32</v>
      </c>
      <c r="J114" s="1" t="s">
        <v>825</v>
      </c>
      <c r="K114" s="1" t="s">
        <v>818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10620108</v>
      </c>
      <c r="D115" s="147">
        <v>20108</v>
      </c>
      <c r="E115" s="1" t="s">
        <v>910</v>
      </c>
      <c r="F115" s="1" t="s">
        <v>909</v>
      </c>
      <c r="G115" s="1"/>
      <c r="H115" s="1" t="s">
        <v>911</v>
      </c>
      <c r="I115" s="1" t="s">
        <v>913</v>
      </c>
      <c r="J115" s="1" t="s">
        <v>912</v>
      </c>
      <c r="K115" s="1" t="s">
        <v>910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10620119</v>
      </c>
      <c r="D116" s="147">
        <v>20119</v>
      </c>
      <c r="E116" s="1" t="s">
        <v>826</v>
      </c>
      <c r="F116" s="1" t="s">
        <v>827</v>
      </c>
      <c r="G116" s="1"/>
      <c r="H116" s="1" t="s">
        <v>598</v>
      </c>
      <c r="I116" s="1" t="s">
        <v>828</v>
      </c>
      <c r="J116" s="1" t="s">
        <v>829</v>
      </c>
      <c r="K116" s="1" t="s">
        <v>826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10620120</v>
      </c>
      <c r="D117" s="147">
        <v>20120</v>
      </c>
      <c r="E117" s="1" t="s">
        <v>832</v>
      </c>
      <c r="F117" s="1" t="s">
        <v>833</v>
      </c>
      <c r="G117" s="1"/>
      <c r="H117" s="1" t="s">
        <v>834</v>
      </c>
      <c r="I117" s="1" t="s">
        <v>36</v>
      </c>
      <c r="J117" s="1" t="s">
        <v>835</v>
      </c>
      <c r="K117" s="1" t="s">
        <v>832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10620107</v>
      </c>
      <c r="D118" s="147">
        <v>20107</v>
      </c>
      <c r="E118" s="1" t="s">
        <v>841</v>
      </c>
      <c r="F118" s="1" t="s">
        <v>842</v>
      </c>
      <c r="G118" s="1"/>
      <c r="H118" s="1" t="s">
        <v>843</v>
      </c>
      <c r="I118" s="1" t="s">
        <v>845</v>
      </c>
      <c r="J118" s="1" t="s">
        <v>844</v>
      </c>
      <c r="K118" s="1" t="s">
        <v>841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10620121</v>
      </c>
      <c r="D119" s="147">
        <v>20121</v>
      </c>
      <c r="E119" s="1" t="s">
        <v>846</v>
      </c>
      <c r="F119" s="1" t="s">
        <v>848</v>
      </c>
      <c r="G119" s="1"/>
      <c r="H119" s="1" t="s">
        <v>850</v>
      </c>
      <c r="I119" s="1" t="s">
        <v>131</v>
      </c>
      <c r="J119" s="1" t="s">
        <v>852</v>
      </c>
      <c r="K119" s="1" t="s">
        <v>846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10620122</v>
      </c>
      <c r="D120" s="147">
        <v>20122</v>
      </c>
      <c r="E120" s="1" t="s">
        <v>847</v>
      </c>
      <c r="F120" s="1" t="s">
        <v>849</v>
      </c>
      <c r="G120" s="1"/>
      <c r="H120" s="1" t="s">
        <v>851</v>
      </c>
      <c r="I120" s="1" t="s">
        <v>79</v>
      </c>
      <c r="J120" s="1" t="s">
        <v>853</v>
      </c>
      <c r="K120" s="1" t="s">
        <v>847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10620123</v>
      </c>
      <c r="D121" s="147">
        <v>20123</v>
      </c>
      <c r="E121" s="1" t="s">
        <v>865</v>
      </c>
      <c r="F121" s="1" t="s">
        <v>866</v>
      </c>
      <c r="G121" s="1"/>
      <c r="H121" s="1" t="s">
        <v>867</v>
      </c>
      <c r="I121" s="1" t="s">
        <v>65</v>
      </c>
      <c r="J121" s="1" t="s">
        <v>868</v>
      </c>
      <c r="K121" s="1" t="s">
        <v>865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10620124</v>
      </c>
      <c r="D122" s="147">
        <v>20124</v>
      </c>
      <c r="E122" s="1" t="s">
        <v>876</v>
      </c>
      <c r="F122" s="1" t="s">
        <v>873</v>
      </c>
      <c r="G122" s="1"/>
      <c r="H122" s="1" t="s">
        <v>875</v>
      </c>
      <c r="I122" s="1" t="s">
        <v>119</v>
      </c>
      <c r="J122" s="1" t="s">
        <v>878</v>
      </c>
      <c r="K122" s="1" t="s">
        <v>876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10620125</v>
      </c>
      <c r="D123" s="147">
        <v>20125</v>
      </c>
      <c r="E123" s="1" t="s">
        <v>877</v>
      </c>
      <c r="F123" s="1" t="s">
        <v>874</v>
      </c>
      <c r="G123" s="1"/>
      <c r="H123" s="1" t="s">
        <v>660</v>
      </c>
      <c r="I123" s="1" t="s">
        <v>217</v>
      </c>
      <c r="J123" s="1" t="s">
        <v>879</v>
      </c>
      <c r="K123" s="1" t="s">
        <v>877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10620126</v>
      </c>
      <c r="D124" s="147">
        <v>20126</v>
      </c>
      <c r="E124" s="1" t="s">
        <v>884</v>
      </c>
      <c r="F124" s="1" t="s">
        <v>886</v>
      </c>
      <c r="G124" s="1"/>
      <c r="H124" s="1" t="s">
        <v>888</v>
      </c>
      <c r="I124" s="1" t="s">
        <v>131</v>
      </c>
      <c r="J124" s="1" t="s">
        <v>891</v>
      </c>
      <c r="K124" s="1" t="s">
        <v>884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10620127</v>
      </c>
      <c r="D125" s="147">
        <v>20127</v>
      </c>
      <c r="E125" s="1" t="s">
        <v>885</v>
      </c>
      <c r="F125" s="1" t="s">
        <v>887</v>
      </c>
      <c r="G125" s="1"/>
      <c r="H125" s="1" t="s">
        <v>889</v>
      </c>
      <c r="I125" s="1" t="s">
        <v>890</v>
      </c>
      <c r="J125" s="1" t="s">
        <v>892</v>
      </c>
      <c r="K125" s="1" t="s">
        <v>885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10620130</v>
      </c>
      <c r="D126" s="147">
        <v>20130</v>
      </c>
      <c r="E126" s="1" t="s">
        <v>893</v>
      </c>
      <c r="F126" s="1" t="s">
        <v>894</v>
      </c>
      <c r="G126" s="1"/>
      <c r="H126" s="1" t="s">
        <v>895</v>
      </c>
      <c r="I126" s="1" t="s">
        <v>187</v>
      </c>
      <c r="J126" s="1" t="s">
        <v>896</v>
      </c>
      <c r="K126" s="1" t="s">
        <v>893</v>
      </c>
      <c r="L126" s="1" t="s">
        <v>18</v>
      </c>
      <c r="M126" s="1"/>
      <c r="N126" s="1"/>
      <c r="O126" s="1"/>
      <c r="P126" s="1"/>
      <c r="Q126" s="1"/>
    </row>
    <row r="127" spans="1:17" x14ac:dyDescent="0.25">
      <c r="A127" s="61" t="s">
        <v>11</v>
      </c>
      <c r="B127" s="61" t="s">
        <v>12</v>
      </c>
      <c r="C127" s="1">
        <v>10620129</v>
      </c>
      <c r="D127" s="147">
        <v>20129</v>
      </c>
      <c r="E127" s="1" t="s">
        <v>903</v>
      </c>
      <c r="F127" s="1" t="s">
        <v>894</v>
      </c>
      <c r="G127" s="1"/>
      <c r="H127" s="1" t="s">
        <v>904</v>
      </c>
      <c r="I127" s="1" t="s">
        <v>905</v>
      </c>
      <c r="J127" s="1" t="s">
        <v>906</v>
      </c>
      <c r="K127" s="1" t="s">
        <v>903</v>
      </c>
      <c r="L127" s="1" t="s">
        <v>18</v>
      </c>
      <c r="M127" s="1"/>
      <c r="N127" s="1"/>
      <c r="O127" s="1"/>
      <c r="P127" s="1"/>
      <c r="Q127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331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59"/>
  <sheetViews>
    <sheetView zoomScale="80" zoomScaleNormal="80" workbookViewId="0">
      <pane xSplit="8" ySplit="3" topLeftCell="L38" activePane="bottomRight" state="frozen"/>
      <selection pane="topRight" activeCell="D1" sqref="D1"/>
      <selection pane="bottomLeft" activeCell="A4" sqref="A4"/>
      <selection pane="bottomRight" activeCell="AC5" sqref="AC5:AD75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12182.775000000009</v>
      </c>
      <c r="Q1" s="53">
        <f>P2*4%+Q2*8.5%</f>
        <v>40.929524965940516</v>
      </c>
      <c r="R1" s="65">
        <f>R2/I2</f>
        <v>0.79969894009561493</v>
      </c>
      <c r="S1" s="51">
        <f>S2/I2</f>
        <v>3.75</v>
      </c>
      <c r="T1" s="67">
        <f>W1-Q1</f>
        <v>4.0810951336475085</v>
      </c>
      <c r="W1" s="67">
        <f>V2*4%+W2*8.5%</f>
        <v>45.010620099588024</v>
      </c>
      <c r="AH1" s="154">
        <f>AH2+W1</f>
        <v>46.211641058151145</v>
      </c>
      <c r="AI1" s="154">
        <f>AH1-Q1</f>
        <v>5.2821160922106287</v>
      </c>
    </row>
    <row r="2" spans="1:44" x14ac:dyDescent="0.25">
      <c r="I2" s="72">
        <f>SUM(I4:I99237)</f>
        <v>47892</v>
      </c>
      <c r="J2" s="74">
        <f>L2/I2*100</f>
        <v>5.0876033575545012</v>
      </c>
      <c r="K2" s="74">
        <f>M2/I2*100</f>
        <v>8.5530234694729828</v>
      </c>
      <c r="L2" s="74">
        <f>SUM(L4:L99237)</f>
        <v>2436.5550000000017</v>
      </c>
      <c r="M2" s="74">
        <f>SUM(M4:M99237)</f>
        <v>4096.2140000000009</v>
      </c>
      <c r="N2" s="70">
        <f>O2/I2</f>
        <v>45.697082291178042</v>
      </c>
      <c r="O2" s="72">
        <f>SUM(O4:O99237)</f>
        <v>2188524.6650890987</v>
      </c>
      <c r="P2" s="71">
        <f>SUMPRODUCT(P4:P99237,L4:L99237)/L2</f>
        <v>424.62069933904075</v>
      </c>
      <c r="Q2" s="71">
        <f>SUMPRODUCT(Q4:Q99237,M4:M99237)/M2</f>
        <v>281.70231755739866</v>
      </c>
      <c r="R2" s="72">
        <f>SUM(R4:R99237)</f>
        <v>38299.181639059192</v>
      </c>
      <c r="S2" s="72">
        <f>SUM(S4:S99237)</f>
        <v>179595</v>
      </c>
      <c r="T2" s="72">
        <f>SUM(T4:T99237)</f>
        <v>2406418.8467281605</v>
      </c>
      <c r="U2" s="75">
        <f>T2/I2</f>
        <v>50.246781231273708</v>
      </c>
      <c r="V2" s="73">
        <f>SUMPRODUCT(V4:V99237,L4:L99237)/L2</f>
        <v>466.32259889224849</v>
      </c>
      <c r="W2" s="73">
        <f>SUMPRODUCT(W4:W99237,M4:M99237)/M2</f>
        <v>310.0907781635068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12.424354743756382</v>
      </c>
      <c r="AG2" s="154">
        <f>AF2*2/3</f>
        <v>8.2829031625042546</v>
      </c>
      <c r="AH2" s="154">
        <f>AF2*4%+AG2*8.5%</f>
        <v>1.2010209585631171</v>
      </c>
    </row>
    <row r="3" spans="1:44" ht="30" x14ac:dyDescent="0.25">
      <c r="A3" s="54" t="s">
        <v>581</v>
      </c>
      <c r="B3" s="54" t="s">
        <v>389</v>
      </c>
      <c r="C3" s="54" t="s">
        <v>582</v>
      </c>
      <c r="D3" s="54" t="s">
        <v>583</v>
      </c>
      <c r="E3" s="54" t="s">
        <v>584</v>
      </c>
      <c r="F3" s="60" t="s">
        <v>479</v>
      </c>
      <c r="G3" s="54" t="s">
        <v>324</v>
      </c>
      <c r="H3" s="54" t="s">
        <v>325</v>
      </c>
      <c r="I3" s="54" t="s">
        <v>326</v>
      </c>
      <c r="J3" s="54" t="s">
        <v>327</v>
      </c>
      <c r="K3" s="54" t="s">
        <v>328</v>
      </c>
      <c r="L3" s="60" t="s">
        <v>329</v>
      </c>
      <c r="M3" s="60" t="s">
        <v>330</v>
      </c>
      <c r="N3" s="60" t="s">
        <v>332</v>
      </c>
      <c r="O3" s="60" t="s">
        <v>310</v>
      </c>
      <c r="P3" s="54" t="s">
        <v>323</v>
      </c>
      <c r="Q3" s="54" t="s">
        <v>333</v>
      </c>
      <c r="R3" s="55" t="s">
        <v>478</v>
      </c>
      <c r="S3" s="55" t="s">
        <v>334</v>
      </c>
      <c r="T3" s="54" t="s">
        <v>335</v>
      </c>
      <c r="U3" s="54" t="s">
        <v>336</v>
      </c>
      <c r="V3" s="54" t="s">
        <v>323</v>
      </c>
      <c r="W3" s="54" t="s">
        <v>333</v>
      </c>
      <c r="Z3" s="213"/>
      <c r="AA3" s="214"/>
      <c r="AB3" s="214"/>
      <c r="AC3" s="215" t="s">
        <v>392</v>
      </c>
      <c r="AD3" s="216"/>
      <c r="AG3" s="213"/>
      <c r="AH3" s="214"/>
      <c r="AI3" s="215" t="s">
        <v>392</v>
      </c>
      <c r="AJ3" s="214"/>
      <c r="AK3" s="216"/>
    </row>
    <row r="4" spans="1:44" x14ac:dyDescent="0.25">
      <c r="A4" s="168" t="s">
        <v>941</v>
      </c>
      <c r="B4" s="62" t="s">
        <v>390</v>
      </c>
      <c r="C4" s="62" t="s">
        <v>585</v>
      </c>
      <c r="D4" s="62" t="s">
        <v>854</v>
      </c>
      <c r="E4" s="49" t="s">
        <v>752</v>
      </c>
      <c r="F4" s="62" t="str">
        <f>MID(E4,2,5)</f>
        <v>20101</v>
      </c>
      <c r="G4" s="268">
        <v>10620101</v>
      </c>
      <c r="H4" s="49" t="s">
        <v>381</v>
      </c>
      <c r="I4" s="69">
        <v>14</v>
      </c>
      <c r="J4" s="69">
        <v>7.1</v>
      </c>
      <c r="K4" s="69">
        <v>9</v>
      </c>
      <c r="L4" s="69">
        <f>J4*I4/100</f>
        <v>0.99399999999999988</v>
      </c>
      <c r="M4" s="69">
        <f>K4*I4/100</f>
        <v>1.26</v>
      </c>
      <c r="N4" s="56">
        <f>INDEX(Rate_Chart!$A$1:$AK$127,MATCH(Data!J4,Rate_Chart!$A$1:$A$127,0),MATCH(Data!K4,Rate_Chart!$A$1:$AK$1,0))</f>
        <v>59.284999999999997</v>
      </c>
      <c r="O4" s="57">
        <f>N4*I4</f>
        <v>829.99</v>
      </c>
      <c r="P4" s="58">
        <f>N4/(J4%+K4%*2/3)</f>
        <v>452.55725190839689</v>
      </c>
      <c r="Q4" s="58">
        <f>P4*2/3</f>
        <v>301.70483460559791</v>
      </c>
      <c r="R4" s="66">
        <f t="shared" ref="R4:R18" si="0">O4*1.75%</f>
        <v>14.524825000000002</v>
      </c>
      <c r="S4" s="64">
        <f>I4*3.75</f>
        <v>52.5</v>
      </c>
      <c r="T4" s="66">
        <f>R4+S4+O4</f>
        <v>897.01482499999997</v>
      </c>
      <c r="U4" s="68">
        <f>T4/I4</f>
        <v>64.072487499999994</v>
      </c>
      <c r="V4" s="68">
        <f>U4/(J4%+K4%*2/3)</f>
        <v>489.10295801526712</v>
      </c>
      <c r="W4" s="68">
        <f>V4*2/3</f>
        <v>326.06863867684473</v>
      </c>
      <c r="Z4" s="237" t="s">
        <v>324</v>
      </c>
      <c r="AA4" s="215" t="s">
        <v>479</v>
      </c>
      <c r="AB4" s="215" t="s">
        <v>584</v>
      </c>
      <c r="AC4" s="237" t="s">
        <v>385</v>
      </c>
      <c r="AD4" s="238" t="s">
        <v>386</v>
      </c>
      <c r="AG4" s="215" t="s">
        <v>581</v>
      </c>
      <c r="AH4" s="222" t="s">
        <v>389</v>
      </c>
      <c r="AI4" s="223" t="s">
        <v>385</v>
      </c>
      <c r="AJ4" s="224" t="s">
        <v>387</v>
      </c>
      <c r="AK4" s="225" t="s">
        <v>393</v>
      </c>
    </row>
    <row r="5" spans="1:44" x14ac:dyDescent="0.25">
      <c r="A5" s="168" t="s">
        <v>942</v>
      </c>
      <c r="B5" s="62" t="s">
        <v>390</v>
      </c>
      <c r="C5" s="62" t="s">
        <v>585</v>
      </c>
      <c r="D5" s="62" t="s">
        <v>854</v>
      </c>
      <c r="E5" s="49" t="s">
        <v>752</v>
      </c>
      <c r="F5" s="62" t="str">
        <f t="shared" ref="F5:F68" si="1">MID(E5,2,5)</f>
        <v>20101</v>
      </c>
      <c r="G5" s="268">
        <v>10620101</v>
      </c>
      <c r="H5" s="49" t="s">
        <v>381</v>
      </c>
      <c r="I5" s="69">
        <v>32</v>
      </c>
      <c r="J5" s="69">
        <v>6.1</v>
      </c>
      <c r="K5" s="69">
        <v>9</v>
      </c>
      <c r="L5" s="69">
        <f t="shared" ref="L5:L68" si="2">J5*I5/100</f>
        <v>1.952</v>
      </c>
      <c r="M5" s="69">
        <f t="shared" ref="M5:M68" si="3">K5*I5/100</f>
        <v>2.88</v>
      </c>
      <c r="N5" s="56">
        <f>INDEX(Rate_Chart!$A$1:$AK$127,MATCH(Data!J5,Rate_Chart!$A$1:$A$127,0),MATCH(Data!K5,Rate_Chart!$A$1:$AK$1,0))</f>
        <v>50.935000000000002</v>
      </c>
      <c r="O5" s="57">
        <f t="shared" ref="O5:O68" si="4">N5*I5</f>
        <v>1629.92</v>
      </c>
      <c r="P5" s="58">
        <f t="shared" ref="P5:P68" si="5">N5/(J5%+K5%*2/3)</f>
        <v>420.95041322314052</v>
      </c>
      <c r="Q5" s="58">
        <f t="shared" ref="Q5:Q68" si="6">P5*2/3</f>
        <v>280.63360881542701</v>
      </c>
      <c r="R5" s="66">
        <f t="shared" si="0"/>
        <v>28.523600000000005</v>
      </c>
      <c r="S5" s="64">
        <f t="shared" ref="S5:S68" si="7">I5*3.75</f>
        <v>120</v>
      </c>
      <c r="T5" s="66">
        <f t="shared" ref="T5:T68" si="8">R5+S5+O5</f>
        <v>1778.4436000000001</v>
      </c>
      <c r="U5" s="68">
        <f t="shared" ref="U5:U68" si="9">T5/I5</f>
        <v>55.576362500000002</v>
      </c>
      <c r="V5" s="68">
        <f t="shared" ref="V5:V68" si="10">U5/(J5%+K5%*2/3)</f>
        <v>459.30878099173555</v>
      </c>
      <c r="W5" s="68">
        <f t="shared" ref="W5:W68" si="11">V5*2/3</f>
        <v>306.20585399449038</v>
      </c>
      <c r="Z5" s="213">
        <v>10620002</v>
      </c>
      <c r="AA5" s="213" t="s">
        <v>700</v>
      </c>
      <c r="AB5" s="213" t="s">
        <v>380</v>
      </c>
      <c r="AC5" s="270">
        <v>464</v>
      </c>
      <c r="AD5" s="271">
        <v>20166.570207000001</v>
      </c>
      <c r="AG5" s="218" t="s">
        <v>836</v>
      </c>
      <c r="AH5" s="213" t="s">
        <v>390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943</v>
      </c>
      <c r="B6" s="62" t="s">
        <v>390</v>
      </c>
      <c r="C6" s="62" t="s">
        <v>585</v>
      </c>
      <c r="D6" s="62" t="s">
        <v>854</v>
      </c>
      <c r="E6" s="49" t="s">
        <v>752</v>
      </c>
      <c r="F6" s="62" t="str">
        <f t="shared" si="1"/>
        <v>20101</v>
      </c>
      <c r="G6" s="268">
        <v>10620101</v>
      </c>
      <c r="H6" s="49" t="s">
        <v>381</v>
      </c>
      <c r="I6" s="69">
        <v>26</v>
      </c>
      <c r="J6" s="69">
        <v>6.1</v>
      </c>
      <c r="K6" s="69">
        <v>9</v>
      </c>
      <c r="L6" s="69">
        <f t="shared" si="2"/>
        <v>1.5859999999999999</v>
      </c>
      <c r="M6" s="69">
        <f t="shared" si="3"/>
        <v>2.34</v>
      </c>
      <c r="N6" s="56">
        <f>INDEX(Rate_Chart!$A$1:$AK$127,MATCH(Data!J6,Rate_Chart!$A$1:$A$127,0),MATCH(Data!K6,Rate_Chart!$A$1:$AK$1,0))</f>
        <v>50.935000000000002</v>
      </c>
      <c r="O6" s="57">
        <f t="shared" si="4"/>
        <v>1324.31</v>
      </c>
      <c r="P6" s="58">
        <f t="shared" si="5"/>
        <v>420.95041322314052</v>
      </c>
      <c r="Q6" s="58">
        <f t="shared" si="6"/>
        <v>280.63360881542701</v>
      </c>
      <c r="R6" s="66">
        <f t="shared" si="0"/>
        <v>23.175425000000001</v>
      </c>
      <c r="S6" s="64">
        <f t="shared" si="7"/>
        <v>97.5</v>
      </c>
      <c r="T6" s="66">
        <f t="shared" si="8"/>
        <v>1444.9854249999999</v>
      </c>
      <c r="U6" s="68">
        <f t="shared" si="9"/>
        <v>55.576362499999995</v>
      </c>
      <c r="V6" s="68">
        <f t="shared" si="10"/>
        <v>459.30878099173549</v>
      </c>
      <c r="W6" s="68">
        <f t="shared" si="11"/>
        <v>306.20585399449033</v>
      </c>
      <c r="Z6" s="213">
        <v>10620004</v>
      </c>
      <c r="AA6" s="213" t="s">
        <v>859</v>
      </c>
      <c r="AB6" s="213" t="s">
        <v>858</v>
      </c>
      <c r="AC6" s="270">
        <v>767</v>
      </c>
      <c r="AD6" s="271">
        <v>32671.052423900004</v>
      </c>
      <c r="AG6" s="219"/>
      <c r="AH6" s="220" t="s">
        <v>391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944</v>
      </c>
      <c r="B7" s="62" t="s">
        <v>390</v>
      </c>
      <c r="C7" s="62" t="s">
        <v>585</v>
      </c>
      <c r="D7" s="62" t="s">
        <v>854</v>
      </c>
      <c r="E7" s="49" t="s">
        <v>752</v>
      </c>
      <c r="F7" s="62" t="str">
        <f t="shared" si="1"/>
        <v>20101</v>
      </c>
      <c r="G7" s="268">
        <v>10620101</v>
      </c>
      <c r="H7" s="49" t="s">
        <v>381</v>
      </c>
      <c r="I7" s="69">
        <v>41</v>
      </c>
      <c r="J7" s="69">
        <v>6</v>
      </c>
      <c r="K7" s="69">
        <v>9</v>
      </c>
      <c r="L7" s="69">
        <f t="shared" si="2"/>
        <v>2.46</v>
      </c>
      <c r="M7" s="69">
        <f t="shared" si="3"/>
        <v>3.69</v>
      </c>
      <c r="N7" s="56">
        <f>INDEX(Rate_Chart!$A$1:$AK$127,MATCH(Data!J7,Rate_Chart!$A$1:$A$127,0),MATCH(Data!K7,Rate_Chart!$A$1:$AK$1,0))</f>
        <v>50.1</v>
      </c>
      <c r="O7" s="57">
        <f t="shared" si="4"/>
        <v>2054.1</v>
      </c>
      <c r="P7" s="58">
        <f t="shared" si="5"/>
        <v>417.5</v>
      </c>
      <c r="Q7" s="58">
        <f t="shared" si="6"/>
        <v>278.33333333333331</v>
      </c>
      <c r="R7" s="66">
        <f t="shared" si="0"/>
        <v>35.946750000000002</v>
      </c>
      <c r="S7" s="64">
        <f t="shared" si="7"/>
        <v>153.75</v>
      </c>
      <c r="T7" s="66">
        <f t="shared" si="8"/>
        <v>2243.79675</v>
      </c>
      <c r="U7" s="68">
        <f t="shared" si="9"/>
        <v>54.726750000000003</v>
      </c>
      <c r="V7" s="68">
        <f t="shared" si="10"/>
        <v>456.05625000000003</v>
      </c>
      <c r="W7" s="68">
        <f t="shared" si="11"/>
        <v>304.03750000000002</v>
      </c>
      <c r="Z7" s="213">
        <v>10620005</v>
      </c>
      <c r="AA7" s="213" t="s">
        <v>701</v>
      </c>
      <c r="AB7" s="213" t="s">
        <v>352</v>
      </c>
      <c r="AC7" s="270">
        <v>548</v>
      </c>
      <c r="AD7" s="271">
        <v>32729.774514400004</v>
      </c>
      <c r="AG7" s="218" t="s">
        <v>837</v>
      </c>
      <c r="AH7" s="213" t="s">
        <v>390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945</v>
      </c>
      <c r="B8" s="62" t="s">
        <v>390</v>
      </c>
      <c r="C8" s="62" t="s">
        <v>585</v>
      </c>
      <c r="D8" s="62" t="s">
        <v>854</v>
      </c>
      <c r="E8" s="49" t="s">
        <v>752</v>
      </c>
      <c r="F8" s="62" t="str">
        <f t="shared" si="1"/>
        <v>20101</v>
      </c>
      <c r="G8" s="268">
        <v>10620101</v>
      </c>
      <c r="H8" s="49" t="s">
        <v>381</v>
      </c>
      <c r="I8" s="69">
        <v>40</v>
      </c>
      <c r="J8" s="69">
        <v>6.1</v>
      </c>
      <c r="K8" s="69">
        <v>9</v>
      </c>
      <c r="L8" s="69">
        <f t="shared" si="2"/>
        <v>2.44</v>
      </c>
      <c r="M8" s="69">
        <f t="shared" si="3"/>
        <v>3.6</v>
      </c>
      <c r="N8" s="56">
        <f>INDEX(Rate_Chart!$A$1:$AK$127,MATCH(Data!J8,Rate_Chart!$A$1:$A$127,0),MATCH(Data!K8,Rate_Chart!$A$1:$AK$1,0))</f>
        <v>50.935000000000002</v>
      </c>
      <c r="O8" s="57">
        <f t="shared" si="4"/>
        <v>2037.4</v>
      </c>
      <c r="P8" s="58">
        <f t="shared" si="5"/>
        <v>420.95041322314052</v>
      </c>
      <c r="Q8" s="58">
        <f t="shared" si="6"/>
        <v>280.63360881542701</v>
      </c>
      <c r="R8" s="66">
        <f t="shared" si="0"/>
        <v>35.654500000000006</v>
      </c>
      <c r="S8" s="64">
        <f t="shared" si="7"/>
        <v>150</v>
      </c>
      <c r="T8" s="66">
        <f t="shared" si="8"/>
        <v>2223.0545000000002</v>
      </c>
      <c r="U8" s="68">
        <f t="shared" si="9"/>
        <v>55.576362500000002</v>
      </c>
      <c r="V8" s="68">
        <f t="shared" si="10"/>
        <v>459.30878099173555</v>
      </c>
      <c r="W8" s="68">
        <f t="shared" si="11"/>
        <v>306.20585399449038</v>
      </c>
      <c r="Z8" s="213">
        <v>10620008</v>
      </c>
      <c r="AA8" s="213" t="s">
        <v>899</v>
      </c>
      <c r="AB8" s="213" t="s">
        <v>898</v>
      </c>
      <c r="AC8" s="270">
        <v>361</v>
      </c>
      <c r="AD8" s="271">
        <v>19264.285</v>
      </c>
      <c r="AG8" s="219"/>
      <c r="AH8" s="220" t="s">
        <v>391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946</v>
      </c>
      <c r="B9" s="62" t="s">
        <v>390</v>
      </c>
      <c r="C9" s="62" t="s">
        <v>585</v>
      </c>
      <c r="D9" s="62" t="s">
        <v>854</v>
      </c>
      <c r="E9" s="49" t="s">
        <v>752</v>
      </c>
      <c r="F9" s="62" t="str">
        <f t="shared" si="1"/>
        <v>20101</v>
      </c>
      <c r="G9" s="268">
        <v>10620101</v>
      </c>
      <c r="H9" s="49" t="s">
        <v>381</v>
      </c>
      <c r="I9" s="69">
        <v>41</v>
      </c>
      <c r="J9" s="69">
        <v>6.6</v>
      </c>
      <c r="K9" s="69">
        <v>9</v>
      </c>
      <c r="L9" s="69">
        <f t="shared" si="2"/>
        <v>2.7059999999999995</v>
      </c>
      <c r="M9" s="69">
        <f t="shared" si="3"/>
        <v>3.69</v>
      </c>
      <c r="N9" s="56">
        <f>INDEX(Rate_Chart!$A$1:$AK$127,MATCH(Data!J9,Rate_Chart!$A$1:$A$127,0),MATCH(Data!K9,Rate_Chart!$A$1:$AK$1,0))</f>
        <v>55.11</v>
      </c>
      <c r="O9" s="57">
        <f t="shared" si="4"/>
        <v>2259.5099999999998</v>
      </c>
      <c r="P9" s="58">
        <f t="shared" si="5"/>
        <v>437.38095238095235</v>
      </c>
      <c r="Q9" s="58">
        <f t="shared" si="6"/>
        <v>291.58730158730157</v>
      </c>
      <c r="R9" s="66">
        <f t="shared" si="0"/>
        <v>39.541424999999997</v>
      </c>
      <c r="S9" s="64">
        <f t="shared" si="7"/>
        <v>153.75</v>
      </c>
      <c r="T9" s="66">
        <f t="shared" si="8"/>
        <v>2452.8014249999997</v>
      </c>
      <c r="U9" s="68">
        <f t="shared" si="9"/>
        <v>59.824424999999991</v>
      </c>
      <c r="V9" s="68">
        <f t="shared" si="10"/>
        <v>474.79702380952375</v>
      </c>
      <c r="W9" s="68">
        <f t="shared" si="11"/>
        <v>316.53134920634915</v>
      </c>
      <c r="Z9" s="213">
        <v>10620009</v>
      </c>
      <c r="AA9" s="213" t="s">
        <v>702</v>
      </c>
      <c r="AB9" s="213" t="s">
        <v>378</v>
      </c>
      <c r="AC9" s="270">
        <v>819</v>
      </c>
      <c r="AD9" s="271">
        <v>37592.411689099994</v>
      </c>
      <c r="AG9" s="218" t="s">
        <v>840</v>
      </c>
      <c r="AH9" s="213" t="s">
        <v>840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946</v>
      </c>
      <c r="B10" s="62" t="s">
        <v>390</v>
      </c>
      <c r="C10" s="62" t="s">
        <v>585</v>
      </c>
      <c r="D10" s="62" t="s">
        <v>854</v>
      </c>
      <c r="E10" s="49" t="s">
        <v>752</v>
      </c>
      <c r="F10" s="62" t="str">
        <f t="shared" si="1"/>
        <v>20101</v>
      </c>
      <c r="G10" s="268">
        <v>10620101</v>
      </c>
      <c r="H10" s="49" t="s">
        <v>382</v>
      </c>
      <c r="I10" s="69">
        <v>6</v>
      </c>
      <c r="J10" s="69">
        <v>3.4</v>
      </c>
      <c r="K10" s="69">
        <v>8.4</v>
      </c>
      <c r="L10" s="69">
        <f t="shared" si="2"/>
        <v>0.20399999999999999</v>
      </c>
      <c r="M10" s="69">
        <f t="shared" si="3"/>
        <v>0.504</v>
      </c>
      <c r="N10" s="56">
        <f>INDEX(Rate_Chart!$A$1:$AK$127,MATCH(Data!J10,Rate_Chart!$A$1:$A$127,0),MATCH(Data!K10,Rate_Chart!$A$1:$AK$1,0))</f>
        <v>37.531167600000003</v>
      </c>
      <c r="O10" s="57">
        <f t="shared" si="4"/>
        <v>225.18700560000002</v>
      </c>
      <c r="P10" s="58">
        <f t="shared" si="5"/>
        <v>417.01297333333338</v>
      </c>
      <c r="Q10" s="58">
        <f t="shared" si="6"/>
        <v>278.0086488888889</v>
      </c>
      <c r="R10" s="66">
        <f t="shared" si="0"/>
        <v>3.9407725980000006</v>
      </c>
      <c r="S10" s="64">
        <f t="shared" si="7"/>
        <v>22.5</v>
      </c>
      <c r="T10" s="66">
        <f t="shared" si="8"/>
        <v>251.62777819800002</v>
      </c>
      <c r="U10" s="68">
        <f t="shared" si="9"/>
        <v>41.937963033000003</v>
      </c>
      <c r="V10" s="68">
        <f t="shared" si="10"/>
        <v>465.97736703333339</v>
      </c>
      <c r="W10" s="68">
        <f t="shared" si="11"/>
        <v>310.65157802222228</v>
      </c>
      <c r="Z10" s="213">
        <v>10620010</v>
      </c>
      <c r="AA10" s="213" t="s">
        <v>860</v>
      </c>
      <c r="AB10" s="213" t="s">
        <v>857</v>
      </c>
      <c r="AC10" s="270">
        <v>405</v>
      </c>
      <c r="AD10" s="271">
        <v>22184.013694499998</v>
      </c>
      <c r="AG10" s="221" t="s">
        <v>384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941</v>
      </c>
      <c r="B11" s="62" t="s">
        <v>390</v>
      </c>
      <c r="C11" s="62" t="s">
        <v>585</v>
      </c>
      <c r="D11" s="62" t="s">
        <v>586</v>
      </c>
      <c r="E11" s="49" t="s">
        <v>753</v>
      </c>
      <c r="F11" s="62" t="str">
        <f t="shared" si="1"/>
        <v>20102</v>
      </c>
      <c r="G11" s="268">
        <v>10620102</v>
      </c>
      <c r="H11" s="49" t="s">
        <v>382</v>
      </c>
      <c r="I11" s="69">
        <v>28</v>
      </c>
      <c r="J11" s="69">
        <v>5.4</v>
      </c>
      <c r="K11" s="69">
        <v>8.6</v>
      </c>
      <c r="L11" s="69">
        <f t="shared" si="2"/>
        <v>1.5120000000000002</v>
      </c>
      <c r="M11" s="69">
        <f t="shared" si="3"/>
        <v>2.4079999999999999</v>
      </c>
      <c r="N11" s="56">
        <f>INDEX(Rate_Chart!$A$1:$AK$127,MATCH(Data!J11,Rate_Chart!$A$1:$A$127,0),MATCH(Data!K11,Rate_Chart!$A$1:$AK$1,0))</f>
        <v>46.149181500000012</v>
      </c>
      <c r="O11" s="57">
        <f t="shared" si="4"/>
        <v>1292.1770820000004</v>
      </c>
      <c r="P11" s="58">
        <f t="shared" si="5"/>
        <v>414.5136062874252</v>
      </c>
      <c r="Q11" s="58">
        <f t="shared" si="6"/>
        <v>276.34240419161682</v>
      </c>
      <c r="R11" s="66">
        <f t="shared" si="0"/>
        <v>22.613098935000007</v>
      </c>
      <c r="S11" s="64">
        <f t="shared" si="7"/>
        <v>105</v>
      </c>
      <c r="T11" s="66">
        <f t="shared" si="8"/>
        <v>1419.7901809350003</v>
      </c>
      <c r="U11" s="68">
        <f t="shared" si="9"/>
        <v>50.706792176250012</v>
      </c>
      <c r="V11" s="68">
        <f t="shared" si="10"/>
        <v>455.45022912799408</v>
      </c>
      <c r="W11" s="68">
        <f t="shared" si="11"/>
        <v>303.63348608532937</v>
      </c>
      <c r="Z11" s="213">
        <v>10620012</v>
      </c>
      <c r="AA11" s="213" t="s">
        <v>703</v>
      </c>
      <c r="AB11" s="213" t="s">
        <v>359</v>
      </c>
      <c r="AC11" s="270">
        <v>679</v>
      </c>
      <c r="AD11" s="271">
        <v>32742.795700499999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941</v>
      </c>
      <c r="B12" s="62" t="s">
        <v>391</v>
      </c>
      <c r="C12" s="62" t="s">
        <v>585</v>
      </c>
      <c r="D12" s="62" t="s">
        <v>586</v>
      </c>
      <c r="E12" s="49" t="s">
        <v>753</v>
      </c>
      <c r="F12" s="62" t="str">
        <f t="shared" si="1"/>
        <v>20102</v>
      </c>
      <c r="G12" s="268">
        <v>10620102</v>
      </c>
      <c r="H12" s="49" t="s">
        <v>382</v>
      </c>
      <c r="I12" s="69">
        <v>68</v>
      </c>
      <c r="J12" s="69">
        <v>3.1</v>
      </c>
      <c r="K12" s="69">
        <v>8.1</v>
      </c>
      <c r="L12" s="69">
        <f t="shared" si="2"/>
        <v>2.1080000000000001</v>
      </c>
      <c r="M12" s="69">
        <f t="shared" si="3"/>
        <v>5.5079999999999991</v>
      </c>
      <c r="N12" s="56">
        <f>INDEX(Rate_Chart!$A$1:$AK$127,MATCH(Data!J12,Rate_Chart!$A$1:$A$127,0),MATCH(Data!K12,Rate_Chart!$A$1:$AK$1,0))</f>
        <v>35.446125899999998</v>
      </c>
      <c r="O12" s="57">
        <f t="shared" si="4"/>
        <v>2410.3365611999998</v>
      </c>
      <c r="P12" s="58">
        <f t="shared" si="5"/>
        <v>417.01324588235298</v>
      </c>
      <c r="Q12" s="58">
        <f t="shared" si="6"/>
        <v>278.0088305882353</v>
      </c>
      <c r="R12" s="66">
        <f t="shared" si="0"/>
        <v>42.180889821000001</v>
      </c>
      <c r="S12" s="64">
        <f t="shared" si="7"/>
        <v>255</v>
      </c>
      <c r="T12" s="66">
        <f t="shared" si="8"/>
        <v>2707.5174510209999</v>
      </c>
      <c r="U12" s="68">
        <f t="shared" si="9"/>
        <v>39.816433103249999</v>
      </c>
      <c r="V12" s="68">
        <f t="shared" si="10"/>
        <v>468.42862474411766</v>
      </c>
      <c r="W12" s="68">
        <f t="shared" si="11"/>
        <v>312.28574982941177</v>
      </c>
      <c r="Z12" s="213">
        <v>10620013</v>
      </c>
      <c r="AA12" s="213" t="s">
        <v>704</v>
      </c>
      <c r="AB12" s="213" t="s">
        <v>362</v>
      </c>
      <c r="AC12" s="270">
        <v>166</v>
      </c>
      <c r="AD12" s="271">
        <v>10827.445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942</v>
      </c>
      <c r="B13" s="62" t="s">
        <v>390</v>
      </c>
      <c r="C13" s="62" t="s">
        <v>585</v>
      </c>
      <c r="D13" s="62" t="s">
        <v>586</v>
      </c>
      <c r="E13" s="49" t="s">
        <v>753</v>
      </c>
      <c r="F13" s="62" t="str">
        <f t="shared" si="1"/>
        <v>20102</v>
      </c>
      <c r="G13" s="268">
        <v>10620102</v>
      </c>
      <c r="H13" s="49" t="s">
        <v>381</v>
      </c>
      <c r="I13" s="69">
        <v>41</v>
      </c>
      <c r="J13" s="69">
        <v>6.2</v>
      </c>
      <c r="K13" s="69">
        <v>9</v>
      </c>
      <c r="L13" s="69">
        <f t="shared" si="2"/>
        <v>2.5420000000000003</v>
      </c>
      <c r="M13" s="69">
        <f t="shared" si="3"/>
        <v>3.69</v>
      </c>
      <c r="N13" s="56">
        <f>INDEX(Rate_Chart!$A$1:$AK$127,MATCH(Data!J13,Rate_Chart!$A$1:$A$127,0),MATCH(Data!K13,Rate_Chart!$A$1:$AK$1,0))</f>
        <v>51.77</v>
      </c>
      <c r="O13" s="57">
        <f t="shared" si="4"/>
        <v>2122.5700000000002</v>
      </c>
      <c r="P13" s="58">
        <f t="shared" si="5"/>
        <v>424.34426229508199</v>
      </c>
      <c r="Q13" s="58">
        <f t="shared" si="6"/>
        <v>282.89617486338801</v>
      </c>
      <c r="R13" s="66">
        <f t="shared" si="0"/>
        <v>37.144975000000009</v>
      </c>
      <c r="S13" s="64">
        <f t="shared" si="7"/>
        <v>153.75</v>
      </c>
      <c r="T13" s="66">
        <f t="shared" si="8"/>
        <v>2313.4649750000003</v>
      </c>
      <c r="U13" s="68">
        <f t="shared" si="9"/>
        <v>56.425975000000008</v>
      </c>
      <c r="V13" s="68">
        <f t="shared" si="10"/>
        <v>462.50799180327874</v>
      </c>
      <c r="W13" s="68">
        <f t="shared" si="11"/>
        <v>308.33866120218585</v>
      </c>
      <c r="Z13" s="213">
        <v>10620014</v>
      </c>
      <c r="AA13" s="213" t="s">
        <v>705</v>
      </c>
      <c r="AB13" s="213" t="s">
        <v>351</v>
      </c>
      <c r="AC13" s="270">
        <v>142</v>
      </c>
      <c r="AD13" s="271">
        <v>6284.0504270000001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942</v>
      </c>
      <c r="B14" s="62" t="s">
        <v>390</v>
      </c>
      <c r="C14" s="62" t="s">
        <v>585</v>
      </c>
      <c r="D14" s="62" t="s">
        <v>586</v>
      </c>
      <c r="E14" s="49" t="s">
        <v>753</v>
      </c>
      <c r="F14" s="62" t="str">
        <f t="shared" si="1"/>
        <v>20102</v>
      </c>
      <c r="G14" s="268">
        <v>10620102</v>
      </c>
      <c r="H14" s="49" t="s">
        <v>382</v>
      </c>
      <c r="I14" s="69">
        <v>27</v>
      </c>
      <c r="J14" s="69">
        <v>3.1</v>
      </c>
      <c r="K14" s="69">
        <v>8.1</v>
      </c>
      <c r="L14" s="69">
        <f t="shared" si="2"/>
        <v>0.83700000000000008</v>
      </c>
      <c r="M14" s="69">
        <f t="shared" si="3"/>
        <v>2.1869999999999998</v>
      </c>
      <c r="N14" s="56">
        <f>INDEX(Rate_Chart!$A$1:$AK$127,MATCH(Data!J14,Rate_Chart!$A$1:$A$127,0),MATCH(Data!K14,Rate_Chart!$A$1:$AK$1,0))</f>
        <v>35.446125899999998</v>
      </c>
      <c r="O14" s="57">
        <f t="shared" si="4"/>
        <v>957.04539929999999</v>
      </c>
      <c r="P14" s="58">
        <f t="shared" si="5"/>
        <v>417.01324588235298</v>
      </c>
      <c r="Q14" s="58">
        <f t="shared" si="6"/>
        <v>278.0088305882353</v>
      </c>
      <c r="R14" s="66">
        <f t="shared" si="0"/>
        <v>16.748294487750002</v>
      </c>
      <c r="S14" s="64">
        <f t="shared" si="7"/>
        <v>101.25</v>
      </c>
      <c r="T14" s="66">
        <f t="shared" si="8"/>
        <v>1075.04369378775</v>
      </c>
      <c r="U14" s="68">
        <f t="shared" si="9"/>
        <v>39.816433103249999</v>
      </c>
      <c r="V14" s="68">
        <f t="shared" si="10"/>
        <v>468.42862474411766</v>
      </c>
      <c r="W14" s="68">
        <f t="shared" si="11"/>
        <v>312.28574982941177</v>
      </c>
      <c r="Z14" s="213">
        <v>10620015</v>
      </c>
      <c r="AA14" s="213" t="s">
        <v>706</v>
      </c>
      <c r="AB14" s="213" t="s">
        <v>366</v>
      </c>
      <c r="AC14" s="270">
        <v>497</v>
      </c>
      <c r="AD14" s="271">
        <v>22849.1825942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942</v>
      </c>
      <c r="B15" s="62" t="s">
        <v>391</v>
      </c>
      <c r="C15" s="62" t="s">
        <v>585</v>
      </c>
      <c r="D15" s="62" t="s">
        <v>586</v>
      </c>
      <c r="E15" s="49" t="s">
        <v>753</v>
      </c>
      <c r="F15" s="62" t="str">
        <f t="shared" si="1"/>
        <v>20102</v>
      </c>
      <c r="G15" s="268">
        <v>10620102</v>
      </c>
      <c r="H15" s="49" t="s">
        <v>381</v>
      </c>
      <c r="I15" s="69">
        <v>27</v>
      </c>
      <c r="J15" s="69">
        <v>6</v>
      </c>
      <c r="K15" s="69">
        <v>9</v>
      </c>
      <c r="L15" s="69">
        <f t="shared" si="2"/>
        <v>1.62</v>
      </c>
      <c r="M15" s="69">
        <f t="shared" si="3"/>
        <v>2.4300000000000002</v>
      </c>
      <c r="N15" s="56">
        <f>INDEX(Rate_Chart!$A$1:$AK$127,MATCH(Data!J15,Rate_Chart!$A$1:$A$127,0),MATCH(Data!K15,Rate_Chart!$A$1:$AK$1,0))</f>
        <v>50.1</v>
      </c>
      <c r="O15" s="57">
        <f t="shared" si="4"/>
        <v>1352.7</v>
      </c>
      <c r="P15" s="58">
        <f t="shared" si="5"/>
        <v>417.5</v>
      </c>
      <c r="Q15" s="58">
        <f t="shared" si="6"/>
        <v>278.33333333333331</v>
      </c>
      <c r="R15" s="66">
        <f t="shared" si="0"/>
        <v>23.672250000000002</v>
      </c>
      <c r="S15" s="64">
        <f t="shared" si="7"/>
        <v>101.25</v>
      </c>
      <c r="T15" s="66">
        <f t="shared" si="8"/>
        <v>1477.6222500000001</v>
      </c>
      <c r="U15" s="68">
        <f t="shared" si="9"/>
        <v>54.726750000000003</v>
      </c>
      <c r="V15" s="68">
        <f t="shared" si="10"/>
        <v>456.05625000000003</v>
      </c>
      <c r="W15" s="68">
        <f t="shared" si="11"/>
        <v>304.03750000000002</v>
      </c>
      <c r="Z15" s="213">
        <v>10620016</v>
      </c>
      <c r="AA15" s="213" t="s">
        <v>707</v>
      </c>
      <c r="AB15" s="213" t="s">
        <v>361</v>
      </c>
      <c r="AC15" s="270">
        <v>396</v>
      </c>
      <c r="AD15" s="271">
        <v>21290.395799999998</v>
      </c>
    </row>
    <row r="16" spans="1:44" x14ac:dyDescent="0.25">
      <c r="A16" s="168" t="s">
        <v>942</v>
      </c>
      <c r="B16" s="62" t="s">
        <v>391</v>
      </c>
      <c r="C16" s="62" t="s">
        <v>585</v>
      </c>
      <c r="D16" s="62" t="s">
        <v>586</v>
      </c>
      <c r="E16" s="49" t="s">
        <v>753</v>
      </c>
      <c r="F16" s="62" t="str">
        <f t="shared" si="1"/>
        <v>20102</v>
      </c>
      <c r="G16" s="268">
        <v>10620102</v>
      </c>
      <c r="H16" s="49" t="s">
        <v>382</v>
      </c>
      <c r="I16" s="69">
        <v>35</v>
      </c>
      <c r="J16" s="69">
        <v>3</v>
      </c>
      <c r="K16" s="69">
        <v>8</v>
      </c>
      <c r="L16" s="69">
        <f t="shared" si="2"/>
        <v>1.05</v>
      </c>
      <c r="M16" s="69">
        <f t="shared" si="3"/>
        <v>2.8</v>
      </c>
      <c r="N16" s="56">
        <f>INDEX(Rate_Chart!$A$1:$AK$127,MATCH(Data!J16,Rate_Chart!$A$1:$A$127,0),MATCH(Data!K16,Rate_Chart!$A$1:$AK$1,0))</f>
        <v>34.751112000000006</v>
      </c>
      <c r="O16" s="57">
        <f t="shared" si="4"/>
        <v>1216.2889200000002</v>
      </c>
      <c r="P16" s="58">
        <f t="shared" si="5"/>
        <v>417.01334400000002</v>
      </c>
      <c r="Q16" s="58">
        <f t="shared" si="6"/>
        <v>278.00889599999999</v>
      </c>
      <c r="R16" s="66">
        <f t="shared" si="0"/>
        <v>21.285056100000006</v>
      </c>
      <c r="S16" s="64">
        <f t="shared" si="7"/>
        <v>131.25</v>
      </c>
      <c r="T16" s="66">
        <f t="shared" si="8"/>
        <v>1368.8239761000002</v>
      </c>
      <c r="U16" s="68">
        <f t="shared" si="9"/>
        <v>39.109256460000005</v>
      </c>
      <c r="V16" s="68">
        <f t="shared" si="10"/>
        <v>469.31107752000003</v>
      </c>
      <c r="W16" s="68">
        <f t="shared" si="11"/>
        <v>312.87405168000004</v>
      </c>
      <c r="Z16" s="213">
        <v>10620017</v>
      </c>
      <c r="AA16" s="213" t="s">
        <v>708</v>
      </c>
      <c r="AB16" s="213" t="s">
        <v>372</v>
      </c>
      <c r="AC16" s="270">
        <v>281</v>
      </c>
      <c r="AD16" s="271">
        <v>11103.224979600001</v>
      </c>
    </row>
    <row r="17" spans="1:30" x14ac:dyDescent="0.25">
      <c r="A17" s="168" t="s">
        <v>943</v>
      </c>
      <c r="B17" s="62" t="s">
        <v>390</v>
      </c>
      <c r="C17" s="62" t="s">
        <v>585</v>
      </c>
      <c r="D17" s="62" t="s">
        <v>586</v>
      </c>
      <c r="E17" s="49" t="s">
        <v>753</v>
      </c>
      <c r="F17" s="62" t="str">
        <f t="shared" si="1"/>
        <v>20102</v>
      </c>
      <c r="G17" s="268">
        <v>10620102</v>
      </c>
      <c r="H17" s="49" t="s">
        <v>381</v>
      </c>
      <c r="I17" s="69">
        <v>15</v>
      </c>
      <c r="J17" s="69">
        <v>6</v>
      </c>
      <c r="K17" s="69">
        <v>9</v>
      </c>
      <c r="L17" s="69">
        <f t="shared" si="2"/>
        <v>0.9</v>
      </c>
      <c r="M17" s="69">
        <f t="shared" si="3"/>
        <v>1.35</v>
      </c>
      <c r="N17" s="56">
        <f>INDEX(Rate_Chart!$A$1:$AK$127,MATCH(Data!J17,Rate_Chart!$A$1:$A$127,0),MATCH(Data!K17,Rate_Chart!$A$1:$AK$1,0))</f>
        <v>50.1</v>
      </c>
      <c r="O17" s="57">
        <f t="shared" si="4"/>
        <v>751.5</v>
      </c>
      <c r="P17" s="58">
        <f t="shared" si="5"/>
        <v>417.5</v>
      </c>
      <c r="Q17" s="58">
        <f t="shared" si="6"/>
        <v>278.33333333333331</v>
      </c>
      <c r="R17" s="66">
        <f t="shared" si="0"/>
        <v>13.151250000000001</v>
      </c>
      <c r="S17" s="64">
        <f t="shared" si="7"/>
        <v>56.25</v>
      </c>
      <c r="T17" s="66">
        <f t="shared" si="8"/>
        <v>820.90125</v>
      </c>
      <c r="U17" s="68">
        <f t="shared" si="9"/>
        <v>54.726750000000003</v>
      </c>
      <c r="V17" s="68">
        <f t="shared" si="10"/>
        <v>456.05625000000003</v>
      </c>
      <c r="W17" s="68">
        <f t="shared" si="11"/>
        <v>304.03750000000002</v>
      </c>
      <c r="Z17" s="213">
        <v>10620019</v>
      </c>
      <c r="AA17" s="213" t="s">
        <v>709</v>
      </c>
      <c r="AB17" s="213" t="s">
        <v>377</v>
      </c>
      <c r="AC17" s="270">
        <v>927</v>
      </c>
      <c r="AD17" s="271">
        <v>43240.417594800005</v>
      </c>
    </row>
    <row r="18" spans="1:30" x14ac:dyDescent="0.25">
      <c r="A18" s="168" t="s">
        <v>943</v>
      </c>
      <c r="B18" s="62" t="s">
        <v>390</v>
      </c>
      <c r="C18" s="62" t="s">
        <v>585</v>
      </c>
      <c r="D18" s="62" t="s">
        <v>586</v>
      </c>
      <c r="E18" s="49" t="s">
        <v>753</v>
      </c>
      <c r="F18" s="62" t="str">
        <f t="shared" si="1"/>
        <v>20102</v>
      </c>
      <c r="G18" s="268">
        <v>10620102</v>
      </c>
      <c r="H18" s="49" t="s">
        <v>382</v>
      </c>
      <c r="I18" s="69">
        <v>14</v>
      </c>
      <c r="J18" s="69">
        <v>3</v>
      </c>
      <c r="K18" s="69">
        <v>8</v>
      </c>
      <c r="L18" s="69">
        <f t="shared" si="2"/>
        <v>0.42</v>
      </c>
      <c r="M18" s="69">
        <f t="shared" si="3"/>
        <v>1.1200000000000001</v>
      </c>
      <c r="N18" s="56">
        <f>INDEX(Rate_Chart!$A$1:$AK$127,MATCH(Data!J18,Rate_Chart!$A$1:$A$127,0),MATCH(Data!K18,Rate_Chart!$A$1:$AK$1,0))</f>
        <v>34.751112000000006</v>
      </c>
      <c r="O18" s="57">
        <f t="shared" si="4"/>
        <v>486.51556800000009</v>
      </c>
      <c r="P18" s="58">
        <f t="shared" si="5"/>
        <v>417.01334400000002</v>
      </c>
      <c r="Q18" s="58">
        <f t="shared" si="6"/>
        <v>278.00889599999999</v>
      </c>
      <c r="R18" s="66">
        <f t="shared" si="0"/>
        <v>8.5140224400000015</v>
      </c>
      <c r="S18" s="64">
        <f t="shared" si="7"/>
        <v>52.5</v>
      </c>
      <c r="T18" s="66">
        <f t="shared" si="8"/>
        <v>547.52959044000011</v>
      </c>
      <c r="U18" s="68">
        <f t="shared" si="9"/>
        <v>39.109256460000005</v>
      </c>
      <c r="V18" s="68">
        <f t="shared" si="10"/>
        <v>469.31107752000003</v>
      </c>
      <c r="W18" s="68">
        <f t="shared" si="11"/>
        <v>312.87405168000004</v>
      </c>
      <c r="Z18" s="213">
        <v>10620020</v>
      </c>
      <c r="AA18" s="213" t="s">
        <v>710</v>
      </c>
      <c r="AB18" s="213" t="s">
        <v>590</v>
      </c>
      <c r="AC18" s="270">
        <v>169</v>
      </c>
      <c r="AD18" s="271">
        <v>8950.3649999999998</v>
      </c>
    </row>
    <row r="19" spans="1:30" x14ac:dyDescent="0.25">
      <c r="A19" s="168" t="s">
        <v>943</v>
      </c>
      <c r="B19" s="62" t="s">
        <v>391</v>
      </c>
      <c r="C19" s="62" t="s">
        <v>585</v>
      </c>
      <c r="D19" s="62" t="s">
        <v>586</v>
      </c>
      <c r="E19" s="49" t="s">
        <v>753</v>
      </c>
      <c r="F19" s="62" t="str">
        <f t="shared" si="1"/>
        <v>20102</v>
      </c>
      <c r="G19" s="268">
        <v>10620102</v>
      </c>
      <c r="H19" s="49" t="s">
        <v>381</v>
      </c>
      <c r="I19" s="69">
        <v>30</v>
      </c>
      <c r="J19" s="69">
        <v>7.4</v>
      </c>
      <c r="K19" s="69">
        <v>9</v>
      </c>
      <c r="L19" s="69">
        <f t="shared" si="2"/>
        <v>2.2200000000000002</v>
      </c>
      <c r="M19" s="69">
        <f t="shared" si="3"/>
        <v>2.7</v>
      </c>
      <c r="N19" s="56">
        <f>INDEX(Rate_Chart!$A$1:$AK$127,MATCH(Data!J19,Rate_Chart!$A$1:$A$127,0),MATCH(Data!K19,Rate_Chart!$A$1:$AK$1,0))</f>
        <v>61.790000000000006</v>
      </c>
      <c r="O19" s="57">
        <f t="shared" si="4"/>
        <v>1853.7000000000003</v>
      </c>
      <c r="P19" s="58">
        <f t="shared" si="5"/>
        <v>461.11940298507466</v>
      </c>
      <c r="Q19" s="58">
        <f t="shared" si="6"/>
        <v>307.41293532338312</v>
      </c>
      <c r="R19" s="66">
        <f t="shared" ref="R19:R68" si="15">O19*1.75%</f>
        <v>32.439750000000011</v>
      </c>
      <c r="S19" s="64">
        <f t="shared" si="7"/>
        <v>112.5</v>
      </c>
      <c r="T19" s="66">
        <f t="shared" si="8"/>
        <v>1998.6397500000003</v>
      </c>
      <c r="U19" s="68">
        <f t="shared" si="9"/>
        <v>66.621325000000013</v>
      </c>
      <c r="V19" s="68">
        <f t="shared" si="10"/>
        <v>497.17406716417918</v>
      </c>
      <c r="W19" s="68">
        <f t="shared" si="11"/>
        <v>331.44937810945277</v>
      </c>
      <c r="Z19" s="213">
        <v>10620023</v>
      </c>
      <c r="AA19" s="213" t="s">
        <v>711</v>
      </c>
      <c r="AB19" s="213" t="s">
        <v>345</v>
      </c>
      <c r="AC19" s="270">
        <v>101</v>
      </c>
      <c r="AD19" s="271">
        <v>5382.9890813000002</v>
      </c>
    </row>
    <row r="20" spans="1:30" x14ac:dyDescent="0.25">
      <c r="A20" s="168" t="s">
        <v>943</v>
      </c>
      <c r="B20" s="62" t="s">
        <v>391</v>
      </c>
      <c r="C20" s="62" t="s">
        <v>585</v>
      </c>
      <c r="D20" s="62" t="s">
        <v>586</v>
      </c>
      <c r="E20" s="49" t="s">
        <v>753</v>
      </c>
      <c r="F20" s="62" t="str">
        <f t="shared" si="1"/>
        <v>20102</v>
      </c>
      <c r="G20" s="268">
        <v>10620102</v>
      </c>
      <c r="H20" s="49" t="s">
        <v>382</v>
      </c>
      <c r="I20" s="69">
        <v>24</v>
      </c>
      <c r="J20" s="69">
        <v>3</v>
      </c>
      <c r="K20" s="69">
        <v>8.1</v>
      </c>
      <c r="L20" s="69">
        <f t="shared" si="2"/>
        <v>0.72</v>
      </c>
      <c r="M20" s="69">
        <f t="shared" si="3"/>
        <v>1.9439999999999997</v>
      </c>
      <c r="N20" s="56">
        <f>INDEX(Rate_Chart!$A$1:$AK$127,MATCH(Data!J20,Rate_Chart!$A$1:$A$127,0),MATCH(Data!K20,Rate_Chart!$A$1:$AK$1,0))</f>
        <v>35.029125900000004</v>
      </c>
      <c r="O20" s="57">
        <f t="shared" si="4"/>
        <v>840.69902160000015</v>
      </c>
      <c r="P20" s="58">
        <f t="shared" si="5"/>
        <v>417.01340357142868</v>
      </c>
      <c r="Q20" s="58">
        <f t="shared" si="6"/>
        <v>278.00893571428577</v>
      </c>
      <c r="R20" s="66">
        <f t="shared" si="15"/>
        <v>14.712232878000004</v>
      </c>
      <c r="S20" s="64">
        <f t="shared" si="7"/>
        <v>90</v>
      </c>
      <c r="T20" s="66">
        <f t="shared" si="8"/>
        <v>945.41125447800016</v>
      </c>
      <c r="U20" s="68">
        <f t="shared" si="9"/>
        <v>39.392135603250004</v>
      </c>
      <c r="V20" s="68">
        <f t="shared" si="10"/>
        <v>468.9539952767858</v>
      </c>
      <c r="W20" s="68">
        <f t="shared" si="11"/>
        <v>312.63599685119055</v>
      </c>
      <c r="Z20" s="213">
        <v>10620024</v>
      </c>
      <c r="AA20" s="213" t="s">
        <v>712</v>
      </c>
      <c r="AB20" s="213" t="s">
        <v>346</v>
      </c>
      <c r="AC20" s="270">
        <v>155</v>
      </c>
      <c r="AD20" s="271">
        <v>5918.9336952000012</v>
      </c>
    </row>
    <row r="21" spans="1:30" x14ac:dyDescent="0.25">
      <c r="A21" s="168" t="s">
        <v>944</v>
      </c>
      <c r="B21" s="62" t="s">
        <v>390</v>
      </c>
      <c r="C21" s="62" t="s">
        <v>585</v>
      </c>
      <c r="D21" s="62" t="s">
        <v>586</v>
      </c>
      <c r="E21" s="49" t="s">
        <v>753</v>
      </c>
      <c r="F21" s="62" t="str">
        <f t="shared" si="1"/>
        <v>20102</v>
      </c>
      <c r="G21" s="268">
        <v>10620102</v>
      </c>
      <c r="H21" s="49" t="s">
        <v>381</v>
      </c>
      <c r="I21" s="69">
        <v>6</v>
      </c>
      <c r="J21" s="69">
        <v>5.6</v>
      </c>
      <c r="K21" s="69">
        <v>8.8000000000000007</v>
      </c>
      <c r="L21" s="69">
        <f t="shared" si="2"/>
        <v>0.33599999999999997</v>
      </c>
      <c r="M21" s="69">
        <f t="shared" si="3"/>
        <v>0.52800000000000002</v>
      </c>
      <c r="N21" s="56">
        <f>INDEX(Rate_Chart!$A$1:$AK$127,MATCH(Data!J21,Rate_Chart!$A$1:$A$127,0),MATCH(Data!K21,Rate_Chart!$A$1:$AK$1,0))</f>
        <v>46.292400000000001</v>
      </c>
      <c r="O21" s="57">
        <f t="shared" si="4"/>
        <v>277.75440000000003</v>
      </c>
      <c r="P21" s="58">
        <f t="shared" si="5"/>
        <v>403.71279069767445</v>
      </c>
      <c r="Q21" s="58">
        <f t="shared" si="6"/>
        <v>269.14186046511628</v>
      </c>
      <c r="R21" s="66">
        <f t="shared" si="15"/>
        <v>4.8607020000000007</v>
      </c>
      <c r="S21" s="64">
        <f t="shared" si="7"/>
        <v>22.5</v>
      </c>
      <c r="T21" s="66">
        <f t="shared" si="8"/>
        <v>305.11510200000004</v>
      </c>
      <c r="U21" s="68">
        <f t="shared" si="9"/>
        <v>50.852517000000006</v>
      </c>
      <c r="V21" s="68">
        <f t="shared" si="10"/>
        <v>443.48125290697681</v>
      </c>
      <c r="W21" s="68">
        <f t="shared" si="11"/>
        <v>295.6541686046512</v>
      </c>
      <c r="Z21" s="213">
        <v>10620025</v>
      </c>
      <c r="AA21" s="213" t="s">
        <v>713</v>
      </c>
      <c r="AB21" s="213" t="s">
        <v>347</v>
      </c>
      <c r="AC21" s="270">
        <v>285</v>
      </c>
      <c r="AD21" s="271">
        <v>13801.690026499999</v>
      </c>
    </row>
    <row r="22" spans="1:30" x14ac:dyDescent="0.25">
      <c r="A22" s="168" t="s">
        <v>944</v>
      </c>
      <c r="B22" s="62" t="s">
        <v>391</v>
      </c>
      <c r="C22" s="62" t="s">
        <v>585</v>
      </c>
      <c r="D22" s="62" t="s">
        <v>586</v>
      </c>
      <c r="E22" s="49" t="s">
        <v>753</v>
      </c>
      <c r="F22" s="62" t="str">
        <f t="shared" si="1"/>
        <v>20102</v>
      </c>
      <c r="G22" s="268">
        <v>10620102</v>
      </c>
      <c r="H22" s="49" t="s">
        <v>382</v>
      </c>
      <c r="I22" s="69">
        <v>12</v>
      </c>
      <c r="J22" s="69">
        <v>5.0999999999999996</v>
      </c>
      <c r="K22" s="69">
        <v>8.3000000000000007</v>
      </c>
      <c r="L22" s="69">
        <f t="shared" si="2"/>
        <v>0.61199999999999999</v>
      </c>
      <c r="M22" s="69">
        <f t="shared" si="3"/>
        <v>0.99600000000000011</v>
      </c>
      <c r="N22" s="56">
        <f>INDEX(Rate_Chart!$A$1:$AK$127,MATCH(Data!J22,Rate_Chart!$A$1:$A$127,0),MATCH(Data!K22,Rate_Chart!$A$1:$AK$1,0))</f>
        <v>44.342153700000004</v>
      </c>
      <c r="O22" s="57">
        <f t="shared" si="4"/>
        <v>532.10584440000002</v>
      </c>
      <c r="P22" s="58">
        <f t="shared" si="5"/>
        <v>417.01084984326025</v>
      </c>
      <c r="Q22" s="58">
        <f t="shared" si="6"/>
        <v>278.00723322884016</v>
      </c>
      <c r="R22" s="66">
        <f t="shared" si="15"/>
        <v>9.3118522770000016</v>
      </c>
      <c r="S22" s="64">
        <f t="shared" si="7"/>
        <v>45</v>
      </c>
      <c r="T22" s="66">
        <f t="shared" si="8"/>
        <v>586.41769667699998</v>
      </c>
      <c r="U22" s="68">
        <f t="shared" si="9"/>
        <v>48.868141389750001</v>
      </c>
      <c r="V22" s="68">
        <f t="shared" si="10"/>
        <v>459.57499739576804</v>
      </c>
      <c r="W22" s="68">
        <f t="shared" si="11"/>
        <v>306.38333159717871</v>
      </c>
      <c r="Z22" s="213">
        <v>10620026</v>
      </c>
      <c r="AA22" s="213" t="s">
        <v>714</v>
      </c>
      <c r="AB22" s="213" t="s">
        <v>363</v>
      </c>
      <c r="AC22" s="270">
        <v>449</v>
      </c>
      <c r="AD22" s="271">
        <v>22837.641872500004</v>
      </c>
    </row>
    <row r="23" spans="1:30" x14ac:dyDescent="0.25">
      <c r="A23" s="168" t="s">
        <v>945</v>
      </c>
      <c r="B23" s="62" t="s">
        <v>390</v>
      </c>
      <c r="C23" s="62" t="s">
        <v>585</v>
      </c>
      <c r="D23" s="62" t="s">
        <v>586</v>
      </c>
      <c r="E23" s="49" t="s">
        <v>753</v>
      </c>
      <c r="F23" s="62" t="str">
        <f t="shared" si="1"/>
        <v>20102</v>
      </c>
      <c r="G23" s="268">
        <v>10620102</v>
      </c>
      <c r="H23" s="49" t="s">
        <v>381</v>
      </c>
      <c r="I23" s="69">
        <v>38</v>
      </c>
      <c r="J23" s="69">
        <v>6.2</v>
      </c>
      <c r="K23" s="69">
        <v>9</v>
      </c>
      <c r="L23" s="69">
        <f t="shared" si="2"/>
        <v>2.3559999999999999</v>
      </c>
      <c r="M23" s="69">
        <f t="shared" si="3"/>
        <v>3.42</v>
      </c>
      <c r="N23" s="56">
        <f>INDEX(Rate_Chart!$A$1:$AK$127,MATCH(Data!J23,Rate_Chart!$A$1:$A$127,0),MATCH(Data!K23,Rate_Chart!$A$1:$AK$1,0))</f>
        <v>51.77</v>
      </c>
      <c r="O23" s="57">
        <f t="shared" si="4"/>
        <v>1967.2600000000002</v>
      </c>
      <c r="P23" s="58">
        <f t="shared" si="5"/>
        <v>424.34426229508199</v>
      </c>
      <c r="Q23" s="58">
        <f t="shared" si="6"/>
        <v>282.89617486338801</v>
      </c>
      <c r="R23" s="66">
        <f t="shared" si="15"/>
        <v>34.427050000000008</v>
      </c>
      <c r="S23" s="64">
        <f t="shared" si="7"/>
        <v>142.5</v>
      </c>
      <c r="T23" s="66">
        <f t="shared" si="8"/>
        <v>2144.1870500000005</v>
      </c>
      <c r="U23" s="68">
        <f t="shared" si="9"/>
        <v>56.425975000000015</v>
      </c>
      <c r="V23" s="68">
        <f t="shared" si="10"/>
        <v>462.5079918032788</v>
      </c>
      <c r="W23" s="68">
        <f t="shared" si="11"/>
        <v>308.33866120218585</v>
      </c>
      <c r="Z23" s="213">
        <v>10620028</v>
      </c>
      <c r="AA23" s="213" t="s">
        <v>951</v>
      </c>
      <c r="AB23" s="213" t="s">
        <v>949</v>
      </c>
      <c r="AC23" s="270">
        <v>72</v>
      </c>
      <c r="AD23" s="271">
        <v>3124.9429977</v>
      </c>
    </row>
    <row r="24" spans="1:30" x14ac:dyDescent="0.25">
      <c r="A24" s="168" t="s">
        <v>945</v>
      </c>
      <c r="B24" s="62" t="s">
        <v>390</v>
      </c>
      <c r="C24" s="62" t="s">
        <v>585</v>
      </c>
      <c r="D24" s="62" t="s">
        <v>586</v>
      </c>
      <c r="E24" s="49" t="s">
        <v>753</v>
      </c>
      <c r="F24" s="62" t="str">
        <f t="shared" si="1"/>
        <v>20102</v>
      </c>
      <c r="G24" s="268">
        <v>10620102</v>
      </c>
      <c r="H24" s="49" t="s">
        <v>382</v>
      </c>
      <c r="I24" s="69">
        <v>29</v>
      </c>
      <c r="J24" s="69">
        <v>3.1</v>
      </c>
      <c r="K24" s="69">
        <v>8</v>
      </c>
      <c r="L24" s="69">
        <f t="shared" si="2"/>
        <v>0.89900000000000002</v>
      </c>
      <c r="M24" s="69">
        <f t="shared" si="3"/>
        <v>2.3199999999999998</v>
      </c>
      <c r="N24" s="56">
        <f>INDEX(Rate_Chart!$A$1:$AK$127,MATCH(Data!J24,Rate_Chart!$A$1:$A$127,0),MATCH(Data!K24,Rate_Chart!$A$1:$AK$1,0))</f>
        <v>35.168112000000008</v>
      </c>
      <c r="O24" s="57">
        <f t="shared" si="4"/>
        <v>1019.8752480000003</v>
      </c>
      <c r="P24" s="58">
        <f t="shared" si="5"/>
        <v>417.01318577075102</v>
      </c>
      <c r="Q24" s="58">
        <f t="shared" si="6"/>
        <v>278.00879051383401</v>
      </c>
      <c r="R24" s="66">
        <f t="shared" si="15"/>
        <v>17.847816840000007</v>
      </c>
      <c r="S24" s="64">
        <f t="shared" si="7"/>
        <v>108.75</v>
      </c>
      <c r="T24" s="66">
        <f t="shared" si="8"/>
        <v>1146.4730648400002</v>
      </c>
      <c r="U24" s="68">
        <f t="shared" si="9"/>
        <v>39.533553960000006</v>
      </c>
      <c r="V24" s="68">
        <f t="shared" si="10"/>
        <v>468.77731968379447</v>
      </c>
      <c r="W24" s="68">
        <f t="shared" si="11"/>
        <v>312.51821312252963</v>
      </c>
      <c r="Z24" s="213">
        <v>10620029</v>
      </c>
      <c r="AA24" s="213" t="s">
        <v>715</v>
      </c>
      <c r="AB24" s="213" t="s">
        <v>370</v>
      </c>
      <c r="AC24" s="270">
        <v>1783</v>
      </c>
      <c r="AD24" s="271">
        <v>88551.628552999973</v>
      </c>
    </row>
    <row r="25" spans="1:30" x14ac:dyDescent="0.25">
      <c r="A25" s="168" t="s">
        <v>945</v>
      </c>
      <c r="B25" s="62" t="s">
        <v>391</v>
      </c>
      <c r="C25" s="62" t="s">
        <v>585</v>
      </c>
      <c r="D25" s="62" t="s">
        <v>586</v>
      </c>
      <c r="E25" s="49" t="s">
        <v>753</v>
      </c>
      <c r="F25" s="62" t="str">
        <f t="shared" si="1"/>
        <v>20102</v>
      </c>
      <c r="G25" s="268">
        <v>10620102</v>
      </c>
      <c r="H25" s="49" t="s">
        <v>381</v>
      </c>
      <c r="I25" s="69">
        <v>31</v>
      </c>
      <c r="J25" s="69">
        <v>6.1</v>
      </c>
      <c r="K25" s="69">
        <v>9</v>
      </c>
      <c r="L25" s="69">
        <f t="shared" si="2"/>
        <v>1.891</v>
      </c>
      <c r="M25" s="69">
        <f t="shared" si="3"/>
        <v>2.79</v>
      </c>
      <c r="N25" s="56">
        <f>INDEX(Rate_Chart!$A$1:$AK$127,MATCH(Data!J25,Rate_Chart!$A$1:$A$127,0),MATCH(Data!K25,Rate_Chart!$A$1:$AK$1,0))</f>
        <v>50.935000000000002</v>
      </c>
      <c r="O25" s="57">
        <f t="shared" si="4"/>
        <v>1578.9850000000001</v>
      </c>
      <c r="P25" s="58">
        <f t="shared" si="5"/>
        <v>420.95041322314052</v>
      </c>
      <c r="Q25" s="58">
        <f t="shared" si="6"/>
        <v>280.63360881542701</v>
      </c>
      <c r="R25" s="66">
        <f t="shared" si="15"/>
        <v>27.632237500000006</v>
      </c>
      <c r="S25" s="64">
        <f t="shared" si="7"/>
        <v>116.25</v>
      </c>
      <c r="T25" s="66">
        <f t="shared" si="8"/>
        <v>1722.8672375000001</v>
      </c>
      <c r="U25" s="68">
        <f t="shared" si="9"/>
        <v>55.576362500000002</v>
      </c>
      <c r="V25" s="68">
        <f t="shared" si="10"/>
        <v>459.30878099173555</v>
      </c>
      <c r="W25" s="68">
        <f t="shared" si="11"/>
        <v>306.20585399449038</v>
      </c>
      <c r="Z25" s="213">
        <v>10620030</v>
      </c>
      <c r="AA25" s="213" t="s">
        <v>716</v>
      </c>
      <c r="AB25" s="213" t="s">
        <v>358</v>
      </c>
      <c r="AC25" s="270">
        <v>964</v>
      </c>
      <c r="AD25" s="271">
        <v>47615.491623900016</v>
      </c>
    </row>
    <row r="26" spans="1:30" x14ac:dyDescent="0.25">
      <c r="A26" s="168" t="s">
        <v>945</v>
      </c>
      <c r="B26" s="62" t="s">
        <v>391</v>
      </c>
      <c r="C26" s="62" t="s">
        <v>585</v>
      </c>
      <c r="D26" s="62" t="s">
        <v>586</v>
      </c>
      <c r="E26" s="49" t="s">
        <v>753</v>
      </c>
      <c r="F26" s="62" t="str">
        <f t="shared" si="1"/>
        <v>20102</v>
      </c>
      <c r="G26" s="268">
        <v>10620102</v>
      </c>
      <c r="H26" s="49" t="s">
        <v>382</v>
      </c>
      <c r="I26" s="69">
        <v>28</v>
      </c>
      <c r="J26" s="69">
        <v>3</v>
      </c>
      <c r="K26" s="69">
        <v>8</v>
      </c>
      <c r="L26" s="69">
        <f t="shared" si="2"/>
        <v>0.84</v>
      </c>
      <c r="M26" s="69">
        <f t="shared" si="3"/>
        <v>2.2400000000000002</v>
      </c>
      <c r="N26" s="56">
        <f>INDEX(Rate_Chart!$A$1:$AK$127,MATCH(Data!J26,Rate_Chart!$A$1:$A$127,0),MATCH(Data!K26,Rate_Chart!$A$1:$AK$1,0))</f>
        <v>34.751112000000006</v>
      </c>
      <c r="O26" s="57">
        <f t="shared" si="4"/>
        <v>973.03113600000017</v>
      </c>
      <c r="P26" s="58">
        <f t="shared" si="5"/>
        <v>417.01334400000002</v>
      </c>
      <c r="Q26" s="58">
        <f t="shared" si="6"/>
        <v>278.00889599999999</v>
      </c>
      <c r="R26" s="66">
        <f t="shared" si="15"/>
        <v>17.028044880000003</v>
      </c>
      <c r="S26" s="64">
        <f t="shared" si="7"/>
        <v>105</v>
      </c>
      <c r="T26" s="66">
        <f t="shared" si="8"/>
        <v>1095.0591808800002</v>
      </c>
      <c r="U26" s="68">
        <f t="shared" si="9"/>
        <v>39.109256460000005</v>
      </c>
      <c r="V26" s="68">
        <f t="shared" si="10"/>
        <v>469.31107752000003</v>
      </c>
      <c r="W26" s="68">
        <f t="shared" si="11"/>
        <v>312.87405168000004</v>
      </c>
      <c r="Z26" s="213">
        <v>10620031</v>
      </c>
      <c r="AA26" s="213" t="s">
        <v>717</v>
      </c>
      <c r="AB26" s="213" t="s">
        <v>371</v>
      </c>
      <c r="AC26" s="270">
        <v>88</v>
      </c>
      <c r="AD26" s="271">
        <v>4043.5793636000008</v>
      </c>
    </row>
    <row r="27" spans="1:30" x14ac:dyDescent="0.25">
      <c r="A27" s="168" t="s">
        <v>946</v>
      </c>
      <c r="B27" s="62" t="s">
        <v>390</v>
      </c>
      <c r="C27" s="62" t="s">
        <v>585</v>
      </c>
      <c r="D27" s="62" t="s">
        <v>586</v>
      </c>
      <c r="E27" s="49" t="s">
        <v>753</v>
      </c>
      <c r="F27" s="62" t="str">
        <f t="shared" si="1"/>
        <v>20102</v>
      </c>
      <c r="G27" s="268">
        <v>10620102</v>
      </c>
      <c r="H27" s="49" t="s">
        <v>381</v>
      </c>
      <c r="I27" s="69">
        <v>23</v>
      </c>
      <c r="J27" s="69">
        <v>6</v>
      </c>
      <c r="K27" s="69">
        <v>9</v>
      </c>
      <c r="L27" s="69">
        <f t="shared" si="2"/>
        <v>1.38</v>
      </c>
      <c r="M27" s="69">
        <f t="shared" si="3"/>
        <v>2.0699999999999998</v>
      </c>
      <c r="N27" s="56">
        <f>INDEX(Rate_Chart!$A$1:$AK$127,MATCH(Data!J27,Rate_Chart!$A$1:$A$127,0),MATCH(Data!K27,Rate_Chart!$A$1:$AK$1,0))</f>
        <v>50.1</v>
      </c>
      <c r="O27" s="57">
        <f t="shared" si="4"/>
        <v>1152.3</v>
      </c>
      <c r="P27" s="58">
        <f t="shared" si="5"/>
        <v>417.5</v>
      </c>
      <c r="Q27" s="58">
        <f t="shared" si="6"/>
        <v>278.33333333333331</v>
      </c>
      <c r="R27" s="66">
        <f t="shared" si="15"/>
        <v>20.16525</v>
      </c>
      <c r="S27" s="64">
        <f t="shared" si="7"/>
        <v>86.25</v>
      </c>
      <c r="T27" s="66">
        <f t="shared" si="8"/>
        <v>1258.71525</v>
      </c>
      <c r="U27" s="68">
        <f t="shared" si="9"/>
        <v>54.726749999999996</v>
      </c>
      <c r="V27" s="68">
        <f t="shared" si="10"/>
        <v>456.05624999999998</v>
      </c>
      <c r="W27" s="68">
        <f t="shared" si="11"/>
        <v>304.03749999999997</v>
      </c>
      <c r="Z27" s="213">
        <v>10620032</v>
      </c>
      <c r="AA27" s="213" t="s">
        <v>952</v>
      </c>
      <c r="AB27" s="213" t="s">
        <v>950</v>
      </c>
      <c r="AC27" s="270">
        <v>468</v>
      </c>
      <c r="AD27" s="271">
        <v>20671.620085600003</v>
      </c>
    </row>
    <row r="28" spans="1:30" x14ac:dyDescent="0.25">
      <c r="A28" s="168" t="s">
        <v>946</v>
      </c>
      <c r="B28" s="62" t="s">
        <v>390</v>
      </c>
      <c r="C28" s="62" t="s">
        <v>585</v>
      </c>
      <c r="D28" s="62" t="s">
        <v>586</v>
      </c>
      <c r="E28" s="49" t="s">
        <v>753</v>
      </c>
      <c r="F28" s="62" t="str">
        <f t="shared" si="1"/>
        <v>20102</v>
      </c>
      <c r="G28" s="268">
        <v>10620102</v>
      </c>
      <c r="H28" s="49" t="s">
        <v>382</v>
      </c>
      <c r="I28" s="69">
        <v>11</v>
      </c>
      <c r="J28" s="69">
        <v>3</v>
      </c>
      <c r="K28" s="69">
        <v>8</v>
      </c>
      <c r="L28" s="69">
        <f t="shared" si="2"/>
        <v>0.33</v>
      </c>
      <c r="M28" s="69">
        <f t="shared" si="3"/>
        <v>0.88</v>
      </c>
      <c r="N28" s="56">
        <f>INDEX(Rate_Chart!$A$1:$AK$127,MATCH(Data!J28,Rate_Chart!$A$1:$A$127,0),MATCH(Data!K28,Rate_Chart!$A$1:$AK$1,0))</f>
        <v>34.751112000000006</v>
      </c>
      <c r="O28" s="57">
        <f t="shared" si="4"/>
        <v>382.26223200000004</v>
      </c>
      <c r="P28" s="58">
        <f t="shared" si="5"/>
        <v>417.01334400000002</v>
      </c>
      <c r="Q28" s="58">
        <f t="shared" si="6"/>
        <v>278.00889599999999</v>
      </c>
      <c r="R28" s="66">
        <f t="shared" si="15"/>
        <v>6.6895890600000012</v>
      </c>
      <c r="S28" s="64">
        <f t="shared" si="7"/>
        <v>41.25</v>
      </c>
      <c r="T28" s="66">
        <f t="shared" si="8"/>
        <v>430.20182106000004</v>
      </c>
      <c r="U28" s="68">
        <f t="shared" si="9"/>
        <v>39.109256460000005</v>
      </c>
      <c r="V28" s="68">
        <f t="shared" si="10"/>
        <v>469.31107752000003</v>
      </c>
      <c r="W28" s="68">
        <f t="shared" si="11"/>
        <v>312.87405168000004</v>
      </c>
      <c r="Z28" s="213">
        <v>10620034</v>
      </c>
      <c r="AA28" s="213" t="s">
        <v>718</v>
      </c>
      <c r="AB28" s="213" t="s">
        <v>354</v>
      </c>
      <c r="AC28" s="270">
        <v>422</v>
      </c>
      <c r="AD28" s="271">
        <v>15867.0633566</v>
      </c>
    </row>
    <row r="29" spans="1:30" x14ac:dyDescent="0.25">
      <c r="A29" s="168" t="s">
        <v>946</v>
      </c>
      <c r="B29" s="62" t="s">
        <v>391</v>
      </c>
      <c r="C29" s="62" t="s">
        <v>585</v>
      </c>
      <c r="D29" s="62" t="s">
        <v>586</v>
      </c>
      <c r="E29" s="49" t="s">
        <v>753</v>
      </c>
      <c r="F29" s="62" t="str">
        <f t="shared" si="1"/>
        <v>20102</v>
      </c>
      <c r="G29" s="268">
        <v>10620102</v>
      </c>
      <c r="H29" s="49" t="s">
        <v>381</v>
      </c>
      <c r="I29" s="69">
        <v>16</v>
      </c>
      <c r="J29" s="69">
        <v>5.6</v>
      </c>
      <c r="K29" s="69">
        <v>8.5</v>
      </c>
      <c r="L29" s="69">
        <f t="shared" si="2"/>
        <v>0.89599999999999991</v>
      </c>
      <c r="M29" s="69">
        <f t="shared" si="3"/>
        <v>1.36</v>
      </c>
      <c r="N29" s="56">
        <f>INDEX(Rate_Chart!$A$1:$AK$127,MATCH(Data!J29,Rate_Chart!$A$1:$A$127,0),MATCH(Data!K29,Rate_Chart!$A$1:$AK$1,0))</f>
        <v>45.357199999999999</v>
      </c>
      <c r="O29" s="57">
        <f t="shared" si="4"/>
        <v>725.71519999999998</v>
      </c>
      <c r="P29" s="58">
        <f t="shared" si="5"/>
        <v>402.57869822485208</v>
      </c>
      <c r="Q29" s="58">
        <f t="shared" si="6"/>
        <v>268.38579881656807</v>
      </c>
      <c r="R29" s="66">
        <f t="shared" si="15"/>
        <v>12.700016000000002</v>
      </c>
      <c r="S29" s="64">
        <f t="shared" si="7"/>
        <v>60</v>
      </c>
      <c r="T29" s="66">
        <f t="shared" si="8"/>
        <v>798.41521599999999</v>
      </c>
      <c r="U29" s="68">
        <f t="shared" si="9"/>
        <v>49.900950999999999</v>
      </c>
      <c r="V29" s="68">
        <f t="shared" si="10"/>
        <v>442.90784911242605</v>
      </c>
      <c r="W29" s="68">
        <f t="shared" si="11"/>
        <v>295.27189940828401</v>
      </c>
      <c r="Z29" s="213">
        <v>10620037</v>
      </c>
      <c r="AA29" s="213" t="s">
        <v>719</v>
      </c>
      <c r="AB29" s="213" t="s">
        <v>353</v>
      </c>
      <c r="AC29" s="270">
        <v>826</v>
      </c>
      <c r="AD29" s="271">
        <v>37586.910875400004</v>
      </c>
    </row>
    <row r="30" spans="1:30" x14ac:dyDescent="0.25">
      <c r="A30" s="168" t="s">
        <v>947</v>
      </c>
      <c r="B30" s="62" t="s">
        <v>390</v>
      </c>
      <c r="C30" s="62" t="s">
        <v>585</v>
      </c>
      <c r="D30" s="62" t="s">
        <v>586</v>
      </c>
      <c r="E30" s="49" t="s">
        <v>753</v>
      </c>
      <c r="F30" s="62" t="str">
        <f t="shared" si="1"/>
        <v>20102</v>
      </c>
      <c r="G30" s="268">
        <v>10620102</v>
      </c>
      <c r="H30" s="49" t="s">
        <v>381</v>
      </c>
      <c r="I30" s="69">
        <v>40</v>
      </c>
      <c r="J30" s="69">
        <v>6.1</v>
      </c>
      <c r="K30" s="69">
        <v>9</v>
      </c>
      <c r="L30" s="69">
        <f t="shared" si="2"/>
        <v>2.44</v>
      </c>
      <c r="M30" s="69">
        <f t="shared" si="3"/>
        <v>3.6</v>
      </c>
      <c r="N30" s="56">
        <f>INDEX(Rate_Chart!$A$1:$AK$127,MATCH(Data!J30,Rate_Chart!$A$1:$A$127,0),MATCH(Data!K30,Rate_Chart!$A$1:$AK$1,0))</f>
        <v>50.935000000000002</v>
      </c>
      <c r="O30" s="57">
        <f t="shared" si="4"/>
        <v>2037.4</v>
      </c>
      <c r="P30" s="58">
        <f t="shared" si="5"/>
        <v>420.95041322314052</v>
      </c>
      <c r="Q30" s="58">
        <f t="shared" si="6"/>
        <v>280.63360881542701</v>
      </c>
      <c r="R30" s="66">
        <f t="shared" si="15"/>
        <v>35.654500000000006</v>
      </c>
      <c r="S30" s="64">
        <f t="shared" si="7"/>
        <v>150</v>
      </c>
      <c r="T30" s="66">
        <f t="shared" si="8"/>
        <v>2223.0545000000002</v>
      </c>
      <c r="U30" s="68">
        <f t="shared" si="9"/>
        <v>55.576362500000002</v>
      </c>
      <c r="V30" s="68">
        <f t="shared" si="10"/>
        <v>459.30878099173555</v>
      </c>
      <c r="W30" s="68">
        <f t="shared" si="11"/>
        <v>306.20585399449038</v>
      </c>
      <c r="Z30" s="213">
        <v>10620038</v>
      </c>
      <c r="AA30" s="213" t="s">
        <v>720</v>
      </c>
      <c r="AB30" s="213" t="s">
        <v>365</v>
      </c>
      <c r="AC30" s="270">
        <v>320</v>
      </c>
      <c r="AD30" s="271">
        <v>15062.438939399999</v>
      </c>
    </row>
    <row r="31" spans="1:30" x14ac:dyDescent="0.25">
      <c r="A31" s="168" t="s">
        <v>947</v>
      </c>
      <c r="B31" s="62" t="s">
        <v>390</v>
      </c>
      <c r="C31" s="62" t="s">
        <v>585</v>
      </c>
      <c r="D31" s="62" t="s">
        <v>586</v>
      </c>
      <c r="E31" s="49" t="s">
        <v>753</v>
      </c>
      <c r="F31" s="62" t="str">
        <f t="shared" si="1"/>
        <v>20102</v>
      </c>
      <c r="G31" s="268">
        <v>10620102</v>
      </c>
      <c r="H31" s="49" t="s">
        <v>382</v>
      </c>
      <c r="I31" s="69">
        <v>29</v>
      </c>
      <c r="J31" s="69">
        <v>3</v>
      </c>
      <c r="K31" s="69">
        <v>8</v>
      </c>
      <c r="L31" s="69">
        <f t="shared" si="2"/>
        <v>0.87</v>
      </c>
      <c r="M31" s="69">
        <f t="shared" si="3"/>
        <v>2.3199999999999998</v>
      </c>
      <c r="N31" s="56">
        <f>INDEX(Rate_Chart!$A$1:$AK$127,MATCH(Data!J31,Rate_Chart!$A$1:$A$127,0),MATCH(Data!K31,Rate_Chart!$A$1:$AK$1,0))</f>
        <v>34.751112000000006</v>
      </c>
      <c r="O31" s="57">
        <f t="shared" si="4"/>
        <v>1007.7822480000002</v>
      </c>
      <c r="P31" s="58">
        <f t="shared" si="5"/>
        <v>417.01334400000002</v>
      </c>
      <c r="Q31" s="58">
        <f t="shared" si="6"/>
        <v>278.00889599999999</v>
      </c>
      <c r="R31" s="66">
        <f t="shared" si="15"/>
        <v>17.636189340000005</v>
      </c>
      <c r="S31" s="64">
        <f t="shared" si="7"/>
        <v>108.75</v>
      </c>
      <c r="T31" s="66">
        <f t="shared" si="8"/>
        <v>1134.1684373400003</v>
      </c>
      <c r="U31" s="68">
        <f t="shared" si="9"/>
        <v>39.109256460000012</v>
      </c>
      <c r="V31" s="68">
        <f t="shared" si="10"/>
        <v>469.31107752000008</v>
      </c>
      <c r="W31" s="68">
        <f t="shared" si="11"/>
        <v>312.87405168000004</v>
      </c>
      <c r="Z31" s="213">
        <v>10620042</v>
      </c>
      <c r="AA31" s="213" t="s">
        <v>721</v>
      </c>
      <c r="AB31" s="213" t="s">
        <v>373</v>
      </c>
      <c r="AC31" s="270">
        <v>610</v>
      </c>
      <c r="AD31" s="271">
        <v>30104.569148799997</v>
      </c>
    </row>
    <row r="32" spans="1:30" x14ac:dyDescent="0.25">
      <c r="A32" s="168" t="s">
        <v>947</v>
      </c>
      <c r="B32" s="62" t="s">
        <v>391</v>
      </c>
      <c r="C32" s="62" t="s">
        <v>585</v>
      </c>
      <c r="D32" s="62" t="s">
        <v>586</v>
      </c>
      <c r="E32" s="49" t="s">
        <v>753</v>
      </c>
      <c r="F32" s="62" t="str">
        <f t="shared" si="1"/>
        <v>20102</v>
      </c>
      <c r="G32" s="268">
        <v>10620102</v>
      </c>
      <c r="H32" s="49" t="s">
        <v>381</v>
      </c>
      <c r="I32" s="69">
        <v>37</v>
      </c>
      <c r="J32" s="69">
        <v>6.3</v>
      </c>
      <c r="K32" s="69">
        <v>8.4</v>
      </c>
      <c r="L32" s="69">
        <f t="shared" si="2"/>
        <v>2.331</v>
      </c>
      <c r="M32" s="69">
        <f t="shared" si="3"/>
        <v>3.1080000000000001</v>
      </c>
      <c r="N32" s="56">
        <f>INDEX(Rate_Chart!$A$1:$AK$127,MATCH(Data!J32,Rate_Chart!$A$1:$A$127,0),MATCH(Data!K32,Rate_Chart!$A$1:$AK$1,0))</f>
        <v>51.026849999999996</v>
      </c>
      <c r="O32" s="57">
        <f t="shared" si="4"/>
        <v>1887.9934499999999</v>
      </c>
      <c r="P32" s="58">
        <f t="shared" si="5"/>
        <v>428.79705882352943</v>
      </c>
      <c r="Q32" s="58">
        <f t="shared" si="6"/>
        <v>285.86470588235295</v>
      </c>
      <c r="R32" s="66">
        <f t="shared" si="15"/>
        <v>33.039885375000004</v>
      </c>
      <c r="S32" s="64">
        <f t="shared" si="7"/>
        <v>138.75</v>
      </c>
      <c r="T32" s="66">
        <f t="shared" si="8"/>
        <v>2059.7833353749998</v>
      </c>
      <c r="U32" s="68">
        <f t="shared" si="9"/>
        <v>55.669819874999995</v>
      </c>
      <c r="V32" s="68">
        <f t="shared" si="10"/>
        <v>467.81361239495794</v>
      </c>
      <c r="W32" s="68">
        <f t="shared" si="11"/>
        <v>311.87574159663865</v>
      </c>
      <c r="Z32" s="213">
        <v>10620043</v>
      </c>
      <c r="AA32" s="213" t="s">
        <v>722</v>
      </c>
      <c r="AB32" s="213" t="s">
        <v>355</v>
      </c>
      <c r="AC32" s="270">
        <v>515</v>
      </c>
      <c r="AD32" s="271">
        <v>23148.802814500003</v>
      </c>
    </row>
    <row r="33" spans="1:30" x14ac:dyDescent="0.25">
      <c r="A33" s="168" t="s">
        <v>947</v>
      </c>
      <c r="B33" s="62" t="s">
        <v>391</v>
      </c>
      <c r="C33" s="62" t="s">
        <v>585</v>
      </c>
      <c r="D33" s="62" t="s">
        <v>586</v>
      </c>
      <c r="E33" s="49" t="s">
        <v>753</v>
      </c>
      <c r="F33" s="62" t="str">
        <f t="shared" si="1"/>
        <v>20102</v>
      </c>
      <c r="G33" s="268">
        <v>10620102</v>
      </c>
      <c r="H33" s="49" t="s">
        <v>382</v>
      </c>
      <c r="I33" s="69">
        <v>31</v>
      </c>
      <c r="J33" s="69">
        <v>3</v>
      </c>
      <c r="K33" s="69">
        <v>8</v>
      </c>
      <c r="L33" s="69">
        <f t="shared" si="2"/>
        <v>0.93</v>
      </c>
      <c r="M33" s="69">
        <f t="shared" si="3"/>
        <v>2.48</v>
      </c>
      <c r="N33" s="56">
        <f>INDEX(Rate_Chart!$A$1:$AK$127,MATCH(Data!J33,Rate_Chart!$A$1:$A$127,0),MATCH(Data!K33,Rate_Chart!$A$1:$AK$1,0))</f>
        <v>34.751112000000006</v>
      </c>
      <c r="O33" s="57">
        <f t="shared" si="4"/>
        <v>1077.2844720000003</v>
      </c>
      <c r="P33" s="58">
        <f t="shared" si="5"/>
        <v>417.01334400000002</v>
      </c>
      <c r="Q33" s="58">
        <f t="shared" si="6"/>
        <v>278.00889599999999</v>
      </c>
      <c r="R33" s="66">
        <f t="shared" si="15"/>
        <v>18.852478260000005</v>
      </c>
      <c r="S33" s="64">
        <f t="shared" si="7"/>
        <v>116.25</v>
      </c>
      <c r="T33" s="66">
        <f t="shared" si="8"/>
        <v>1212.3869502600003</v>
      </c>
      <c r="U33" s="68">
        <f t="shared" si="9"/>
        <v>39.109256460000012</v>
      </c>
      <c r="V33" s="68">
        <f t="shared" si="10"/>
        <v>469.31107752000008</v>
      </c>
      <c r="W33" s="68">
        <f t="shared" si="11"/>
        <v>312.87405168000004</v>
      </c>
      <c r="Z33" s="213">
        <v>10620044</v>
      </c>
      <c r="AA33" s="213" t="s">
        <v>723</v>
      </c>
      <c r="AB33" s="213" t="s">
        <v>357</v>
      </c>
      <c r="AC33" s="270">
        <v>471</v>
      </c>
      <c r="AD33" s="271">
        <v>20432.556543399998</v>
      </c>
    </row>
    <row r="34" spans="1:30" x14ac:dyDescent="0.25">
      <c r="A34" s="168" t="s">
        <v>941</v>
      </c>
      <c r="B34" s="62" t="s">
        <v>390</v>
      </c>
      <c r="C34" s="62" t="s">
        <v>585</v>
      </c>
      <c r="D34" s="62" t="s">
        <v>587</v>
      </c>
      <c r="E34" s="49" t="s">
        <v>802</v>
      </c>
      <c r="F34" s="62" t="str">
        <f t="shared" si="1"/>
        <v>20104</v>
      </c>
      <c r="G34" s="268">
        <v>10620104</v>
      </c>
      <c r="H34" s="49" t="s">
        <v>382</v>
      </c>
      <c r="I34" s="69">
        <v>8</v>
      </c>
      <c r="J34" s="69">
        <v>3.8</v>
      </c>
      <c r="K34" s="69">
        <v>8.3000000000000007</v>
      </c>
      <c r="L34" s="69">
        <f t="shared" si="2"/>
        <v>0.30399999999999999</v>
      </c>
      <c r="M34" s="69">
        <f t="shared" si="3"/>
        <v>0.66400000000000003</v>
      </c>
      <c r="N34" s="56">
        <f>INDEX(Rate_Chart!$A$1:$AK$127,MATCH(Data!J34,Rate_Chart!$A$1:$A$127,0),MATCH(Data!K34,Rate_Chart!$A$1:$AK$1,0))</f>
        <v>38.921153700000005</v>
      </c>
      <c r="O34" s="57">
        <f t="shared" si="4"/>
        <v>311.36922960000004</v>
      </c>
      <c r="P34" s="58">
        <f t="shared" si="5"/>
        <v>417.01236107142859</v>
      </c>
      <c r="Q34" s="58">
        <f t="shared" si="6"/>
        <v>278.00824071428571</v>
      </c>
      <c r="R34" s="66">
        <f t="shared" si="15"/>
        <v>5.4489615180000008</v>
      </c>
      <c r="S34" s="64">
        <f t="shared" si="7"/>
        <v>30</v>
      </c>
      <c r="T34" s="66">
        <f t="shared" si="8"/>
        <v>346.81819111800007</v>
      </c>
      <c r="U34" s="68">
        <f t="shared" si="9"/>
        <v>43.352273889750009</v>
      </c>
      <c r="V34" s="68">
        <f t="shared" si="10"/>
        <v>464.48864881875005</v>
      </c>
      <c r="W34" s="68">
        <f t="shared" si="11"/>
        <v>309.65909921250005</v>
      </c>
      <c r="Z34" s="213">
        <v>10620048</v>
      </c>
      <c r="AA34" s="213" t="s">
        <v>724</v>
      </c>
      <c r="AB34" s="213" t="s">
        <v>374</v>
      </c>
      <c r="AC34" s="270">
        <v>130</v>
      </c>
      <c r="AD34" s="271">
        <v>6359.2310115</v>
      </c>
    </row>
    <row r="35" spans="1:30" x14ac:dyDescent="0.25">
      <c r="A35" s="168" t="s">
        <v>941</v>
      </c>
      <c r="B35" s="62" t="s">
        <v>391</v>
      </c>
      <c r="C35" s="62" t="s">
        <v>585</v>
      </c>
      <c r="D35" s="62" t="s">
        <v>587</v>
      </c>
      <c r="E35" s="49" t="s">
        <v>802</v>
      </c>
      <c r="F35" s="62" t="str">
        <f t="shared" si="1"/>
        <v>20104</v>
      </c>
      <c r="G35" s="268">
        <v>10620104</v>
      </c>
      <c r="H35" s="49" t="s">
        <v>382</v>
      </c>
      <c r="I35" s="69">
        <v>10</v>
      </c>
      <c r="J35" s="69">
        <v>3.4</v>
      </c>
      <c r="K35" s="69">
        <v>8</v>
      </c>
      <c r="L35" s="69">
        <f t="shared" si="2"/>
        <v>0.34</v>
      </c>
      <c r="M35" s="69">
        <f t="shared" si="3"/>
        <v>0.8</v>
      </c>
      <c r="N35" s="56">
        <f>INDEX(Rate_Chart!$A$1:$AK$127,MATCH(Data!J35,Rate_Chart!$A$1:$A$127,0),MATCH(Data!K35,Rate_Chart!$A$1:$AK$1,0))</f>
        <v>36.419112000000005</v>
      </c>
      <c r="O35" s="57">
        <f t="shared" si="4"/>
        <v>364.19112000000007</v>
      </c>
      <c r="P35" s="58">
        <f t="shared" si="5"/>
        <v>417.01273282442747</v>
      </c>
      <c r="Q35" s="58">
        <f t="shared" si="6"/>
        <v>278.00848854961833</v>
      </c>
      <c r="R35" s="66">
        <f t="shared" si="15"/>
        <v>6.373344600000002</v>
      </c>
      <c r="S35" s="64">
        <f t="shared" si="7"/>
        <v>37.5</v>
      </c>
      <c r="T35" s="66">
        <f t="shared" si="8"/>
        <v>408.06446460000006</v>
      </c>
      <c r="U35" s="68">
        <f t="shared" si="9"/>
        <v>40.806446460000004</v>
      </c>
      <c r="V35" s="68">
        <f t="shared" si="10"/>
        <v>467.24938694656487</v>
      </c>
      <c r="W35" s="68">
        <f t="shared" si="11"/>
        <v>311.49959129770991</v>
      </c>
      <c r="Z35" s="213">
        <v>10620049</v>
      </c>
      <c r="AA35" s="213" t="s">
        <v>725</v>
      </c>
      <c r="AB35" s="213" t="s">
        <v>360</v>
      </c>
      <c r="AC35" s="270">
        <v>646</v>
      </c>
      <c r="AD35" s="271">
        <v>26880.242133499996</v>
      </c>
    </row>
    <row r="36" spans="1:30" x14ac:dyDescent="0.25">
      <c r="A36" s="168" t="s">
        <v>942</v>
      </c>
      <c r="B36" s="62" t="s">
        <v>390</v>
      </c>
      <c r="C36" s="62" t="s">
        <v>585</v>
      </c>
      <c r="D36" s="62" t="s">
        <v>587</v>
      </c>
      <c r="E36" s="49" t="s">
        <v>802</v>
      </c>
      <c r="F36" s="62" t="str">
        <f t="shared" si="1"/>
        <v>20104</v>
      </c>
      <c r="G36" s="268">
        <v>10620104</v>
      </c>
      <c r="H36" s="49" t="s">
        <v>382</v>
      </c>
      <c r="I36" s="69">
        <v>34</v>
      </c>
      <c r="J36" s="69">
        <v>4.8</v>
      </c>
      <c r="K36" s="69">
        <v>8.3000000000000007</v>
      </c>
      <c r="L36" s="69">
        <f t="shared" si="2"/>
        <v>1.6319999999999999</v>
      </c>
      <c r="M36" s="69">
        <f t="shared" si="3"/>
        <v>2.8220000000000005</v>
      </c>
      <c r="N36" s="56">
        <f>INDEX(Rate_Chart!$A$1:$AK$127,MATCH(Data!J36,Rate_Chart!$A$1:$A$127,0),MATCH(Data!K36,Rate_Chart!$A$1:$AK$1,0))</f>
        <v>43.091153700000007</v>
      </c>
      <c r="O36" s="57">
        <f t="shared" si="4"/>
        <v>1465.0992258000001</v>
      </c>
      <c r="P36" s="58">
        <f t="shared" si="5"/>
        <v>417.01116483870976</v>
      </c>
      <c r="Q36" s="58">
        <f t="shared" si="6"/>
        <v>278.00744322580653</v>
      </c>
      <c r="R36" s="66">
        <f t="shared" si="15"/>
        <v>25.639236451500004</v>
      </c>
      <c r="S36" s="64">
        <f t="shared" si="7"/>
        <v>127.5</v>
      </c>
      <c r="T36" s="66">
        <f t="shared" si="8"/>
        <v>1618.2384622515001</v>
      </c>
      <c r="U36" s="68">
        <f t="shared" si="9"/>
        <v>47.595248889750003</v>
      </c>
      <c r="V36" s="68">
        <f t="shared" si="10"/>
        <v>460.5991828040323</v>
      </c>
      <c r="W36" s="68">
        <f t="shared" si="11"/>
        <v>307.06612186935484</v>
      </c>
      <c r="Z36" s="213">
        <v>10620051</v>
      </c>
      <c r="AA36" s="213" t="s">
        <v>726</v>
      </c>
      <c r="AB36" s="213" t="s">
        <v>369</v>
      </c>
      <c r="AC36" s="270">
        <v>780</v>
      </c>
      <c r="AD36" s="271">
        <v>44331.819999999992</v>
      </c>
    </row>
    <row r="37" spans="1:30" x14ac:dyDescent="0.25">
      <c r="A37" s="168" t="s">
        <v>942</v>
      </c>
      <c r="B37" s="62" t="s">
        <v>391</v>
      </c>
      <c r="C37" s="62" t="s">
        <v>585</v>
      </c>
      <c r="D37" s="62" t="s">
        <v>587</v>
      </c>
      <c r="E37" s="49" t="s">
        <v>802</v>
      </c>
      <c r="F37" s="62" t="str">
        <f t="shared" si="1"/>
        <v>20104</v>
      </c>
      <c r="G37" s="268">
        <v>10620104</v>
      </c>
      <c r="H37" s="49" t="s">
        <v>382</v>
      </c>
      <c r="I37" s="69">
        <v>9</v>
      </c>
      <c r="J37" s="69">
        <v>4.5</v>
      </c>
      <c r="K37" s="69">
        <v>8.5</v>
      </c>
      <c r="L37" s="69">
        <f t="shared" si="2"/>
        <v>0.40500000000000003</v>
      </c>
      <c r="M37" s="69">
        <f t="shared" si="3"/>
        <v>0.76500000000000001</v>
      </c>
      <c r="N37" s="56">
        <f>INDEX(Rate_Chart!$A$1:$AK$127,MATCH(Data!J37,Rate_Chart!$A$1:$A$127,0),MATCH(Data!K37,Rate_Chart!$A$1:$AK$1,0))</f>
        <v>42.396181500000004</v>
      </c>
      <c r="O37" s="57">
        <f t="shared" si="4"/>
        <v>381.56563350000005</v>
      </c>
      <c r="P37" s="58">
        <f t="shared" si="5"/>
        <v>417.01162131147544</v>
      </c>
      <c r="Q37" s="58">
        <f t="shared" si="6"/>
        <v>278.00774754098364</v>
      </c>
      <c r="R37" s="66">
        <f t="shared" si="15"/>
        <v>6.6773985862500016</v>
      </c>
      <c r="S37" s="64">
        <f t="shared" si="7"/>
        <v>33.75</v>
      </c>
      <c r="T37" s="66">
        <f t="shared" si="8"/>
        <v>421.99303208625003</v>
      </c>
      <c r="U37" s="68">
        <f t="shared" si="9"/>
        <v>46.888114676250005</v>
      </c>
      <c r="V37" s="68">
        <f t="shared" si="10"/>
        <v>461.19457058606559</v>
      </c>
      <c r="W37" s="68">
        <f t="shared" si="11"/>
        <v>307.46304705737708</v>
      </c>
      <c r="Z37" s="213">
        <v>10620052</v>
      </c>
      <c r="AA37" s="213" t="s">
        <v>908</v>
      </c>
      <c r="AB37" s="213" t="s">
        <v>907</v>
      </c>
      <c r="AC37" s="270">
        <v>692</v>
      </c>
      <c r="AD37" s="271">
        <v>31694.349947999999</v>
      </c>
    </row>
    <row r="38" spans="1:30" x14ac:dyDescent="0.25">
      <c r="A38" s="168" t="s">
        <v>943</v>
      </c>
      <c r="B38" s="62" t="s">
        <v>390</v>
      </c>
      <c r="C38" s="62" t="s">
        <v>585</v>
      </c>
      <c r="D38" s="62" t="s">
        <v>587</v>
      </c>
      <c r="E38" s="49" t="s">
        <v>802</v>
      </c>
      <c r="F38" s="62" t="str">
        <f t="shared" si="1"/>
        <v>20104</v>
      </c>
      <c r="G38" s="268">
        <v>10620104</v>
      </c>
      <c r="H38" s="49" t="s">
        <v>382</v>
      </c>
      <c r="I38" s="69">
        <v>30</v>
      </c>
      <c r="J38" s="69">
        <v>4.5999999999999996</v>
      </c>
      <c r="K38" s="69">
        <v>8.4</v>
      </c>
      <c r="L38" s="69">
        <f t="shared" si="2"/>
        <v>1.38</v>
      </c>
      <c r="M38" s="69">
        <f t="shared" si="3"/>
        <v>2.52</v>
      </c>
      <c r="N38" s="56">
        <f>INDEX(Rate_Chart!$A$1:$AK$127,MATCH(Data!J38,Rate_Chart!$A$1:$A$127,0),MATCH(Data!K38,Rate_Chart!$A$1:$AK$1,0))</f>
        <v>42.535167600000008</v>
      </c>
      <c r="O38" s="57">
        <f t="shared" si="4"/>
        <v>1276.0550280000002</v>
      </c>
      <c r="P38" s="58">
        <f t="shared" si="5"/>
        <v>417.01144705882359</v>
      </c>
      <c r="Q38" s="58">
        <f t="shared" si="6"/>
        <v>278.00763137254904</v>
      </c>
      <c r="R38" s="66">
        <f t="shared" si="15"/>
        <v>22.330962990000007</v>
      </c>
      <c r="S38" s="64">
        <f t="shared" si="7"/>
        <v>112.5</v>
      </c>
      <c r="T38" s="66">
        <f t="shared" si="8"/>
        <v>1410.8859909900002</v>
      </c>
      <c r="U38" s="68">
        <f t="shared" si="9"/>
        <v>47.029533033000007</v>
      </c>
      <c r="V38" s="68">
        <f t="shared" si="10"/>
        <v>461.07385326470592</v>
      </c>
      <c r="W38" s="68">
        <f t="shared" si="11"/>
        <v>307.38256884313728</v>
      </c>
      <c r="Z38" s="213">
        <v>10620053</v>
      </c>
      <c r="AA38" s="213" t="s">
        <v>727</v>
      </c>
      <c r="AB38" s="213" t="s">
        <v>379</v>
      </c>
      <c r="AC38" s="270">
        <v>689</v>
      </c>
      <c r="AD38" s="271">
        <v>28115.479284500005</v>
      </c>
    </row>
    <row r="39" spans="1:30" x14ac:dyDescent="0.25">
      <c r="A39" s="168" t="s">
        <v>943</v>
      </c>
      <c r="B39" s="62" t="s">
        <v>391</v>
      </c>
      <c r="C39" s="62" t="s">
        <v>585</v>
      </c>
      <c r="D39" s="62" t="s">
        <v>587</v>
      </c>
      <c r="E39" s="49" t="s">
        <v>802</v>
      </c>
      <c r="F39" s="62" t="str">
        <f t="shared" si="1"/>
        <v>20104</v>
      </c>
      <c r="G39" s="268">
        <v>10620104</v>
      </c>
      <c r="H39" s="49" t="s">
        <v>382</v>
      </c>
      <c r="I39" s="69">
        <v>8</v>
      </c>
      <c r="J39" s="69">
        <v>4.0999999999999996</v>
      </c>
      <c r="K39" s="69">
        <v>8.5</v>
      </c>
      <c r="L39" s="69">
        <f t="shared" si="2"/>
        <v>0.32799999999999996</v>
      </c>
      <c r="M39" s="69">
        <f t="shared" si="3"/>
        <v>0.68</v>
      </c>
      <c r="N39" s="56">
        <f>INDEX(Rate_Chart!$A$1:$AK$127,MATCH(Data!J39,Rate_Chart!$A$1:$A$127,0),MATCH(Data!K39,Rate_Chart!$A$1:$AK$1,0))</f>
        <v>40.728181500000005</v>
      </c>
      <c r="O39" s="57">
        <f t="shared" si="4"/>
        <v>325.82545200000004</v>
      </c>
      <c r="P39" s="58">
        <f t="shared" si="5"/>
        <v>417.01209726962463</v>
      </c>
      <c r="Q39" s="58">
        <f t="shared" si="6"/>
        <v>278.0080648464164</v>
      </c>
      <c r="R39" s="66">
        <f t="shared" si="15"/>
        <v>5.7019454100000013</v>
      </c>
      <c r="S39" s="64">
        <f t="shared" si="7"/>
        <v>30</v>
      </c>
      <c r="T39" s="66">
        <f t="shared" si="8"/>
        <v>361.52739741000005</v>
      </c>
      <c r="U39" s="68">
        <f t="shared" si="9"/>
        <v>45.190924676250006</v>
      </c>
      <c r="V39" s="68">
        <f t="shared" si="10"/>
        <v>462.70571340870316</v>
      </c>
      <c r="W39" s="68">
        <f t="shared" si="11"/>
        <v>308.47047560580211</v>
      </c>
      <c r="Z39" s="213">
        <v>10620054</v>
      </c>
      <c r="AA39" s="213" t="s">
        <v>728</v>
      </c>
      <c r="AB39" s="213" t="s">
        <v>375</v>
      </c>
      <c r="AC39" s="270">
        <v>730</v>
      </c>
      <c r="AD39" s="271">
        <v>33239.473727700002</v>
      </c>
    </row>
    <row r="40" spans="1:30" x14ac:dyDescent="0.25">
      <c r="A40" s="168" t="s">
        <v>944</v>
      </c>
      <c r="B40" s="62" t="s">
        <v>390</v>
      </c>
      <c r="C40" s="62" t="s">
        <v>585</v>
      </c>
      <c r="D40" s="62" t="s">
        <v>587</v>
      </c>
      <c r="E40" s="49" t="s">
        <v>802</v>
      </c>
      <c r="F40" s="62" t="str">
        <f t="shared" si="1"/>
        <v>20104</v>
      </c>
      <c r="G40" s="268">
        <v>10620104</v>
      </c>
      <c r="H40" s="49" t="s">
        <v>382</v>
      </c>
      <c r="I40" s="69">
        <v>30</v>
      </c>
      <c r="J40" s="69">
        <v>5.2</v>
      </c>
      <c r="K40" s="69">
        <v>8.5</v>
      </c>
      <c r="L40" s="69">
        <f t="shared" si="2"/>
        <v>1.56</v>
      </c>
      <c r="M40" s="69">
        <f t="shared" si="3"/>
        <v>2.5499999999999998</v>
      </c>
      <c r="N40" s="56">
        <f>INDEX(Rate_Chart!$A$1:$AK$127,MATCH(Data!J40,Rate_Chart!$A$1:$A$127,0),MATCH(Data!K40,Rate_Chart!$A$1:$AK$1,0))</f>
        <v>45.315181500000008</v>
      </c>
      <c r="O40" s="57">
        <f t="shared" si="4"/>
        <v>1359.4554450000003</v>
      </c>
      <c r="P40" s="58">
        <f t="shared" si="5"/>
        <v>417.01087269938654</v>
      </c>
      <c r="Q40" s="58">
        <f t="shared" si="6"/>
        <v>278.00724846625769</v>
      </c>
      <c r="R40" s="66">
        <f t="shared" si="15"/>
        <v>23.790470287500007</v>
      </c>
      <c r="S40" s="64">
        <f t="shared" si="7"/>
        <v>112.5</v>
      </c>
      <c r="T40" s="66">
        <f t="shared" si="8"/>
        <v>1495.7459152875003</v>
      </c>
      <c r="U40" s="68">
        <f t="shared" si="9"/>
        <v>49.858197176250009</v>
      </c>
      <c r="V40" s="68">
        <f t="shared" si="10"/>
        <v>458.81776542561352</v>
      </c>
      <c r="W40" s="68">
        <f t="shared" si="11"/>
        <v>305.87851028374234</v>
      </c>
      <c r="Z40" s="213">
        <v>10620057</v>
      </c>
      <c r="AA40" s="213" t="s">
        <v>729</v>
      </c>
      <c r="AB40" s="213" t="s">
        <v>356</v>
      </c>
      <c r="AC40" s="270">
        <v>611</v>
      </c>
      <c r="AD40" s="271">
        <v>28988.195996600003</v>
      </c>
    </row>
    <row r="41" spans="1:30" x14ac:dyDescent="0.25">
      <c r="A41" s="168" t="s">
        <v>944</v>
      </c>
      <c r="B41" s="62" t="s">
        <v>391</v>
      </c>
      <c r="C41" s="62" t="s">
        <v>585</v>
      </c>
      <c r="D41" s="62" t="s">
        <v>587</v>
      </c>
      <c r="E41" s="49" t="s">
        <v>802</v>
      </c>
      <c r="F41" s="62" t="str">
        <f t="shared" si="1"/>
        <v>20104</v>
      </c>
      <c r="G41" s="268">
        <v>10620104</v>
      </c>
      <c r="H41" s="49" t="s">
        <v>382</v>
      </c>
      <c r="I41" s="69">
        <v>8</v>
      </c>
      <c r="J41" s="69">
        <v>4.0999999999999996</v>
      </c>
      <c r="K41" s="69">
        <v>8.5</v>
      </c>
      <c r="L41" s="69">
        <f t="shared" si="2"/>
        <v>0.32799999999999996</v>
      </c>
      <c r="M41" s="69">
        <f t="shared" si="3"/>
        <v>0.68</v>
      </c>
      <c r="N41" s="56">
        <f>INDEX(Rate_Chart!$A$1:$AK$127,MATCH(Data!J41,Rate_Chart!$A$1:$A$127,0),MATCH(Data!K41,Rate_Chart!$A$1:$AK$1,0))</f>
        <v>40.728181500000005</v>
      </c>
      <c r="O41" s="57">
        <f t="shared" si="4"/>
        <v>325.82545200000004</v>
      </c>
      <c r="P41" s="58">
        <f t="shared" si="5"/>
        <v>417.01209726962463</v>
      </c>
      <c r="Q41" s="58">
        <f t="shared" si="6"/>
        <v>278.0080648464164</v>
      </c>
      <c r="R41" s="66">
        <f t="shared" si="15"/>
        <v>5.7019454100000013</v>
      </c>
      <c r="S41" s="64">
        <f t="shared" si="7"/>
        <v>30</v>
      </c>
      <c r="T41" s="66">
        <f t="shared" si="8"/>
        <v>361.52739741000005</v>
      </c>
      <c r="U41" s="68">
        <f t="shared" si="9"/>
        <v>45.190924676250006</v>
      </c>
      <c r="V41" s="68">
        <f t="shared" si="10"/>
        <v>462.70571340870316</v>
      </c>
      <c r="W41" s="68">
        <f t="shared" si="11"/>
        <v>308.47047560580211</v>
      </c>
      <c r="Z41" s="213">
        <v>10620058</v>
      </c>
      <c r="AA41" s="213" t="s">
        <v>730</v>
      </c>
      <c r="AB41" s="213" t="s">
        <v>368</v>
      </c>
      <c r="AC41" s="270">
        <v>88</v>
      </c>
      <c r="AD41" s="271">
        <v>3819.6172241000004</v>
      </c>
    </row>
    <row r="42" spans="1:30" x14ac:dyDescent="0.25">
      <c r="A42" s="168" t="s">
        <v>945</v>
      </c>
      <c r="B42" s="62" t="s">
        <v>390</v>
      </c>
      <c r="C42" s="62" t="s">
        <v>585</v>
      </c>
      <c r="D42" s="62" t="s">
        <v>587</v>
      </c>
      <c r="E42" s="49" t="s">
        <v>802</v>
      </c>
      <c r="F42" s="62" t="str">
        <f t="shared" si="1"/>
        <v>20104</v>
      </c>
      <c r="G42" s="268">
        <v>10620104</v>
      </c>
      <c r="H42" s="49" t="s">
        <v>382</v>
      </c>
      <c r="I42" s="69">
        <v>21</v>
      </c>
      <c r="J42" s="69">
        <v>4.7</v>
      </c>
      <c r="K42" s="69">
        <v>8.4</v>
      </c>
      <c r="L42" s="69">
        <f t="shared" si="2"/>
        <v>0.98699999999999999</v>
      </c>
      <c r="M42" s="69">
        <f t="shared" si="3"/>
        <v>1.764</v>
      </c>
      <c r="N42" s="56">
        <f>INDEX(Rate_Chart!$A$1:$AK$127,MATCH(Data!J42,Rate_Chart!$A$1:$A$127,0),MATCH(Data!K42,Rate_Chart!$A$1:$AK$1,0))</f>
        <v>42.95216760000001</v>
      </c>
      <c r="O42" s="57">
        <f t="shared" si="4"/>
        <v>901.99551960000019</v>
      </c>
      <c r="P42" s="58">
        <f t="shared" si="5"/>
        <v>417.01133592233015</v>
      </c>
      <c r="Q42" s="58">
        <f t="shared" si="6"/>
        <v>278.00755728155343</v>
      </c>
      <c r="R42" s="66">
        <f t="shared" si="15"/>
        <v>15.784921593000005</v>
      </c>
      <c r="S42" s="64">
        <f t="shared" si="7"/>
        <v>78.75</v>
      </c>
      <c r="T42" s="66">
        <f t="shared" si="8"/>
        <v>996.53044119300023</v>
      </c>
      <c r="U42" s="68">
        <f t="shared" si="9"/>
        <v>47.453830533000009</v>
      </c>
      <c r="V42" s="68">
        <f t="shared" si="10"/>
        <v>460.71680129126219</v>
      </c>
      <c r="W42" s="68">
        <f t="shared" si="11"/>
        <v>307.14453419417481</v>
      </c>
      <c r="Z42" s="213">
        <v>10620059</v>
      </c>
      <c r="AA42" s="213" t="s">
        <v>731</v>
      </c>
      <c r="AB42" s="213" t="s">
        <v>341</v>
      </c>
      <c r="AC42" s="270">
        <v>810</v>
      </c>
      <c r="AD42" s="271">
        <v>33064.069823200007</v>
      </c>
    </row>
    <row r="43" spans="1:30" x14ac:dyDescent="0.25">
      <c r="A43" s="168" t="s">
        <v>945</v>
      </c>
      <c r="B43" s="62" t="s">
        <v>391</v>
      </c>
      <c r="C43" s="62" t="s">
        <v>585</v>
      </c>
      <c r="D43" s="62" t="s">
        <v>587</v>
      </c>
      <c r="E43" s="49" t="s">
        <v>802</v>
      </c>
      <c r="F43" s="62" t="str">
        <f t="shared" si="1"/>
        <v>20104</v>
      </c>
      <c r="G43" s="268">
        <v>10620104</v>
      </c>
      <c r="H43" s="49" t="s">
        <v>382</v>
      </c>
      <c r="I43" s="69">
        <v>11</v>
      </c>
      <c r="J43" s="69">
        <v>4.2</v>
      </c>
      <c r="K43" s="69">
        <v>8.4</v>
      </c>
      <c r="L43" s="69">
        <f t="shared" si="2"/>
        <v>0.46200000000000002</v>
      </c>
      <c r="M43" s="69">
        <f t="shared" si="3"/>
        <v>0.92400000000000004</v>
      </c>
      <c r="N43" s="56">
        <f>INDEX(Rate_Chart!$A$1:$AK$127,MATCH(Data!J43,Rate_Chart!$A$1:$A$127,0),MATCH(Data!K43,Rate_Chart!$A$1:$AK$1,0))</f>
        <v>40.867167600000002</v>
      </c>
      <c r="O43" s="57">
        <f t="shared" si="4"/>
        <v>449.53884360000001</v>
      </c>
      <c r="P43" s="58">
        <f t="shared" si="5"/>
        <v>417.01191428571428</v>
      </c>
      <c r="Q43" s="58">
        <f t="shared" si="6"/>
        <v>278.00794285714284</v>
      </c>
      <c r="R43" s="66">
        <f t="shared" si="15"/>
        <v>7.8669297630000008</v>
      </c>
      <c r="S43" s="64">
        <f t="shared" si="7"/>
        <v>41.25</v>
      </c>
      <c r="T43" s="66">
        <f t="shared" si="8"/>
        <v>498.65577336299998</v>
      </c>
      <c r="U43" s="68">
        <f t="shared" si="9"/>
        <v>45.332343033000001</v>
      </c>
      <c r="V43" s="68">
        <f t="shared" si="10"/>
        <v>462.57492890816326</v>
      </c>
      <c r="W43" s="68">
        <f t="shared" si="11"/>
        <v>308.38328593877549</v>
      </c>
      <c r="Z43" s="213">
        <v>10620061</v>
      </c>
      <c r="AA43" s="213" t="s">
        <v>732</v>
      </c>
      <c r="AB43" s="213" t="s">
        <v>344</v>
      </c>
      <c r="AC43" s="270">
        <v>1277</v>
      </c>
      <c r="AD43" s="271">
        <v>56659.890109399996</v>
      </c>
    </row>
    <row r="44" spans="1:30" x14ac:dyDescent="0.25">
      <c r="A44" s="168" t="s">
        <v>946</v>
      </c>
      <c r="B44" s="62" t="s">
        <v>390</v>
      </c>
      <c r="C44" s="62" t="s">
        <v>585</v>
      </c>
      <c r="D44" s="62" t="s">
        <v>587</v>
      </c>
      <c r="E44" s="49" t="s">
        <v>802</v>
      </c>
      <c r="F44" s="62" t="str">
        <f t="shared" si="1"/>
        <v>20104</v>
      </c>
      <c r="G44" s="268">
        <v>10620104</v>
      </c>
      <c r="H44" s="49" t="s">
        <v>382</v>
      </c>
      <c r="I44" s="69">
        <v>33</v>
      </c>
      <c r="J44" s="69">
        <v>5</v>
      </c>
      <c r="K44" s="69">
        <v>8.5</v>
      </c>
      <c r="L44" s="69">
        <f t="shared" si="2"/>
        <v>1.65</v>
      </c>
      <c r="M44" s="69">
        <f t="shared" si="3"/>
        <v>2.8050000000000002</v>
      </c>
      <c r="N44" s="56">
        <f>INDEX(Rate_Chart!$A$1:$AK$127,MATCH(Data!J44,Rate_Chart!$A$1:$A$127,0),MATCH(Data!K44,Rate_Chart!$A$1:$AK$1,0))</f>
        <v>44.481181500000005</v>
      </c>
      <c r="O44" s="57">
        <f t="shared" si="4"/>
        <v>1467.8789895000002</v>
      </c>
      <c r="P44" s="58">
        <f t="shared" si="5"/>
        <v>417.01107656250002</v>
      </c>
      <c r="Q44" s="58">
        <f t="shared" si="6"/>
        <v>278.00738437500002</v>
      </c>
      <c r="R44" s="66">
        <f t="shared" si="15"/>
        <v>25.687882316250008</v>
      </c>
      <c r="S44" s="64">
        <f t="shared" si="7"/>
        <v>123.75</v>
      </c>
      <c r="T44" s="66">
        <f t="shared" si="8"/>
        <v>1617.3168718162501</v>
      </c>
      <c r="U44" s="68">
        <f t="shared" si="9"/>
        <v>49.009602176250006</v>
      </c>
      <c r="V44" s="68">
        <f t="shared" si="10"/>
        <v>459.46502040234378</v>
      </c>
      <c r="W44" s="68">
        <f t="shared" si="11"/>
        <v>306.3100136015625</v>
      </c>
      <c r="Z44" s="213">
        <v>10620062</v>
      </c>
      <c r="AA44" s="213" t="s">
        <v>733</v>
      </c>
      <c r="AB44" s="213" t="s">
        <v>591</v>
      </c>
      <c r="AC44" s="270">
        <v>117</v>
      </c>
      <c r="AD44" s="271">
        <v>4693.1925945000003</v>
      </c>
    </row>
    <row r="45" spans="1:30" x14ac:dyDescent="0.25">
      <c r="A45" s="168" t="s">
        <v>946</v>
      </c>
      <c r="B45" s="62" t="s">
        <v>391</v>
      </c>
      <c r="C45" s="62" t="s">
        <v>585</v>
      </c>
      <c r="D45" s="62" t="s">
        <v>587</v>
      </c>
      <c r="E45" s="49" t="s">
        <v>802</v>
      </c>
      <c r="F45" s="62" t="str">
        <f t="shared" si="1"/>
        <v>20104</v>
      </c>
      <c r="G45" s="268">
        <v>10620104</v>
      </c>
      <c r="H45" s="49" t="s">
        <v>382</v>
      </c>
      <c r="I45" s="69">
        <v>7</v>
      </c>
      <c r="J45" s="69">
        <v>4.0999999999999996</v>
      </c>
      <c r="K45" s="69">
        <v>8.5</v>
      </c>
      <c r="L45" s="69">
        <f t="shared" si="2"/>
        <v>0.28699999999999998</v>
      </c>
      <c r="M45" s="69">
        <f t="shared" si="3"/>
        <v>0.59499999999999997</v>
      </c>
      <c r="N45" s="56">
        <f>INDEX(Rate_Chart!$A$1:$AK$127,MATCH(Data!J45,Rate_Chart!$A$1:$A$127,0),MATCH(Data!K45,Rate_Chart!$A$1:$AK$1,0))</f>
        <v>40.728181500000005</v>
      </c>
      <c r="O45" s="57">
        <f t="shared" si="4"/>
        <v>285.09727050000004</v>
      </c>
      <c r="P45" s="58">
        <f t="shared" si="5"/>
        <v>417.01209726962463</v>
      </c>
      <c r="Q45" s="58">
        <f t="shared" si="6"/>
        <v>278.0080648464164</v>
      </c>
      <c r="R45" s="66">
        <f t="shared" si="15"/>
        <v>4.9892022337500013</v>
      </c>
      <c r="S45" s="64">
        <f t="shared" si="7"/>
        <v>26.25</v>
      </c>
      <c r="T45" s="66">
        <f t="shared" si="8"/>
        <v>316.33647273375004</v>
      </c>
      <c r="U45" s="68">
        <f t="shared" si="9"/>
        <v>45.190924676250006</v>
      </c>
      <c r="V45" s="68">
        <f t="shared" si="10"/>
        <v>462.70571340870316</v>
      </c>
      <c r="W45" s="68">
        <f t="shared" si="11"/>
        <v>308.47047560580211</v>
      </c>
      <c r="Z45" s="213">
        <v>10620063</v>
      </c>
      <c r="AA45" s="213" t="s">
        <v>734</v>
      </c>
      <c r="AB45" s="213" t="s">
        <v>364</v>
      </c>
      <c r="AC45" s="270">
        <v>280</v>
      </c>
      <c r="AD45" s="271">
        <v>13482.298473499999</v>
      </c>
    </row>
    <row r="46" spans="1:30" x14ac:dyDescent="0.25">
      <c r="A46" s="168" t="s">
        <v>947</v>
      </c>
      <c r="B46" s="62" t="s">
        <v>390</v>
      </c>
      <c r="C46" s="62" t="s">
        <v>585</v>
      </c>
      <c r="D46" s="62" t="s">
        <v>587</v>
      </c>
      <c r="E46" s="49" t="s">
        <v>802</v>
      </c>
      <c r="F46" s="62" t="str">
        <f t="shared" si="1"/>
        <v>20104</v>
      </c>
      <c r="G46" s="268">
        <v>10620104</v>
      </c>
      <c r="H46" s="49" t="s">
        <v>382</v>
      </c>
      <c r="I46" s="69">
        <v>31</v>
      </c>
      <c r="J46" s="69">
        <v>4.4000000000000004</v>
      </c>
      <c r="K46" s="69">
        <v>8.4</v>
      </c>
      <c r="L46" s="69">
        <f t="shared" si="2"/>
        <v>1.3640000000000001</v>
      </c>
      <c r="M46" s="69">
        <f t="shared" si="3"/>
        <v>2.6040000000000005</v>
      </c>
      <c r="N46" s="56">
        <f>INDEX(Rate_Chart!$A$1:$AK$127,MATCH(Data!J46,Rate_Chart!$A$1:$A$127,0),MATCH(Data!K46,Rate_Chart!$A$1:$AK$1,0))</f>
        <v>41.701167600000005</v>
      </c>
      <c r="O46" s="57">
        <f t="shared" si="4"/>
        <v>1292.7361956000002</v>
      </c>
      <c r="P46" s="58">
        <f t="shared" si="5"/>
        <v>417.01167600000002</v>
      </c>
      <c r="Q46" s="58">
        <f t="shared" si="6"/>
        <v>278.00778400000002</v>
      </c>
      <c r="R46" s="66">
        <f t="shared" si="15"/>
        <v>22.622883423000005</v>
      </c>
      <c r="S46" s="64">
        <f t="shared" si="7"/>
        <v>116.25</v>
      </c>
      <c r="T46" s="66">
        <f t="shared" si="8"/>
        <v>1431.6090790230003</v>
      </c>
      <c r="U46" s="68">
        <f t="shared" si="9"/>
        <v>46.180938033000011</v>
      </c>
      <c r="V46" s="68">
        <f t="shared" si="10"/>
        <v>461.80938033000007</v>
      </c>
      <c r="W46" s="68">
        <f t="shared" si="11"/>
        <v>307.87292022000003</v>
      </c>
      <c r="Z46" s="213">
        <v>10620064</v>
      </c>
      <c r="AA46" s="213" t="s">
        <v>735</v>
      </c>
      <c r="AB46" s="213" t="s">
        <v>349</v>
      </c>
      <c r="AC46" s="270">
        <v>845</v>
      </c>
      <c r="AD46" s="271">
        <v>42864.723097200003</v>
      </c>
    </row>
    <row r="47" spans="1:30" x14ac:dyDescent="0.25">
      <c r="A47" s="168" t="s">
        <v>947</v>
      </c>
      <c r="B47" s="62" t="s">
        <v>391</v>
      </c>
      <c r="C47" s="62" t="s">
        <v>585</v>
      </c>
      <c r="D47" s="62" t="s">
        <v>587</v>
      </c>
      <c r="E47" s="49" t="s">
        <v>802</v>
      </c>
      <c r="F47" s="62" t="str">
        <f t="shared" si="1"/>
        <v>20104</v>
      </c>
      <c r="G47" s="268">
        <v>10620104</v>
      </c>
      <c r="H47" s="49" t="s">
        <v>382</v>
      </c>
      <c r="I47" s="69">
        <v>11</v>
      </c>
      <c r="J47" s="69">
        <v>3.9</v>
      </c>
      <c r="K47" s="69">
        <v>8.5</v>
      </c>
      <c r="L47" s="69">
        <f t="shared" si="2"/>
        <v>0.42899999999999999</v>
      </c>
      <c r="M47" s="69">
        <f t="shared" si="3"/>
        <v>0.93500000000000005</v>
      </c>
      <c r="N47" s="56">
        <f>INDEX(Rate_Chart!$A$1:$AK$127,MATCH(Data!J47,Rate_Chart!$A$1:$A$127,0),MATCH(Data!K47,Rate_Chart!$A$1:$AK$1,0))</f>
        <v>39.894181500000002</v>
      </c>
      <c r="O47" s="57">
        <f t="shared" si="4"/>
        <v>438.83599650000002</v>
      </c>
      <c r="P47" s="58">
        <f t="shared" si="5"/>
        <v>417.01235017421601</v>
      </c>
      <c r="Q47" s="58">
        <f t="shared" si="6"/>
        <v>278.00823344947736</v>
      </c>
      <c r="R47" s="66">
        <f t="shared" si="15"/>
        <v>7.6796299387500015</v>
      </c>
      <c r="S47" s="64">
        <f t="shared" si="7"/>
        <v>41.25</v>
      </c>
      <c r="T47" s="66">
        <f t="shared" si="8"/>
        <v>487.76562643875002</v>
      </c>
      <c r="U47" s="68">
        <f t="shared" si="9"/>
        <v>44.342329676250003</v>
      </c>
      <c r="V47" s="68">
        <f t="shared" si="10"/>
        <v>463.50867257404178</v>
      </c>
      <c r="W47" s="68">
        <f t="shared" si="11"/>
        <v>309.00578171602785</v>
      </c>
      <c r="Z47" s="213">
        <v>10620067</v>
      </c>
      <c r="AA47" s="213" t="s">
        <v>736</v>
      </c>
      <c r="AB47" s="213" t="s">
        <v>342</v>
      </c>
      <c r="AC47" s="270">
        <v>902</v>
      </c>
      <c r="AD47" s="271">
        <v>41233.303970399997</v>
      </c>
    </row>
    <row r="48" spans="1:30" x14ac:dyDescent="0.25">
      <c r="A48" s="168" t="s">
        <v>941</v>
      </c>
      <c r="B48" s="62" t="s">
        <v>390</v>
      </c>
      <c r="C48" s="62" t="s">
        <v>585</v>
      </c>
      <c r="D48" s="62" t="s">
        <v>587</v>
      </c>
      <c r="E48" s="49" t="s">
        <v>803</v>
      </c>
      <c r="F48" s="62" t="str">
        <f t="shared" si="1"/>
        <v>20106</v>
      </c>
      <c r="G48" s="268">
        <v>10620106</v>
      </c>
      <c r="H48" s="49" t="s">
        <v>381</v>
      </c>
      <c r="I48" s="69">
        <v>10</v>
      </c>
      <c r="J48" s="69">
        <v>5.5</v>
      </c>
      <c r="K48" s="69">
        <v>8.6</v>
      </c>
      <c r="L48" s="69">
        <f t="shared" si="2"/>
        <v>0.55000000000000004</v>
      </c>
      <c r="M48" s="69">
        <f t="shared" si="3"/>
        <v>0.86</v>
      </c>
      <c r="N48" s="56">
        <f>INDEX(Rate_Chart!$A$1:$AK$127,MATCH(Data!J48,Rate_Chart!$A$1:$A$127,0),MATCH(Data!K48,Rate_Chart!$A$1:$AK$1,0))</f>
        <v>46.566181499999999</v>
      </c>
      <c r="O48" s="57">
        <f t="shared" si="4"/>
        <v>465.66181499999999</v>
      </c>
      <c r="P48" s="58">
        <f t="shared" si="5"/>
        <v>414.53574035608312</v>
      </c>
      <c r="Q48" s="58">
        <f t="shared" si="6"/>
        <v>276.35716023738877</v>
      </c>
      <c r="R48" s="66">
        <f t="shared" si="15"/>
        <v>8.1490817624999998</v>
      </c>
      <c r="S48" s="64">
        <f t="shared" si="7"/>
        <v>37.5</v>
      </c>
      <c r="T48" s="66">
        <f t="shared" si="8"/>
        <v>511.31089676249997</v>
      </c>
      <c r="U48" s="68">
        <f t="shared" si="9"/>
        <v>51.131089676249999</v>
      </c>
      <c r="V48" s="68">
        <f t="shared" si="10"/>
        <v>455.17290512982197</v>
      </c>
      <c r="W48" s="68">
        <f t="shared" si="11"/>
        <v>303.44860341988129</v>
      </c>
      <c r="Z48" s="213">
        <v>10620068</v>
      </c>
      <c r="AA48" s="213" t="s">
        <v>737</v>
      </c>
      <c r="AB48" s="213" t="s">
        <v>367</v>
      </c>
      <c r="AC48" s="270">
        <v>649</v>
      </c>
      <c r="AD48" s="271">
        <v>28136.239608899996</v>
      </c>
    </row>
    <row r="49" spans="1:30" x14ac:dyDescent="0.25">
      <c r="A49" s="168" t="s">
        <v>941</v>
      </c>
      <c r="B49" s="62" t="s">
        <v>391</v>
      </c>
      <c r="C49" s="62" t="s">
        <v>585</v>
      </c>
      <c r="D49" s="62" t="s">
        <v>587</v>
      </c>
      <c r="E49" s="49" t="s">
        <v>803</v>
      </c>
      <c r="F49" s="62" t="str">
        <f t="shared" si="1"/>
        <v>20106</v>
      </c>
      <c r="G49" s="268">
        <v>10620106</v>
      </c>
      <c r="H49" s="49" t="s">
        <v>382</v>
      </c>
      <c r="I49" s="69">
        <v>20</v>
      </c>
      <c r="J49" s="69">
        <v>4.5</v>
      </c>
      <c r="K49" s="69">
        <v>8.5</v>
      </c>
      <c r="L49" s="69">
        <f t="shared" si="2"/>
        <v>0.9</v>
      </c>
      <c r="M49" s="69">
        <f t="shared" si="3"/>
        <v>1.7</v>
      </c>
      <c r="N49" s="56">
        <f>INDEX(Rate_Chart!$A$1:$AK$127,MATCH(Data!J49,Rate_Chart!$A$1:$A$127,0),MATCH(Data!K49,Rate_Chart!$A$1:$AK$1,0))</f>
        <v>42.396181500000004</v>
      </c>
      <c r="O49" s="57">
        <f t="shared" si="4"/>
        <v>847.92363000000012</v>
      </c>
      <c r="P49" s="58">
        <f t="shared" si="5"/>
        <v>417.01162131147544</v>
      </c>
      <c r="Q49" s="58">
        <f t="shared" si="6"/>
        <v>278.00774754098364</v>
      </c>
      <c r="R49" s="66">
        <f t="shared" si="15"/>
        <v>14.838663525000003</v>
      </c>
      <c r="S49" s="64">
        <f t="shared" si="7"/>
        <v>75</v>
      </c>
      <c r="T49" s="66">
        <f t="shared" si="8"/>
        <v>937.76229352500013</v>
      </c>
      <c r="U49" s="68">
        <f t="shared" si="9"/>
        <v>46.888114676250005</v>
      </c>
      <c r="V49" s="68">
        <f t="shared" si="10"/>
        <v>461.19457058606559</v>
      </c>
      <c r="W49" s="68">
        <f t="shared" si="11"/>
        <v>307.46304705737708</v>
      </c>
      <c r="Z49" s="213">
        <v>10620069</v>
      </c>
      <c r="AA49" s="213" t="s">
        <v>738</v>
      </c>
      <c r="AB49" s="213" t="s">
        <v>376</v>
      </c>
      <c r="AC49" s="270">
        <v>827</v>
      </c>
      <c r="AD49" s="271">
        <v>38194.085949100008</v>
      </c>
    </row>
    <row r="50" spans="1:30" x14ac:dyDescent="0.25">
      <c r="A50" s="168" t="s">
        <v>942</v>
      </c>
      <c r="B50" s="62" t="s">
        <v>390</v>
      </c>
      <c r="C50" s="62" t="s">
        <v>585</v>
      </c>
      <c r="D50" s="62" t="s">
        <v>587</v>
      </c>
      <c r="E50" s="49" t="s">
        <v>803</v>
      </c>
      <c r="F50" s="62" t="str">
        <f t="shared" si="1"/>
        <v>20106</v>
      </c>
      <c r="G50" s="268">
        <v>10620106</v>
      </c>
      <c r="H50" s="49" t="s">
        <v>382</v>
      </c>
      <c r="I50" s="69">
        <v>10</v>
      </c>
      <c r="J50" s="69">
        <v>5</v>
      </c>
      <c r="K50" s="69">
        <v>8.5</v>
      </c>
      <c r="L50" s="69">
        <f t="shared" si="2"/>
        <v>0.5</v>
      </c>
      <c r="M50" s="69">
        <f t="shared" si="3"/>
        <v>0.85</v>
      </c>
      <c r="N50" s="56">
        <f>INDEX(Rate_Chart!$A$1:$AK$127,MATCH(Data!J50,Rate_Chart!$A$1:$A$127,0),MATCH(Data!K50,Rate_Chart!$A$1:$AK$1,0))</f>
        <v>44.481181500000005</v>
      </c>
      <c r="O50" s="57">
        <f t="shared" si="4"/>
        <v>444.81181500000002</v>
      </c>
      <c r="P50" s="58">
        <f t="shared" si="5"/>
        <v>417.01107656250002</v>
      </c>
      <c r="Q50" s="58">
        <f t="shared" si="6"/>
        <v>278.00738437500002</v>
      </c>
      <c r="R50" s="66">
        <f t="shared" si="15"/>
        <v>7.7842067625000011</v>
      </c>
      <c r="S50" s="64">
        <f t="shared" si="7"/>
        <v>37.5</v>
      </c>
      <c r="T50" s="66">
        <f t="shared" si="8"/>
        <v>490.09602176250002</v>
      </c>
      <c r="U50" s="68">
        <f t="shared" si="9"/>
        <v>49.009602176249999</v>
      </c>
      <c r="V50" s="68">
        <f t="shared" si="10"/>
        <v>459.46502040234373</v>
      </c>
      <c r="W50" s="68">
        <f t="shared" si="11"/>
        <v>306.3100136015625</v>
      </c>
      <c r="Z50" s="213">
        <v>10620070</v>
      </c>
      <c r="AA50" s="213" t="s">
        <v>739</v>
      </c>
      <c r="AB50" s="213" t="s">
        <v>348</v>
      </c>
      <c r="AC50" s="270">
        <v>580</v>
      </c>
      <c r="AD50" s="271">
        <v>26767.658526799994</v>
      </c>
    </row>
    <row r="51" spans="1:30" x14ac:dyDescent="0.25">
      <c r="A51" s="168" t="s">
        <v>942</v>
      </c>
      <c r="B51" s="62" t="s">
        <v>391</v>
      </c>
      <c r="C51" s="62" t="s">
        <v>585</v>
      </c>
      <c r="D51" s="62" t="s">
        <v>587</v>
      </c>
      <c r="E51" s="49" t="s">
        <v>803</v>
      </c>
      <c r="F51" s="62" t="str">
        <f t="shared" si="1"/>
        <v>20106</v>
      </c>
      <c r="G51" s="268">
        <v>10620106</v>
      </c>
      <c r="H51" s="49" t="s">
        <v>382</v>
      </c>
      <c r="I51" s="69">
        <v>17</v>
      </c>
      <c r="J51" s="69">
        <v>4.5</v>
      </c>
      <c r="K51" s="69">
        <v>8.5</v>
      </c>
      <c r="L51" s="69">
        <f t="shared" si="2"/>
        <v>0.76500000000000001</v>
      </c>
      <c r="M51" s="69">
        <f t="shared" si="3"/>
        <v>1.4450000000000001</v>
      </c>
      <c r="N51" s="56">
        <f>INDEX(Rate_Chart!$A$1:$AK$127,MATCH(Data!J51,Rate_Chart!$A$1:$A$127,0),MATCH(Data!K51,Rate_Chart!$A$1:$AK$1,0))</f>
        <v>42.396181500000004</v>
      </c>
      <c r="O51" s="57">
        <f t="shared" si="4"/>
        <v>720.73508550000008</v>
      </c>
      <c r="P51" s="58">
        <f t="shared" si="5"/>
        <v>417.01162131147544</v>
      </c>
      <c r="Q51" s="58">
        <f t="shared" si="6"/>
        <v>278.00774754098364</v>
      </c>
      <c r="R51" s="66">
        <f t="shared" si="15"/>
        <v>12.612863996250002</v>
      </c>
      <c r="S51" s="64">
        <f t="shared" si="7"/>
        <v>63.75</v>
      </c>
      <c r="T51" s="66">
        <f t="shared" si="8"/>
        <v>797.09794949625007</v>
      </c>
      <c r="U51" s="68">
        <f t="shared" si="9"/>
        <v>46.888114676250005</v>
      </c>
      <c r="V51" s="68">
        <f t="shared" si="10"/>
        <v>461.19457058606559</v>
      </c>
      <c r="W51" s="68">
        <f t="shared" si="11"/>
        <v>307.46304705737708</v>
      </c>
      <c r="Z51" s="213">
        <v>10620072</v>
      </c>
      <c r="AA51" s="213" t="s">
        <v>940</v>
      </c>
      <c r="AB51" s="213" t="s">
        <v>939</v>
      </c>
      <c r="AC51" s="270">
        <v>103</v>
      </c>
      <c r="AD51" s="271">
        <v>4586.8994202000003</v>
      </c>
    </row>
    <row r="52" spans="1:30" x14ac:dyDescent="0.25">
      <c r="A52" s="168" t="s">
        <v>943</v>
      </c>
      <c r="B52" s="62" t="s">
        <v>390</v>
      </c>
      <c r="C52" s="62" t="s">
        <v>585</v>
      </c>
      <c r="D52" s="62" t="s">
        <v>587</v>
      </c>
      <c r="E52" s="49" t="s">
        <v>803</v>
      </c>
      <c r="F52" s="62" t="str">
        <f t="shared" si="1"/>
        <v>20106</v>
      </c>
      <c r="G52" s="268">
        <v>10620106</v>
      </c>
      <c r="H52" s="49" t="s">
        <v>382</v>
      </c>
      <c r="I52" s="69">
        <v>15</v>
      </c>
      <c r="J52" s="69">
        <v>4.8</v>
      </c>
      <c r="K52" s="69">
        <v>8.5</v>
      </c>
      <c r="L52" s="69">
        <f t="shared" si="2"/>
        <v>0.72</v>
      </c>
      <c r="M52" s="69">
        <f t="shared" si="3"/>
        <v>1.2749999999999999</v>
      </c>
      <c r="N52" s="56">
        <f>INDEX(Rate_Chart!$A$1:$AK$127,MATCH(Data!J52,Rate_Chart!$A$1:$A$127,0),MATCH(Data!K52,Rate_Chart!$A$1:$AK$1,0))</f>
        <v>43.647181500000002</v>
      </c>
      <c r="O52" s="57">
        <f t="shared" si="4"/>
        <v>654.70772250000005</v>
      </c>
      <c r="P52" s="58">
        <f t="shared" si="5"/>
        <v>417.0112882165605</v>
      </c>
      <c r="Q52" s="58">
        <f t="shared" si="6"/>
        <v>278.00752547770702</v>
      </c>
      <c r="R52" s="66">
        <f t="shared" si="15"/>
        <v>11.457385143750002</v>
      </c>
      <c r="S52" s="64">
        <f t="shared" si="7"/>
        <v>56.25</v>
      </c>
      <c r="T52" s="66">
        <f t="shared" si="8"/>
        <v>722.41510764375005</v>
      </c>
      <c r="U52" s="68">
        <f t="shared" si="9"/>
        <v>48.161007176250003</v>
      </c>
      <c r="V52" s="68">
        <f t="shared" si="10"/>
        <v>460.13701123805731</v>
      </c>
      <c r="W52" s="68">
        <f t="shared" si="11"/>
        <v>306.75800749203819</v>
      </c>
      <c r="Z52" s="213">
        <v>10620075</v>
      </c>
      <c r="AA52" s="213" t="s">
        <v>863</v>
      </c>
      <c r="AB52" s="213" t="s">
        <v>862</v>
      </c>
      <c r="AC52" s="270">
        <v>515</v>
      </c>
      <c r="AD52" s="271">
        <v>25136.583777699998</v>
      </c>
    </row>
    <row r="53" spans="1:30" x14ac:dyDescent="0.25">
      <c r="A53" s="168" t="s">
        <v>943</v>
      </c>
      <c r="B53" s="62" t="s">
        <v>391</v>
      </c>
      <c r="C53" s="62" t="s">
        <v>585</v>
      </c>
      <c r="D53" s="62" t="s">
        <v>587</v>
      </c>
      <c r="E53" s="49" t="s">
        <v>803</v>
      </c>
      <c r="F53" s="62" t="str">
        <f t="shared" si="1"/>
        <v>20106</v>
      </c>
      <c r="G53" s="268">
        <v>10620106</v>
      </c>
      <c r="H53" s="49" t="s">
        <v>382</v>
      </c>
      <c r="I53" s="69">
        <v>12</v>
      </c>
      <c r="J53" s="69">
        <v>4.8</v>
      </c>
      <c r="K53" s="69">
        <v>8.5</v>
      </c>
      <c r="L53" s="69">
        <f t="shared" si="2"/>
        <v>0.57599999999999996</v>
      </c>
      <c r="M53" s="69">
        <f t="shared" si="3"/>
        <v>1.02</v>
      </c>
      <c r="N53" s="56">
        <f>INDEX(Rate_Chart!$A$1:$AK$127,MATCH(Data!J53,Rate_Chart!$A$1:$A$127,0),MATCH(Data!K53,Rate_Chart!$A$1:$AK$1,0))</f>
        <v>43.647181500000002</v>
      </c>
      <c r="O53" s="57">
        <f t="shared" si="4"/>
        <v>523.76617800000008</v>
      </c>
      <c r="P53" s="58">
        <f t="shared" si="5"/>
        <v>417.0112882165605</v>
      </c>
      <c r="Q53" s="58">
        <f t="shared" si="6"/>
        <v>278.00752547770702</v>
      </c>
      <c r="R53" s="66">
        <f t="shared" si="15"/>
        <v>9.1659081150000024</v>
      </c>
      <c r="S53" s="64">
        <f t="shared" si="7"/>
        <v>45</v>
      </c>
      <c r="T53" s="66">
        <f t="shared" si="8"/>
        <v>577.93208611500006</v>
      </c>
      <c r="U53" s="68">
        <f t="shared" si="9"/>
        <v>48.161007176250003</v>
      </c>
      <c r="V53" s="68">
        <f t="shared" si="10"/>
        <v>460.13701123805731</v>
      </c>
      <c r="W53" s="68">
        <f t="shared" si="11"/>
        <v>306.75800749203819</v>
      </c>
      <c r="Z53" s="213">
        <v>10620076</v>
      </c>
      <c r="AA53" s="213" t="s">
        <v>740</v>
      </c>
      <c r="AB53" s="213" t="s">
        <v>343</v>
      </c>
      <c r="AC53" s="270">
        <v>258</v>
      </c>
      <c r="AD53" s="271">
        <v>11158.529729700002</v>
      </c>
    </row>
    <row r="54" spans="1:30" x14ac:dyDescent="0.25">
      <c r="A54" s="168" t="s">
        <v>944</v>
      </c>
      <c r="B54" s="62" t="s">
        <v>390</v>
      </c>
      <c r="C54" s="62" t="s">
        <v>585</v>
      </c>
      <c r="D54" s="62" t="s">
        <v>587</v>
      </c>
      <c r="E54" s="49" t="s">
        <v>803</v>
      </c>
      <c r="F54" s="62" t="str">
        <f t="shared" si="1"/>
        <v>20106</v>
      </c>
      <c r="G54" s="268">
        <v>10620106</v>
      </c>
      <c r="H54" s="49" t="s">
        <v>382</v>
      </c>
      <c r="I54" s="69">
        <v>13</v>
      </c>
      <c r="J54" s="69">
        <v>4.5</v>
      </c>
      <c r="K54" s="69">
        <v>8.5</v>
      </c>
      <c r="L54" s="69">
        <f t="shared" si="2"/>
        <v>0.58499999999999996</v>
      </c>
      <c r="M54" s="69">
        <f t="shared" si="3"/>
        <v>1.105</v>
      </c>
      <c r="N54" s="56">
        <f>INDEX(Rate_Chart!$A$1:$AK$127,MATCH(Data!J54,Rate_Chart!$A$1:$A$127,0),MATCH(Data!K54,Rate_Chart!$A$1:$AK$1,0))</f>
        <v>42.396181500000004</v>
      </c>
      <c r="O54" s="57">
        <f t="shared" si="4"/>
        <v>551.15035950000004</v>
      </c>
      <c r="P54" s="58">
        <f t="shared" si="5"/>
        <v>417.01162131147544</v>
      </c>
      <c r="Q54" s="58">
        <f t="shared" si="6"/>
        <v>278.00774754098364</v>
      </c>
      <c r="R54" s="66">
        <f t="shared" si="15"/>
        <v>9.6451312912500011</v>
      </c>
      <c r="S54" s="64">
        <f t="shared" si="7"/>
        <v>48.75</v>
      </c>
      <c r="T54" s="66">
        <f t="shared" si="8"/>
        <v>609.54549079125002</v>
      </c>
      <c r="U54" s="68">
        <f t="shared" si="9"/>
        <v>46.888114676249998</v>
      </c>
      <c r="V54" s="68">
        <f t="shared" si="10"/>
        <v>461.19457058606554</v>
      </c>
      <c r="W54" s="68">
        <f t="shared" si="11"/>
        <v>307.46304705737703</v>
      </c>
      <c r="Z54" s="213">
        <v>10620077</v>
      </c>
      <c r="AA54" s="213" t="s">
        <v>741</v>
      </c>
      <c r="AB54" s="213" t="s">
        <v>350</v>
      </c>
      <c r="AC54" s="270">
        <v>705</v>
      </c>
      <c r="AD54" s="271">
        <v>29430.120573000007</v>
      </c>
    </row>
    <row r="55" spans="1:30" x14ac:dyDescent="0.25">
      <c r="A55" s="168" t="s">
        <v>944</v>
      </c>
      <c r="B55" s="62" t="s">
        <v>391</v>
      </c>
      <c r="C55" s="62" t="s">
        <v>585</v>
      </c>
      <c r="D55" s="62" t="s">
        <v>587</v>
      </c>
      <c r="E55" s="49" t="s">
        <v>803</v>
      </c>
      <c r="F55" s="62" t="str">
        <f t="shared" si="1"/>
        <v>20106</v>
      </c>
      <c r="G55" s="268">
        <v>10620106</v>
      </c>
      <c r="H55" s="49" t="s">
        <v>382</v>
      </c>
      <c r="I55" s="69">
        <v>20</v>
      </c>
      <c r="J55" s="69">
        <v>4.5999999999999996</v>
      </c>
      <c r="K55" s="69">
        <v>8.5</v>
      </c>
      <c r="L55" s="69">
        <f t="shared" si="2"/>
        <v>0.92</v>
      </c>
      <c r="M55" s="69">
        <f t="shared" si="3"/>
        <v>1.7</v>
      </c>
      <c r="N55" s="56">
        <f>INDEX(Rate_Chart!$A$1:$AK$127,MATCH(Data!J55,Rate_Chart!$A$1:$A$127,0),MATCH(Data!K55,Rate_Chart!$A$1:$AK$1,0))</f>
        <v>42.813181499999999</v>
      </c>
      <c r="O55" s="57">
        <f t="shared" si="4"/>
        <v>856.26362999999992</v>
      </c>
      <c r="P55" s="58">
        <f t="shared" si="5"/>
        <v>417.01150811688308</v>
      </c>
      <c r="Q55" s="58">
        <f t="shared" si="6"/>
        <v>278.00767207792205</v>
      </c>
      <c r="R55" s="66">
        <f t="shared" si="15"/>
        <v>14.984613525</v>
      </c>
      <c r="S55" s="64">
        <f t="shared" si="7"/>
        <v>75</v>
      </c>
      <c r="T55" s="66">
        <f t="shared" si="8"/>
        <v>946.24824352499991</v>
      </c>
      <c r="U55" s="68">
        <f t="shared" si="9"/>
        <v>47.312412176249993</v>
      </c>
      <c r="V55" s="68">
        <f t="shared" si="10"/>
        <v>460.83518353490251</v>
      </c>
      <c r="W55" s="68">
        <f t="shared" si="11"/>
        <v>307.22345568993501</v>
      </c>
      <c r="Z55" s="213">
        <v>10620099</v>
      </c>
      <c r="AA55" s="213" t="s">
        <v>797</v>
      </c>
      <c r="AB55" s="213" t="s">
        <v>796</v>
      </c>
      <c r="AC55" s="270">
        <v>328</v>
      </c>
      <c r="AD55" s="271">
        <v>12352.187309100003</v>
      </c>
    </row>
    <row r="56" spans="1:30" x14ac:dyDescent="0.25">
      <c r="A56" s="168" t="s">
        <v>945</v>
      </c>
      <c r="B56" s="62" t="s">
        <v>390</v>
      </c>
      <c r="C56" s="62" t="s">
        <v>585</v>
      </c>
      <c r="D56" s="62" t="s">
        <v>587</v>
      </c>
      <c r="E56" s="49" t="s">
        <v>803</v>
      </c>
      <c r="F56" s="62" t="str">
        <f t="shared" si="1"/>
        <v>20106</v>
      </c>
      <c r="G56" s="268">
        <v>10620106</v>
      </c>
      <c r="H56" s="49" t="s">
        <v>382</v>
      </c>
      <c r="I56" s="69">
        <v>13</v>
      </c>
      <c r="J56" s="69">
        <v>4.5999999999999996</v>
      </c>
      <c r="K56" s="69">
        <v>8.5</v>
      </c>
      <c r="L56" s="69">
        <f t="shared" si="2"/>
        <v>0.59799999999999998</v>
      </c>
      <c r="M56" s="69">
        <f t="shared" si="3"/>
        <v>1.105</v>
      </c>
      <c r="N56" s="56">
        <f>INDEX(Rate_Chart!$A$1:$AK$127,MATCH(Data!J56,Rate_Chart!$A$1:$A$127,0),MATCH(Data!K56,Rate_Chart!$A$1:$AK$1,0))</f>
        <v>42.813181499999999</v>
      </c>
      <c r="O56" s="57">
        <f t="shared" si="4"/>
        <v>556.57135949999997</v>
      </c>
      <c r="P56" s="58">
        <f t="shared" si="5"/>
        <v>417.01150811688308</v>
      </c>
      <c r="Q56" s="58">
        <f t="shared" si="6"/>
        <v>278.00767207792205</v>
      </c>
      <c r="R56" s="66">
        <f t="shared" si="15"/>
        <v>9.7399987912500006</v>
      </c>
      <c r="S56" s="64">
        <f t="shared" si="7"/>
        <v>48.75</v>
      </c>
      <c r="T56" s="66">
        <f t="shared" si="8"/>
        <v>615.06135829124992</v>
      </c>
      <c r="U56" s="68">
        <f t="shared" si="9"/>
        <v>47.312412176249993</v>
      </c>
      <c r="V56" s="68">
        <f t="shared" si="10"/>
        <v>460.83518353490251</v>
      </c>
      <c r="W56" s="68">
        <f t="shared" si="11"/>
        <v>307.22345568993501</v>
      </c>
      <c r="Z56" s="213">
        <v>10620100</v>
      </c>
      <c r="AA56" s="213" t="s">
        <v>742</v>
      </c>
      <c r="AB56" s="213" t="s">
        <v>698</v>
      </c>
      <c r="AC56" s="270">
        <v>782</v>
      </c>
      <c r="AD56" s="271">
        <v>43786.564999999995</v>
      </c>
    </row>
    <row r="57" spans="1:30" x14ac:dyDescent="0.25">
      <c r="A57" s="168" t="s">
        <v>945</v>
      </c>
      <c r="B57" s="62" t="s">
        <v>391</v>
      </c>
      <c r="C57" s="62" t="s">
        <v>585</v>
      </c>
      <c r="D57" s="62" t="s">
        <v>587</v>
      </c>
      <c r="E57" s="49" t="s">
        <v>803</v>
      </c>
      <c r="F57" s="62" t="str">
        <f t="shared" si="1"/>
        <v>20106</v>
      </c>
      <c r="G57" s="268">
        <v>10620106</v>
      </c>
      <c r="H57" s="49" t="s">
        <v>381</v>
      </c>
      <c r="I57" s="69">
        <v>15</v>
      </c>
      <c r="J57" s="69">
        <v>5.6</v>
      </c>
      <c r="K57" s="69">
        <v>9</v>
      </c>
      <c r="L57" s="69">
        <f t="shared" si="2"/>
        <v>0.84</v>
      </c>
      <c r="M57" s="69">
        <f t="shared" si="3"/>
        <v>1.35</v>
      </c>
      <c r="N57" s="56">
        <f>INDEX(Rate_Chart!$A$1:$AK$127,MATCH(Data!J57,Rate_Chart!$A$1:$A$127,0),MATCH(Data!K57,Rate_Chart!$A$1:$AK$1,0))</f>
        <v>46.76</v>
      </c>
      <c r="O57" s="57">
        <f t="shared" si="4"/>
        <v>701.4</v>
      </c>
      <c r="P57" s="58">
        <f t="shared" si="5"/>
        <v>403.10344827586209</v>
      </c>
      <c r="Q57" s="58">
        <f t="shared" si="6"/>
        <v>268.73563218390808</v>
      </c>
      <c r="R57" s="66">
        <f t="shared" si="15"/>
        <v>12.274500000000002</v>
      </c>
      <c r="S57" s="64">
        <f t="shared" si="7"/>
        <v>56.25</v>
      </c>
      <c r="T57" s="66">
        <f t="shared" si="8"/>
        <v>769.92449999999997</v>
      </c>
      <c r="U57" s="68">
        <f t="shared" si="9"/>
        <v>51.328299999999999</v>
      </c>
      <c r="V57" s="68">
        <f t="shared" si="10"/>
        <v>442.48534482758623</v>
      </c>
      <c r="W57" s="68">
        <f t="shared" si="11"/>
        <v>294.99022988505749</v>
      </c>
      <c r="Z57" s="213">
        <v>10620101</v>
      </c>
      <c r="AA57" s="213" t="s">
        <v>754</v>
      </c>
      <c r="AB57" s="213" t="s">
        <v>752</v>
      </c>
      <c r="AC57" s="270">
        <v>200</v>
      </c>
      <c r="AD57" s="271">
        <v>10360.4170056</v>
      </c>
    </row>
    <row r="58" spans="1:30" x14ac:dyDescent="0.25">
      <c r="A58" s="168" t="s">
        <v>946</v>
      </c>
      <c r="B58" s="62" t="s">
        <v>390</v>
      </c>
      <c r="C58" s="62" t="s">
        <v>585</v>
      </c>
      <c r="D58" s="62" t="s">
        <v>587</v>
      </c>
      <c r="E58" s="49" t="s">
        <v>803</v>
      </c>
      <c r="F58" s="62" t="str">
        <f t="shared" si="1"/>
        <v>20106</v>
      </c>
      <c r="G58" s="268">
        <v>10620106</v>
      </c>
      <c r="H58" s="49" t="s">
        <v>382</v>
      </c>
      <c r="I58" s="69">
        <v>18</v>
      </c>
      <c r="J58" s="69">
        <v>4.8</v>
      </c>
      <c r="K58" s="69">
        <v>8.5</v>
      </c>
      <c r="L58" s="69">
        <f t="shared" si="2"/>
        <v>0.86399999999999988</v>
      </c>
      <c r="M58" s="69">
        <f t="shared" si="3"/>
        <v>1.53</v>
      </c>
      <c r="N58" s="56">
        <f>INDEX(Rate_Chart!$A$1:$AK$127,MATCH(Data!J58,Rate_Chart!$A$1:$A$127,0),MATCH(Data!K58,Rate_Chart!$A$1:$AK$1,0))</f>
        <v>43.647181500000002</v>
      </c>
      <c r="O58" s="57">
        <f t="shared" si="4"/>
        <v>785.64926700000001</v>
      </c>
      <c r="P58" s="58">
        <f t="shared" si="5"/>
        <v>417.0112882165605</v>
      </c>
      <c r="Q58" s="58">
        <f t="shared" si="6"/>
        <v>278.00752547770702</v>
      </c>
      <c r="R58" s="66">
        <f t="shared" si="15"/>
        <v>13.748862172500001</v>
      </c>
      <c r="S58" s="64">
        <f t="shared" si="7"/>
        <v>67.5</v>
      </c>
      <c r="T58" s="66">
        <f t="shared" si="8"/>
        <v>866.89812917250003</v>
      </c>
      <c r="U58" s="68">
        <f t="shared" si="9"/>
        <v>48.161007176250003</v>
      </c>
      <c r="V58" s="68">
        <f t="shared" si="10"/>
        <v>460.13701123805731</v>
      </c>
      <c r="W58" s="68">
        <f t="shared" si="11"/>
        <v>306.75800749203819</v>
      </c>
      <c r="Z58" s="213">
        <v>10620102</v>
      </c>
      <c r="AA58" s="213" t="s">
        <v>755</v>
      </c>
      <c r="AB58" s="213" t="s">
        <v>753</v>
      </c>
      <c r="AC58" s="270">
        <v>640</v>
      </c>
      <c r="AD58" s="271">
        <v>27903.281782500002</v>
      </c>
    </row>
    <row r="59" spans="1:30" x14ac:dyDescent="0.25">
      <c r="A59" s="168" t="s">
        <v>946</v>
      </c>
      <c r="B59" s="62" t="s">
        <v>391</v>
      </c>
      <c r="C59" s="62" t="s">
        <v>585</v>
      </c>
      <c r="D59" s="62" t="s">
        <v>587</v>
      </c>
      <c r="E59" s="49" t="s">
        <v>803</v>
      </c>
      <c r="F59" s="62" t="str">
        <f t="shared" si="1"/>
        <v>20106</v>
      </c>
      <c r="G59" s="268">
        <v>10620106</v>
      </c>
      <c r="H59" s="49" t="s">
        <v>381</v>
      </c>
      <c r="I59" s="69">
        <v>20</v>
      </c>
      <c r="J59" s="69">
        <v>5.5</v>
      </c>
      <c r="K59" s="69">
        <v>8.6</v>
      </c>
      <c r="L59" s="69">
        <f t="shared" si="2"/>
        <v>1.1000000000000001</v>
      </c>
      <c r="M59" s="69">
        <f t="shared" si="3"/>
        <v>1.72</v>
      </c>
      <c r="N59" s="56">
        <f>INDEX(Rate_Chart!$A$1:$AK$127,MATCH(Data!J59,Rate_Chart!$A$1:$A$127,0),MATCH(Data!K59,Rate_Chart!$A$1:$AK$1,0))</f>
        <v>46.566181499999999</v>
      </c>
      <c r="O59" s="57">
        <f t="shared" si="4"/>
        <v>931.32362999999998</v>
      </c>
      <c r="P59" s="58">
        <f t="shared" si="5"/>
        <v>414.53574035608312</v>
      </c>
      <c r="Q59" s="58">
        <f t="shared" si="6"/>
        <v>276.35716023738877</v>
      </c>
      <c r="R59" s="66">
        <f t="shared" si="15"/>
        <v>16.298163525</v>
      </c>
      <c r="S59" s="64">
        <f t="shared" si="7"/>
        <v>75</v>
      </c>
      <c r="T59" s="66">
        <f t="shared" si="8"/>
        <v>1022.6217935249999</v>
      </c>
      <c r="U59" s="68">
        <f t="shared" si="9"/>
        <v>51.131089676249999</v>
      </c>
      <c r="V59" s="68">
        <f t="shared" si="10"/>
        <v>455.17290512982197</v>
      </c>
      <c r="W59" s="68">
        <f t="shared" si="11"/>
        <v>303.44860341988129</v>
      </c>
      <c r="Z59" s="213">
        <v>10620104</v>
      </c>
      <c r="AA59" s="213" t="s">
        <v>805</v>
      </c>
      <c r="AB59" s="213" t="s">
        <v>802</v>
      </c>
      <c r="AC59" s="270">
        <v>251</v>
      </c>
      <c r="AD59" s="271">
        <v>10645.469401200002</v>
      </c>
    </row>
    <row r="60" spans="1:30" x14ac:dyDescent="0.25">
      <c r="A60" s="168" t="s">
        <v>947</v>
      </c>
      <c r="B60" s="62" t="s">
        <v>390</v>
      </c>
      <c r="C60" s="62" t="s">
        <v>585</v>
      </c>
      <c r="D60" s="62" t="s">
        <v>587</v>
      </c>
      <c r="E60" s="49" t="s">
        <v>803</v>
      </c>
      <c r="F60" s="62" t="str">
        <f t="shared" si="1"/>
        <v>20106</v>
      </c>
      <c r="G60" s="268">
        <v>10620106</v>
      </c>
      <c r="H60" s="49" t="s">
        <v>381</v>
      </c>
      <c r="I60" s="69">
        <v>15</v>
      </c>
      <c r="J60" s="69">
        <v>5.5</v>
      </c>
      <c r="K60" s="69">
        <v>8.6</v>
      </c>
      <c r="L60" s="69">
        <f t="shared" si="2"/>
        <v>0.82499999999999996</v>
      </c>
      <c r="M60" s="69">
        <f t="shared" si="3"/>
        <v>1.29</v>
      </c>
      <c r="N60" s="56">
        <f>INDEX(Rate_Chart!$A$1:$AK$127,MATCH(Data!J60,Rate_Chart!$A$1:$A$127,0),MATCH(Data!K60,Rate_Chart!$A$1:$AK$1,0))</f>
        <v>46.566181499999999</v>
      </c>
      <c r="O60" s="57">
        <f t="shared" si="4"/>
        <v>698.49272250000001</v>
      </c>
      <c r="P60" s="58">
        <f t="shared" si="5"/>
        <v>414.53574035608312</v>
      </c>
      <c r="Q60" s="58">
        <f t="shared" si="6"/>
        <v>276.35716023738877</v>
      </c>
      <c r="R60" s="66">
        <f t="shared" si="15"/>
        <v>12.223622643750002</v>
      </c>
      <c r="S60" s="64">
        <f t="shared" si="7"/>
        <v>56.25</v>
      </c>
      <c r="T60" s="66">
        <f t="shared" si="8"/>
        <v>766.96634514375</v>
      </c>
      <c r="U60" s="68">
        <f t="shared" si="9"/>
        <v>51.131089676249999</v>
      </c>
      <c r="V60" s="68">
        <f t="shared" si="10"/>
        <v>455.17290512982197</v>
      </c>
      <c r="W60" s="68">
        <f t="shared" si="11"/>
        <v>303.44860341988129</v>
      </c>
      <c r="Z60" s="213">
        <v>10620106</v>
      </c>
      <c r="AA60" s="213" t="s">
        <v>806</v>
      </c>
      <c r="AB60" s="213" t="s">
        <v>803</v>
      </c>
      <c r="AC60" s="270">
        <v>211</v>
      </c>
      <c r="AD60" s="271">
        <v>9340.2584144999983</v>
      </c>
    </row>
    <row r="61" spans="1:30" x14ac:dyDescent="0.25">
      <c r="A61" s="168" t="s">
        <v>947</v>
      </c>
      <c r="B61" s="62" t="s">
        <v>391</v>
      </c>
      <c r="C61" s="62" t="s">
        <v>585</v>
      </c>
      <c r="D61" s="62" t="s">
        <v>587</v>
      </c>
      <c r="E61" s="49" t="s">
        <v>803</v>
      </c>
      <c r="F61" s="62" t="str">
        <f t="shared" si="1"/>
        <v>20106</v>
      </c>
      <c r="G61" s="268">
        <v>10620106</v>
      </c>
      <c r="H61" s="49" t="s">
        <v>381</v>
      </c>
      <c r="I61" s="69">
        <v>13</v>
      </c>
      <c r="J61" s="69">
        <v>5.6</v>
      </c>
      <c r="K61" s="69">
        <v>8.8000000000000007</v>
      </c>
      <c r="L61" s="69">
        <f t="shared" si="2"/>
        <v>0.72799999999999998</v>
      </c>
      <c r="M61" s="69">
        <f t="shared" si="3"/>
        <v>1.1440000000000001</v>
      </c>
      <c r="N61" s="56">
        <f>INDEX(Rate_Chart!$A$1:$AK$127,MATCH(Data!J61,Rate_Chart!$A$1:$A$127,0),MATCH(Data!K61,Rate_Chart!$A$1:$AK$1,0))</f>
        <v>46.292400000000001</v>
      </c>
      <c r="O61" s="57">
        <f t="shared" si="4"/>
        <v>601.80119999999999</v>
      </c>
      <c r="P61" s="58">
        <f t="shared" si="5"/>
        <v>403.71279069767445</v>
      </c>
      <c r="Q61" s="58">
        <f t="shared" si="6"/>
        <v>269.14186046511628</v>
      </c>
      <c r="R61" s="66">
        <f t="shared" si="15"/>
        <v>10.531521000000001</v>
      </c>
      <c r="S61" s="64">
        <f t="shared" si="7"/>
        <v>48.75</v>
      </c>
      <c r="T61" s="66">
        <f t="shared" si="8"/>
        <v>661.08272099999999</v>
      </c>
      <c r="U61" s="68">
        <f t="shared" si="9"/>
        <v>50.852516999999999</v>
      </c>
      <c r="V61" s="68">
        <f t="shared" si="10"/>
        <v>443.48125290697675</v>
      </c>
      <c r="W61" s="68">
        <f t="shared" si="11"/>
        <v>295.65416860465115</v>
      </c>
      <c r="Z61" s="213">
        <v>10620107</v>
      </c>
      <c r="AA61" s="213" t="s">
        <v>839</v>
      </c>
      <c r="AB61" s="213" t="s">
        <v>838</v>
      </c>
      <c r="AC61" s="270">
        <v>76</v>
      </c>
      <c r="AD61" s="271">
        <v>2915.0575569000002</v>
      </c>
    </row>
    <row r="62" spans="1:30" x14ac:dyDescent="0.25">
      <c r="A62" s="168" t="s">
        <v>941</v>
      </c>
      <c r="B62" s="62" t="s">
        <v>390</v>
      </c>
      <c r="C62" s="62" t="s">
        <v>585</v>
      </c>
      <c r="D62" s="62" t="s">
        <v>587</v>
      </c>
      <c r="E62" s="49" t="s">
        <v>838</v>
      </c>
      <c r="F62" s="62" t="str">
        <f t="shared" si="1"/>
        <v>20107</v>
      </c>
      <c r="G62" s="268">
        <v>10620107</v>
      </c>
      <c r="H62" s="49" t="s">
        <v>382</v>
      </c>
      <c r="I62" s="69">
        <v>4</v>
      </c>
      <c r="J62" s="69">
        <v>4.4000000000000004</v>
      </c>
      <c r="K62" s="69">
        <v>8.5</v>
      </c>
      <c r="L62" s="69">
        <f t="shared" si="2"/>
        <v>0.17600000000000002</v>
      </c>
      <c r="M62" s="69">
        <f t="shared" si="3"/>
        <v>0.34</v>
      </c>
      <c r="N62" s="56">
        <f>INDEX(Rate_Chart!$A$1:$AK$127,MATCH(Data!J62,Rate_Chart!$A$1:$A$127,0),MATCH(Data!K62,Rate_Chart!$A$1:$AK$1,0))</f>
        <v>41.97918150000001</v>
      </c>
      <c r="O62" s="57">
        <f t="shared" si="4"/>
        <v>167.91672600000004</v>
      </c>
      <c r="P62" s="58">
        <f t="shared" si="5"/>
        <v>417.01173675496693</v>
      </c>
      <c r="Q62" s="58">
        <f t="shared" si="6"/>
        <v>278.00782450331127</v>
      </c>
      <c r="R62" s="66">
        <f t="shared" si="15"/>
        <v>2.938542705000001</v>
      </c>
      <c r="S62" s="64">
        <f t="shared" si="7"/>
        <v>15</v>
      </c>
      <c r="T62" s="66">
        <f t="shared" si="8"/>
        <v>185.85526870500004</v>
      </c>
      <c r="U62" s="68">
        <f t="shared" si="9"/>
        <v>46.463817176250011</v>
      </c>
      <c r="V62" s="68">
        <f t="shared" si="10"/>
        <v>461.56109777731791</v>
      </c>
      <c r="W62" s="68">
        <f t="shared" si="11"/>
        <v>307.70739851821196</v>
      </c>
      <c r="Z62" s="213">
        <v>10620109</v>
      </c>
      <c r="AA62" s="213" t="s">
        <v>771</v>
      </c>
      <c r="AB62" s="213" t="s">
        <v>769</v>
      </c>
      <c r="AC62" s="270">
        <v>12010</v>
      </c>
      <c r="AD62" s="271">
        <v>534218.9898150001</v>
      </c>
    </row>
    <row r="63" spans="1:30" x14ac:dyDescent="0.25">
      <c r="A63" s="168" t="s">
        <v>941</v>
      </c>
      <c r="B63" s="62" t="s">
        <v>391</v>
      </c>
      <c r="C63" s="62" t="s">
        <v>585</v>
      </c>
      <c r="D63" s="62" t="s">
        <v>587</v>
      </c>
      <c r="E63" s="49" t="s">
        <v>838</v>
      </c>
      <c r="F63" s="62" t="str">
        <f t="shared" si="1"/>
        <v>20107</v>
      </c>
      <c r="G63" s="268">
        <v>10620107</v>
      </c>
      <c r="H63" s="49" t="s">
        <v>382</v>
      </c>
      <c r="I63" s="69">
        <v>4</v>
      </c>
      <c r="J63" s="69">
        <v>3.8</v>
      </c>
      <c r="K63" s="69">
        <v>8.3000000000000007</v>
      </c>
      <c r="L63" s="69">
        <f t="shared" si="2"/>
        <v>0.152</v>
      </c>
      <c r="M63" s="69">
        <f t="shared" si="3"/>
        <v>0.33200000000000002</v>
      </c>
      <c r="N63" s="56">
        <f>INDEX(Rate_Chart!$A$1:$AK$127,MATCH(Data!J63,Rate_Chart!$A$1:$A$127,0),MATCH(Data!K63,Rate_Chart!$A$1:$AK$1,0))</f>
        <v>38.921153700000005</v>
      </c>
      <c r="O63" s="57">
        <f t="shared" si="4"/>
        <v>155.68461480000002</v>
      </c>
      <c r="P63" s="58">
        <f t="shared" si="5"/>
        <v>417.01236107142859</v>
      </c>
      <c r="Q63" s="58">
        <f t="shared" si="6"/>
        <v>278.00824071428571</v>
      </c>
      <c r="R63" s="66">
        <f t="shared" si="15"/>
        <v>2.7244807590000004</v>
      </c>
      <c r="S63" s="64">
        <f t="shared" si="7"/>
        <v>15</v>
      </c>
      <c r="T63" s="66">
        <f t="shared" si="8"/>
        <v>173.40909555900004</v>
      </c>
      <c r="U63" s="68">
        <f t="shared" si="9"/>
        <v>43.352273889750009</v>
      </c>
      <c r="V63" s="68">
        <f t="shared" si="10"/>
        <v>464.48864881875005</v>
      </c>
      <c r="W63" s="68">
        <f t="shared" si="11"/>
        <v>309.65909921250005</v>
      </c>
      <c r="Z63" s="213">
        <v>10620111</v>
      </c>
      <c r="AA63" s="213" t="s">
        <v>900</v>
      </c>
      <c r="AB63" s="213" t="s">
        <v>897</v>
      </c>
      <c r="AC63" s="270">
        <v>300</v>
      </c>
      <c r="AD63" s="271">
        <v>13344.354450000001</v>
      </c>
    </row>
    <row r="64" spans="1:30" x14ac:dyDescent="0.25">
      <c r="A64" s="168" t="s">
        <v>942</v>
      </c>
      <c r="B64" s="62" t="s">
        <v>390</v>
      </c>
      <c r="C64" s="62" t="s">
        <v>585</v>
      </c>
      <c r="D64" s="62" t="s">
        <v>587</v>
      </c>
      <c r="E64" s="49" t="s">
        <v>838</v>
      </c>
      <c r="F64" s="62" t="str">
        <f t="shared" si="1"/>
        <v>20107</v>
      </c>
      <c r="G64" s="268">
        <v>10620107</v>
      </c>
      <c r="H64" s="49" t="s">
        <v>382</v>
      </c>
      <c r="I64" s="69">
        <v>8</v>
      </c>
      <c r="J64" s="69">
        <v>3.5</v>
      </c>
      <c r="K64" s="69">
        <v>8.5</v>
      </c>
      <c r="L64" s="69">
        <f t="shared" si="2"/>
        <v>0.28000000000000003</v>
      </c>
      <c r="M64" s="69">
        <f t="shared" si="3"/>
        <v>0.68</v>
      </c>
      <c r="N64" s="56">
        <f>INDEX(Rate_Chart!$A$1:$AK$127,MATCH(Data!J64,Rate_Chart!$A$1:$A$127,0),MATCH(Data!K64,Rate_Chart!$A$1:$AK$1,0))</f>
        <v>38.226181500000003</v>
      </c>
      <c r="O64" s="57">
        <f t="shared" si="4"/>
        <v>305.80945200000002</v>
      </c>
      <c r="P64" s="58">
        <f t="shared" si="5"/>
        <v>417.01288909090908</v>
      </c>
      <c r="Q64" s="58">
        <f t="shared" si="6"/>
        <v>278.00859272727274</v>
      </c>
      <c r="R64" s="66">
        <f t="shared" si="15"/>
        <v>5.3516654100000007</v>
      </c>
      <c r="S64" s="64">
        <f t="shared" si="7"/>
        <v>30</v>
      </c>
      <c r="T64" s="66">
        <f t="shared" si="8"/>
        <v>341.16111741000003</v>
      </c>
      <c r="U64" s="68">
        <f t="shared" si="9"/>
        <v>42.645139676250004</v>
      </c>
      <c r="V64" s="68">
        <f t="shared" si="10"/>
        <v>465.21970555909093</v>
      </c>
      <c r="W64" s="68">
        <f t="shared" si="11"/>
        <v>310.14647037272726</v>
      </c>
      <c r="Z64" s="213">
        <v>10620112</v>
      </c>
      <c r="AA64" s="213" t="s">
        <v>798</v>
      </c>
      <c r="AB64" s="213" t="s">
        <v>795</v>
      </c>
      <c r="AC64" s="270">
        <v>127</v>
      </c>
      <c r="AD64" s="271">
        <v>5051.4062697000008</v>
      </c>
    </row>
    <row r="65" spans="1:30" x14ac:dyDescent="0.25">
      <c r="A65" s="168" t="s">
        <v>942</v>
      </c>
      <c r="B65" s="62" t="s">
        <v>391</v>
      </c>
      <c r="C65" s="62" t="s">
        <v>585</v>
      </c>
      <c r="D65" s="62" t="s">
        <v>587</v>
      </c>
      <c r="E65" s="49" t="s">
        <v>838</v>
      </c>
      <c r="F65" s="62" t="str">
        <f t="shared" si="1"/>
        <v>20107</v>
      </c>
      <c r="G65" s="268">
        <v>10620107</v>
      </c>
      <c r="H65" s="49" t="s">
        <v>382</v>
      </c>
      <c r="I65" s="69">
        <v>4</v>
      </c>
      <c r="J65" s="69">
        <v>3.5</v>
      </c>
      <c r="K65" s="69">
        <v>8.5</v>
      </c>
      <c r="L65" s="69">
        <f t="shared" si="2"/>
        <v>0.14000000000000001</v>
      </c>
      <c r="M65" s="69">
        <f t="shared" si="3"/>
        <v>0.34</v>
      </c>
      <c r="N65" s="56">
        <f>INDEX(Rate_Chart!$A$1:$AK$127,MATCH(Data!J65,Rate_Chart!$A$1:$A$127,0),MATCH(Data!K65,Rate_Chart!$A$1:$AK$1,0))</f>
        <v>38.226181500000003</v>
      </c>
      <c r="O65" s="57">
        <f t="shared" si="4"/>
        <v>152.90472600000001</v>
      </c>
      <c r="P65" s="58">
        <f t="shared" si="5"/>
        <v>417.01288909090908</v>
      </c>
      <c r="Q65" s="58">
        <f t="shared" si="6"/>
        <v>278.00859272727274</v>
      </c>
      <c r="R65" s="66">
        <f t="shared" si="15"/>
        <v>2.6758327050000004</v>
      </c>
      <c r="S65" s="64">
        <f t="shared" si="7"/>
        <v>15</v>
      </c>
      <c r="T65" s="66">
        <f t="shared" si="8"/>
        <v>170.58055870500002</v>
      </c>
      <c r="U65" s="68">
        <f t="shared" si="9"/>
        <v>42.645139676250004</v>
      </c>
      <c r="V65" s="68">
        <f t="shared" si="10"/>
        <v>465.21970555909093</v>
      </c>
      <c r="W65" s="68">
        <f t="shared" si="11"/>
        <v>310.14647037272726</v>
      </c>
      <c r="Z65" s="213">
        <v>10620115</v>
      </c>
      <c r="AA65" s="213" t="s">
        <v>772</v>
      </c>
      <c r="AB65" s="213" t="s">
        <v>770</v>
      </c>
      <c r="AC65" s="270">
        <v>389</v>
      </c>
      <c r="AD65" s="271">
        <v>15693.969806400002</v>
      </c>
    </row>
    <row r="66" spans="1:30" x14ac:dyDescent="0.25">
      <c r="A66" s="168" t="s">
        <v>943</v>
      </c>
      <c r="B66" s="62" t="s">
        <v>390</v>
      </c>
      <c r="C66" s="62" t="s">
        <v>585</v>
      </c>
      <c r="D66" s="62" t="s">
        <v>587</v>
      </c>
      <c r="E66" s="49" t="s">
        <v>838</v>
      </c>
      <c r="F66" s="62" t="str">
        <f t="shared" si="1"/>
        <v>20107</v>
      </c>
      <c r="G66" s="268">
        <v>10620107</v>
      </c>
      <c r="H66" s="49" t="s">
        <v>382</v>
      </c>
      <c r="I66" s="69">
        <v>7</v>
      </c>
      <c r="J66" s="69">
        <v>3.2</v>
      </c>
      <c r="K66" s="69">
        <v>8.1999999999999993</v>
      </c>
      <c r="L66" s="69">
        <f t="shared" si="2"/>
        <v>0.22400000000000003</v>
      </c>
      <c r="M66" s="69">
        <f t="shared" si="3"/>
        <v>0.57399999999999995</v>
      </c>
      <c r="N66" s="56">
        <f>INDEX(Rate_Chart!$A$1:$AK$127,MATCH(Data!J66,Rate_Chart!$A$1:$A$127,0),MATCH(Data!K66,Rate_Chart!$A$1:$AK$1,0))</f>
        <v>36.141139799999998</v>
      </c>
      <c r="O66" s="57">
        <f t="shared" si="4"/>
        <v>252.98797859999999</v>
      </c>
      <c r="P66" s="58">
        <f t="shared" si="5"/>
        <v>417.0131515384615</v>
      </c>
      <c r="Q66" s="58">
        <f t="shared" si="6"/>
        <v>278.00876769230769</v>
      </c>
      <c r="R66" s="66">
        <f t="shared" si="15"/>
        <v>4.4272896255000003</v>
      </c>
      <c r="S66" s="64">
        <f t="shared" si="7"/>
        <v>26.25</v>
      </c>
      <c r="T66" s="66">
        <f t="shared" si="8"/>
        <v>283.66526822549997</v>
      </c>
      <c r="U66" s="68">
        <f t="shared" si="9"/>
        <v>40.523609746499993</v>
      </c>
      <c r="V66" s="68">
        <f t="shared" si="10"/>
        <v>467.58011245961529</v>
      </c>
      <c r="W66" s="68">
        <f t="shared" si="11"/>
        <v>311.72007497307686</v>
      </c>
      <c r="Z66" s="213">
        <v>10620119</v>
      </c>
      <c r="AA66" s="213" t="s">
        <v>807</v>
      </c>
      <c r="AB66" s="213" t="s">
        <v>804</v>
      </c>
      <c r="AC66" s="270">
        <v>3250</v>
      </c>
      <c r="AD66" s="271">
        <v>141169.29015600003</v>
      </c>
    </row>
    <row r="67" spans="1:30" x14ac:dyDescent="0.25">
      <c r="A67" s="168" t="s">
        <v>943</v>
      </c>
      <c r="B67" s="62" t="s">
        <v>391</v>
      </c>
      <c r="C67" s="62" t="s">
        <v>585</v>
      </c>
      <c r="D67" s="62" t="s">
        <v>587</v>
      </c>
      <c r="E67" s="49" t="s">
        <v>838</v>
      </c>
      <c r="F67" s="62" t="str">
        <f t="shared" si="1"/>
        <v>20107</v>
      </c>
      <c r="G67" s="268">
        <v>10620107</v>
      </c>
      <c r="H67" s="49" t="s">
        <v>382</v>
      </c>
      <c r="I67" s="69">
        <v>4</v>
      </c>
      <c r="J67" s="69">
        <v>4.4000000000000004</v>
      </c>
      <c r="K67" s="69">
        <v>8.5</v>
      </c>
      <c r="L67" s="69">
        <f t="shared" si="2"/>
        <v>0.17600000000000002</v>
      </c>
      <c r="M67" s="69">
        <f t="shared" si="3"/>
        <v>0.34</v>
      </c>
      <c r="N67" s="56">
        <f>INDEX(Rate_Chart!$A$1:$AK$127,MATCH(Data!J67,Rate_Chart!$A$1:$A$127,0),MATCH(Data!K67,Rate_Chart!$A$1:$AK$1,0))</f>
        <v>41.97918150000001</v>
      </c>
      <c r="O67" s="57">
        <f t="shared" si="4"/>
        <v>167.91672600000004</v>
      </c>
      <c r="P67" s="58">
        <f t="shared" si="5"/>
        <v>417.01173675496693</v>
      </c>
      <c r="Q67" s="58">
        <f t="shared" si="6"/>
        <v>278.00782450331127</v>
      </c>
      <c r="R67" s="66">
        <f t="shared" si="15"/>
        <v>2.938542705000001</v>
      </c>
      <c r="S67" s="64">
        <f t="shared" si="7"/>
        <v>15</v>
      </c>
      <c r="T67" s="66">
        <f t="shared" si="8"/>
        <v>185.85526870500004</v>
      </c>
      <c r="U67" s="68">
        <f t="shared" si="9"/>
        <v>46.463817176250011</v>
      </c>
      <c r="V67" s="68">
        <f t="shared" si="10"/>
        <v>461.56109777731791</v>
      </c>
      <c r="W67" s="68">
        <f t="shared" si="11"/>
        <v>307.70739851821196</v>
      </c>
      <c r="Z67" s="213">
        <v>10620120</v>
      </c>
      <c r="AA67" s="213" t="s">
        <v>831</v>
      </c>
      <c r="AB67" s="213" t="s">
        <v>830</v>
      </c>
      <c r="AC67" s="270">
        <v>139</v>
      </c>
      <c r="AD67" s="271">
        <v>8077.7899999999991</v>
      </c>
    </row>
    <row r="68" spans="1:30" x14ac:dyDescent="0.25">
      <c r="A68" s="168" t="s">
        <v>944</v>
      </c>
      <c r="B68" s="62" t="s">
        <v>390</v>
      </c>
      <c r="C68" s="62" t="s">
        <v>585</v>
      </c>
      <c r="D68" s="62" t="s">
        <v>587</v>
      </c>
      <c r="E68" s="49" t="s">
        <v>838</v>
      </c>
      <c r="F68" s="62" t="str">
        <f t="shared" si="1"/>
        <v>20107</v>
      </c>
      <c r="G68" s="268">
        <v>10620107</v>
      </c>
      <c r="H68" s="49" t="s">
        <v>382</v>
      </c>
      <c r="I68" s="69">
        <v>7</v>
      </c>
      <c r="J68" s="69">
        <v>3.8</v>
      </c>
      <c r="K68" s="69">
        <v>8.4</v>
      </c>
      <c r="L68" s="69">
        <f t="shared" si="2"/>
        <v>0.26599999999999996</v>
      </c>
      <c r="M68" s="69">
        <f t="shared" si="3"/>
        <v>0.58800000000000008</v>
      </c>
      <c r="N68" s="56">
        <f>INDEX(Rate_Chart!$A$1:$AK$127,MATCH(Data!J68,Rate_Chart!$A$1:$A$127,0),MATCH(Data!K68,Rate_Chart!$A$1:$AK$1,0))</f>
        <v>39.19916760000001</v>
      </c>
      <c r="O68" s="57">
        <f t="shared" si="4"/>
        <v>274.39417320000007</v>
      </c>
      <c r="P68" s="58">
        <f t="shared" si="5"/>
        <v>417.01242127659583</v>
      </c>
      <c r="Q68" s="58">
        <f t="shared" si="6"/>
        <v>278.00828085106389</v>
      </c>
      <c r="R68" s="66">
        <f t="shared" si="15"/>
        <v>4.8018980310000012</v>
      </c>
      <c r="S68" s="64">
        <f t="shared" si="7"/>
        <v>26.25</v>
      </c>
      <c r="T68" s="66">
        <f t="shared" si="8"/>
        <v>305.44607123100008</v>
      </c>
      <c r="U68" s="68">
        <f t="shared" si="9"/>
        <v>43.635153033000009</v>
      </c>
      <c r="V68" s="68">
        <f t="shared" si="10"/>
        <v>464.20375567021284</v>
      </c>
      <c r="W68" s="68">
        <f t="shared" si="11"/>
        <v>309.46917044680856</v>
      </c>
      <c r="Z68" s="213">
        <v>10620121</v>
      </c>
      <c r="AA68" s="213" t="s">
        <v>856</v>
      </c>
      <c r="AB68" s="213" t="s">
        <v>855</v>
      </c>
      <c r="AC68" s="270">
        <v>661</v>
      </c>
      <c r="AD68" s="271">
        <v>28951.8683762</v>
      </c>
    </row>
    <row r="69" spans="1:30" x14ac:dyDescent="0.25">
      <c r="A69" s="168" t="s">
        <v>944</v>
      </c>
      <c r="B69" s="62" t="s">
        <v>391</v>
      </c>
      <c r="C69" s="62" t="s">
        <v>585</v>
      </c>
      <c r="D69" s="62" t="s">
        <v>587</v>
      </c>
      <c r="E69" s="49" t="s">
        <v>838</v>
      </c>
      <c r="F69" s="62" t="str">
        <f t="shared" ref="F69:F132" si="16">MID(E69,2,5)</f>
        <v>20107</v>
      </c>
      <c r="G69" s="268">
        <v>10620107</v>
      </c>
      <c r="H69" s="49" t="s">
        <v>382</v>
      </c>
      <c r="I69" s="69">
        <v>3</v>
      </c>
      <c r="J69" s="69">
        <v>4.3</v>
      </c>
      <c r="K69" s="69">
        <v>8.5</v>
      </c>
      <c r="L69" s="69">
        <f t="shared" ref="L69:L96" si="17">J69*I69/100</f>
        <v>0.12899999999999998</v>
      </c>
      <c r="M69" s="69">
        <f t="shared" ref="M69:M96" si="18">K69*I69/100</f>
        <v>0.255</v>
      </c>
      <c r="N69" s="56">
        <f>INDEX(Rate_Chart!$A$1:$AK$127,MATCH(Data!J69,Rate_Chart!$A$1:$A$127,0),MATCH(Data!K69,Rate_Chart!$A$1:$AK$1,0))</f>
        <v>41.562181500000001</v>
      </c>
      <c r="O69" s="57">
        <f t="shared" ref="O69:O96" si="19">N69*I69</f>
        <v>124.6865445</v>
      </c>
      <c r="P69" s="58">
        <f t="shared" ref="P69:P96" si="20">N69/(J69%+K69%*2/3)</f>
        <v>417.01185451505017</v>
      </c>
      <c r="Q69" s="58">
        <f t="shared" ref="Q69:Q96" si="21">P69*2/3</f>
        <v>278.00790301003343</v>
      </c>
      <c r="R69" s="66">
        <f t="shared" ref="R69:R132" si="22">O69*1.75%</f>
        <v>2.1820145287500003</v>
      </c>
      <c r="S69" s="64">
        <f t="shared" ref="S69:S96" si="23">I69*3.75</f>
        <v>11.25</v>
      </c>
      <c r="T69" s="66">
        <f t="shared" ref="T69:T96" si="24">R69+S69+O69</f>
        <v>138.11855902874998</v>
      </c>
      <c r="U69" s="68">
        <f t="shared" ref="U69:U96" si="25">T69/I69</f>
        <v>46.039519676249995</v>
      </c>
      <c r="V69" s="68">
        <f>U69/(J69%+K69%*2/3)</f>
        <v>461.93498002926418</v>
      </c>
      <c r="W69" s="68">
        <f t="shared" ref="W69:W96" si="26">V69*2/3</f>
        <v>307.95665335284281</v>
      </c>
      <c r="Z69" s="213">
        <v>10620122</v>
      </c>
      <c r="AA69" s="213" t="s">
        <v>953</v>
      </c>
      <c r="AB69" s="213" t="s">
        <v>948</v>
      </c>
      <c r="AC69" s="270">
        <v>11</v>
      </c>
      <c r="AD69" s="271">
        <v>382.26223200000004</v>
      </c>
    </row>
    <row r="70" spans="1:30" x14ac:dyDescent="0.25">
      <c r="A70" s="168" t="s">
        <v>945</v>
      </c>
      <c r="B70" s="62" t="s">
        <v>390</v>
      </c>
      <c r="C70" s="62" t="s">
        <v>585</v>
      </c>
      <c r="D70" s="62" t="s">
        <v>587</v>
      </c>
      <c r="E70" s="49" t="s">
        <v>838</v>
      </c>
      <c r="F70" s="62" t="str">
        <f t="shared" si="16"/>
        <v>20107</v>
      </c>
      <c r="G70" s="268">
        <v>10620107</v>
      </c>
      <c r="H70" s="49" t="s">
        <v>382</v>
      </c>
      <c r="I70" s="69">
        <v>9</v>
      </c>
      <c r="J70" s="69">
        <v>3.2</v>
      </c>
      <c r="K70" s="69">
        <v>8.1999999999999993</v>
      </c>
      <c r="L70" s="69">
        <f t="shared" si="17"/>
        <v>0.28800000000000003</v>
      </c>
      <c r="M70" s="69">
        <f t="shared" si="18"/>
        <v>0.73799999999999999</v>
      </c>
      <c r="N70" s="56">
        <f>INDEX(Rate_Chart!$A$1:$AK$127,MATCH(Data!J70,Rate_Chart!$A$1:$A$127,0),MATCH(Data!K70,Rate_Chart!$A$1:$AK$1,0))</f>
        <v>36.141139799999998</v>
      </c>
      <c r="O70" s="57">
        <f t="shared" si="19"/>
        <v>325.2702582</v>
      </c>
      <c r="P70" s="58">
        <f t="shared" si="20"/>
        <v>417.0131515384615</v>
      </c>
      <c r="Q70" s="58">
        <f t="shared" si="21"/>
        <v>278.00876769230769</v>
      </c>
      <c r="R70" s="66">
        <f t="shared" si="22"/>
        <v>5.6922295185000005</v>
      </c>
      <c r="S70" s="64">
        <f t="shared" si="23"/>
        <v>33.75</v>
      </c>
      <c r="T70" s="66">
        <f t="shared" si="24"/>
        <v>364.71248771850003</v>
      </c>
      <c r="U70" s="68">
        <f t="shared" si="25"/>
        <v>40.5236097465</v>
      </c>
      <c r="V70" s="68">
        <f t="shared" ref="V70:V96" si="27">U70/(J70%+K70%*2/3)</f>
        <v>467.58011245961535</v>
      </c>
      <c r="W70" s="68">
        <f t="shared" si="26"/>
        <v>311.72007497307692</v>
      </c>
      <c r="Z70" s="213">
        <v>10620123</v>
      </c>
      <c r="AA70" s="213" t="s">
        <v>864</v>
      </c>
      <c r="AB70" s="213" t="s">
        <v>861</v>
      </c>
      <c r="AC70" s="270">
        <v>323</v>
      </c>
      <c r="AD70" s="271">
        <v>13467.110659800002</v>
      </c>
    </row>
    <row r="71" spans="1:30" x14ac:dyDescent="0.25">
      <c r="A71" s="168" t="s">
        <v>945</v>
      </c>
      <c r="B71" s="62" t="s">
        <v>391</v>
      </c>
      <c r="C71" s="62" t="s">
        <v>585</v>
      </c>
      <c r="D71" s="62" t="s">
        <v>587</v>
      </c>
      <c r="E71" s="49" t="s">
        <v>838</v>
      </c>
      <c r="F71" s="62" t="str">
        <f t="shared" si="16"/>
        <v>20107</v>
      </c>
      <c r="G71" s="268">
        <v>10620107</v>
      </c>
      <c r="H71" s="49" t="s">
        <v>382</v>
      </c>
      <c r="I71" s="69">
        <v>3</v>
      </c>
      <c r="J71" s="69">
        <v>4.4000000000000004</v>
      </c>
      <c r="K71" s="69">
        <v>8.5</v>
      </c>
      <c r="L71" s="69">
        <f t="shared" si="17"/>
        <v>0.13200000000000001</v>
      </c>
      <c r="M71" s="69">
        <f t="shared" si="18"/>
        <v>0.255</v>
      </c>
      <c r="N71" s="56">
        <f>INDEX(Rate_Chart!$A$1:$AK$127,MATCH(Data!J71,Rate_Chart!$A$1:$A$127,0),MATCH(Data!K71,Rate_Chart!$A$1:$AK$1,0))</f>
        <v>41.97918150000001</v>
      </c>
      <c r="O71" s="57">
        <f t="shared" si="19"/>
        <v>125.93754450000003</v>
      </c>
      <c r="P71" s="58">
        <f t="shared" si="20"/>
        <v>417.01173675496693</v>
      </c>
      <c r="Q71" s="58">
        <f t="shared" si="21"/>
        <v>278.00782450331127</v>
      </c>
      <c r="R71" s="66">
        <f t="shared" si="22"/>
        <v>2.2039070287500007</v>
      </c>
      <c r="S71" s="64">
        <f t="shared" si="23"/>
        <v>11.25</v>
      </c>
      <c r="T71" s="66">
        <f t="shared" si="24"/>
        <v>139.39145152875003</v>
      </c>
      <c r="U71" s="68">
        <f t="shared" si="25"/>
        <v>46.463817176250011</v>
      </c>
      <c r="V71" s="68">
        <f t="shared" si="27"/>
        <v>461.56109777731791</v>
      </c>
      <c r="W71" s="68">
        <f t="shared" si="26"/>
        <v>307.70739851821196</v>
      </c>
      <c r="Z71" s="213">
        <v>10620124</v>
      </c>
      <c r="AA71" s="213" t="s">
        <v>871</v>
      </c>
      <c r="AB71" s="213" t="s">
        <v>869</v>
      </c>
      <c r="AC71" s="270">
        <v>569</v>
      </c>
      <c r="AD71" s="271">
        <v>24427.321736200003</v>
      </c>
    </row>
    <row r="72" spans="1:30" x14ac:dyDescent="0.25">
      <c r="A72" s="168" t="s">
        <v>946</v>
      </c>
      <c r="B72" s="62" t="s">
        <v>390</v>
      </c>
      <c r="C72" s="62" t="s">
        <v>585</v>
      </c>
      <c r="D72" s="62" t="s">
        <v>587</v>
      </c>
      <c r="E72" s="49" t="s">
        <v>838</v>
      </c>
      <c r="F72" s="62" t="str">
        <f t="shared" si="16"/>
        <v>20107</v>
      </c>
      <c r="G72" s="268">
        <v>10620107</v>
      </c>
      <c r="H72" s="49" t="s">
        <v>382</v>
      </c>
      <c r="I72" s="69">
        <v>8</v>
      </c>
      <c r="J72" s="69">
        <v>3.3</v>
      </c>
      <c r="K72" s="69">
        <v>8.4</v>
      </c>
      <c r="L72" s="69">
        <f t="shared" si="17"/>
        <v>0.26400000000000001</v>
      </c>
      <c r="M72" s="69">
        <f t="shared" si="18"/>
        <v>0.67200000000000004</v>
      </c>
      <c r="N72" s="56">
        <f>INDEX(Rate_Chart!$A$1:$AK$127,MATCH(Data!J72,Rate_Chart!$A$1:$A$127,0),MATCH(Data!K72,Rate_Chart!$A$1:$AK$1,0))</f>
        <v>37.114167600000009</v>
      </c>
      <c r="O72" s="57">
        <f t="shared" si="19"/>
        <v>296.91334080000007</v>
      </c>
      <c r="P72" s="58">
        <f t="shared" si="20"/>
        <v>417.01311910112372</v>
      </c>
      <c r="Q72" s="58">
        <f t="shared" si="21"/>
        <v>278.00874606741581</v>
      </c>
      <c r="R72" s="66">
        <f t="shared" si="22"/>
        <v>5.195983464000002</v>
      </c>
      <c r="S72" s="64">
        <f t="shared" si="23"/>
        <v>30</v>
      </c>
      <c r="T72" s="66">
        <f t="shared" si="24"/>
        <v>332.10932426400007</v>
      </c>
      <c r="U72" s="68">
        <f t="shared" si="25"/>
        <v>41.513665533000008</v>
      </c>
      <c r="V72" s="68">
        <f t="shared" si="27"/>
        <v>466.4456801460675</v>
      </c>
      <c r="W72" s="68">
        <f t="shared" si="26"/>
        <v>310.96378676404498</v>
      </c>
      <c r="Z72" s="213">
        <v>10620125</v>
      </c>
      <c r="AA72" s="213" t="s">
        <v>872</v>
      </c>
      <c r="AB72" s="213" t="s">
        <v>870</v>
      </c>
      <c r="AC72" s="270">
        <v>392</v>
      </c>
      <c r="AD72" s="271">
        <v>17425.326544700001</v>
      </c>
    </row>
    <row r="73" spans="1:30" x14ac:dyDescent="0.25">
      <c r="A73" s="168" t="s">
        <v>946</v>
      </c>
      <c r="B73" s="62" t="s">
        <v>391</v>
      </c>
      <c r="C73" s="62" t="s">
        <v>585</v>
      </c>
      <c r="D73" s="62" t="s">
        <v>587</v>
      </c>
      <c r="E73" s="49" t="s">
        <v>838</v>
      </c>
      <c r="F73" s="62" t="str">
        <f t="shared" si="16"/>
        <v>20107</v>
      </c>
      <c r="G73" s="268">
        <v>10620107</v>
      </c>
      <c r="H73" s="49" t="s">
        <v>382</v>
      </c>
      <c r="I73" s="69">
        <v>3</v>
      </c>
      <c r="J73" s="69">
        <v>3.9</v>
      </c>
      <c r="K73" s="69">
        <v>8.5</v>
      </c>
      <c r="L73" s="69">
        <f t="shared" si="17"/>
        <v>0.11699999999999999</v>
      </c>
      <c r="M73" s="69">
        <f t="shared" si="18"/>
        <v>0.255</v>
      </c>
      <c r="N73" s="56">
        <f>INDEX(Rate_Chart!$A$1:$AK$127,MATCH(Data!J73,Rate_Chart!$A$1:$A$127,0),MATCH(Data!K73,Rate_Chart!$A$1:$AK$1,0))</f>
        <v>39.894181500000002</v>
      </c>
      <c r="O73" s="57">
        <f t="shared" si="19"/>
        <v>119.68254450000001</v>
      </c>
      <c r="P73" s="58">
        <f t="shared" si="20"/>
        <v>417.01235017421601</v>
      </c>
      <c r="Q73" s="58">
        <f t="shared" si="21"/>
        <v>278.00823344947736</v>
      </c>
      <c r="R73" s="66">
        <f t="shared" si="22"/>
        <v>2.0944445287500004</v>
      </c>
      <c r="S73" s="64">
        <f t="shared" si="23"/>
        <v>11.25</v>
      </c>
      <c r="T73" s="66">
        <f t="shared" si="24"/>
        <v>133.02698902874999</v>
      </c>
      <c r="U73" s="68">
        <f t="shared" si="25"/>
        <v>44.342329676249996</v>
      </c>
      <c r="V73" s="68">
        <f t="shared" si="27"/>
        <v>463.50867257404173</v>
      </c>
      <c r="W73" s="68">
        <f t="shared" si="26"/>
        <v>309.0057817160278</v>
      </c>
      <c r="Z73" s="213">
        <v>10620126</v>
      </c>
      <c r="AA73" s="213" t="s">
        <v>882</v>
      </c>
      <c r="AB73" s="213" t="s">
        <v>880</v>
      </c>
      <c r="AC73" s="270">
        <v>269</v>
      </c>
      <c r="AD73" s="271">
        <v>10198.884752400003</v>
      </c>
    </row>
    <row r="74" spans="1:30" x14ac:dyDescent="0.25">
      <c r="A74" s="168" t="s">
        <v>947</v>
      </c>
      <c r="B74" s="62" t="s">
        <v>390</v>
      </c>
      <c r="C74" s="62" t="s">
        <v>585</v>
      </c>
      <c r="D74" s="62" t="s">
        <v>587</v>
      </c>
      <c r="E74" s="49" t="s">
        <v>838</v>
      </c>
      <c r="F74" s="62" t="str">
        <f t="shared" si="16"/>
        <v>20107</v>
      </c>
      <c r="G74" s="268">
        <v>10620107</v>
      </c>
      <c r="H74" s="49" t="s">
        <v>382</v>
      </c>
      <c r="I74" s="69">
        <v>9</v>
      </c>
      <c r="J74" s="69">
        <v>3.2</v>
      </c>
      <c r="K74" s="69">
        <v>8.3000000000000007</v>
      </c>
      <c r="L74" s="69">
        <f t="shared" si="17"/>
        <v>0.28800000000000003</v>
      </c>
      <c r="M74" s="69">
        <f t="shared" si="18"/>
        <v>0.747</v>
      </c>
      <c r="N74" s="56">
        <f>INDEX(Rate_Chart!$A$1:$AK$127,MATCH(Data!J74,Rate_Chart!$A$1:$A$127,0),MATCH(Data!K74,Rate_Chart!$A$1:$AK$1,0))</f>
        <v>36.419153700000003</v>
      </c>
      <c r="O74" s="57">
        <f t="shared" si="19"/>
        <v>327.7723833</v>
      </c>
      <c r="P74" s="58">
        <f t="shared" si="20"/>
        <v>417.01321030534348</v>
      </c>
      <c r="Q74" s="58">
        <f t="shared" si="21"/>
        <v>278.00880687022897</v>
      </c>
      <c r="R74" s="66">
        <f t="shared" si="22"/>
        <v>5.7360167077500002</v>
      </c>
      <c r="S74" s="64">
        <f t="shared" si="23"/>
        <v>33.75</v>
      </c>
      <c r="T74" s="66">
        <f t="shared" si="24"/>
        <v>367.25840000774997</v>
      </c>
      <c r="U74" s="68">
        <f t="shared" si="25"/>
        <v>40.80648888975</v>
      </c>
      <c r="V74" s="68">
        <f t="shared" si="27"/>
        <v>467.24987278339688</v>
      </c>
      <c r="W74" s="68">
        <f t="shared" si="26"/>
        <v>311.49991518893125</v>
      </c>
      <c r="Z74" s="213">
        <v>10620127</v>
      </c>
      <c r="AA74" s="213" t="s">
        <v>883</v>
      </c>
      <c r="AB74" s="213" t="s">
        <v>881</v>
      </c>
      <c r="AC74" s="270">
        <v>479</v>
      </c>
      <c r="AD74" s="271">
        <v>18509.754849000004</v>
      </c>
    </row>
    <row r="75" spans="1:30" x14ac:dyDescent="0.25">
      <c r="A75" s="168" t="s">
        <v>947</v>
      </c>
      <c r="B75" s="62" t="s">
        <v>391</v>
      </c>
      <c r="C75" s="62" t="s">
        <v>585</v>
      </c>
      <c r="D75" s="62" t="s">
        <v>587</v>
      </c>
      <c r="E75" s="49" t="s">
        <v>838</v>
      </c>
      <c r="F75" s="62" t="str">
        <f t="shared" si="16"/>
        <v>20107</v>
      </c>
      <c r="G75" s="268">
        <v>10620107</v>
      </c>
      <c r="H75" s="49" t="s">
        <v>382</v>
      </c>
      <c r="I75" s="69">
        <v>3</v>
      </c>
      <c r="J75" s="69">
        <v>3.7</v>
      </c>
      <c r="K75" s="69">
        <v>8.5</v>
      </c>
      <c r="L75" s="69">
        <f t="shared" si="17"/>
        <v>0.11100000000000002</v>
      </c>
      <c r="M75" s="69">
        <f t="shared" si="18"/>
        <v>0.255</v>
      </c>
      <c r="N75" s="56">
        <f>INDEX(Rate_Chart!$A$1:$AK$127,MATCH(Data!J75,Rate_Chart!$A$1:$A$127,0),MATCH(Data!K75,Rate_Chart!$A$1:$AK$1,0))</f>
        <v>39.060181500000006</v>
      </c>
      <c r="O75" s="57">
        <f t="shared" si="19"/>
        <v>117.18054450000002</v>
      </c>
      <c r="P75" s="58">
        <f t="shared" si="20"/>
        <v>417.0126138790036</v>
      </c>
      <c r="Q75" s="58">
        <f t="shared" si="21"/>
        <v>278.00840925266908</v>
      </c>
      <c r="R75" s="66">
        <f t="shared" si="22"/>
        <v>2.0506595287500007</v>
      </c>
      <c r="S75" s="64">
        <f t="shared" si="23"/>
        <v>11.25</v>
      </c>
      <c r="T75" s="66">
        <f t="shared" si="24"/>
        <v>130.48120402875003</v>
      </c>
      <c r="U75" s="68">
        <f t="shared" si="25"/>
        <v>43.493734676250007</v>
      </c>
      <c r="V75" s="68">
        <f t="shared" si="27"/>
        <v>464.34592181049823</v>
      </c>
      <c r="W75" s="68">
        <f t="shared" si="26"/>
        <v>309.56394787366548</v>
      </c>
      <c r="Z75" s="213">
        <v>10620129</v>
      </c>
      <c r="AA75" s="213" t="s">
        <v>902</v>
      </c>
      <c r="AB75" s="213" t="s">
        <v>901</v>
      </c>
      <c r="AC75" s="270">
        <v>101</v>
      </c>
      <c r="AD75" s="271">
        <v>5420.2503900000002</v>
      </c>
    </row>
    <row r="76" spans="1:30" x14ac:dyDescent="0.25">
      <c r="A76" s="168" t="s">
        <v>942</v>
      </c>
      <c r="B76" s="62" t="s">
        <v>390</v>
      </c>
      <c r="C76" s="62" t="s">
        <v>585</v>
      </c>
      <c r="D76" s="62" t="s">
        <v>586</v>
      </c>
      <c r="E76" s="49" t="s">
        <v>769</v>
      </c>
      <c r="F76" s="62" t="str">
        <f t="shared" si="16"/>
        <v>20109</v>
      </c>
      <c r="G76" s="268">
        <v>10620109</v>
      </c>
      <c r="H76" s="49" t="s">
        <v>382</v>
      </c>
      <c r="I76" s="69">
        <v>500</v>
      </c>
      <c r="J76" s="69">
        <v>5</v>
      </c>
      <c r="K76" s="69">
        <v>8.5</v>
      </c>
      <c r="L76" s="69">
        <f t="shared" si="17"/>
        <v>25</v>
      </c>
      <c r="M76" s="69">
        <f t="shared" si="18"/>
        <v>42.5</v>
      </c>
      <c r="N76" s="56">
        <f>INDEX(Rate_Chart!$A$1:$AK$127,MATCH(Data!J76,Rate_Chart!$A$1:$A$127,0),MATCH(Data!K76,Rate_Chart!$A$1:$AK$1,0))</f>
        <v>44.481181500000005</v>
      </c>
      <c r="O76" s="57">
        <f t="shared" si="19"/>
        <v>22240.590750000003</v>
      </c>
      <c r="P76" s="58">
        <f t="shared" si="20"/>
        <v>417.01107656250002</v>
      </c>
      <c r="Q76" s="58">
        <f t="shared" si="21"/>
        <v>278.00738437500002</v>
      </c>
      <c r="R76" s="66">
        <f t="shared" si="22"/>
        <v>389.21033812500008</v>
      </c>
      <c r="S76" s="64">
        <f t="shared" si="23"/>
        <v>1875</v>
      </c>
      <c r="T76" s="66">
        <f t="shared" si="24"/>
        <v>24504.801088125001</v>
      </c>
      <c r="U76" s="68">
        <f t="shared" si="25"/>
        <v>49.009602176249999</v>
      </c>
      <c r="V76" s="68">
        <f t="shared" si="27"/>
        <v>459.46502040234373</v>
      </c>
      <c r="W76" s="68">
        <f t="shared" si="26"/>
        <v>306.3100136015625</v>
      </c>
      <c r="Z76" s="236" t="s">
        <v>384</v>
      </c>
      <c r="AA76" s="217"/>
      <c r="AB76" s="217"/>
      <c r="AC76" s="272">
        <v>47892</v>
      </c>
      <c r="AD76" s="273">
        <v>2188524.6650891001</v>
      </c>
    </row>
    <row r="77" spans="1:30" x14ac:dyDescent="0.25">
      <c r="A77" s="168" t="s">
        <v>942</v>
      </c>
      <c r="B77" s="62" t="s">
        <v>391</v>
      </c>
      <c r="C77" s="62" t="s">
        <v>585</v>
      </c>
      <c r="D77" s="62" t="s">
        <v>586</v>
      </c>
      <c r="E77" s="49" t="s">
        <v>769</v>
      </c>
      <c r="F77" s="62" t="str">
        <f t="shared" si="16"/>
        <v>20109</v>
      </c>
      <c r="G77" s="268">
        <v>10620109</v>
      </c>
      <c r="H77" s="49" t="s">
        <v>382</v>
      </c>
      <c r="I77" s="69">
        <v>1000</v>
      </c>
      <c r="J77" s="69">
        <v>5</v>
      </c>
      <c r="K77" s="69">
        <v>8.5</v>
      </c>
      <c r="L77" s="69">
        <f t="shared" si="17"/>
        <v>50</v>
      </c>
      <c r="M77" s="69">
        <f t="shared" si="18"/>
        <v>85</v>
      </c>
      <c r="N77" s="56">
        <f>INDEX(Rate_Chart!$A$1:$AK$127,MATCH(Data!J77,Rate_Chart!$A$1:$A$127,0),MATCH(Data!K77,Rate_Chart!$A$1:$AK$1,0))</f>
        <v>44.481181500000005</v>
      </c>
      <c r="O77" s="57">
        <f t="shared" si="19"/>
        <v>44481.181500000006</v>
      </c>
      <c r="P77" s="58">
        <f t="shared" si="20"/>
        <v>417.01107656250002</v>
      </c>
      <c r="Q77" s="58">
        <f t="shared" si="21"/>
        <v>278.00738437500002</v>
      </c>
      <c r="R77" s="66">
        <f t="shared" si="22"/>
        <v>778.42067625000016</v>
      </c>
      <c r="S77" s="64">
        <f t="shared" si="23"/>
        <v>3750</v>
      </c>
      <c r="T77" s="66">
        <f t="shared" si="24"/>
        <v>49009.602176250002</v>
      </c>
      <c r="U77" s="68">
        <f t="shared" si="25"/>
        <v>49.009602176249999</v>
      </c>
      <c r="V77" s="68">
        <f t="shared" si="27"/>
        <v>459.46502040234373</v>
      </c>
      <c r="W77" s="68">
        <f t="shared" si="26"/>
        <v>306.3100136015625</v>
      </c>
    </row>
    <row r="78" spans="1:30" x14ac:dyDescent="0.25">
      <c r="A78" s="168" t="s">
        <v>943</v>
      </c>
      <c r="B78" s="62" t="s">
        <v>390</v>
      </c>
      <c r="C78" s="62" t="s">
        <v>585</v>
      </c>
      <c r="D78" s="62" t="s">
        <v>586</v>
      </c>
      <c r="E78" s="49" t="s">
        <v>769</v>
      </c>
      <c r="F78" s="62" t="str">
        <f t="shared" si="16"/>
        <v>20109</v>
      </c>
      <c r="G78" s="268">
        <v>10620109</v>
      </c>
      <c r="H78" s="49" t="s">
        <v>382</v>
      </c>
      <c r="I78" s="69">
        <v>500</v>
      </c>
      <c r="J78" s="69">
        <v>5</v>
      </c>
      <c r="K78" s="69">
        <v>8.5</v>
      </c>
      <c r="L78" s="69">
        <f t="shared" si="17"/>
        <v>25</v>
      </c>
      <c r="M78" s="69">
        <f t="shared" si="18"/>
        <v>42.5</v>
      </c>
      <c r="N78" s="56">
        <f>INDEX(Rate_Chart!$A$1:$AK$127,MATCH(Data!J78,Rate_Chart!$A$1:$A$127,0),MATCH(Data!K78,Rate_Chart!$A$1:$AK$1,0))</f>
        <v>44.481181500000005</v>
      </c>
      <c r="O78" s="57">
        <f t="shared" si="19"/>
        <v>22240.590750000003</v>
      </c>
      <c r="P78" s="58">
        <f t="shared" si="20"/>
        <v>417.01107656250002</v>
      </c>
      <c r="Q78" s="58">
        <f t="shared" si="21"/>
        <v>278.00738437500002</v>
      </c>
      <c r="R78" s="66">
        <f t="shared" si="22"/>
        <v>389.21033812500008</v>
      </c>
      <c r="S78" s="64">
        <f t="shared" si="23"/>
        <v>1875</v>
      </c>
      <c r="T78" s="66">
        <f t="shared" si="24"/>
        <v>24504.801088125001</v>
      </c>
      <c r="U78" s="68">
        <f t="shared" si="25"/>
        <v>49.009602176249999</v>
      </c>
      <c r="V78" s="68">
        <f t="shared" si="27"/>
        <v>459.46502040234373</v>
      </c>
      <c r="W78" s="68">
        <f t="shared" si="26"/>
        <v>306.3100136015625</v>
      </c>
    </row>
    <row r="79" spans="1:30" x14ac:dyDescent="0.25">
      <c r="A79" s="168" t="s">
        <v>943</v>
      </c>
      <c r="B79" s="62" t="s">
        <v>391</v>
      </c>
      <c r="C79" s="62" t="s">
        <v>585</v>
      </c>
      <c r="D79" s="62" t="s">
        <v>586</v>
      </c>
      <c r="E79" s="49" t="s">
        <v>769</v>
      </c>
      <c r="F79" s="62" t="str">
        <f t="shared" si="16"/>
        <v>20109</v>
      </c>
      <c r="G79" s="268">
        <v>10620109</v>
      </c>
      <c r="H79" s="49" t="s">
        <v>382</v>
      </c>
      <c r="I79" s="69">
        <v>500</v>
      </c>
      <c r="J79" s="69">
        <v>5</v>
      </c>
      <c r="K79" s="69">
        <v>8.5</v>
      </c>
      <c r="L79" s="69">
        <f t="shared" si="17"/>
        <v>25</v>
      </c>
      <c r="M79" s="69">
        <f t="shared" si="18"/>
        <v>42.5</v>
      </c>
      <c r="N79" s="56">
        <f>INDEX(Rate_Chart!$A$1:$AK$127,MATCH(Data!J79,Rate_Chart!$A$1:$A$127,0),MATCH(Data!K79,Rate_Chart!$A$1:$AK$1,0))</f>
        <v>44.481181500000005</v>
      </c>
      <c r="O79" s="57">
        <f t="shared" si="19"/>
        <v>22240.590750000003</v>
      </c>
      <c r="P79" s="58">
        <f t="shared" si="20"/>
        <v>417.01107656250002</v>
      </c>
      <c r="Q79" s="58">
        <f t="shared" si="21"/>
        <v>278.00738437500002</v>
      </c>
      <c r="R79" s="66">
        <f t="shared" si="22"/>
        <v>389.21033812500008</v>
      </c>
      <c r="S79" s="64">
        <f t="shared" si="23"/>
        <v>1875</v>
      </c>
      <c r="T79" s="66">
        <f t="shared" si="24"/>
        <v>24504.801088125001</v>
      </c>
      <c r="U79" s="68">
        <f t="shared" si="25"/>
        <v>49.009602176249999</v>
      </c>
      <c r="V79" s="68">
        <f t="shared" si="27"/>
        <v>459.46502040234373</v>
      </c>
      <c r="W79" s="68">
        <f t="shared" si="26"/>
        <v>306.3100136015625</v>
      </c>
    </row>
    <row r="80" spans="1:30" x14ac:dyDescent="0.25">
      <c r="A80" s="168" t="s">
        <v>944</v>
      </c>
      <c r="B80" s="62" t="s">
        <v>390</v>
      </c>
      <c r="C80" s="62" t="s">
        <v>585</v>
      </c>
      <c r="D80" s="62" t="s">
        <v>586</v>
      </c>
      <c r="E80" s="49" t="s">
        <v>769</v>
      </c>
      <c r="F80" s="62" t="str">
        <f t="shared" si="16"/>
        <v>20109</v>
      </c>
      <c r="G80" s="268">
        <v>10620109</v>
      </c>
      <c r="H80" s="49" t="s">
        <v>382</v>
      </c>
      <c r="I80" s="69">
        <v>1200</v>
      </c>
      <c r="J80" s="69">
        <v>5</v>
      </c>
      <c r="K80" s="69">
        <v>8.5</v>
      </c>
      <c r="L80" s="69">
        <f t="shared" si="17"/>
        <v>60</v>
      </c>
      <c r="M80" s="69">
        <f t="shared" si="18"/>
        <v>102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53377.417800000003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934.1048115000001</v>
      </c>
      <c r="S80" s="64">
        <f t="shared" si="23"/>
        <v>4500</v>
      </c>
      <c r="T80" s="66">
        <f t="shared" si="24"/>
        <v>58811.522611500004</v>
      </c>
      <c r="U80" s="68">
        <f t="shared" si="25"/>
        <v>49.009602176250006</v>
      </c>
      <c r="V80" s="68">
        <f t="shared" si="27"/>
        <v>459.46502040234378</v>
      </c>
      <c r="W80" s="68">
        <f t="shared" si="26"/>
        <v>306.3100136015625</v>
      </c>
    </row>
    <row r="81" spans="1:23" x14ac:dyDescent="0.25">
      <c r="A81" s="168" t="s">
        <v>944</v>
      </c>
      <c r="B81" s="62" t="s">
        <v>391</v>
      </c>
      <c r="C81" s="62" t="s">
        <v>585</v>
      </c>
      <c r="D81" s="62" t="s">
        <v>586</v>
      </c>
      <c r="E81" s="49" t="s">
        <v>769</v>
      </c>
      <c r="F81" s="62" t="str">
        <f t="shared" si="16"/>
        <v>20109</v>
      </c>
      <c r="G81" s="268">
        <v>10620109</v>
      </c>
      <c r="H81" s="49" t="s">
        <v>382</v>
      </c>
      <c r="I81" s="69">
        <v>1450</v>
      </c>
      <c r="J81" s="69">
        <v>5</v>
      </c>
      <c r="K81" s="69">
        <v>8.5</v>
      </c>
      <c r="L81" s="69">
        <f t="shared" si="17"/>
        <v>72.5</v>
      </c>
      <c r="M81" s="69">
        <f t="shared" si="18"/>
        <v>123.25</v>
      </c>
      <c r="N81" s="56">
        <f>INDEX(Rate_Chart!$A$1:$AK$127,MATCH(Data!J81,Rate_Chart!$A$1:$A$127,0),MATCH(Data!K81,Rate_Chart!$A$1:$AK$1,0))</f>
        <v>44.481181500000005</v>
      </c>
      <c r="O81" s="57">
        <f t="shared" si="19"/>
        <v>64497.713175000004</v>
      </c>
      <c r="P81" s="58">
        <f t="shared" si="20"/>
        <v>417.01107656250002</v>
      </c>
      <c r="Q81" s="58">
        <f t="shared" si="21"/>
        <v>278.00738437500002</v>
      </c>
      <c r="R81" s="66">
        <f t="shared" si="22"/>
        <v>1128.7099805625003</v>
      </c>
      <c r="S81" s="64">
        <f t="shared" si="23"/>
        <v>5437.5</v>
      </c>
      <c r="T81" s="66">
        <f t="shared" si="24"/>
        <v>71063.923155562501</v>
      </c>
      <c r="U81" s="68">
        <f t="shared" si="25"/>
        <v>49.009602176249999</v>
      </c>
      <c r="V81" s="68">
        <f t="shared" si="27"/>
        <v>459.46502040234373</v>
      </c>
      <c r="W81" s="68">
        <f t="shared" si="26"/>
        <v>306.3100136015625</v>
      </c>
    </row>
    <row r="82" spans="1:23" x14ac:dyDescent="0.25">
      <c r="A82" s="168" t="s">
        <v>946</v>
      </c>
      <c r="B82" s="62" t="s">
        <v>390</v>
      </c>
      <c r="C82" s="62" t="s">
        <v>585</v>
      </c>
      <c r="D82" s="62" t="s">
        <v>586</v>
      </c>
      <c r="E82" s="49" t="s">
        <v>769</v>
      </c>
      <c r="F82" s="62" t="str">
        <f t="shared" si="16"/>
        <v>20109</v>
      </c>
      <c r="G82" s="268">
        <v>10620109</v>
      </c>
      <c r="H82" s="49" t="s">
        <v>382</v>
      </c>
      <c r="I82" s="69">
        <v>500</v>
      </c>
      <c r="J82" s="69">
        <v>5</v>
      </c>
      <c r="K82" s="69">
        <v>8.5</v>
      </c>
      <c r="L82" s="69">
        <f t="shared" si="17"/>
        <v>25</v>
      </c>
      <c r="M82" s="69">
        <f t="shared" si="18"/>
        <v>42.5</v>
      </c>
      <c r="N82" s="56">
        <f>INDEX(Rate_Chart!$A$1:$AK$127,MATCH(Data!J82,Rate_Chart!$A$1:$A$127,0),MATCH(Data!K82,Rate_Chart!$A$1:$AK$1,0))</f>
        <v>44.481181500000005</v>
      </c>
      <c r="O82" s="57">
        <f t="shared" si="19"/>
        <v>22240.590750000003</v>
      </c>
      <c r="P82" s="58">
        <f t="shared" si="20"/>
        <v>417.01107656250002</v>
      </c>
      <c r="Q82" s="58">
        <f t="shared" si="21"/>
        <v>278.00738437500002</v>
      </c>
      <c r="R82" s="66">
        <f t="shared" si="22"/>
        <v>389.21033812500008</v>
      </c>
      <c r="S82" s="64">
        <f t="shared" si="23"/>
        <v>1875</v>
      </c>
      <c r="T82" s="66">
        <f t="shared" si="24"/>
        <v>24504.801088125001</v>
      </c>
      <c r="U82" s="68">
        <f t="shared" si="25"/>
        <v>49.009602176249999</v>
      </c>
      <c r="V82" s="68">
        <f t="shared" si="27"/>
        <v>459.46502040234373</v>
      </c>
      <c r="W82" s="68">
        <f t="shared" si="26"/>
        <v>306.3100136015625</v>
      </c>
    </row>
    <row r="83" spans="1:23" x14ac:dyDescent="0.25">
      <c r="A83" s="168" t="s">
        <v>946</v>
      </c>
      <c r="B83" s="62" t="s">
        <v>391</v>
      </c>
      <c r="C83" s="62" t="s">
        <v>585</v>
      </c>
      <c r="D83" s="62" t="s">
        <v>586</v>
      </c>
      <c r="E83" s="49" t="s">
        <v>769</v>
      </c>
      <c r="F83" s="62" t="str">
        <f t="shared" si="16"/>
        <v>20109</v>
      </c>
      <c r="G83" s="268">
        <v>10620109</v>
      </c>
      <c r="H83" s="49" t="s">
        <v>382</v>
      </c>
      <c r="I83" s="69">
        <v>1580</v>
      </c>
      <c r="J83" s="69">
        <v>5</v>
      </c>
      <c r="K83" s="69">
        <v>8.5</v>
      </c>
      <c r="L83" s="69">
        <f t="shared" si="17"/>
        <v>79</v>
      </c>
      <c r="M83" s="69">
        <f t="shared" si="18"/>
        <v>134.30000000000001</v>
      </c>
      <c r="N83" s="56">
        <f>INDEX(Rate_Chart!$A$1:$AK$127,MATCH(Data!J83,Rate_Chart!$A$1:$A$127,0),MATCH(Data!K83,Rate_Chart!$A$1:$AK$1,0))</f>
        <v>44.481181500000005</v>
      </c>
      <c r="O83" s="57">
        <f t="shared" si="19"/>
        <v>70280.266770000002</v>
      </c>
      <c r="P83" s="58">
        <f t="shared" si="20"/>
        <v>417.01107656250002</v>
      </c>
      <c r="Q83" s="58">
        <f t="shared" si="21"/>
        <v>278.00738437500002</v>
      </c>
      <c r="R83" s="66">
        <f t="shared" si="22"/>
        <v>1229.9046684750001</v>
      </c>
      <c r="S83" s="64">
        <f t="shared" si="23"/>
        <v>5925</v>
      </c>
      <c r="T83" s="66">
        <f t="shared" si="24"/>
        <v>77435.171438475008</v>
      </c>
      <c r="U83" s="68">
        <f t="shared" si="25"/>
        <v>49.009602176250006</v>
      </c>
      <c r="V83" s="68">
        <f t="shared" si="27"/>
        <v>459.46502040234378</v>
      </c>
      <c r="W83" s="68">
        <f t="shared" si="26"/>
        <v>306.3100136015625</v>
      </c>
    </row>
    <row r="84" spans="1:23" x14ac:dyDescent="0.25">
      <c r="A84" s="168" t="s">
        <v>947</v>
      </c>
      <c r="B84" s="62" t="s">
        <v>390</v>
      </c>
      <c r="C84" s="62" t="s">
        <v>585</v>
      </c>
      <c r="D84" s="62" t="s">
        <v>586</v>
      </c>
      <c r="E84" s="49" t="s">
        <v>769</v>
      </c>
      <c r="F84" s="62" t="str">
        <f t="shared" si="16"/>
        <v>20109</v>
      </c>
      <c r="G84" s="268">
        <v>10620109</v>
      </c>
      <c r="H84" s="49" t="s">
        <v>382</v>
      </c>
      <c r="I84" s="69">
        <v>1200</v>
      </c>
      <c r="J84" s="69">
        <v>5</v>
      </c>
      <c r="K84" s="69">
        <v>8.5</v>
      </c>
      <c r="L84" s="69">
        <f t="shared" si="17"/>
        <v>60</v>
      </c>
      <c r="M84" s="69">
        <f t="shared" si="18"/>
        <v>102</v>
      </c>
      <c r="N84" s="56">
        <f>INDEX(Rate_Chart!$A$1:$AK$127,MATCH(Data!J84,Rate_Chart!$A$1:$A$127,0),MATCH(Data!K84,Rate_Chart!$A$1:$AK$1,0))</f>
        <v>44.481181500000005</v>
      </c>
      <c r="O84" s="57">
        <f t="shared" si="19"/>
        <v>53377.417800000003</v>
      </c>
      <c r="P84" s="58">
        <f t="shared" si="20"/>
        <v>417.01107656250002</v>
      </c>
      <c r="Q84" s="58">
        <f t="shared" si="21"/>
        <v>278.00738437500002</v>
      </c>
      <c r="R84" s="66">
        <f t="shared" si="22"/>
        <v>934.1048115000001</v>
      </c>
      <c r="S84" s="64">
        <f t="shared" si="23"/>
        <v>4500</v>
      </c>
      <c r="T84" s="66">
        <f t="shared" si="24"/>
        <v>58811.522611500004</v>
      </c>
      <c r="U84" s="68">
        <f t="shared" si="25"/>
        <v>49.009602176250006</v>
      </c>
      <c r="V84" s="68">
        <f t="shared" si="27"/>
        <v>459.46502040234378</v>
      </c>
      <c r="W84" s="68">
        <f t="shared" si="26"/>
        <v>306.3100136015625</v>
      </c>
    </row>
    <row r="85" spans="1:23" x14ac:dyDescent="0.25">
      <c r="A85" s="168" t="s">
        <v>947</v>
      </c>
      <c r="B85" s="62" t="s">
        <v>391</v>
      </c>
      <c r="C85" s="62" t="s">
        <v>585</v>
      </c>
      <c r="D85" s="62" t="s">
        <v>586</v>
      </c>
      <c r="E85" s="49" t="s">
        <v>769</v>
      </c>
      <c r="F85" s="62" t="str">
        <f t="shared" si="16"/>
        <v>20109</v>
      </c>
      <c r="G85" s="268">
        <v>10620109</v>
      </c>
      <c r="H85" s="49" t="s">
        <v>382</v>
      </c>
      <c r="I85" s="69">
        <v>3580</v>
      </c>
      <c r="J85" s="69">
        <v>5</v>
      </c>
      <c r="K85" s="69">
        <v>8.5</v>
      </c>
      <c r="L85" s="69">
        <f t="shared" si="17"/>
        <v>179</v>
      </c>
      <c r="M85" s="69">
        <f t="shared" si="18"/>
        <v>304.3</v>
      </c>
      <c r="N85" s="56">
        <f>INDEX(Rate_Chart!$A$1:$AK$127,MATCH(Data!J85,Rate_Chart!$A$1:$A$127,0),MATCH(Data!K85,Rate_Chart!$A$1:$AK$1,0))</f>
        <v>44.481181500000005</v>
      </c>
      <c r="O85" s="57">
        <f t="shared" si="19"/>
        <v>159242.62977000003</v>
      </c>
      <c r="P85" s="58">
        <f t="shared" si="20"/>
        <v>417.01107656250002</v>
      </c>
      <c r="Q85" s="58">
        <f t="shared" si="21"/>
        <v>278.00738437500002</v>
      </c>
      <c r="R85" s="66">
        <f t="shared" si="22"/>
        <v>2786.7460209750006</v>
      </c>
      <c r="S85" s="64">
        <f t="shared" si="23"/>
        <v>13425</v>
      </c>
      <c r="T85" s="66">
        <f t="shared" si="24"/>
        <v>175454.37579097503</v>
      </c>
      <c r="U85" s="68">
        <f t="shared" si="25"/>
        <v>49.009602176250006</v>
      </c>
      <c r="V85" s="68">
        <f t="shared" si="27"/>
        <v>459.46502040234378</v>
      </c>
      <c r="W85" s="68">
        <f t="shared" si="26"/>
        <v>306.3100136015625</v>
      </c>
    </row>
    <row r="86" spans="1:23" x14ac:dyDescent="0.25">
      <c r="A86" s="168" t="s">
        <v>947</v>
      </c>
      <c r="B86" s="62" t="s">
        <v>391</v>
      </c>
      <c r="C86" s="62" t="s">
        <v>585</v>
      </c>
      <c r="D86" s="62" t="s">
        <v>854</v>
      </c>
      <c r="E86" s="49" t="s">
        <v>897</v>
      </c>
      <c r="F86" s="62" t="str">
        <f t="shared" si="16"/>
        <v>20111</v>
      </c>
      <c r="G86" s="268">
        <v>10620111</v>
      </c>
      <c r="H86" s="49" t="s">
        <v>382</v>
      </c>
      <c r="I86" s="69">
        <v>300</v>
      </c>
      <c r="J86" s="69">
        <v>5</v>
      </c>
      <c r="K86" s="69">
        <v>8.5</v>
      </c>
      <c r="L86" s="69">
        <f t="shared" si="17"/>
        <v>15</v>
      </c>
      <c r="M86" s="69">
        <f t="shared" si="18"/>
        <v>25.5</v>
      </c>
      <c r="N86" s="56">
        <f>INDEX(Rate_Chart!$A$1:$AK$127,MATCH(Data!J86,Rate_Chart!$A$1:$A$127,0),MATCH(Data!K86,Rate_Chart!$A$1:$AK$1,0))</f>
        <v>44.481181500000005</v>
      </c>
      <c r="O86" s="57">
        <f t="shared" si="19"/>
        <v>13344.354450000001</v>
      </c>
      <c r="P86" s="58">
        <f t="shared" si="20"/>
        <v>417.01107656250002</v>
      </c>
      <c r="Q86" s="58">
        <f t="shared" si="21"/>
        <v>278.00738437500002</v>
      </c>
      <c r="R86" s="66">
        <f t="shared" si="22"/>
        <v>233.52620287500002</v>
      </c>
      <c r="S86" s="64">
        <f t="shared" si="23"/>
        <v>1125</v>
      </c>
      <c r="T86" s="66">
        <f t="shared" si="24"/>
        <v>14702.880652875001</v>
      </c>
      <c r="U86" s="68">
        <f t="shared" si="25"/>
        <v>49.009602176250006</v>
      </c>
      <c r="V86" s="68">
        <f t="shared" si="27"/>
        <v>459.46502040234378</v>
      </c>
      <c r="W86" s="68">
        <f t="shared" si="26"/>
        <v>306.3100136015625</v>
      </c>
    </row>
    <row r="87" spans="1:23" x14ac:dyDescent="0.25">
      <c r="A87" s="168" t="s">
        <v>941</v>
      </c>
      <c r="B87" s="62" t="s">
        <v>390</v>
      </c>
      <c r="C87" s="62" t="s">
        <v>585</v>
      </c>
      <c r="D87" s="62" t="s">
        <v>854</v>
      </c>
      <c r="E87" s="49" t="s">
        <v>795</v>
      </c>
      <c r="F87" s="62" t="str">
        <f t="shared" si="16"/>
        <v>20112</v>
      </c>
      <c r="G87" s="268">
        <v>10620112</v>
      </c>
      <c r="H87" s="49" t="s">
        <v>382</v>
      </c>
      <c r="I87" s="69">
        <v>9</v>
      </c>
      <c r="J87" s="69">
        <v>4.5</v>
      </c>
      <c r="K87" s="69">
        <v>8.5</v>
      </c>
      <c r="L87" s="69">
        <f t="shared" si="17"/>
        <v>0.40500000000000003</v>
      </c>
      <c r="M87" s="69">
        <f t="shared" si="18"/>
        <v>0.76500000000000001</v>
      </c>
      <c r="N87" s="56">
        <f>INDEX(Rate_Chart!$A$1:$AK$127,MATCH(Data!J87,Rate_Chart!$A$1:$A$127,0),MATCH(Data!K87,Rate_Chart!$A$1:$AK$1,0))</f>
        <v>42.396181500000004</v>
      </c>
      <c r="O87" s="57">
        <f t="shared" si="19"/>
        <v>381.56563350000005</v>
      </c>
      <c r="P87" s="58">
        <f t="shared" si="20"/>
        <v>417.01162131147544</v>
      </c>
      <c r="Q87" s="58">
        <f t="shared" si="21"/>
        <v>278.00774754098364</v>
      </c>
      <c r="R87" s="66">
        <f t="shared" si="22"/>
        <v>6.6773985862500016</v>
      </c>
      <c r="S87" s="64">
        <f t="shared" si="23"/>
        <v>33.75</v>
      </c>
      <c r="T87" s="66">
        <f t="shared" si="24"/>
        <v>421.99303208625003</v>
      </c>
      <c r="U87" s="68">
        <f t="shared" si="25"/>
        <v>46.888114676250005</v>
      </c>
      <c r="V87" s="68">
        <f t="shared" si="27"/>
        <v>461.19457058606559</v>
      </c>
      <c r="W87" s="68">
        <f t="shared" si="26"/>
        <v>307.46304705737708</v>
      </c>
    </row>
    <row r="88" spans="1:23" x14ac:dyDescent="0.25">
      <c r="A88" s="168" t="s">
        <v>941</v>
      </c>
      <c r="B88" s="62" t="s">
        <v>391</v>
      </c>
      <c r="C88" s="62" t="s">
        <v>585</v>
      </c>
      <c r="D88" s="62" t="s">
        <v>854</v>
      </c>
      <c r="E88" s="49" t="s">
        <v>795</v>
      </c>
      <c r="F88" s="62" t="str">
        <f t="shared" si="16"/>
        <v>20112</v>
      </c>
      <c r="G88" s="268">
        <v>10620112</v>
      </c>
      <c r="H88" s="49" t="s">
        <v>382</v>
      </c>
      <c r="I88" s="69">
        <v>6</v>
      </c>
      <c r="J88" s="69">
        <v>3</v>
      </c>
      <c r="K88" s="69">
        <v>8.1</v>
      </c>
      <c r="L88" s="69">
        <f t="shared" si="17"/>
        <v>0.18</v>
      </c>
      <c r="M88" s="69">
        <f t="shared" si="18"/>
        <v>0.48599999999999993</v>
      </c>
      <c r="N88" s="56">
        <f>INDEX(Rate_Chart!$A$1:$AK$127,MATCH(Data!J88,Rate_Chart!$A$1:$A$127,0),MATCH(Data!K88,Rate_Chart!$A$1:$AK$1,0))</f>
        <v>35.029125900000004</v>
      </c>
      <c r="O88" s="57">
        <f t="shared" si="19"/>
        <v>210.17475540000004</v>
      </c>
      <c r="P88" s="58">
        <f t="shared" si="20"/>
        <v>417.01340357142868</v>
      </c>
      <c r="Q88" s="58">
        <f t="shared" si="21"/>
        <v>278.00893571428577</v>
      </c>
      <c r="R88" s="66">
        <f t="shared" si="22"/>
        <v>3.6780582195000009</v>
      </c>
      <c r="S88" s="64">
        <f t="shared" si="23"/>
        <v>22.5</v>
      </c>
      <c r="T88" s="66">
        <f t="shared" si="24"/>
        <v>236.35281361950004</v>
      </c>
      <c r="U88" s="68">
        <f t="shared" si="25"/>
        <v>39.392135603250004</v>
      </c>
      <c r="V88" s="68">
        <f t="shared" si="27"/>
        <v>468.9539952767858</v>
      </c>
      <c r="W88" s="68">
        <f t="shared" si="26"/>
        <v>312.63599685119055</v>
      </c>
    </row>
    <row r="89" spans="1:23" x14ac:dyDescent="0.25">
      <c r="A89" s="168" t="s">
        <v>942</v>
      </c>
      <c r="B89" s="62" t="s">
        <v>390</v>
      </c>
      <c r="C89" s="62" t="s">
        <v>585</v>
      </c>
      <c r="D89" s="62" t="s">
        <v>854</v>
      </c>
      <c r="E89" s="49" t="s">
        <v>795</v>
      </c>
      <c r="F89" s="62" t="str">
        <f t="shared" si="16"/>
        <v>20112</v>
      </c>
      <c r="G89" s="268">
        <v>10620112</v>
      </c>
      <c r="H89" s="49" t="s">
        <v>382</v>
      </c>
      <c r="I89" s="69">
        <v>12</v>
      </c>
      <c r="J89" s="69">
        <v>4.5999999999999996</v>
      </c>
      <c r="K89" s="69">
        <v>8.3000000000000007</v>
      </c>
      <c r="L89" s="69">
        <f t="shared" si="17"/>
        <v>0.55199999999999994</v>
      </c>
      <c r="M89" s="69">
        <f t="shared" si="18"/>
        <v>0.99600000000000011</v>
      </c>
      <c r="N89" s="56">
        <f>INDEX(Rate_Chart!$A$1:$AK$127,MATCH(Data!J89,Rate_Chart!$A$1:$A$127,0),MATCH(Data!K89,Rate_Chart!$A$1:$AK$1,0))</f>
        <v>42.257153700000003</v>
      </c>
      <c r="O89" s="57">
        <f t="shared" si="19"/>
        <v>507.08584440000004</v>
      </c>
      <c r="P89" s="58">
        <f t="shared" si="20"/>
        <v>417.01138519736844</v>
      </c>
      <c r="Q89" s="58">
        <f t="shared" si="21"/>
        <v>278.00759013157898</v>
      </c>
      <c r="R89" s="66">
        <f t="shared" si="22"/>
        <v>8.8740022770000024</v>
      </c>
      <c r="S89" s="64">
        <f t="shared" si="23"/>
        <v>45</v>
      </c>
      <c r="T89" s="66">
        <f t="shared" si="24"/>
        <v>560.95984667700009</v>
      </c>
      <c r="U89" s="68">
        <f t="shared" si="25"/>
        <v>46.746653889750007</v>
      </c>
      <c r="V89" s="68">
        <f t="shared" si="27"/>
        <v>461.31566338569087</v>
      </c>
      <c r="W89" s="68">
        <f t="shared" si="26"/>
        <v>307.5437755904606</v>
      </c>
    </row>
    <row r="90" spans="1:23" x14ac:dyDescent="0.25">
      <c r="A90" s="168" t="s">
        <v>942</v>
      </c>
      <c r="B90" s="62" t="s">
        <v>391</v>
      </c>
      <c r="C90" s="62" t="s">
        <v>585</v>
      </c>
      <c r="D90" s="62" t="s">
        <v>854</v>
      </c>
      <c r="E90" s="49" t="s">
        <v>795</v>
      </c>
      <c r="F90" s="62" t="str">
        <f t="shared" si="16"/>
        <v>20112</v>
      </c>
      <c r="G90" s="268">
        <v>10620112</v>
      </c>
      <c r="H90" s="49" t="s">
        <v>382</v>
      </c>
      <c r="I90" s="69">
        <v>6</v>
      </c>
      <c r="J90" s="69">
        <v>3</v>
      </c>
      <c r="K90" s="69">
        <v>8</v>
      </c>
      <c r="L90" s="69">
        <f t="shared" si="17"/>
        <v>0.18</v>
      </c>
      <c r="M90" s="69">
        <f t="shared" si="18"/>
        <v>0.48</v>
      </c>
      <c r="N90" s="56">
        <f>INDEX(Rate_Chart!$A$1:$AK$127,MATCH(Data!J90,Rate_Chart!$A$1:$A$127,0),MATCH(Data!K90,Rate_Chart!$A$1:$AK$1,0))</f>
        <v>34.751112000000006</v>
      </c>
      <c r="O90" s="57">
        <f t="shared" si="19"/>
        <v>208.50667200000004</v>
      </c>
      <c r="P90" s="58">
        <f t="shared" si="20"/>
        <v>417.01334400000002</v>
      </c>
      <c r="Q90" s="58">
        <f t="shared" si="21"/>
        <v>278.00889599999999</v>
      </c>
      <c r="R90" s="66">
        <f t="shared" si="22"/>
        <v>3.6488667600000011</v>
      </c>
      <c r="S90" s="64">
        <f t="shared" si="23"/>
        <v>22.5</v>
      </c>
      <c r="T90" s="66">
        <f t="shared" si="24"/>
        <v>234.65553876000004</v>
      </c>
      <c r="U90" s="68">
        <f t="shared" si="25"/>
        <v>39.109256460000005</v>
      </c>
      <c r="V90" s="68">
        <f t="shared" si="27"/>
        <v>469.31107752000003</v>
      </c>
      <c r="W90" s="68">
        <f t="shared" si="26"/>
        <v>312.87405168000004</v>
      </c>
    </row>
    <row r="91" spans="1:23" x14ac:dyDescent="0.25">
      <c r="A91" s="168" t="s">
        <v>943</v>
      </c>
      <c r="B91" s="62" t="s">
        <v>390</v>
      </c>
      <c r="C91" s="62" t="s">
        <v>585</v>
      </c>
      <c r="D91" s="62" t="s">
        <v>854</v>
      </c>
      <c r="E91" s="49" t="s">
        <v>795</v>
      </c>
      <c r="F91" s="62" t="str">
        <f t="shared" si="16"/>
        <v>20112</v>
      </c>
      <c r="G91" s="268">
        <v>10620112</v>
      </c>
      <c r="H91" s="49" t="s">
        <v>382</v>
      </c>
      <c r="I91" s="69">
        <v>12</v>
      </c>
      <c r="J91" s="69">
        <v>4.3</v>
      </c>
      <c r="K91" s="69">
        <v>8.3000000000000007</v>
      </c>
      <c r="L91" s="69">
        <f t="shared" si="17"/>
        <v>0.5159999999999999</v>
      </c>
      <c r="M91" s="69">
        <f t="shared" si="18"/>
        <v>0.99600000000000011</v>
      </c>
      <c r="N91" s="56">
        <f>INDEX(Rate_Chart!$A$1:$AK$127,MATCH(Data!J91,Rate_Chart!$A$1:$A$127,0),MATCH(Data!K91,Rate_Chart!$A$1:$AK$1,0))</f>
        <v>41.006153699999999</v>
      </c>
      <c r="O91" s="57">
        <f t="shared" si="19"/>
        <v>492.07384439999998</v>
      </c>
      <c r="P91" s="58">
        <f t="shared" si="20"/>
        <v>417.0117325423729</v>
      </c>
      <c r="Q91" s="58">
        <f t="shared" si="21"/>
        <v>278.00782169491526</v>
      </c>
      <c r="R91" s="66">
        <f t="shared" si="22"/>
        <v>8.6112922770000004</v>
      </c>
      <c r="S91" s="64">
        <f t="shared" si="23"/>
        <v>45</v>
      </c>
      <c r="T91" s="66">
        <f t="shared" si="24"/>
        <v>545.68513667699995</v>
      </c>
      <c r="U91" s="68">
        <f t="shared" si="25"/>
        <v>45.473761389749995</v>
      </c>
      <c r="V91" s="68">
        <f t="shared" si="27"/>
        <v>462.44503108220334</v>
      </c>
      <c r="W91" s="68">
        <f t="shared" si="26"/>
        <v>308.29668738813558</v>
      </c>
    </row>
    <row r="92" spans="1:23" x14ac:dyDescent="0.25">
      <c r="A92" s="168" t="s">
        <v>943</v>
      </c>
      <c r="B92" s="62" t="s">
        <v>391</v>
      </c>
      <c r="C92" s="62" t="s">
        <v>585</v>
      </c>
      <c r="D92" s="62" t="s">
        <v>854</v>
      </c>
      <c r="E92" s="49" t="s">
        <v>795</v>
      </c>
      <c r="F92" s="62" t="str">
        <f t="shared" si="16"/>
        <v>20112</v>
      </c>
      <c r="G92" s="268">
        <v>10620112</v>
      </c>
      <c r="H92" s="49" t="s">
        <v>382</v>
      </c>
      <c r="I92" s="69">
        <v>7</v>
      </c>
      <c r="J92" s="69">
        <v>3.7</v>
      </c>
      <c r="K92" s="69">
        <v>8.3000000000000007</v>
      </c>
      <c r="L92" s="69">
        <f t="shared" si="17"/>
        <v>0.25900000000000001</v>
      </c>
      <c r="M92" s="69">
        <f t="shared" si="18"/>
        <v>0.58100000000000007</v>
      </c>
      <c r="N92" s="56">
        <f>INDEX(Rate_Chart!$A$1:$AK$127,MATCH(Data!J92,Rate_Chart!$A$1:$A$127,0),MATCH(Data!K92,Rate_Chart!$A$1:$AK$1,0))</f>
        <v>38.504153700000003</v>
      </c>
      <c r="O92" s="57">
        <f t="shared" si="19"/>
        <v>269.52907590000001</v>
      </c>
      <c r="P92" s="58">
        <f t="shared" si="20"/>
        <v>417.01249494584835</v>
      </c>
      <c r="Q92" s="58">
        <f t="shared" si="21"/>
        <v>278.00832996389892</v>
      </c>
      <c r="R92" s="66">
        <f t="shared" si="22"/>
        <v>4.7167588282500006</v>
      </c>
      <c r="S92" s="64">
        <f t="shared" si="23"/>
        <v>26.25</v>
      </c>
      <c r="T92" s="66">
        <f t="shared" si="24"/>
        <v>300.49583472825003</v>
      </c>
      <c r="U92" s="68">
        <f t="shared" si="25"/>
        <v>42.927976389750008</v>
      </c>
      <c r="V92" s="68">
        <f t="shared" si="27"/>
        <v>464.92393201895305</v>
      </c>
      <c r="W92" s="68">
        <f t="shared" si="26"/>
        <v>309.94928801263535</v>
      </c>
    </row>
    <row r="93" spans="1:23" x14ac:dyDescent="0.25">
      <c r="A93" s="168" t="s">
        <v>944</v>
      </c>
      <c r="B93" s="62" t="s">
        <v>390</v>
      </c>
      <c r="C93" s="62" t="s">
        <v>585</v>
      </c>
      <c r="D93" s="62" t="s">
        <v>854</v>
      </c>
      <c r="E93" s="49" t="s">
        <v>795</v>
      </c>
      <c r="F93" s="62" t="str">
        <f t="shared" si="16"/>
        <v>20112</v>
      </c>
      <c r="G93" s="268">
        <v>10620112</v>
      </c>
      <c r="H93" s="49" t="s">
        <v>382</v>
      </c>
      <c r="I93" s="69">
        <v>10</v>
      </c>
      <c r="J93" s="69">
        <v>4.4000000000000004</v>
      </c>
      <c r="K93" s="69">
        <v>8.1999999999999993</v>
      </c>
      <c r="L93" s="69">
        <f t="shared" si="17"/>
        <v>0.44</v>
      </c>
      <c r="M93" s="69">
        <f t="shared" si="18"/>
        <v>0.82</v>
      </c>
      <c r="N93" s="56">
        <f>INDEX(Rate_Chart!$A$1:$AK$127,MATCH(Data!J93,Rate_Chart!$A$1:$A$127,0),MATCH(Data!K93,Rate_Chart!$A$1:$AK$1,0))</f>
        <v>41.145139800000003</v>
      </c>
      <c r="O93" s="57">
        <f t="shared" si="19"/>
        <v>411.45139800000004</v>
      </c>
      <c r="P93" s="58">
        <f t="shared" si="20"/>
        <v>417.01155202702705</v>
      </c>
      <c r="Q93" s="58">
        <f t="shared" si="21"/>
        <v>278.00770135135139</v>
      </c>
      <c r="R93" s="66">
        <f t="shared" si="22"/>
        <v>7.2003994650000012</v>
      </c>
      <c r="S93" s="64">
        <f t="shared" si="23"/>
        <v>37.5</v>
      </c>
      <c r="T93" s="66">
        <f t="shared" si="24"/>
        <v>456.15179746500007</v>
      </c>
      <c r="U93" s="68">
        <f t="shared" si="25"/>
        <v>45.615179746500004</v>
      </c>
      <c r="V93" s="68">
        <f t="shared" si="27"/>
        <v>462.31601094425679</v>
      </c>
      <c r="W93" s="68">
        <f t="shared" si="26"/>
        <v>308.21067396283786</v>
      </c>
    </row>
    <row r="94" spans="1:23" x14ac:dyDescent="0.25">
      <c r="A94" s="168" t="s">
        <v>944</v>
      </c>
      <c r="B94" s="62" t="s">
        <v>391</v>
      </c>
      <c r="C94" s="62" t="s">
        <v>585</v>
      </c>
      <c r="D94" s="62" t="s">
        <v>854</v>
      </c>
      <c r="E94" s="49" t="s">
        <v>795</v>
      </c>
      <c r="F94" s="62" t="str">
        <f t="shared" si="16"/>
        <v>20112</v>
      </c>
      <c r="G94" s="268">
        <v>10620112</v>
      </c>
      <c r="H94" s="49" t="s">
        <v>382</v>
      </c>
      <c r="I94" s="69">
        <v>6</v>
      </c>
      <c r="J94" s="69">
        <v>3.2</v>
      </c>
      <c r="K94" s="69">
        <v>8.1999999999999993</v>
      </c>
      <c r="L94" s="69">
        <f t="shared" si="17"/>
        <v>0.19200000000000003</v>
      </c>
      <c r="M94" s="69">
        <f t="shared" si="18"/>
        <v>0.49199999999999994</v>
      </c>
      <c r="N94" s="56">
        <f>INDEX(Rate_Chart!$A$1:$AK$127,MATCH(Data!J94,Rate_Chart!$A$1:$A$127,0),MATCH(Data!K94,Rate_Chart!$A$1:$AK$1,0))</f>
        <v>36.141139799999998</v>
      </c>
      <c r="O94" s="57">
        <f t="shared" si="19"/>
        <v>216.8468388</v>
      </c>
      <c r="P94" s="58">
        <f t="shared" si="20"/>
        <v>417.0131515384615</v>
      </c>
      <c r="Q94" s="58">
        <f t="shared" si="21"/>
        <v>278.00876769230769</v>
      </c>
      <c r="R94" s="66">
        <f t="shared" si="22"/>
        <v>3.7948196790000002</v>
      </c>
      <c r="S94" s="64">
        <f t="shared" si="23"/>
        <v>22.5</v>
      </c>
      <c r="T94" s="66">
        <f t="shared" si="24"/>
        <v>243.141658479</v>
      </c>
      <c r="U94" s="68">
        <f t="shared" si="25"/>
        <v>40.5236097465</v>
      </c>
      <c r="V94" s="68">
        <f t="shared" si="27"/>
        <v>467.58011245961535</v>
      </c>
      <c r="W94" s="68">
        <f t="shared" si="26"/>
        <v>311.72007497307692</v>
      </c>
    </row>
    <row r="95" spans="1:23" x14ac:dyDescent="0.25">
      <c r="A95" s="168" t="s">
        <v>945</v>
      </c>
      <c r="B95" s="62" t="s">
        <v>390</v>
      </c>
      <c r="C95" s="62" t="s">
        <v>585</v>
      </c>
      <c r="D95" s="62" t="s">
        <v>854</v>
      </c>
      <c r="E95" s="49" t="s">
        <v>795</v>
      </c>
      <c r="F95" s="62" t="str">
        <f t="shared" si="16"/>
        <v>20112</v>
      </c>
      <c r="G95" s="268">
        <v>10620112</v>
      </c>
      <c r="H95" s="49" t="s">
        <v>382</v>
      </c>
      <c r="I95" s="69">
        <v>12</v>
      </c>
      <c r="J95" s="69">
        <v>4.5</v>
      </c>
      <c r="K95" s="69">
        <v>8.5</v>
      </c>
      <c r="L95" s="69">
        <f t="shared" si="17"/>
        <v>0.54</v>
      </c>
      <c r="M95" s="69">
        <f t="shared" si="18"/>
        <v>1.02</v>
      </c>
      <c r="N95" s="56">
        <f>INDEX(Rate_Chart!$A$1:$AK$127,MATCH(Data!J95,Rate_Chart!$A$1:$A$127,0),MATCH(Data!K95,Rate_Chart!$A$1:$AK$1,0))</f>
        <v>42.396181500000004</v>
      </c>
      <c r="O95" s="57">
        <f t="shared" si="19"/>
        <v>508.75417800000002</v>
      </c>
      <c r="P95" s="58">
        <f t="shared" si="20"/>
        <v>417.01162131147544</v>
      </c>
      <c r="Q95" s="58">
        <f t="shared" si="21"/>
        <v>278.00774754098364</v>
      </c>
      <c r="R95" s="66">
        <f t="shared" si="22"/>
        <v>8.9031981150000021</v>
      </c>
      <c r="S95" s="64">
        <f t="shared" si="23"/>
        <v>45</v>
      </c>
      <c r="T95" s="66">
        <f t="shared" si="24"/>
        <v>562.65737611500003</v>
      </c>
      <c r="U95" s="68">
        <f t="shared" si="25"/>
        <v>46.888114676250005</v>
      </c>
      <c r="V95" s="68">
        <f t="shared" si="27"/>
        <v>461.19457058606559</v>
      </c>
      <c r="W95" s="68">
        <f t="shared" si="26"/>
        <v>307.46304705737708</v>
      </c>
    </row>
    <row r="96" spans="1:23" x14ac:dyDescent="0.25">
      <c r="A96" s="168" t="s">
        <v>945</v>
      </c>
      <c r="B96" s="62" t="s">
        <v>391</v>
      </c>
      <c r="C96" s="62" t="s">
        <v>585</v>
      </c>
      <c r="D96" s="62" t="s">
        <v>854</v>
      </c>
      <c r="E96" s="49" t="s">
        <v>795</v>
      </c>
      <c r="F96" s="62" t="str">
        <f t="shared" si="16"/>
        <v>20112</v>
      </c>
      <c r="G96" s="268">
        <v>10620112</v>
      </c>
      <c r="H96" s="49" t="s">
        <v>382</v>
      </c>
      <c r="I96" s="69">
        <v>6</v>
      </c>
      <c r="J96" s="69">
        <v>3.3</v>
      </c>
      <c r="K96" s="69">
        <v>8.1</v>
      </c>
      <c r="L96" s="69">
        <f t="shared" si="17"/>
        <v>0.19799999999999998</v>
      </c>
      <c r="M96" s="69">
        <f t="shared" si="18"/>
        <v>0.48599999999999993</v>
      </c>
      <c r="N96" s="56">
        <f>INDEX(Rate_Chart!$A$1:$AK$127,MATCH(Data!J96,Rate_Chart!$A$1:$A$127,0),MATCH(Data!K96,Rate_Chart!$A$1:$AK$1,0))</f>
        <v>36.280125900000002</v>
      </c>
      <c r="O96" s="57">
        <f t="shared" si="19"/>
        <v>217.68075540000001</v>
      </c>
      <c r="P96" s="58">
        <f t="shared" si="20"/>
        <v>417.0129413793104</v>
      </c>
      <c r="Q96" s="58">
        <f t="shared" si="21"/>
        <v>278.00862758620696</v>
      </c>
      <c r="R96" s="66">
        <f t="shared" si="22"/>
        <v>3.8094132195000006</v>
      </c>
      <c r="S96" s="64">
        <f t="shared" si="23"/>
        <v>22.5</v>
      </c>
      <c r="T96" s="66">
        <f t="shared" si="24"/>
        <v>243.99016861950003</v>
      </c>
      <c r="U96" s="68">
        <f t="shared" si="25"/>
        <v>40.665028103250002</v>
      </c>
      <c r="V96" s="68">
        <f t="shared" si="27"/>
        <v>467.4141161293104</v>
      </c>
      <c r="W96" s="68">
        <f t="shared" si="26"/>
        <v>311.6094107528736</v>
      </c>
    </row>
    <row r="97" spans="1:23" x14ac:dyDescent="0.25">
      <c r="A97" s="169" t="s">
        <v>946</v>
      </c>
      <c r="B97" s="61" t="s">
        <v>390</v>
      </c>
      <c r="C97" s="61" t="s">
        <v>585</v>
      </c>
      <c r="D97" s="61" t="s">
        <v>854</v>
      </c>
      <c r="E97" s="1" t="s">
        <v>795</v>
      </c>
      <c r="F97" s="62" t="str">
        <f t="shared" si="16"/>
        <v>20112</v>
      </c>
      <c r="G97" s="269">
        <v>10620112</v>
      </c>
      <c r="H97" s="1" t="s">
        <v>382</v>
      </c>
      <c r="I97" s="61">
        <v>14</v>
      </c>
      <c r="J97" s="61">
        <v>4.5</v>
      </c>
      <c r="K97" s="61">
        <v>8.5</v>
      </c>
      <c r="L97" s="69">
        <f t="shared" ref="L97:L160" si="28">J97*I97/100</f>
        <v>0.63</v>
      </c>
      <c r="M97" s="69">
        <f t="shared" ref="M97:M160" si="29">K97*I97/100</f>
        <v>1.19</v>
      </c>
      <c r="N97" s="56">
        <f>INDEX(Rate_Chart!$A$1:$AK$127,MATCH(Data!J97,Rate_Chart!$A$1:$A$127,0),MATCH(Data!K97,Rate_Chart!$A$1:$AK$1,0))</f>
        <v>42.396181500000004</v>
      </c>
      <c r="O97" s="57">
        <f t="shared" ref="O97:O160" si="30">N97*I97</f>
        <v>593.54654100000005</v>
      </c>
      <c r="P97" s="58">
        <f t="shared" ref="P97:P160" si="31">N97/(J97%+K97%*2/3)</f>
        <v>417.01162131147544</v>
      </c>
      <c r="Q97" s="58">
        <f t="shared" ref="Q97:Q160" si="32">P97*2/3</f>
        <v>278.00774754098364</v>
      </c>
      <c r="R97" s="66">
        <f t="shared" si="22"/>
        <v>10.387064467500002</v>
      </c>
      <c r="S97" s="64">
        <f t="shared" ref="S97:S160" si="33">I97*3.75</f>
        <v>52.5</v>
      </c>
      <c r="T97" s="66">
        <f t="shared" ref="T97:T160" si="34">R97+S97+O97</f>
        <v>656.4336054675</v>
      </c>
      <c r="U97" s="68">
        <f t="shared" ref="U97:U160" si="35">T97/I97</f>
        <v>46.888114676249998</v>
      </c>
      <c r="V97" s="68">
        <f t="shared" ref="V97:V160" si="36">U97/(J97%+K97%*2/3)</f>
        <v>461.19457058606554</v>
      </c>
      <c r="W97" s="68">
        <f t="shared" ref="W97:W160" si="37">V97*2/3</f>
        <v>307.46304705737703</v>
      </c>
    </row>
    <row r="98" spans="1:23" x14ac:dyDescent="0.25">
      <c r="A98" s="169" t="s">
        <v>946</v>
      </c>
      <c r="B98" s="61" t="s">
        <v>391</v>
      </c>
      <c r="C98" s="61" t="s">
        <v>585</v>
      </c>
      <c r="D98" s="61" t="s">
        <v>854</v>
      </c>
      <c r="E98" s="1" t="s">
        <v>795</v>
      </c>
      <c r="F98" s="62" t="str">
        <f t="shared" si="16"/>
        <v>20112</v>
      </c>
      <c r="G98" s="269">
        <v>10620112</v>
      </c>
      <c r="H98" s="1" t="s">
        <v>382</v>
      </c>
      <c r="I98" s="61">
        <v>8</v>
      </c>
      <c r="J98" s="61">
        <v>3.2</v>
      </c>
      <c r="K98" s="61">
        <v>8.1</v>
      </c>
      <c r="L98" s="69">
        <f t="shared" si="28"/>
        <v>0.25600000000000001</v>
      </c>
      <c r="M98" s="69">
        <f t="shared" si="29"/>
        <v>0.64800000000000002</v>
      </c>
      <c r="N98" s="56">
        <f>INDEX(Rate_Chart!$A$1:$AK$127,MATCH(Data!J98,Rate_Chart!$A$1:$A$127,0),MATCH(Data!K98,Rate_Chart!$A$1:$AK$1,0))</f>
        <v>35.8631259</v>
      </c>
      <c r="O98" s="57">
        <f t="shared" si="30"/>
        <v>286.9050072</v>
      </c>
      <c r="P98" s="58">
        <f t="shared" si="31"/>
        <v>417.01309186046512</v>
      </c>
      <c r="Q98" s="58">
        <f t="shared" si="32"/>
        <v>278.00872790697673</v>
      </c>
      <c r="R98" s="66">
        <f t="shared" si="22"/>
        <v>5.0208376260000005</v>
      </c>
      <c r="S98" s="64">
        <f t="shared" si="33"/>
        <v>30</v>
      </c>
      <c r="T98" s="66">
        <f t="shared" si="34"/>
        <v>321.925844826</v>
      </c>
      <c r="U98" s="68">
        <f t="shared" si="35"/>
        <v>40.24073060325</v>
      </c>
      <c r="V98" s="68">
        <f t="shared" si="36"/>
        <v>467.91547213081401</v>
      </c>
      <c r="W98" s="68">
        <f t="shared" si="37"/>
        <v>311.94364808720934</v>
      </c>
    </row>
    <row r="99" spans="1:23" x14ac:dyDescent="0.25">
      <c r="A99" s="169" t="s">
        <v>947</v>
      </c>
      <c r="B99" s="61" t="s">
        <v>390</v>
      </c>
      <c r="C99" s="61" t="s">
        <v>585</v>
      </c>
      <c r="D99" s="61" t="s">
        <v>854</v>
      </c>
      <c r="E99" s="1" t="s">
        <v>795</v>
      </c>
      <c r="F99" s="62" t="str">
        <f t="shared" si="16"/>
        <v>20112</v>
      </c>
      <c r="G99" s="269">
        <v>10620112</v>
      </c>
      <c r="H99" s="1" t="s">
        <v>382</v>
      </c>
      <c r="I99" s="61">
        <v>12</v>
      </c>
      <c r="J99" s="61">
        <v>4.5</v>
      </c>
      <c r="K99" s="61">
        <v>8.3000000000000007</v>
      </c>
      <c r="L99" s="69">
        <f t="shared" si="28"/>
        <v>0.54</v>
      </c>
      <c r="M99" s="69">
        <f t="shared" si="29"/>
        <v>0.99600000000000011</v>
      </c>
      <c r="N99" s="56">
        <f>INDEX(Rate_Chart!$A$1:$AK$127,MATCH(Data!J99,Rate_Chart!$A$1:$A$127,0),MATCH(Data!K99,Rate_Chart!$A$1:$AK$1,0))</f>
        <v>41.840153700000002</v>
      </c>
      <c r="O99" s="57">
        <f t="shared" si="30"/>
        <v>502.08184440000002</v>
      </c>
      <c r="P99" s="58">
        <f t="shared" si="31"/>
        <v>417.01149867109638</v>
      </c>
      <c r="Q99" s="58">
        <f t="shared" si="32"/>
        <v>278.00766578073092</v>
      </c>
      <c r="R99" s="66">
        <f t="shared" si="22"/>
        <v>8.7864322770000012</v>
      </c>
      <c r="S99" s="64">
        <f t="shared" si="33"/>
        <v>45</v>
      </c>
      <c r="T99" s="66">
        <f t="shared" si="34"/>
        <v>555.86827667700004</v>
      </c>
      <c r="U99" s="68">
        <f t="shared" si="35"/>
        <v>46.322356389750006</v>
      </c>
      <c r="V99" s="68">
        <f t="shared" si="36"/>
        <v>461.68461518023264</v>
      </c>
      <c r="W99" s="68">
        <f t="shared" si="37"/>
        <v>307.78974345348843</v>
      </c>
    </row>
    <row r="100" spans="1:23" x14ac:dyDescent="0.25">
      <c r="A100" s="169" t="s">
        <v>947</v>
      </c>
      <c r="B100" s="61" t="s">
        <v>391</v>
      </c>
      <c r="C100" s="61" t="s">
        <v>585</v>
      </c>
      <c r="D100" s="61" t="s">
        <v>854</v>
      </c>
      <c r="E100" s="1" t="s">
        <v>795</v>
      </c>
      <c r="F100" s="62" t="str">
        <f t="shared" si="16"/>
        <v>20112</v>
      </c>
      <c r="G100" s="269">
        <v>10620112</v>
      </c>
      <c r="H100" s="1" t="s">
        <v>382</v>
      </c>
      <c r="I100" s="61">
        <v>7</v>
      </c>
      <c r="J100" s="61">
        <v>3</v>
      </c>
      <c r="K100" s="61">
        <v>8.1</v>
      </c>
      <c r="L100" s="69">
        <f t="shared" si="28"/>
        <v>0.21</v>
      </c>
      <c r="M100" s="69">
        <f t="shared" si="29"/>
        <v>0.56699999999999995</v>
      </c>
      <c r="N100" s="56">
        <f>INDEX(Rate_Chart!$A$1:$AK$127,MATCH(Data!J100,Rate_Chart!$A$1:$A$127,0),MATCH(Data!K100,Rate_Chart!$A$1:$AK$1,0))</f>
        <v>35.029125900000004</v>
      </c>
      <c r="O100" s="57">
        <f t="shared" si="30"/>
        <v>245.20388130000003</v>
      </c>
      <c r="P100" s="58">
        <f t="shared" si="31"/>
        <v>417.01340357142868</v>
      </c>
      <c r="Q100" s="58">
        <f t="shared" si="32"/>
        <v>278.00893571428577</v>
      </c>
      <c r="R100" s="66">
        <f t="shared" si="22"/>
        <v>4.2910679227500008</v>
      </c>
      <c r="S100" s="64">
        <f t="shared" si="33"/>
        <v>26.25</v>
      </c>
      <c r="T100" s="66">
        <f t="shared" si="34"/>
        <v>275.74494922275005</v>
      </c>
      <c r="U100" s="68">
        <f t="shared" si="35"/>
        <v>39.392135603250004</v>
      </c>
      <c r="V100" s="68">
        <f t="shared" si="36"/>
        <v>468.9539952767858</v>
      </c>
      <c r="W100" s="68">
        <f t="shared" si="37"/>
        <v>312.63599685119055</v>
      </c>
    </row>
    <row r="101" spans="1:23" x14ac:dyDescent="0.25">
      <c r="A101" s="169" t="s">
        <v>941</v>
      </c>
      <c r="B101" s="61" t="s">
        <v>390</v>
      </c>
      <c r="C101" s="61" t="s">
        <v>585</v>
      </c>
      <c r="D101" s="61" t="s">
        <v>587</v>
      </c>
      <c r="E101" s="1" t="s">
        <v>770</v>
      </c>
      <c r="F101" s="62" t="str">
        <f t="shared" si="16"/>
        <v>20115</v>
      </c>
      <c r="G101" s="269">
        <v>10620115</v>
      </c>
      <c r="H101" s="1" t="s">
        <v>382</v>
      </c>
      <c r="I101" s="61">
        <v>16</v>
      </c>
      <c r="J101" s="61">
        <v>3.8</v>
      </c>
      <c r="K101" s="61">
        <v>8.4</v>
      </c>
      <c r="L101" s="69">
        <f t="shared" si="28"/>
        <v>0.60799999999999998</v>
      </c>
      <c r="M101" s="69">
        <f t="shared" si="29"/>
        <v>1.3440000000000001</v>
      </c>
      <c r="N101" s="56">
        <f>INDEX(Rate_Chart!$A$1:$AK$127,MATCH(Data!J101,Rate_Chart!$A$1:$A$127,0),MATCH(Data!K101,Rate_Chart!$A$1:$AK$1,0))</f>
        <v>39.19916760000001</v>
      </c>
      <c r="O101" s="57">
        <f t="shared" si="30"/>
        <v>627.18668160000016</v>
      </c>
      <c r="P101" s="58">
        <f t="shared" si="31"/>
        <v>417.01242127659583</v>
      </c>
      <c r="Q101" s="58">
        <f t="shared" si="32"/>
        <v>278.00828085106389</v>
      </c>
      <c r="R101" s="66">
        <f t="shared" si="22"/>
        <v>10.975766928000004</v>
      </c>
      <c r="S101" s="64">
        <f t="shared" si="33"/>
        <v>60</v>
      </c>
      <c r="T101" s="66">
        <f t="shared" si="34"/>
        <v>698.16244852800014</v>
      </c>
      <c r="U101" s="68">
        <f t="shared" si="35"/>
        <v>43.635153033000009</v>
      </c>
      <c r="V101" s="68">
        <f t="shared" si="36"/>
        <v>464.20375567021284</v>
      </c>
      <c r="W101" s="68">
        <f t="shared" si="37"/>
        <v>309.46917044680856</v>
      </c>
    </row>
    <row r="102" spans="1:23" x14ac:dyDescent="0.25">
      <c r="A102" s="169" t="s">
        <v>941</v>
      </c>
      <c r="B102" s="61" t="s">
        <v>391</v>
      </c>
      <c r="C102" s="61" t="s">
        <v>585</v>
      </c>
      <c r="D102" s="61" t="s">
        <v>587</v>
      </c>
      <c r="E102" s="1" t="s">
        <v>770</v>
      </c>
      <c r="F102" s="62" t="str">
        <f t="shared" si="16"/>
        <v>20115</v>
      </c>
      <c r="G102" s="269">
        <v>10620115</v>
      </c>
      <c r="H102" s="1" t="s">
        <v>382</v>
      </c>
      <c r="I102" s="61">
        <v>26</v>
      </c>
      <c r="J102" s="61">
        <v>3.8</v>
      </c>
      <c r="K102" s="61">
        <v>8.3000000000000007</v>
      </c>
      <c r="L102" s="69">
        <f t="shared" si="28"/>
        <v>0.98799999999999999</v>
      </c>
      <c r="M102" s="69">
        <f t="shared" si="29"/>
        <v>2.1579999999999999</v>
      </c>
      <c r="N102" s="56">
        <f>INDEX(Rate_Chart!$A$1:$AK$127,MATCH(Data!J102,Rate_Chart!$A$1:$A$127,0),MATCH(Data!K102,Rate_Chart!$A$1:$AK$1,0))</f>
        <v>38.921153700000005</v>
      </c>
      <c r="O102" s="57">
        <f t="shared" si="30"/>
        <v>1011.9499962000001</v>
      </c>
      <c r="P102" s="58">
        <f t="shared" si="31"/>
        <v>417.01236107142859</v>
      </c>
      <c r="Q102" s="58">
        <f t="shared" si="32"/>
        <v>278.00824071428571</v>
      </c>
      <c r="R102" s="66">
        <f t="shared" si="22"/>
        <v>17.709124933500004</v>
      </c>
      <c r="S102" s="64">
        <f t="shared" si="33"/>
        <v>97.5</v>
      </c>
      <c r="T102" s="66">
        <f t="shared" si="34"/>
        <v>1127.1591211335001</v>
      </c>
      <c r="U102" s="68">
        <f t="shared" si="35"/>
        <v>43.352273889750002</v>
      </c>
      <c r="V102" s="68">
        <f t="shared" si="36"/>
        <v>464.48864881874999</v>
      </c>
      <c r="W102" s="68">
        <f t="shared" si="37"/>
        <v>309.6590992125</v>
      </c>
    </row>
    <row r="103" spans="1:23" x14ac:dyDescent="0.25">
      <c r="A103" s="169" t="s">
        <v>942</v>
      </c>
      <c r="B103" s="61" t="s">
        <v>390</v>
      </c>
      <c r="C103" s="61" t="s">
        <v>585</v>
      </c>
      <c r="D103" s="61" t="s">
        <v>587</v>
      </c>
      <c r="E103" s="1" t="s">
        <v>770</v>
      </c>
      <c r="F103" s="62" t="str">
        <f t="shared" si="16"/>
        <v>20115</v>
      </c>
      <c r="G103" s="269">
        <v>10620115</v>
      </c>
      <c r="H103" s="1" t="s">
        <v>382</v>
      </c>
      <c r="I103" s="61">
        <v>34</v>
      </c>
      <c r="J103" s="61">
        <v>4.0999999999999996</v>
      </c>
      <c r="K103" s="61">
        <v>8.3000000000000007</v>
      </c>
      <c r="L103" s="69">
        <f t="shared" si="28"/>
        <v>1.3939999999999997</v>
      </c>
      <c r="M103" s="69">
        <f t="shared" si="29"/>
        <v>2.8220000000000005</v>
      </c>
      <c r="N103" s="56">
        <f>INDEX(Rate_Chart!$A$1:$AK$127,MATCH(Data!J103,Rate_Chart!$A$1:$A$127,0),MATCH(Data!K103,Rate_Chart!$A$1:$AK$1,0))</f>
        <v>40.172153700000003</v>
      </c>
      <c r="O103" s="57">
        <f t="shared" si="30"/>
        <v>1365.8532258</v>
      </c>
      <c r="P103" s="58">
        <f t="shared" si="31"/>
        <v>417.01197612456752</v>
      </c>
      <c r="Q103" s="58">
        <f t="shared" si="32"/>
        <v>278.00798408304502</v>
      </c>
      <c r="R103" s="66">
        <f t="shared" si="22"/>
        <v>23.902431451500004</v>
      </c>
      <c r="S103" s="64">
        <f t="shared" si="33"/>
        <v>127.5</v>
      </c>
      <c r="T103" s="66">
        <f t="shared" si="34"/>
        <v>1517.2556572515</v>
      </c>
      <c r="U103" s="68">
        <f t="shared" si="35"/>
        <v>44.625166389749999</v>
      </c>
      <c r="V103" s="68">
        <f t="shared" si="36"/>
        <v>463.23702134688585</v>
      </c>
      <c r="W103" s="68">
        <f t="shared" si="37"/>
        <v>308.82468089792388</v>
      </c>
    </row>
    <row r="104" spans="1:23" x14ac:dyDescent="0.25">
      <c r="A104" s="169" t="s">
        <v>942</v>
      </c>
      <c r="B104" s="61" t="s">
        <v>391</v>
      </c>
      <c r="C104" s="61" t="s">
        <v>585</v>
      </c>
      <c r="D104" s="61" t="s">
        <v>587</v>
      </c>
      <c r="E104" s="1" t="s">
        <v>770</v>
      </c>
      <c r="F104" s="62" t="str">
        <f t="shared" si="16"/>
        <v>20115</v>
      </c>
      <c r="G104" s="269">
        <v>10620115</v>
      </c>
      <c r="H104" s="1" t="s">
        <v>382</v>
      </c>
      <c r="I104" s="61">
        <v>29</v>
      </c>
      <c r="J104" s="61">
        <v>3.9</v>
      </c>
      <c r="K104" s="61">
        <v>8.3000000000000007</v>
      </c>
      <c r="L104" s="69">
        <f t="shared" si="28"/>
        <v>1.131</v>
      </c>
      <c r="M104" s="69">
        <f t="shared" si="29"/>
        <v>2.407</v>
      </c>
      <c r="N104" s="56">
        <f>INDEX(Rate_Chart!$A$1:$AK$127,MATCH(Data!J104,Rate_Chart!$A$1:$A$127,0),MATCH(Data!K104,Rate_Chart!$A$1:$AK$1,0))</f>
        <v>39.338153700000007</v>
      </c>
      <c r="O104" s="57">
        <f t="shared" si="30"/>
        <v>1140.8064573000001</v>
      </c>
      <c r="P104" s="58">
        <f t="shared" si="31"/>
        <v>417.01223003533573</v>
      </c>
      <c r="Q104" s="58">
        <f t="shared" si="32"/>
        <v>278.00815335689049</v>
      </c>
      <c r="R104" s="66">
        <f t="shared" si="22"/>
        <v>19.964113002750004</v>
      </c>
      <c r="S104" s="64">
        <f t="shared" si="33"/>
        <v>108.75</v>
      </c>
      <c r="T104" s="66">
        <f t="shared" si="34"/>
        <v>1269.5205703027502</v>
      </c>
      <c r="U104" s="68">
        <f t="shared" si="35"/>
        <v>43.776571389750011</v>
      </c>
      <c r="V104" s="68">
        <f t="shared" si="36"/>
        <v>464.0625942376326</v>
      </c>
      <c r="W104" s="68">
        <f t="shared" si="37"/>
        <v>309.37506282508838</v>
      </c>
    </row>
    <row r="105" spans="1:23" x14ac:dyDescent="0.25">
      <c r="A105" s="169" t="s">
        <v>943</v>
      </c>
      <c r="B105" s="61" t="s">
        <v>390</v>
      </c>
      <c r="C105" s="61" t="s">
        <v>585</v>
      </c>
      <c r="D105" s="61" t="s">
        <v>587</v>
      </c>
      <c r="E105" s="1" t="s">
        <v>770</v>
      </c>
      <c r="F105" s="62" t="str">
        <f t="shared" si="16"/>
        <v>20115</v>
      </c>
      <c r="G105" s="269">
        <v>10620115</v>
      </c>
      <c r="H105" s="1" t="s">
        <v>382</v>
      </c>
      <c r="I105" s="61">
        <v>36</v>
      </c>
      <c r="J105" s="61">
        <v>4.0999999999999996</v>
      </c>
      <c r="K105" s="61">
        <v>8.4</v>
      </c>
      <c r="L105" s="69">
        <f t="shared" si="28"/>
        <v>1.476</v>
      </c>
      <c r="M105" s="69">
        <f t="shared" si="29"/>
        <v>3.0240000000000005</v>
      </c>
      <c r="N105" s="56">
        <f>INDEX(Rate_Chart!$A$1:$AK$127,MATCH(Data!J105,Rate_Chart!$A$1:$A$127,0),MATCH(Data!K105,Rate_Chart!$A$1:$AK$1,0))</f>
        <v>40.4501676</v>
      </c>
      <c r="O105" s="57">
        <f t="shared" si="30"/>
        <v>1456.2060336</v>
      </c>
      <c r="P105" s="58">
        <f t="shared" si="31"/>
        <v>417.01203711340207</v>
      </c>
      <c r="Q105" s="58">
        <f t="shared" si="32"/>
        <v>278.00802474226805</v>
      </c>
      <c r="R105" s="66">
        <f t="shared" si="22"/>
        <v>25.483605588000003</v>
      </c>
      <c r="S105" s="64">
        <f t="shared" si="33"/>
        <v>135</v>
      </c>
      <c r="T105" s="66">
        <f t="shared" si="34"/>
        <v>1616.689639188</v>
      </c>
      <c r="U105" s="68">
        <f t="shared" si="35"/>
        <v>44.908045532999999</v>
      </c>
      <c r="V105" s="68">
        <f t="shared" si="36"/>
        <v>462.96954157731955</v>
      </c>
      <c r="W105" s="68">
        <f t="shared" si="37"/>
        <v>308.64636105154636</v>
      </c>
    </row>
    <row r="106" spans="1:23" x14ac:dyDescent="0.25">
      <c r="A106" s="169" t="s">
        <v>943</v>
      </c>
      <c r="B106" s="61" t="s">
        <v>391</v>
      </c>
      <c r="C106" s="61" t="s">
        <v>585</v>
      </c>
      <c r="D106" s="61" t="s">
        <v>587</v>
      </c>
      <c r="E106" s="1" t="s">
        <v>770</v>
      </c>
      <c r="F106" s="62" t="str">
        <f t="shared" si="16"/>
        <v>20115</v>
      </c>
      <c r="G106" s="269">
        <v>10620115</v>
      </c>
      <c r="H106" s="1" t="s">
        <v>382</v>
      </c>
      <c r="I106" s="61">
        <v>26</v>
      </c>
      <c r="J106" s="61">
        <v>4</v>
      </c>
      <c r="K106" s="61">
        <v>8.1999999999999993</v>
      </c>
      <c r="L106" s="69">
        <f t="shared" si="28"/>
        <v>1.04</v>
      </c>
      <c r="M106" s="69">
        <f t="shared" si="29"/>
        <v>2.1319999999999997</v>
      </c>
      <c r="N106" s="56">
        <f>INDEX(Rate_Chart!$A$1:$AK$127,MATCH(Data!J106,Rate_Chart!$A$1:$A$127,0),MATCH(Data!K106,Rate_Chart!$A$1:$AK$1,0))</f>
        <v>39.477139800000003</v>
      </c>
      <c r="O106" s="57">
        <f t="shared" si="30"/>
        <v>1026.4056348000001</v>
      </c>
      <c r="P106" s="58">
        <f t="shared" si="31"/>
        <v>417.0120401408451</v>
      </c>
      <c r="Q106" s="58">
        <f t="shared" si="32"/>
        <v>278.00802676056338</v>
      </c>
      <c r="R106" s="66">
        <f t="shared" si="22"/>
        <v>17.962098609000005</v>
      </c>
      <c r="S106" s="64">
        <f t="shared" si="33"/>
        <v>97.5</v>
      </c>
      <c r="T106" s="66">
        <f t="shared" si="34"/>
        <v>1141.8677334090003</v>
      </c>
      <c r="U106" s="68">
        <f t="shared" si="35"/>
        <v>43.917989746500012</v>
      </c>
      <c r="V106" s="68">
        <f t="shared" si="36"/>
        <v>463.92242689964803</v>
      </c>
      <c r="W106" s="68">
        <f t="shared" si="37"/>
        <v>309.28161793309869</v>
      </c>
    </row>
    <row r="107" spans="1:23" x14ac:dyDescent="0.25">
      <c r="A107" s="169" t="s">
        <v>944</v>
      </c>
      <c r="B107" s="61" t="s">
        <v>390</v>
      </c>
      <c r="C107" s="61" t="s">
        <v>585</v>
      </c>
      <c r="D107" s="61" t="s">
        <v>587</v>
      </c>
      <c r="E107" s="1" t="s">
        <v>770</v>
      </c>
      <c r="F107" s="62" t="str">
        <f t="shared" si="16"/>
        <v>20115</v>
      </c>
      <c r="G107" s="269">
        <v>10620115</v>
      </c>
      <c r="H107" s="1" t="s">
        <v>382</v>
      </c>
      <c r="I107" s="61">
        <v>34</v>
      </c>
      <c r="J107" s="61">
        <v>4</v>
      </c>
      <c r="K107" s="61">
        <v>8.4</v>
      </c>
      <c r="L107" s="69">
        <f t="shared" si="28"/>
        <v>1.36</v>
      </c>
      <c r="M107" s="69">
        <f t="shared" si="29"/>
        <v>2.8560000000000003</v>
      </c>
      <c r="N107" s="56">
        <f>INDEX(Rate_Chart!$A$1:$AK$127,MATCH(Data!J107,Rate_Chart!$A$1:$A$127,0),MATCH(Data!K107,Rate_Chart!$A$1:$AK$1,0))</f>
        <v>40.033167600000006</v>
      </c>
      <c r="O107" s="57">
        <f t="shared" si="30"/>
        <v>1361.1276984000001</v>
      </c>
      <c r="P107" s="58">
        <f t="shared" si="31"/>
        <v>417.01216250000004</v>
      </c>
      <c r="Q107" s="58">
        <f t="shared" si="32"/>
        <v>278.00810833333338</v>
      </c>
      <c r="R107" s="66">
        <f t="shared" si="22"/>
        <v>23.819734722000003</v>
      </c>
      <c r="S107" s="64">
        <f t="shared" si="33"/>
        <v>127.5</v>
      </c>
      <c r="T107" s="66">
        <f t="shared" si="34"/>
        <v>1512.4474331220001</v>
      </c>
      <c r="U107" s="68">
        <f t="shared" si="35"/>
        <v>44.483748033000005</v>
      </c>
      <c r="V107" s="68">
        <f t="shared" si="36"/>
        <v>463.37237534375004</v>
      </c>
      <c r="W107" s="68">
        <f t="shared" si="37"/>
        <v>308.91491689583336</v>
      </c>
    </row>
    <row r="108" spans="1:23" x14ac:dyDescent="0.25">
      <c r="A108" s="169" t="s">
        <v>944</v>
      </c>
      <c r="B108" s="61" t="s">
        <v>391</v>
      </c>
      <c r="C108" s="61" t="s">
        <v>585</v>
      </c>
      <c r="D108" s="61" t="s">
        <v>587</v>
      </c>
      <c r="E108" s="1" t="s">
        <v>770</v>
      </c>
      <c r="F108" s="62" t="str">
        <f t="shared" si="16"/>
        <v>20115</v>
      </c>
      <c r="G108" s="269">
        <v>10620115</v>
      </c>
      <c r="H108" s="1" t="s">
        <v>382</v>
      </c>
      <c r="I108" s="61">
        <v>17</v>
      </c>
      <c r="J108" s="61">
        <v>4.2</v>
      </c>
      <c r="K108" s="61">
        <v>8.5</v>
      </c>
      <c r="L108" s="69">
        <f t="shared" si="28"/>
        <v>0.71400000000000008</v>
      </c>
      <c r="M108" s="69">
        <f t="shared" si="29"/>
        <v>1.4450000000000001</v>
      </c>
      <c r="N108" s="56">
        <f>INDEX(Rate_Chart!$A$1:$AK$127,MATCH(Data!J108,Rate_Chart!$A$1:$A$127,0),MATCH(Data!K108,Rate_Chart!$A$1:$AK$1,0))</f>
        <v>41.145181500000007</v>
      </c>
      <c r="O108" s="57">
        <f t="shared" si="30"/>
        <v>699.46808550000014</v>
      </c>
      <c r="P108" s="58">
        <f t="shared" si="31"/>
        <v>417.01197466216217</v>
      </c>
      <c r="Q108" s="58">
        <f t="shared" si="32"/>
        <v>278.00798310810814</v>
      </c>
      <c r="R108" s="66">
        <f t="shared" si="22"/>
        <v>12.240691496250003</v>
      </c>
      <c r="S108" s="64">
        <f t="shared" si="33"/>
        <v>63.75</v>
      </c>
      <c r="T108" s="66">
        <f t="shared" si="34"/>
        <v>775.45877699625021</v>
      </c>
      <c r="U108" s="68">
        <f t="shared" si="35"/>
        <v>45.615222176250015</v>
      </c>
      <c r="V108" s="68">
        <f t="shared" si="36"/>
        <v>462.31644097550685</v>
      </c>
      <c r="W108" s="68">
        <f t="shared" si="37"/>
        <v>308.21096065033788</v>
      </c>
    </row>
    <row r="109" spans="1:23" x14ac:dyDescent="0.25">
      <c r="A109" s="169" t="s">
        <v>945</v>
      </c>
      <c r="B109" s="61" t="s">
        <v>390</v>
      </c>
      <c r="C109" s="61" t="s">
        <v>585</v>
      </c>
      <c r="D109" s="61" t="s">
        <v>587</v>
      </c>
      <c r="E109" s="1" t="s">
        <v>770</v>
      </c>
      <c r="F109" s="62" t="str">
        <f t="shared" si="16"/>
        <v>20115</v>
      </c>
      <c r="G109" s="269">
        <v>10620115</v>
      </c>
      <c r="H109" s="1" t="s">
        <v>382</v>
      </c>
      <c r="I109" s="61">
        <v>34</v>
      </c>
      <c r="J109" s="61">
        <v>4.5</v>
      </c>
      <c r="K109" s="61">
        <v>8.5</v>
      </c>
      <c r="L109" s="69">
        <f t="shared" si="28"/>
        <v>1.53</v>
      </c>
      <c r="M109" s="69">
        <f t="shared" si="29"/>
        <v>2.89</v>
      </c>
      <c r="N109" s="56">
        <f>INDEX(Rate_Chart!$A$1:$AK$127,MATCH(Data!J109,Rate_Chart!$A$1:$A$127,0),MATCH(Data!K109,Rate_Chart!$A$1:$AK$1,0))</f>
        <v>42.396181500000004</v>
      </c>
      <c r="O109" s="57">
        <f t="shared" si="30"/>
        <v>1441.4701710000002</v>
      </c>
      <c r="P109" s="58">
        <f t="shared" si="31"/>
        <v>417.01162131147544</v>
      </c>
      <c r="Q109" s="58">
        <f t="shared" si="32"/>
        <v>278.00774754098364</v>
      </c>
      <c r="R109" s="66">
        <f t="shared" si="22"/>
        <v>25.225727992500005</v>
      </c>
      <c r="S109" s="64">
        <f t="shared" si="33"/>
        <v>127.5</v>
      </c>
      <c r="T109" s="66">
        <f t="shared" si="34"/>
        <v>1594.1958989925001</v>
      </c>
      <c r="U109" s="68">
        <f t="shared" si="35"/>
        <v>46.888114676250005</v>
      </c>
      <c r="V109" s="68">
        <f t="shared" si="36"/>
        <v>461.19457058606559</v>
      </c>
      <c r="W109" s="68">
        <f t="shared" si="37"/>
        <v>307.46304705737708</v>
      </c>
    </row>
    <row r="110" spans="1:23" x14ac:dyDescent="0.25">
      <c r="A110" s="169" t="s">
        <v>945</v>
      </c>
      <c r="B110" s="61" t="s">
        <v>391</v>
      </c>
      <c r="C110" s="61" t="s">
        <v>585</v>
      </c>
      <c r="D110" s="61" t="s">
        <v>587</v>
      </c>
      <c r="E110" s="1" t="s">
        <v>770</v>
      </c>
      <c r="F110" s="62" t="str">
        <f t="shared" si="16"/>
        <v>20115</v>
      </c>
      <c r="G110" s="269">
        <v>10620115</v>
      </c>
      <c r="H110" s="1" t="s">
        <v>382</v>
      </c>
      <c r="I110" s="61">
        <v>23</v>
      </c>
      <c r="J110" s="61">
        <v>4.3</v>
      </c>
      <c r="K110" s="61">
        <v>8.3000000000000007</v>
      </c>
      <c r="L110" s="69">
        <f t="shared" si="28"/>
        <v>0.98899999999999988</v>
      </c>
      <c r="M110" s="69">
        <f t="shared" si="29"/>
        <v>1.909</v>
      </c>
      <c r="N110" s="56">
        <f>INDEX(Rate_Chart!$A$1:$AK$127,MATCH(Data!J110,Rate_Chart!$A$1:$A$127,0),MATCH(Data!K110,Rate_Chart!$A$1:$AK$1,0))</f>
        <v>41.006153699999999</v>
      </c>
      <c r="O110" s="57">
        <f t="shared" si="30"/>
        <v>943.14153509999994</v>
      </c>
      <c r="P110" s="58">
        <f t="shared" si="31"/>
        <v>417.0117325423729</v>
      </c>
      <c r="Q110" s="58">
        <f t="shared" si="32"/>
        <v>278.00782169491526</v>
      </c>
      <c r="R110" s="66">
        <f t="shared" si="22"/>
        <v>16.504976864250001</v>
      </c>
      <c r="S110" s="64">
        <f t="shared" si="33"/>
        <v>86.25</v>
      </c>
      <c r="T110" s="66">
        <f t="shared" si="34"/>
        <v>1045.8965119642498</v>
      </c>
      <c r="U110" s="68">
        <f t="shared" si="35"/>
        <v>45.473761389749995</v>
      </c>
      <c r="V110" s="68">
        <f t="shared" si="36"/>
        <v>462.44503108220334</v>
      </c>
      <c r="W110" s="68">
        <f t="shared" si="37"/>
        <v>308.29668738813558</v>
      </c>
    </row>
    <row r="111" spans="1:23" x14ac:dyDescent="0.25">
      <c r="A111" s="169" t="s">
        <v>946</v>
      </c>
      <c r="B111" s="61" t="s">
        <v>390</v>
      </c>
      <c r="C111" s="61" t="s">
        <v>585</v>
      </c>
      <c r="D111" s="61" t="s">
        <v>587</v>
      </c>
      <c r="E111" s="1" t="s">
        <v>770</v>
      </c>
      <c r="F111" s="62" t="str">
        <f t="shared" si="16"/>
        <v>20115</v>
      </c>
      <c r="G111" s="269">
        <v>10620115</v>
      </c>
      <c r="H111" s="1" t="s">
        <v>382</v>
      </c>
      <c r="I111" s="61">
        <v>35</v>
      </c>
      <c r="J111" s="61">
        <v>4.0999999999999996</v>
      </c>
      <c r="K111" s="61">
        <v>8.4</v>
      </c>
      <c r="L111" s="69">
        <f t="shared" si="28"/>
        <v>1.4350000000000001</v>
      </c>
      <c r="M111" s="69">
        <f t="shared" si="29"/>
        <v>2.94</v>
      </c>
      <c r="N111" s="56">
        <f>INDEX(Rate_Chart!$A$1:$AK$127,MATCH(Data!J111,Rate_Chart!$A$1:$A$127,0),MATCH(Data!K111,Rate_Chart!$A$1:$AK$1,0))</f>
        <v>40.4501676</v>
      </c>
      <c r="O111" s="57">
        <f t="shared" si="30"/>
        <v>1415.755866</v>
      </c>
      <c r="P111" s="58">
        <f t="shared" si="31"/>
        <v>417.01203711340207</v>
      </c>
      <c r="Q111" s="58">
        <f t="shared" si="32"/>
        <v>278.00802474226805</v>
      </c>
      <c r="R111" s="66">
        <f t="shared" si="22"/>
        <v>24.775727655000001</v>
      </c>
      <c r="S111" s="64">
        <f t="shared" si="33"/>
        <v>131.25</v>
      </c>
      <c r="T111" s="66">
        <f t="shared" si="34"/>
        <v>1571.7815936550001</v>
      </c>
      <c r="U111" s="68">
        <f t="shared" si="35"/>
        <v>44.908045532999999</v>
      </c>
      <c r="V111" s="68">
        <f t="shared" si="36"/>
        <v>462.96954157731955</v>
      </c>
      <c r="W111" s="68">
        <f t="shared" si="37"/>
        <v>308.64636105154636</v>
      </c>
    </row>
    <row r="112" spans="1:23" x14ac:dyDescent="0.25">
      <c r="A112" s="169" t="s">
        <v>946</v>
      </c>
      <c r="B112" s="61" t="s">
        <v>391</v>
      </c>
      <c r="C112" s="61" t="s">
        <v>585</v>
      </c>
      <c r="D112" s="61" t="s">
        <v>587</v>
      </c>
      <c r="E112" s="1" t="s">
        <v>770</v>
      </c>
      <c r="F112" s="62" t="str">
        <f t="shared" si="16"/>
        <v>20115</v>
      </c>
      <c r="G112" s="269">
        <v>10620115</v>
      </c>
      <c r="H112" s="1" t="s">
        <v>382</v>
      </c>
      <c r="I112" s="61">
        <v>22</v>
      </c>
      <c r="J112" s="61">
        <v>3.9</v>
      </c>
      <c r="K112" s="61">
        <v>8.3000000000000007</v>
      </c>
      <c r="L112" s="69">
        <f t="shared" si="28"/>
        <v>0.85799999999999998</v>
      </c>
      <c r="M112" s="69">
        <f t="shared" si="29"/>
        <v>1.8260000000000003</v>
      </c>
      <c r="N112" s="56">
        <f>INDEX(Rate_Chart!$A$1:$AK$127,MATCH(Data!J112,Rate_Chart!$A$1:$A$127,0),MATCH(Data!K112,Rate_Chart!$A$1:$AK$1,0))</f>
        <v>39.338153700000007</v>
      </c>
      <c r="O112" s="57">
        <f t="shared" si="30"/>
        <v>865.43938140000012</v>
      </c>
      <c r="P112" s="58">
        <f t="shared" si="31"/>
        <v>417.01223003533573</v>
      </c>
      <c r="Q112" s="58">
        <f t="shared" si="32"/>
        <v>278.00815335689049</v>
      </c>
      <c r="R112" s="66">
        <f t="shared" si="22"/>
        <v>15.145189174500004</v>
      </c>
      <c r="S112" s="64">
        <f t="shared" si="33"/>
        <v>82.5</v>
      </c>
      <c r="T112" s="66">
        <f t="shared" si="34"/>
        <v>963.08457057450016</v>
      </c>
      <c r="U112" s="68">
        <f t="shared" si="35"/>
        <v>43.776571389750011</v>
      </c>
      <c r="V112" s="68">
        <f t="shared" si="36"/>
        <v>464.0625942376326</v>
      </c>
      <c r="W112" s="68">
        <f t="shared" si="37"/>
        <v>309.37506282508838</v>
      </c>
    </row>
    <row r="113" spans="1:23" x14ac:dyDescent="0.25">
      <c r="A113" s="169" t="s">
        <v>947</v>
      </c>
      <c r="B113" s="61" t="s">
        <v>390</v>
      </c>
      <c r="C113" s="61" t="s">
        <v>585</v>
      </c>
      <c r="D113" s="61" t="s">
        <v>587</v>
      </c>
      <c r="E113" s="1" t="s">
        <v>770</v>
      </c>
      <c r="F113" s="62" t="str">
        <f t="shared" si="16"/>
        <v>20115</v>
      </c>
      <c r="G113" s="269">
        <v>10620115</v>
      </c>
      <c r="H113" s="1" t="s">
        <v>382</v>
      </c>
      <c r="I113" s="61">
        <v>35</v>
      </c>
      <c r="J113" s="61">
        <v>4.2</v>
      </c>
      <c r="K113" s="61">
        <v>8.5</v>
      </c>
      <c r="L113" s="69">
        <f t="shared" si="28"/>
        <v>1.47</v>
      </c>
      <c r="M113" s="69">
        <f t="shared" si="29"/>
        <v>2.9750000000000001</v>
      </c>
      <c r="N113" s="56">
        <f>INDEX(Rate_Chart!$A$1:$AK$127,MATCH(Data!J113,Rate_Chart!$A$1:$A$127,0),MATCH(Data!K113,Rate_Chart!$A$1:$AK$1,0))</f>
        <v>41.145181500000007</v>
      </c>
      <c r="O113" s="57">
        <f t="shared" si="30"/>
        <v>1440.0813525000003</v>
      </c>
      <c r="P113" s="58">
        <f t="shared" si="31"/>
        <v>417.01197466216217</v>
      </c>
      <c r="Q113" s="58">
        <f t="shared" si="32"/>
        <v>278.00798310810814</v>
      </c>
      <c r="R113" s="66">
        <f t="shared" si="22"/>
        <v>25.201423668750007</v>
      </c>
      <c r="S113" s="64">
        <f t="shared" si="33"/>
        <v>131.25</v>
      </c>
      <c r="T113" s="66">
        <f t="shared" si="34"/>
        <v>1596.5327761687504</v>
      </c>
      <c r="U113" s="68">
        <f t="shared" si="35"/>
        <v>45.615222176250008</v>
      </c>
      <c r="V113" s="68">
        <f t="shared" si="36"/>
        <v>462.31644097550679</v>
      </c>
      <c r="W113" s="68">
        <f t="shared" si="37"/>
        <v>308.21096065033788</v>
      </c>
    </row>
    <row r="114" spans="1:23" x14ac:dyDescent="0.25">
      <c r="A114" s="169" t="s">
        <v>947</v>
      </c>
      <c r="B114" s="61" t="s">
        <v>391</v>
      </c>
      <c r="C114" s="61" t="s">
        <v>585</v>
      </c>
      <c r="D114" s="61" t="s">
        <v>587</v>
      </c>
      <c r="E114" s="1" t="s">
        <v>770</v>
      </c>
      <c r="F114" s="62" t="str">
        <f t="shared" si="16"/>
        <v>20115</v>
      </c>
      <c r="G114" s="269">
        <v>10620115</v>
      </c>
      <c r="H114" s="1" t="s">
        <v>382</v>
      </c>
      <c r="I114" s="61">
        <v>22</v>
      </c>
      <c r="J114" s="61">
        <v>4.2</v>
      </c>
      <c r="K114" s="61">
        <v>8.4</v>
      </c>
      <c r="L114" s="69">
        <f t="shared" si="28"/>
        <v>0.92400000000000004</v>
      </c>
      <c r="M114" s="69">
        <f t="shared" si="29"/>
        <v>1.8480000000000001</v>
      </c>
      <c r="N114" s="56">
        <f>INDEX(Rate_Chart!$A$1:$AK$127,MATCH(Data!J114,Rate_Chart!$A$1:$A$127,0),MATCH(Data!K114,Rate_Chart!$A$1:$AK$1,0))</f>
        <v>40.867167600000002</v>
      </c>
      <c r="O114" s="57">
        <f t="shared" si="30"/>
        <v>899.07768720000001</v>
      </c>
      <c r="P114" s="58">
        <f t="shared" si="31"/>
        <v>417.01191428571428</v>
      </c>
      <c r="Q114" s="58">
        <f t="shared" si="32"/>
        <v>278.00794285714284</v>
      </c>
      <c r="R114" s="66">
        <f t="shared" si="22"/>
        <v>15.733859526000002</v>
      </c>
      <c r="S114" s="64">
        <f t="shared" si="33"/>
        <v>82.5</v>
      </c>
      <c r="T114" s="66">
        <f t="shared" si="34"/>
        <v>997.31154672599996</v>
      </c>
      <c r="U114" s="68">
        <f t="shared" si="35"/>
        <v>45.332343033000001</v>
      </c>
      <c r="V114" s="68">
        <f t="shared" si="36"/>
        <v>462.57492890816326</v>
      </c>
      <c r="W114" s="68">
        <f t="shared" si="37"/>
        <v>308.38328593877549</v>
      </c>
    </row>
    <row r="115" spans="1:23" x14ac:dyDescent="0.25">
      <c r="A115" s="169" t="s">
        <v>945</v>
      </c>
      <c r="B115" s="61" t="s">
        <v>390</v>
      </c>
      <c r="C115" s="61" t="s">
        <v>585</v>
      </c>
      <c r="D115" s="61" t="s">
        <v>589</v>
      </c>
      <c r="E115" s="1" t="s">
        <v>804</v>
      </c>
      <c r="F115" s="62" t="str">
        <f t="shared" si="16"/>
        <v>20119</v>
      </c>
      <c r="G115" s="269">
        <v>10620119</v>
      </c>
      <c r="H115" s="1" t="s">
        <v>382</v>
      </c>
      <c r="I115" s="61">
        <v>700</v>
      </c>
      <c r="J115" s="61">
        <v>5</v>
      </c>
      <c r="K115" s="61">
        <v>8.1999999999999993</v>
      </c>
      <c r="L115" s="69">
        <f t="shared" si="28"/>
        <v>35</v>
      </c>
      <c r="M115" s="69">
        <f t="shared" si="29"/>
        <v>57.399999999999991</v>
      </c>
      <c r="N115" s="56">
        <f>INDEX(Rate_Chart!$A$1:$AK$127,MATCH(Data!J115,Rate_Chart!$A$1:$A$127,0),MATCH(Data!K115,Rate_Chart!$A$1:$AK$1,0))</f>
        <v>43.647139800000005</v>
      </c>
      <c r="O115" s="57">
        <f t="shared" si="30"/>
        <v>30552.997860000003</v>
      </c>
      <c r="P115" s="58">
        <f t="shared" si="31"/>
        <v>417.01088980891728</v>
      </c>
      <c r="Q115" s="58">
        <f t="shared" si="32"/>
        <v>278.00725987261154</v>
      </c>
      <c r="R115" s="66">
        <f t="shared" si="22"/>
        <v>534.67746255000009</v>
      </c>
      <c r="S115" s="64">
        <f t="shared" si="33"/>
        <v>2625</v>
      </c>
      <c r="T115" s="66">
        <f t="shared" si="34"/>
        <v>33712.67532255</v>
      </c>
      <c r="U115" s="68">
        <f t="shared" si="35"/>
        <v>48.160964746499999</v>
      </c>
      <c r="V115" s="68">
        <f t="shared" si="36"/>
        <v>460.13660585828029</v>
      </c>
      <c r="W115" s="68">
        <f t="shared" si="37"/>
        <v>306.75773723885351</v>
      </c>
    </row>
    <row r="116" spans="1:23" x14ac:dyDescent="0.25">
      <c r="A116" s="169" t="s">
        <v>945</v>
      </c>
      <c r="B116" s="61" t="s">
        <v>391</v>
      </c>
      <c r="C116" s="61" t="s">
        <v>585</v>
      </c>
      <c r="D116" s="61" t="s">
        <v>589</v>
      </c>
      <c r="E116" s="1" t="s">
        <v>804</v>
      </c>
      <c r="F116" s="62" t="str">
        <f t="shared" si="16"/>
        <v>20119</v>
      </c>
      <c r="G116" s="269">
        <v>10620119</v>
      </c>
      <c r="H116" s="1" t="s">
        <v>382</v>
      </c>
      <c r="I116" s="61">
        <v>700</v>
      </c>
      <c r="J116" s="61">
        <v>5</v>
      </c>
      <c r="K116" s="61">
        <v>8.1999999999999993</v>
      </c>
      <c r="L116" s="69">
        <f t="shared" si="28"/>
        <v>35</v>
      </c>
      <c r="M116" s="69">
        <f t="shared" si="29"/>
        <v>57.399999999999991</v>
      </c>
      <c r="N116" s="56">
        <f>INDEX(Rate_Chart!$A$1:$AK$127,MATCH(Data!J116,Rate_Chart!$A$1:$A$127,0),MATCH(Data!K116,Rate_Chart!$A$1:$AK$1,0))</f>
        <v>43.647139800000005</v>
      </c>
      <c r="O116" s="57">
        <f t="shared" si="30"/>
        <v>30552.997860000003</v>
      </c>
      <c r="P116" s="58">
        <f t="shared" si="31"/>
        <v>417.01088980891728</v>
      </c>
      <c r="Q116" s="58">
        <f t="shared" si="32"/>
        <v>278.00725987261154</v>
      </c>
      <c r="R116" s="66">
        <f t="shared" si="22"/>
        <v>534.67746255000009</v>
      </c>
      <c r="S116" s="64">
        <f t="shared" si="33"/>
        <v>2625</v>
      </c>
      <c r="T116" s="66">
        <f t="shared" si="34"/>
        <v>33712.67532255</v>
      </c>
      <c r="U116" s="68">
        <f t="shared" si="35"/>
        <v>48.160964746499999</v>
      </c>
      <c r="V116" s="68">
        <f t="shared" si="36"/>
        <v>460.13660585828029</v>
      </c>
      <c r="W116" s="68">
        <f t="shared" si="37"/>
        <v>306.75773723885351</v>
      </c>
    </row>
    <row r="117" spans="1:23" x14ac:dyDescent="0.25">
      <c r="A117" s="169" t="s">
        <v>946</v>
      </c>
      <c r="B117" s="61" t="s">
        <v>390</v>
      </c>
      <c r="C117" s="61" t="s">
        <v>585</v>
      </c>
      <c r="D117" s="61" t="s">
        <v>589</v>
      </c>
      <c r="E117" s="1" t="s">
        <v>804</v>
      </c>
      <c r="F117" s="62" t="str">
        <f t="shared" si="16"/>
        <v>20119</v>
      </c>
      <c r="G117" s="269">
        <v>10620119</v>
      </c>
      <c r="H117" s="1" t="s">
        <v>382</v>
      </c>
      <c r="I117" s="61">
        <v>620</v>
      </c>
      <c r="J117" s="61">
        <v>5</v>
      </c>
      <c r="K117" s="61">
        <v>8.1999999999999993</v>
      </c>
      <c r="L117" s="69">
        <f t="shared" si="28"/>
        <v>31</v>
      </c>
      <c r="M117" s="69">
        <f t="shared" si="29"/>
        <v>50.84</v>
      </c>
      <c r="N117" s="56">
        <f>INDEX(Rate_Chart!$A$1:$AK$127,MATCH(Data!J117,Rate_Chart!$A$1:$A$127,0),MATCH(Data!K117,Rate_Chart!$A$1:$AK$1,0))</f>
        <v>43.647139800000005</v>
      </c>
      <c r="O117" s="57">
        <f t="shared" si="30"/>
        <v>27061.226676000002</v>
      </c>
      <c r="P117" s="58">
        <f t="shared" si="31"/>
        <v>417.01088980891728</v>
      </c>
      <c r="Q117" s="58">
        <f t="shared" si="32"/>
        <v>278.00725987261154</v>
      </c>
      <c r="R117" s="66">
        <f t="shared" si="22"/>
        <v>473.57146683000008</v>
      </c>
      <c r="S117" s="64">
        <f t="shared" si="33"/>
        <v>2325</v>
      </c>
      <c r="T117" s="66">
        <f t="shared" si="34"/>
        <v>29859.798142830001</v>
      </c>
      <c r="U117" s="68">
        <f t="shared" si="35"/>
        <v>48.160964746499999</v>
      </c>
      <c r="V117" s="68">
        <f t="shared" si="36"/>
        <v>460.13660585828029</v>
      </c>
      <c r="W117" s="68">
        <f t="shared" si="37"/>
        <v>306.75773723885351</v>
      </c>
    </row>
    <row r="118" spans="1:23" x14ac:dyDescent="0.25">
      <c r="A118" s="169" t="s">
        <v>947</v>
      </c>
      <c r="B118" s="61" t="s">
        <v>391</v>
      </c>
      <c r="C118" s="61" t="s">
        <v>585</v>
      </c>
      <c r="D118" s="61" t="s">
        <v>589</v>
      </c>
      <c r="E118" s="1" t="s">
        <v>804</v>
      </c>
      <c r="F118" s="62" t="str">
        <f t="shared" si="16"/>
        <v>20119</v>
      </c>
      <c r="G118" s="269">
        <v>10620119</v>
      </c>
      <c r="H118" s="1" t="s">
        <v>382</v>
      </c>
      <c r="I118" s="61">
        <v>1230</v>
      </c>
      <c r="J118" s="61">
        <v>5</v>
      </c>
      <c r="K118" s="61">
        <v>8</v>
      </c>
      <c r="L118" s="69">
        <f t="shared" si="28"/>
        <v>61.5</v>
      </c>
      <c r="M118" s="69">
        <f t="shared" si="29"/>
        <v>98.4</v>
      </c>
      <c r="N118" s="56">
        <f>INDEX(Rate_Chart!$A$1:$AK$127,MATCH(Data!J118,Rate_Chart!$A$1:$A$127,0),MATCH(Data!K118,Rate_Chart!$A$1:$AK$1,0))</f>
        <v>43.09111200000001</v>
      </c>
      <c r="O118" s="57">
        <f t="shared" si="30"/>
        <v>53002.067760000013</v>
      </c>
      <c r="P118" s="58">
        <f t="shared" si="31"/>
        <v>417.01076129032271</v>
      </c>
      <c r="Q118" s="58">
        <f t="shared" si="32"/>
        <v>278.00717419354845</v>
      </c>
      <c r="R118" s="66">
        <f t="shared" si="22"/>
        <v>927.53618580000034</v>
      </c>
      <c r="S118" s="64">
        <f t="shared" si="33"/>
        <v>4612.5</v>
      </c>
      <c r="T118" s="66">
        <f t="shared" si="34"/>
        <v>58542.103945800016</v>
      </c>
      <c r="U118" s="68">
        <f t="shared" si="35"/>
        <v>47.595206460000014</v>
      </c>
      <c r="V118" s="68">
        <f t="shared" si="36"/>
        <v>460.59877219354854</v>
      </c>
      <c r="W118" s="68">
        <f t="shared" si="37"/>
        <v>307.06584812903236</v>
      </c>
    </row>
    <row r="119" spans="1:23" x14ac:dyDescent="0.25">
      <c r="A119" s="169" t="s">
        <v>941</v>
      </c>
      <c r="B119" s="61" t="s">
        <v>391</v>
      </c>
      <c r="C119" s="61" t="s">
        <v>585</v>
      </c>
      <c r="D119" s="61" t="s">
        <v>588</v>
      </c>
      <c r="E119" s="1" t="s">
        <v>830</v>
      </c>
      <c r="F119" s="62" t="str">
        <f t="shared" si="16"/>
        <v>20120</v>
      </c>
      <c r="G119" s="269">
        <v>10620120</v>
      </c>
      <c r="H119" s="1" t="s">
        <v>381</v>
      </c>
      <c r="I119" s="61">
        <v>15</v>
      </c>
      <c r="J119" s="61">
        <v>6.9</v>
      </c>
      <c r="K119" s="61">
        <v>9</v>
      </c>
      <c r="L119" s="69">
        <f t="shared" si="28"/>
        <v>1.0349999999999999</v>
      </c>
      <c r="M119" s="69">
        <f t="shared" si="29"/>
        <v>1.35</v>
      </c>
      <c r="N119" s="56">
        <f>INDEX(Rate_Chart!$A$1:$AK$127,MATCH(Data!J119,Rate_Chart!$A$1:$A$127,0),MATCH(Data!K119,Rate_Chart!$A$1:$AK$1,0))</f>
        <v>57.615000000000002</v>
      </c>
      <c r="O119" s="57">
        <f t="shared" si="30"/>
        <v>864.22500000000002</v>
      </c>
      <c r="P119" s="58">
        <f t="shared" si="31"/>
        <v>446.62790697674421</v>
      </c>
      <c r="Q119" s="58">
        <f t="shared" si="32"/>
        <v>297.75193798449612</v>
      </c>
      <c r="R119" s="66">
        <f t="shared" si="22"/>
        <v>15.123937500000002</v>
      </c>
      <c r="S119" s="64">
        <f t="shared" si="33"/>
        <v>56.25</v>
      </c>
      <c r="T119" s="66">
        <f t="shared" si="34"/>
        <v>935.59893750000003</v>
      </c>
      <c r="U119" s="68">
        <f t="shared" si="35"/>
        <v>62.373262500000003</v>
      </c>
      <c r="V119" s="68">
        <f t="shared" si="36"/>
        <v>483.51366279069771</v>
      </c>
      <c r="W119" s="68">
        <f t="shared" si="37"/>
        <v>322.34244186046516</v>
      </c>
    </row>
    <row r="120" spans="1:23" x14ac:dyDescent="0.25">
      <c r="A120" s="169" t="s">
        <v>942</v>
      </c>
      <c r="B120" s="61" t="s">
        <v>391</v>
      </c>
      <c r="C120" s="61" t="s">
        <v>585</v>
      </c>
      <c r="D120" s="61" t="s">
        <v>588</v>
      </c>
      <c r="E120" s="1" t="s">
        <v>830</v>
      </c>
      <c r="F120" s="62" t="str">
        <f t="shared" si="16"/>
        <v>20120</v>
      </c>
      <c r="G120" s="269">
        <v>10620120</v>
      </c>
      <c r="H120" s="1" t="s">
        <v>381</v>
      </c>
      <c r="I120" s="61">
        <v>14</v>
      </c>
      <c r="J120" s="61">
        <v>7</v>
      </c>
      <c r="K120" s="61">
        <v>9</v>
      </c>
      <c r="L120" s="69">
        <f t="shared" si="28"/>
        <v>0.98</v>
      </c>
      <c r="M120" s="69">
        <f t="shared" si="29"/>
        <v>1.26</v>
      </c>
      <c r="N120" s="56">
        <f>INDEX(Rate_Chart!$A$1:$AK$127,MATCH(Data!J120,Rate_Chart!$A$1:$A$127,0),MATCH(Data!K120,Rate_Chart!$A$1:$AK$1,0))</f>
        <v>58.45</v>
      </c>
      <c r="O120" s="57">
        <f t="shared" si="30"/>
        <v>818.30000000000007</v>
      </c>
      <c r="P120" s="58">
        <f t="shared" si="31"/>
        <v>449.61538461538464</v>
      </c>
      <c r="Q120" s="58">
        <f t="shared" si="32"/>
        <v>299.74358974358978</v>
      </c>
      <c r="R120" s="66">
        <f t="shared" si="22"/>
        <v>14.320250000000003</v>
      </c>
      <c r="S120" s="64">
        <f t="shared" si="33"/>
        <v>52.5</v>
      </c>
      <c r="T120" s="66">
        <f t="shared" si="34"/>
        <v>885.12025000000006</v>
      </c>
      <c r="U120" s="68">
        <f t="shared" si="35"/>
        <v>63.222875000000002</v>
      </c>
      <c r="V120" s="68">
        <f t="shared" si="36"/>
        <v>486.32980769230767</v>
      </c>
      <c r="W120" s="68">
        <f t="shared" si="37"/>
        <v>324.21987179487178</v>
      </c>
    </row>
    <row r="121" spans="1:23" x14ac:dyDescent="0.25">
      <c r="A121" s="169" t="s">
        <v>943</v>
      </c>
      <c r="B121" s="61" t="s">
        <v>391</v>
      </c>
      <c r="C121" s="61" t="s">
        <v>585</v>
      </c>
      <c r="D121" s="61" t="s">
        <v>588</v>
      </c>
      <c r="E121" s="1" t="s">
        <v>830</v>
      </c>
      <c r="F121" s="62" t="str">
        <f t="shared" si="16"/>
        <v>20120</v>
      </c>
      <c r="G121" s="269">
        <v>10620120</v>
      </c>
      <c r="H121" s="1" t="s">
        <v>381</v>
      </c>
      <c r="I121" s="61">
        <v>13</v>
      </c>
      <c r="J121" s="61">
        <v>6.5</v>
      </c>
      <c r="K121" s="61">
        <v>9</v>
      </c>
      <c r="L121" s="69">
        <f t="shared" si="28"/>
        <v>0.84499999999999997</v>
      </c>
      <c r="M121" s="69">
        <f t="shared" si="29"/>
        <v>1.17</v>
      </c>
      <c r="N121" s="56">
        <f>INDEX(Rate_Chart!$A$1:$AK$127,MATCH(Data!J121,Rate_Chart!$A$1:$A$127,0),MATCH(Data!K121,Rate_Chart!$A$1:$AK$1,0))</f>
        <v>54.274999999999999</v>
      </c>
      <c r="O121" s="57">
        <f t="shared" si="30"/>
        <v>705.57499999999993</v>
      </c>
      <c r="P121" s="58">
        <f t="shared" si="31"/>
        <v>434.2</v>
      </c>
      <c r="Q121" s="58">
        <f t="shared" si="32"/>
        <v>289.46666666666664</v>
      </c>
      <c r="R121" s="66">
        <f t="shared" si="22"/>
        <v>12.3475625</v>
      </c>
      <c r="S121" s="64">
        <f t="shared" si="33"/>
        <v>48.75</v>
      </c>
      <c r="T121" s="66">
        <f t="shared" si="34"/>
        <v>766.67256249999991</v>
      </c>
      <c r="U121" s="68">
        <f t="shared" si="35"/>
        <v>58.974812499999992</v>
      </c>
      <c r="V121" s="68">
        <f t="shared" si="36"/>
        <v>471.79849999999993</v>
      </c>
      <c r="W121" s="68">
        <f t="shared" si="37"/>
        <v>314.53233333333327</v>
      </c>
    </row>
    <row r="122" spans="1:23" x14ac:dyDescent="0.25">
      <c r="A122" s="169" t="s">
        <v>944</v>
      </c>
      <c r="B122" s="61" t="s">
        <v>390</v>
      </c>
      <c r="C122" s="61" t="s">
        <v>585</v>
      </c>
      <c r="D122" s="61" t="s">
        <v>588</v>
      </c>
      <c r="E122" s="1" t="s">
        <v>830</v>
      </c>
      <c r="F122" s="62" t="str">
        <f t="shared" si="16"/>
        <v>20120</v>
      </c>
      <c r="G122" s="269">
        <v>10620120</v>
      </c>
      <c r="H122" s="1" t="s">
        <v>381</v>
      </c>
      <c r="I122" s="61">
        <v>13</v>
      </c>
      <c r="J122" s="61">
        <v>6.6</v>
      </c>
      <c r="K122" s="61">
        <v>9</v>
      </c>
      <c r="L122" s="69">
        <f t="shared" si="28"/>
        <v>0.85799999999999998</v>
      </c>
      <c r="M122" s="69">
        <f t="shared" si="29"/>
        <v>1.17</v>
      </c>
      <c r="N122" s="56">
        <f>INDEX(Rate_Chart!$A$1:$AK$127,MATCH(Data!J122,Rate_Chart!$A$1:$A$127,0),MATCH(Data!K122,Rate_Chart!$A$1:$AK$1,0))</f>
        <v>55.11</v>
      </c>
      <c r="O122" s="57">
        <f t="shared" si="30"/>
        <v>716.43</v>
      </c>
      <c r="P122" s="58">
        <f t="shared" si="31"/>
        <v>437.38095238095235</v>
      </c>
      <c r="Q122" s="58">
        <f t="shared" si="32"/>
        <v>291.58730158730157</v>
      </c>
      <c r="R122" s="66">
        <f t="shared" si="22"/>
        <v>12.537525</v>
      </c>
      <c r="S122" s="64">
        <f t="shared" si="33"/>
        <v>48.75</v>
      </c>
      <c r="T122" s="66">
        <f t="shared" si="34"/>
        <v>777.71752499999991</v>
      </c>
      <c r="U122" s="68">
        <f t="shared" si="35"/>
        <v>59.824424999999991</v>
      </c>
      <c r="V122" s="68">
        <f t="shared" si="36"/>
        <v>474.79702380952375</v>
      </c>
      <c r="W122" s="68">
        <f t="shared" si="37"/>
        <v>316.53134920634915</v>
      </c>
    </row>
    <row r="123" spans="1:23" x14ac:dyDescent="0.25">
      <c r="A123" s="169" t="s">
        <v>944</v>
      </c>
      <c r="B123" s="61" t="s">
        <v>391</v>
      </c>
      <c r="C123" s="61" t="s">
        <v>585</v>
      </c>
      <c r="D123" s="61" t="s">
        <v>588</v>
      </c>
      <c r="E123" s="1" t="s">
        <v>830</v>
      </c>
      <c r="F123" s="62" t="str">
        <f t="shared" si="16"/>
        <v>20120</v>
      </c>
      <c r="G123" s="269">
        <v>10620120</v>
      </c>
      <c r="H123" s="1" t="s">
        <v>381</v>
      </c>
      <c r="I123" s="61">
        <v>13</v>
      </c>
      <c r="J123" s="61">
        <v>6.8</v>
      </c>
      <c r="K123" s="61">
        <v>9</v>
      </c>
      <c r="L123" s="69">
        <f t="shared" si="28"/>
        <v>0.8839999999999999</v>
      </c>
      <c r="M123" s="69">
        <f t="shared" si="29"/>
        <v>1.17</v>
      </c>
      <c r="N123" s="56">
        <f>INDEX(Rate_Chart!$A$1:$AK$127,MATCH(Data!J123,Rate_Chart!$A$1:$A$127,0),MATCH(Data!K123,Rate_Chart!$A$1:$AK$1,0))</f>
        <v>56.78</v>
      </c>
      <c r="O123" s="57">
        <f t="shared" si="30"/>
        <v>738.14</v>
      </c>
      <c r="P123" s="58">
        <f t="shared" si="31"/>
        <v>443.59375</v>
      </c>
      <c r="Q123" s="58">
        <f t="shared" si="32"/>
        <v>295.72916666666669</v>
      </c>
      <c r="R123" s="66">
        <f t="shared" si="22"/>
        <v>12.917450000000001</v>
      </c>
      <c r="S123" s="64">
        <f t="shared" si="33"/>
        <v>48.75</v>
      </c>
      <c r="T123" s="66">
        <f t="shared" si="34"/>
        <v>799.80745000000002</v>
      </c>
      <c r="U123" s="68">
        <f t="shared" si="35"/>
        <v>61.523650000000004</v>
      </c>
      <c r="V123" s="68">
        <f t="shared" si="36"/>
        <v>480.65351562500001</v>
      </c>
      <c r="W123" s="68">
        <f t="shared" si="37"/>
        <v>320.43567708333336</v>
      </c>
    </row>
    <row r="124" spans="1:23" x14ac:dyDescent="0.25">
      <c r="A124" s="169" t="s">
        <v>945</v>
      </c>
      <c r="B124" s="61" t="s">
        <v>390</v>
      </c>
      <c r="C124" s="61" t="s">
        <v>585</v>
      </c>
      <c r="D124" s="61" t="s">
        <v>588</v>
      </c>
      <c r="E124" s="1" t="s">
        <v>830</v>
      </c>
      <c r="F124" s="62" t="str">
        <f t="shared" si="16"/>
        <v>20120</v>
      </c>
      <c r="G124" s="269">
        <v>10620120</v>
      </c>
      <c r="H124" s="1" t="s">
        <v>381</v>
      </c>
      <c r="I124" s="61">
        <v>16</v>
      </c>
      <c r="J124" s="61">
        <v>7.7</v>
      </c>
      <c r="K124" s="61">
        <v>9</v>
      </c>
      <c r="L124" s="69">
        <f t="shared" si="28"/>
        <v>1.232</v>
      </c>
      <c r="M124" s="69">
        <f t="shared" si="29"/>
        <v>1.44</v>
      </c>
      <c r="N124" s="56">
        <f>INDEX(Rate_Chart!$A$1:$AK$127,MATCH(Data!J124,Rate_Chart!$A$1:$A$127,0),MATCH(Data!K124,Rate_Chart!$A$1:$AK$1,0))</f>
        <v>64.295000000000002</v>
      </c>
      <c r="O124" s="57">
        <f t="shared" si="30"/>
        <v>1028.72</v>
      </c>
      <c r="P124" s="58">
        <f t="shared" si="31"/>
        <v>469.30656934306569</v>
      </c>
      <c r="Q124" s="58">
        <f t="shared" si="32"/>
        <v>312.87104622871044</v>
      </c>
      <c r="R124" s="66">
        <f t="shared" si="22"/>
        <v>18.002600000000001</v>
      </c>
      <c r="S124" s="64">
        <f t="shared" si="33"/>
        <v>60</v>
      </c>
      <c r="T124" s="66">
        <f t="shared" si="34"/>
        <v>1106.7226000000001</v>
      </c>
      <c r="U124" s="68">
        <f t="shared" si="35"/>
        <v>69.170162500000004</v>
      </c>
      <c r="V124" s="68">
        <f t="shared" si="36"/>
        <v>504.89169708029198</v>
      </c>
      <c r="W124" s="68">
        <f t="shared" si="37"/>
        <v>336.59446472019465</v>
      </c>
    </row>
    <row r="125" spans="1:23" x14ac:dyDescent="0.25">
      <c r="A125" s="169" t="s">
        <v>945</v>
      </c>
      <c r="B125" s="61" t="s">
        <v>391</v>
      </c>
      <c r="C125" s="61" t="s">
        <v>585</v>
      </c>
      <c r="D125" s="61" t="s">
        <v>588</v>
      </c>
      <c r="E125" s="1" t="s">
        <v>830</v>
      </c>
      <c r="F125" s="62" t="str">
        <f t="shared" si="16"/>
        <v>20120</v>
      </c>
      <c r="G125" s="269">
        <v>10620120</v>
      </c>
      <c r="H125" s="1" t="s">
        <v>381</v>
      </c>
      <c r="I125" s="61">
        <v>13</v>
      </c>
      <c r="J125" s="61">
        <v>6.7</v>
      </c>
      <c r="K125" s="61">
        <v>9</v>
      </c>
      <c r="L125" s="69">
        <f t="shared" si="28"/>
        <v>0.87100000000000011</v>
      </c>
      <c r="M125" s="69">
        <f t="shared" si="29"/>
        <v>1.17</v>
      </c>
      <c r="N125" s="56">
        <f>INDEX(Rate_Chart!$A$1:$AK$127,MATCH(Data!J125,Rate_Chart!$A$1:$A$127,0),MATCH(Data!K125,Rate_Chart!$A$1:$AK$1,0))</f>
        <v>55.945</v>
      </c>
      <c r="O125" s="57">
        <f t="shared" si="30"/>
        <v>727.28499999999997</v>
      </c>
      <c r="P125" s="58">
        <f t="shared" si="31"/>
        <v>440.51181102362204</v>
      </c>
      <c r="Q125" s="58">
        <f t="shared" si="32"/>
        <v>293.67454068241472</v>
      </c>
      <c r="R125" s="66">
        <f t="shared" si="22"/>
        <v>12.727487500000001</v>
      </c>
      <c r="S125" s="64">
        <f t="shared" si="33"/>
        <v>48.75</v>
      </c>
      <c r="T125" s="66">
        <f t="shared" si="34"/>
        <v>788.76248750000002</v>
      </c>
      <c r="U125" s="68">
        <f t="shared" si="35"/>
        <v>60.674037500000004</v>
      </c>
      <c r="V125" s="68">
        <f t="shared" si="36"/>
        <v>477.74832677165358</v>
      </c>
      <c r="W125" s="68">
        <f t="shared" si="37"/>
        <v>318.4988845144357</v>
      </c>
    </row>
    <row r="126" spans="1:23" x14ac:dyDescent="0.25">
      <c r="A126" s="169" t="s">
        <v>946</v>
      </c>
      <c r="B126" s="61" t="s">
        <v>390</v>
      </c>
      <c r="C126" s="61" t="s">
        <v>585</v>
      </c>
      <c r="D126" s="61" t="s">
        <v>588</v>
      </c>
      <c r="E126" s="1" t="s">
        <v>830</v>
      </c>
      <c r="F126" s="62" t="str">
        <f t="shared" si="16"/>
        <v>20120</v>
      </c>
      <c r="G126" s="269">
        <v>10620120</v>
      </c>
      <c r="H126" s="1" t="s">
        <v>381</v>
      </c>
      <c r="I126" s="61">
        <v>8</v>
      </c>
      <c r="J126" s="61">
        <v>6.9</v>
      </c>
      <c r="K126" s="61">
        <v>9</v>
      </c>
      <c r="L126" s="69">
        <f t="shared" si="28"/>
        <v>0.55200000000000005</v>
      </c>
      <c r="M126" s="69">
        <f t="shared" si="29"/>
        <v>0.72</v>
      </c>
      <c r="N126" s="56">
        <f>INDEX(Rate_Chart!$A$1:$AK$127,MATCH(Data!J126,Rate_Chart!$A$1:$A$127,0),MATCH(Data!K126,Rate_Chart!$A$1:$AK$1,0))</f>
        <v>57.615000000000002</v>
      </c>
      <c r="O126" s="57">
        <f t="shared" si="30"/>
        <v>460.92</v>
      </c>
      <c r="P126" s="58">
        <f t="shared" si="31"/>
        <v>446.62790697674421</v>
      </c>
      <c r="Q126" s="58">
        <f t="shared" si="32"/>
        <v>297.75193798449612</v>
      </c>
      <c r="R126" s="66">
        <f t="shared" si="22"/>
        <v>8.0661000000000005</v>
      </c>
      <c r="S126" s="64">
        <f t="shared" si="33"/>
        <v>30</v>
      </c>
      <c r="T126" s="66">
        <f t="shared" si="34"/>
        <v>498.98610000000002</v>
      </c>
      <c r="U126" s="68">
        <f t="shared" si="35"/>
        <v>62.373262500000003</v>
      </c>
      <c r="V126" s="68">
        <f t="shared" si="36"/>
        <v>483.51366279069771</v>
      </c>
      <c r="W126" s="68">
        <f t="shared" si="37"/>
        <v>322.34244186046516</v>
      </c>
    </row>
    <row r="127" spans="1:23" x14ac:dyDescent="0.25">
      <c r="A127" s="169" t="s">
        <v>946</v>
      </c>
      <c r="B127" s="61" t="s">
        <v>391</v>
      </c>
      <c r="C127" s="61" t="s">
        <v>585</v>
      </c>
      <c r="D127" s="61" t="s">
        <v>588</v>
      </c>
      <c r="E127" s="1" t="s">
        <v>830</v>
      </c>
      <c r="F127" s="62" t="str">
        <f t="shared" si="16"/>
        <v>20120</v>
      </c>
      <c r="G127" s="269">
        <v>10620120</v>
      </c>
      <c r="H127" s="1" t="s">
        <v>381</v>
      </c>
      <c r="I127" s="61">
        <v>14</v>
      </c>
      <c r="J127" s="61">
        <v>6.6</v>
      </c>
      <c r="K127" s="61">
        <v>9</v>
      </c>
      <c r="L127" s="69">
        <f t="shared" si="28"/>
        <v>0.92399999999999993</v>
      </c>
      <c r="M127" s="69">
        <f t="shared" si="29"/>
        <v>1.26</v>
      </c>
      <c r="N127" s="56">
        <f>INDEX(Rate_Chart!$A$1:$AK$127,MATCH(Data!J127,Rate_Chart!$A$1:$A$127,0),MATCH(Data!K127,Rate_Chart!$A$1:$AK$1,0))</f>
        <v>55.11</v>
      </c>
      <c r="O127" s="57">
        <f t="shared" si="30"/>
        <v>771.54</v>
      </c>
      <c r="P127" s="58">
        <f t="shared" si="31"/>
        <v>437.38095238095235</v>
      </c>
      <c r="Q127" s="58">
        <f t="shared" si="32"/>
        <v>291.58730158730157</v>
      </c>
      <c r="R127" s="66">
        <f t="shared" si="22"/>
        <v>13.501950000000001</v>
      </c>
      <c r="S127" s="64">
        <f t="shared" si="33"/>
        <v>52.5</v>
      </c>
      <c r="T127" s="66">
        <f t="shared" si="34"/>
        <v>837.54194999999993</v>
      </c>
      <c r="U127" s="68">
        <f t="shared" si="35"/>
        <v>59.824424999999998</v>
      </c>
      <c r="V127" s="68">
        <f t="shared" si="36"/>
        <v>474.79702380952381</v>
      </c>
      <c r="W127" s="68">
        <f t="shared" si="37"/>
        <v>316.5313492063492</v>
      </c>
    </row>
    <row r="128" spans="1:23" x14ac:dyDescent="0.25">
      <c r="A128" s="169" t="s">
        <v>947</v>
      </c>
      <c r="B128" s="61" t="s">
        <v>390</v>
      </c>
      <c r="C128" s="61" t="s">
        <v>585</v>
      </c>
      <c r="D128" s="61" t="s">
        <v>588</v>
      </c>
      <c r="E128" s="1" t="s">
        <v>830</v>
      </c>
      <c r="F128" s="62" t="str">
        <f t="shared" si="16"/>
        <v>20120</v>
      </c>
      <c r="G128" s="269">
        <v>10620120</v>
      </c>
      <c r="H128" s="1" t="s">
        <v>381</v>
      </c>
      <c r="I128" s="61">
        <v>9</v>
      </c>
      <c r="J128" s="61">
        <v>8.4</v>
      </c>
      <c r="K128" s="61">
        <v>9</v>
      </c>
      <c r="L128" s="69">
        <f t="shared" si="28"/>
        <v>0.75600000000000012</v>
      </c>
      <c r="M128" s="69">
        <f t="shared" si="29"/>
        <v>0.81</v>
      </c>
      <c r="N128" s="56">
        <f>INDEX(Rate_Chart!$A$1:$AK$127,MATCH(Data!J128,Rate_Chart!$A$1:$A$127,0),MATCH(Data!K128,Rate_Chart!$A$1:$AK$1,0))</f>
        <v>70.14</v>
      </c>
      <c r="O128" s="57">
        <f t="shared" si="30"/>
        <v>631.26</v>
      </c>
      <c r="P128" s="58">
        <f t="shared" si="31"/>
        <v>487.08333333333326</v>
      </c>
      <c r="Q128" s="58">
        <f t="shared" si="32"/>
        <v>324.72222222222217</v>
      </c>
      <c r="R128" s="66">
        <f t="shared" si="22"/>
        <v>11.04705</v>
      </c>
      <c r="S128" s="64">
        <f t="shared" si="33"/>
        <v>33.75</v>
      </c>
      <c r="T128" s="66">
        <f t="shared" si="34"/>
        <v>676.05705</v>
      </c>
      <c r="U128" s="68">
        <f t="shared" si="35"/>
        <v>75.117450000000005</v>
      </c>
      <c r="V128" s="68">
        <f t="shared" si="36"/>
        <v>521.64895833333333</v>
      </c>
      <c r="W128" s="68">
        <f t="shared" si="37"/>
        <v>347.76597222222222</v>
      </c>
    </row>
    <row r="129" spans="1:23" x14ac:dyDescent="0.25">
      <c r="A129" s="169" t="s">
        <v>947</v>
      </c>
      <c r="B129" s="61" t="s">
        <v>391</v>
      </c>
      <c r="C129" s="61" t="s">
        <v>585</v>
      </c>
      <c r="D129" s="61" t="s">
        <v>588</v>
      </c>
      <c r="E129" s="1" t="s">
        <v>830</v>
      </c>
      <c r="F129" s="62" t="str">
        <f t="shared" si="16"/>
        <v>20120</v>
      </c>
      <c r="G129" s="269">
        <v>10620120</v>
      </c>
      <c r="H129" s="1" t="s">
        <v>381</v>
      </c>
      <c r="I129" s="61">
        <v>11</v>
      </c>
      <c r="J129" s="61">
        <v>6.7</v>
      </c>
      <c r="K129" s="61">
        <v>9</v>
      </c>
      <c r="L129" s="69">
        <f t="shared" si="28"/>
        <v>0.73699999999999999</v>
      </c>
      <c r="M129" s="69">
        <f t="shared" si="29"/>
        <v>0.99</v>
      </c>
      <c r="N129" s="56">
        <f>INDEX(Rate_Chart!$A$1:$AK$127,MATCH(Data!J129,Rate_Chart!$A$1:$A$127,0),MATCH(Data!K129,Rate_Chart!$A$1:$AK$1,0))</f>
        <v>55.945</v>
      </c>
      <c r="O129" s="57">
        <f t="shared" si="30"/>
        <v>615.39499999999998</v>
      </c>
      <c r="P129" s="58">
        <f t="shared" si="31"/>
        <v>440.51181102362204</v>
      </c>
      <c r="Q129" s="58">
        <f t="shared" si="32"/>
        <v>293.67454068241472</v>
      </c>
      <c r="R129" s="66">
        <f t="shared" si="22"/>
        <v>10.769412500000001</v>
      </c>
      <c r="S129" s="64">
        <f t="shared" si="33"/>
        <v>41.25</v>
      </c>
      <c r="T129" s="66">
        <f t="shared" si="34"/>
        <v>667.41441250000003</v>
      </c>
      <c r="U129" s="68">
        <f t="shared" si="35"/>
        <v>60.674037500000004</v>
      </c>
      <c r="V129" s="68">
        <f t="shared" si="36"/>
        <v>477.74832677165358</v>
      </c>
      <c r="W129" s="68">
        <f t="shared" si="37"/>
        <v>318.4988845144357</v>
      </c>
    </row>
    <row r="130" spans="1:23" x14ac:dyDescent="0.25">
      <c r="A130" s="169" t="s">
        <v>941</v>
      </c>
      <c r="B130" s="61" t="s">
        <v>390</v>
      </c>
      <c r="C130" s="61" t="s">
        <v>585</v>
      </c>
      <c r="D130" s="61" t="s">
        <v>586</v>
      </c>
      <c r="E130" s="1" t="s">
        <v>855</v>
      </c>
      <c r="F130" s="62" t="str">
        <f t="shared" si="16"/>
        <v>20121</v>
      </c>
      <c r="G130" s="269">
        <v>10620121</v>
      </c>
      <c r="H130" s="1" t="s">
        <v>381</v>
      </c>
      <c r="I130" s="61">
        <v>12</v>
      </c>
      <c r="J130" s="61">
        <v>6.6</v>
      </c>
      <c r="K130" s="61">
        <v>9</v>
      </c>
      <c r="L130" s="69">
        <f t="shared" si="28"/>
        <v>0.79199999999999993</v>
      </c>
      <c r="M130" s="69">
        <f t="shared" si="29"/>
        <v>1.08</v>
      </c>
      <c r="N130" s="56">
        <f>INDEX(Rate_Chart!$A$1:$AK$127,MATCH(Data!J130,Rate_Chart!$A$1:$A$127,0),MATCH(Data!K130,Rate_Chart!$A$1:$AK$1,0))</f>
        <v>55.11</v>
      </c>
      <c r="O130" s="57">
        <f t="shared" si="30"/>
        <v>661.31999999999994</v>
      </c>
      <c r="P130" s="58">
        <f t="shared" si="31"/>
        <v>437.38095238095235</v>
      </c>
      <c r="Q130" s="58">
        <f t="shared" si="32"/>
        <v>291.58730158730157</v>
      </c>
      <c r="R130" s="66">
        <f t="shared" si="22"/>
        <v>11.5731</v>
      </c>
      <c r="S130" s="64">
        <f t="shared" si="33"/>
        <v>45</v>
      </c>
      <c r="T130" s="66">
        <f t="shared" si="34"/>
        <v>717.89309999999989</v>
      </c>
      <c r="U130" s="68">
        <f t="shared" si="35"/>
        <v>59.824424999999991</v>
      </c>
      <c r="V130" s="68">
        <f t="shared" si="36"/>
        <v>474.79702380952375</v>
      </c>
      <c r="W130" s="68">
        <f t="shared" si="37"/>
        <v>316.53134920634915</v>
      </c>
    </row>
    <row r="131" spans="1:23" x14ac:dyDescent="0.25">
      <c r="A131" s="169" t="s">
        <v>941</v>
      </c>
      <c r="B131" s="61" t="s">
        <v>390</v>
      </c>
      <c r="C131" s="61" t="s">
        <v>585</v>
      </c>
      <c r="D131" s="61" t="s">
        <v>586</v>
      </c>
      <c r="E131" s="1" t="s">
        <v>855</v>
      </c>
      <c r="F131" s="62" t="str">
        <f t="shared" si="16"/>
        <v>20121</v>
      </c>
      <c r="G131" s="269">
        <v>10620121</v>
      </c>
      <c r="H131" s="1" t="s">
        <v>382</v>
      </c>
      <c r="I131" s="61">
        <v>34</v>
      </c>
      <c r="J131" s="61">
        <v>3.8</v>
      </c>
      <c r="K131" s="61">
        <v>8.3000000000000007</v>
      </c>
      <c r="L131" s="69">
        <f t="shared" si="28"/>
        <v>1.2919999999999998</v>
      </c>
      <c r="M131" s="69">
        <f t="shared" si="29"/>
        <v>2.8220000000000005</v>
      </c>
      <c r="N131" s="56">
        <f>INDEX(Rate_Chart!$A$1:$AK$127,MATCH(Data!J131,Rate_Chart!$A$1:$A$127,0),MATCH(Data!K131,Rate_Chart!$A$1:$AK$1,0))</f>
        <v>38.921153700000005</v>
      </c>
      <c r="O131" s="57">
        <f t="shared" si="30"/>
        <v>1323.3192258000001</v>
      </c>
      <c r="P131" s="58">
        <f t="shared" si="31"/>
        <v>417.01236107142859</v>
      </c>
      <c r="Q131" s="58">
        <f t="shared" si="32"/>
        <v>278.00824071428571</v>
      </c>
      <c r="R131" s="66">
        <f t="shared" si="22"/>
        <v>23.158086451500004</v>
      </c>
      <c r="S131" s="64">
        <f t="shared" si="33"/>
        <v>127.5</v>
      </c>
      <c r="T131" s="66">
        <f t="shared" si="34"/>
        <v>1473.9773122515001</v>
      </c>
      <c r="U131" s="68">
        <f t="shared" si="35"/>
        <v>43.352273889750002</v>
      </c>
      <c r="V131" s="68">
        <f t="shared" si="36"/>
        <v>464.48864881874999</v>
      </c>
      <c r="W131" s="68">
        <f t="shared" si="37"/>
        <v>309.6590992125</v>
      </c>
    </row>
    <row r="132" spans="1:23" x14ac:dyDescent="0.25">
      <c r="A132" s="169" t="s">
        <v>941</v>
      </c>
      <c r="B132" s="61" t="s">
        <v>391</v>
      </c>
      <c r="C132" s="61" t="s">
        <v>585</v>
      </c>
      <c r="D132" s="61" t="s">
        <v>586</v>
      </c>
      <c r="E132" s="1" t="s">
        <v>855</v>
      </c>
      <c r="F132" s="62" t="str">
        <f t="shared" si="16"/>
        <v>20121</v>
      </c>
      <c r="G132" s="269">
        <v>10620121</v>
      </c>
      <c r="H132" s="1" t="s">
        <v>381</v>
      </c>
      <c r="I132" s="61">
        <v>17</v>
      </c>
      <c r="J132" s="61">
        <v>6.3</v>
      </c>
      <c r="K132" s="61">
        <v>9</v>
      </c>
      <c r="L132" s="69">
        <f t="shared" si="28"/>
        <v>1.071</v>
      </c>
      <c r="M132" s="69">
        <f t="shared" si="29"/>
        <v>1.53</v>
      </c>
      <c r="N132" s="56">
        <f>INDEX(Rate_Chart!$A$1:$AK$127,MATCH(Data!J132,Rate_Chart!$A$1:$A$127,0),MATCH(Data!K132,Rate_Chart!$A$1:$AK$1,0))</f>
        <v>52.604999999999997</v>
      </c>
      <c r="O132" s="57">
        <f t="shared" si="30"/>
        <v>894.28499999999997</v>
      </c>
      <c r="P132" s="58">
        <f t="shared" si="31"/>
        <v>427.6829268292683</v>
      </c>
      <c r="Q132" s="58">
        <f t="shared" si="32"/>
        <v>285.1219512195122</v>
      </c>
      <c r="R132" s="66">
        <f t="shared" si="22"/>
        <v>15.649987500000002</v>
      </c>
      <c r="S132" s="64">
        <f t="shared" si="33"/>
        <v>63.75</v>
      </c>
      <c r="T132" s="66">
        <f t="shared" si="34"/>
        <v>973.68498750000003</v>
      </c>
      <c r="U132" s="68">
        <f t="shared" si="35"/>
        <v>57.2755875</v>
      </c>
      <c r="V132" s="68">
        <f t="shared" si="36"/>
        <v>465.6551829268293</v>
      </c>
      <c r="W132" s="68">
        <f t="shared" si="37"/>
        <v>310.43678861788618</v>
      </c>
    </row>
    <row r="133" spans="1:23" x14ac:dyDescent="0.25">
      <c r="A133" s="169" t="s">
        <v>941</v>
      </c>
      <c r="B133" s="61" t="s">
        <v>391</v>
      </c>
      <c r="C133" s="61" t="s">
        <v>585</v>
      </c>
      <c r="D133" s="61" t="s">
        <v>586</v>
      </c>
      <c r="E133" s="1" t="s">
        <v>855</v>
      </c>
      <c r="F133" s="62" t="str">
        <f t="shared" ref="F133:F196" si="38">MID(E133,2,5)</f>
        <v>20121</v>
      </c>
      <c r="G133" s="269">
        <v>10620121</v>
      </c>
      <c r="H133" s="1" t="s">
        <v>382</v>
      </c>
      <c r="I133" s="61">
        <v>35</v>
      </c>
      <c r="J133" s="61">
        <v>3.6</v>
      </c>
      <c r="K133" s="61">
        <v>8.5</v>
      </c>
      <c r="L133" s="69">
        <f t="shared" si="28"/>
        <v>1.26</v>
      </c>
      <c r="M133" s="69">
        <f t="shared" si="29"/>
        <v>2.9750000000000001</v>
      </c>
      <c r="N133" s="56">
        <f>INDEX(Rate_Chart!$A$1:$AK$127,MATCH(Data!J133,Rate_Chart!$A$1:$A$127,0),MATCH(Data!K133,Rate_Chart!$A$1:$AK$1,0))</f>
        <v>38.643181500000004</v>
      </c>
      <c r="O133" s="57">
        <f t="shared" si="30"/>
        <v>1352.5113525000002</v>
      </c>
      <c r="P133" s="58">
        <f t="shared" si="31"/>
        <v>417.01274999999998</v>
      </c>
      <c r="Q133" s="58">
        <f t="shared" si="32"/>
        <v>278.00849999999997</v>
      </c>
      <c r="R133" s="66">
        <f t="shared" ref="R133:R196" si="39">O133*1.75%</f>
        <v>23.668948668750005</v>
      </c>
      <c r="S133" s="64">
        <f t="shared" si="33"/>
        <v>131.25</v>
      </c>
      <c r="T133" s="66">
        <f t="shared" si="34"/>
        <v>1507.4303011687502</v>
      </c>
      <c r="U133" s="68">
        <f t="shared" si="35"/>
        <v>43.069437176250005</v>
      </c>
      <c r="V133" s="68">
        <f t="shared" si="36"/>
        <v>464.77809902428061</v>
      </c>
      <c r="W133" s="68">
        <f t="shared" si="37"/>
        <v>309.85206601618705</v>
      </c>
    </row>
    <row r="134" spans="1:23" x14ac:dyDescent="0.25">
      <c r="A134" s="169" t="s">
        <v>942</v>
      </c>
      <c r="B134" s="61" t="s">
        <v>390</v>
      </c>
      <c r="C134" s="61" t="s">
        <v>585</v>
      </c>
      <c r="D134" s="61" t="s">
        <v>586</v>
      </c>
      <c r="E134" s="1" t="s">
        <v>855</v>
      </c>
      <c r="F134" s="62" t="str">
        <f t="shared" si="38"/>
        <v>20121</v>
      </c>
      <c r="G134" s="269">
        <v>10620121</v>
      </c>
      <c r="H134" s="1" t="s">
        <v>381</v>
      </c>
      <c r="I134" s="61">
        <v>17</v>
      </c>
      <c r="J134" s="61">
        <v>6.7</v>
      </c>
      <c r="K134" s="61">
        <v>9</v>
      </c>
      <c r="L134" s="69">
        <f t="shared" si="28"/>
        <v>1.139</v>
      </c>
      <c r="M134" s="69">
        <f t="shared" si="29"/>
        <v>1.53</v>
      </c>
      <c r="N134" s="56">
        <f>INDEX(Rate_Chart!$A$1:$AK$127,MATCH(Data!J134,Rate_Chart!$A$1:$A$127,0),MATCH(Data!K134,Rate_Chart!$A$1:$AK$1,0))</f>
        <v>55.945</v>
      </c>
      <c r="O134" s="57">
        <f t="shared" si="30"/>
        <v>951.06500000000005</v>
      </c>
      <c r="P134" s="58">
        <f t="shared" si="31"/>
        <v>440.51181102362204</v>
      </c>
      <c r="Q134" s="58">
        <f t="shared" si="32"/>
        <v>293.67454068241472</v>
      </c>
      <c r="R134" s="66">
        <f t="shared" si="39"/>
        <v>16.643637500000004</v>
      </c>
      <c r="S134" s="64">
        <f t="shared" si="33"/>
        <v>63.75</v>
      </c>
      <c r="T134" s="66">
        <f t="shared" si="34"/>
        <v>1031.4586375000001</v>
      </c>
      <c r="U134" s="68">
        <f t="shared" si="35"/>
        <v>60.674037500000004</v>
      </c>
      <c r="V134" s="68">
        <f t="shared" si="36"/>
        <v>477.74832677165358</v>
      </c>
      <c r="W134" s="68">
        <f t="shared" si="37"/>
        <v>318.4988845144357</v>
      </c>
    </row>
    <row r="135" spans="1:23" x14ac:dyDescent="0.25">
      <c r="A135" s="169" t="s">
        <v>942</v>
      </c>
      <c r="B135" s="61" t="s">
        <v>390</v>
      </c>
      <c r="C135" s="61" t="s">
        <v>585</v>
      </c>
      <c r="D135" s="61" t="s">
        <v>586</v>
      </c>
      <c r="E135" s="1" t="s">
        <v>855</v>
      </c>
      <c r="F135" s="62" t="str">
        <f t="shared" si="38"/>
        <v>20121</v>
      </c>
      <c r="G135" s="269">
        <v>10620121</v>
      </c>
      <c r="H135" s="1" t="s">
        <v>382</v>
      </c>
      <c r="I135" s="61">
        <v>35</v>
      </c>
      <c r="J135" s="61">
        <v>4</v>
      </c>
      <c r="K135" s="61">
        <v>8.3000000000000007</v>
      </c>
      <c r="L135" s="69">
        <f t="shared" si="28"/>
        <v>1.4</v>
      </c>
      <c r="M135" s="69">
        <f t="shared" si="29"/>
        <v>2.9049999999999998</v>
      </c>
      <c r="N135" s="56">
        <f>INDEX(Rate_Chart!$A$1:$AK$127,MATCH(Data!J135,Rate_Chart!$A$1:$A$127,0),MATCH(Data!K135,Rate_Chart!$A$1:$AK$1,0))</f>
        <v>39.755153700000008</v>
      </c>
      <c r="O135" s="57">
        <f t="shared" si="30"/>
        <v>1391.4303795000003</v>
      </c>
      <c r="P135" s="58">
        <f t="shared" si="31"/>
        <v>417.01210174825178</v>
      </c>
      <c r="Q135" s="58">
        <f t="shared" si="32"/>
        <v>278.00806783216785</v>
      </c>
      <c r="R135" s="66">
        <f t="shared" si="39"/>
        <v>24.350031641250009</v>
      </c>
      <c r="S135" s="64">
        <f t="shared" si="33"/>
        <v>131.25</v>
      </c>
      <c r="T135" s="66">
        <f t="shared" si="34"/>
        <v>1547.0304111412504</v>
      </c>
      <c r="U135" s="68">
        <f t="shared" si="35"/>
        <v>44.200868889750012</v>
      </c>
      <c r="V135" s="68">
        <f t="shared" si="36"/>
        <v>463.64547786451061</v>
      </c>
      <c r="W135" s="68">
        <f t="shared" si="37"/>
        <v>309.09698524300705</v>
      </c>
    </row>
    <row r="136" spans="1:23" x14ac:dyDescent="0.25">
      <c r="A136" s="169" t="s">
        <v>942</v>
      </c>
      <c r="B136" s="61" t="s">
        <v>391</v>
      </c>
      <c r="C136" s="61" t="s">
        <v>585</v>
      </c>
      <c r="D136" s="61" t="s">
        <v>586</v>
      </c>
      <c r="E136" s="1" t="s">
        <v>855</v>
      </c>
      <c r="F136" s="62" t="str">
        <f t="shared" si="38"/>
        <v>20121</v>
      </c>
      <c r="G136" s="269">
        <v>10620121</v>
      </c>
      <c r="H136" s="1" t="s">
        <v>381</v>
      </c>
      <c r="I136" s="61">
        <v>11</v>
      </c>
      <c r="J136" s="61">
        <v>6.6</v>
      </c>
      <c r="K136" s="61">
        <v>9</v>
      </c>
      <c r="L136" s="69">
        <f t="shared" si="28"/>
        <v>0.72599999999999998</v>
      </c>
      <c r="M136" s="69">
        <f t="shared" si="29"/>
        <v>0.99</v>
      </c>
      <c r="N136" s="56">
        <f>INDEX(Rate_Chart!$A$1:$AK$127,MATCH(Data!J136,Rate_Chart!$A$1:$A$127,0),MATCH(Data!K136,Rate_Chart!$A$1:$AK$1,0))</f>
        <v>55.11</v>
      </c>
      <c r="O136" s="57">
        <f t="shared" si="30"/>
        <v>606.21</v>
      </c>
      <c r="P136" s="58">
        <f t="shared" si="31"/>
        <v>437.38095238095235</v>
      </c>
      <c r="Q136" s="58">
        <f t="shared" si="32"/>
        <v>291.58730158730157</v>
      </c>
      <c r="R136" s="66">
        <f t="shared" si="39"/>
        <v>10.608675000000002</v>
      </c>
      <c r="S136" s="64">
        <f t="shared" si="33"/>
        <v>41.25</v>
      </c>
      <c r="T136" s="66">
        <f t="shared" si="34"/>
        <v>658.06867499999998</v>
      </c>
      <c r="U136" s="68">
        <f t="shared" si="35"/>
        <v>59.824424999999998</v>
      </c>
      <c r="V136" s="68">
        <f t="shared" si="36"/>
        <v>474.79702380952381</v>
      </c>
      <c r="W136" s="68">
        <f t="shared" si="37"/>
        <v>316.5313492063492</v>
      </c>
    </row>
    <row r="137" spans="1:23" x14ac:dyDescent="0.25">
      <c r="A137" s="169" t="s">
        <v>942</v>
      </c>
      <c r="B137" s="61" t="s">
        <v>391</v>
      </c>
      <c r="C137" s="61" t="s">
        <v>585</v>
      </c>
      <c r="D137" s="61" t="s">
        <v>586</v>
      </c>
      <c r="E137" s="1" t="s">
        <v>855</v>
      </c>
      <c r="F137" s="62" t="str">
        <f t="shared" si="38"/>
        <v>20121</v>
      </c>
      <c r="G137" s="269">
        <v>10620121</v>
      </c>
      <c r="H137" s="1" t="s">
        <v>382</v>
      </c>
      <c r="I137" s="61">
        <v>24</v>
      </c>
      <c r="J137" s="61">
        <v>3.9</v>
      </c>
      <c r="K137" s="61">
        <v>8.4</v>
      </c>
      <c r="L137" s="69">
        <f t="shared" si="28"/>
        <v>0.93599999999999994</v>
      </c>
      <c r="M137" s="69">
        <f t="shared" si="29"/>
        <v>2.016</v>
      </c>
      <c r="N137" s="56">
        <f>INDEX(Rate_Chart!$A$1:$AK$127,MATCH(Data!J137,Rate_Chart!$A$1:$A$127,0),MATCH(Data!K137,Rate_Chart!$A$1:$AK$1,0))</f>
        <v>39.616167600000011</v>
      </c>
      <c r="O137" s="57">
        <f t="shared" si="30"/>
        <v>950.78802240000027</v>
      </c>
      <c r="P137" s="58">
        <f t="shared" si="31"/>
        <v>417.01229052631589</v>
      </c>
      <c r="Q137" s="58">
        <f t="shared" si="32"/>
        <v>278.0081936842106</v>
      </c>
      <c r="R137" s="66">
        <f t="shared" si="39"/>
        <v>16.638790392000008</v>
      </c>
      <c r="S137" s="64">
        <f t="shared" si="33"/>
        <v>90</v>
      </c>
      <c r="T137" s="66">
        <f t="shared" si="34"/>
        <v>1057.4268127920002</v>
      </c>
      <c r="U137" s="68">
        <f t="shared" si="35"/>
        <v>44.05945053300001</v>
      </c>
      <c r="V137" s="68">
        <f t="shared" si="36"/>
        <v>463.78368982105275</v>
      </c>
      <c r="W137" s="68">
        <f t="shared" si="37"/>
        <v>309.18912654736852</v>
      </c>
    </row>
    <row r="138" spans="1:23" x14ac:dyDescent="0.25">
      <c r="A138" s="169" t="s">
        <v>943</v>
      </c>
      <c r="B138" s="61" t="s">
        <v>390</v>
      </c>
      <c r="C138" s="61" t="s">
        <v>585</v>
      </c>
      <c r="D138" s="61" t="s">
        <v>586</v>
      </c>
      <c r="E138" s="1" t="s">
        <v>855</v>
      </c>
      <c r="F138" s="62" t="str">
        <f t="shared" si="38"/>
        <v>20121</v>
      </c>
      <c r="G138" s="269">
        <v>10620121</v>
      </c>
      <c r="H138" s="1" t="s">
        <v>381</v>
      </c>
      <c r="I138" s="61">
        <v>15</v>
      </c>
      <c r="J138" s="61">
        <v>6.6</v>
      </c>
      <c r="K138" s="61">
        <v>9</v>
      </c>
      <c r="L138" s="69">
        <f t="shared" si="28"/>
        <v>0.99</v>
      </c>
      <c r="M138" s="69">
        <f t="shared" si="29"/>
        <v>1.35</v>
      </c>
      <c r="N138" s="56">
        <f>INDEX(Rate_Chart!$A$1:$AK$127,MATCH(Data!J138,Rate_Chart!$A$1:$A$127,0),MATCH(Data!K138,Rate_Chart!$A$1:$AK$1,0))</f>
        <v>55.11</v>
      </c>
      <c r="O138" s="57">
        <f t="shared" si="30"/>
        <v>826.65</v>
      </c>
      <c r="P138" s="58">
        <f t="shared" si="31"/>
        <v>437.38095238095235</v>
      </c>
      <c r="Q138" s="58">
        <f t="shared" si="32"/>
        <v>291.58730158730157</v>
      </c>
      <c r="R138" s="66">
        <f t="shared" si="39"/>
        <v>14.466375000000001</v>
      </c>
      <c r="S138" s="64">
        <f t="shared" si="33"/>
        <v>56.25</v>
      </c>
      <c r="T138" s="66">
        <f t="shared" si="34"/>
        <v>897.36637499999995</v>
      </c>
      <c r="U138" s="68">
        <f t="shared" si="35"/>
        <v>59.824424999999998</v>
      </c>
      <c r="V138" s="68">
        <f t="shared" si="36"/>
        <v>474.79702380952381</v>
      </c>
      <c r="W138" s="68">
        <f t="shared" si="37"/>
        <v>316.5313492063492</v>
      </c>
    </row>
    <row r="139" spans="1:23" x14ac:dyDescent="0.25">
      <c r="A139" s="169" t="s">
        <v>943</v>
      </c>
      <c r="B139" s="61" t="s">
        <v>390</v>
      </c>
      <c r="C139" s="61" t="s">
        <v>585</v>
      </c>
      <c r="D139" s="61" t="s">
        <v>586</v>
      </c>
      <c r="E139" s="1" t="s">
        <v>855</v>
      </c>
      <c r="F139" s="62" t="str">
        <f t="shared" si="38"/>
        <v>20121</v>
      </c>
      <c r="G139" s="269">
        <v>10620121</v>
      </c>
      <c r="H139" s="1" t="s">
        <v>382</v>
      </c>
      <c r="I139" s="61">
        <v>28</v>
      </c>
      <c r="J139" s="61">
        <v>4</v>
      </c>
      <c r="K139" s="61">
        <v>8.4</v>
      </c>
      <c r="L139" s="69">
        <f t="shared" si="28"/>
        <v>1.1200000000000001</v>
      </c>
      <c r="M139" s="69">
        <f t="shared" si="29"/>
        <v>2.3520000000000003</v>
      </c>
      <c r="N139" s="56">
        <f>INDEX(Rate_Chart!$A$1:$AK$127,MATCH(Data!J139,Rate_Chart!$A$1:$A$127,0),MATCH(Data!K139,Rate_Chart!$A$1:$AK$1,0))</f>
        <v>40.033167600000006</v>
      </c>
      <c r="O139" s="57">
        <f t="shared" si="30"/>
        <v>1120.9286928000001</v>
      </c>
      <c r="P139" s="58">
        <f t="shared" si="31"/>
        <v>417.01216250000004</v>
      </c>
      <c r="Q139" s="58">
        <f t="shared" si="32"/>
        <v>278.00810833333338</v>
      </c>
      <c r="R139" s="66">
        <f t="shared" si="39"/>
        <v>19.616252124000003</v>
      </c>
      <c r="S139" s="64">
        <f t="shared" si="33"/>
        <v>105</v>
      </c>
      <c r="T139" s="66">
        <f t="shared" si="34"/>
        <v>1245.5449449240002</v>
      </c>
      <c r="U139" s="68">
        <f t="shared" si="35"/>
        <v>44.483748033000005</v>
      </c>
      <c r="V139" s="68">
        <f t="shared" si="36"/>
        <v>463.37237534375004</v>
      </c>
      <c r="W139" s="68">
        <f t="shared" si="37"/>
        <v>308.91491689583336</v>
      </c>
    </row>
    <row r="140" spans="1:23" x14ac:dyDescent="0.25">
      <c r="A140" s="169" t="s">
        <v>943</v>
      </c>
      <c r="B140" s="61" t="s">
        <v>391</v>
      </c>
      <c r="C140" s="61" t="s">
        <v>585</v>
      </c>
      <c r="D140" s="61" t="s">
        <v>586</v>
      </c>
      <c r="E140" s="1" t="s">
        <v>855</v>
      </c>
      <c r="F140" s="62" t="str">
        <f t="shared" si="38"/>
        <v>20121</v>
      </c>
      <c r="G140" s="269">
        <v>10620121</v>
      </c>
      <c r="H140" s="1" t="s">
        <v>381</v>
      </c>
      <c r="I140" s="61">
        <v>11</v>
      </c>
      <c r="J140" s="61">
        <v>6.7</v>
      </c>
      <c r="K140" s="61">
        <v>9</v>
      </c>
      <c r="L140" s="69">
        <f t="shared" si="28"/>
        <v>0.73699999999999999</v>
      </c>
      <c r="M140" s="69">
        <f t="shared" si="29"/>
        <v>0.99</v>
      </c>
      <c r="N140" s="56">
        <f>INDEX(Rate_Chart!$A$1:$AK$127,MATCH(Data!J140,Rate_Chart!$A$1:$A$127,0),MATCH(Data!K140,Rate_Chart!$A$1:$AK$1,0))</f>
        <v>55.945</v>
      </c>
      <c r="O140" s="57">
        <f t="shared" si="30"/>
        <v>615.39499999999998</v>
      </c>
      <c r="P140" s="58">
        <f t="shared" si="31"/>
        <v>440.51181102362204</v>
      </c>
      <c r="Q140" s="58">
        <f t="shared" si="32"/>
        <v>293.67454068241472</v>
      </c>
      <c r="R140" s="66">
        <f t="shared" si="39"/>
        <v>10.769412500000001</v>
      </c>
      <c r="S140" s="64">
        <f t="shared" si="33"/>
        <v>41.25</v>
      </c>
      <c r="T140" s="66">
        <f t="shared" si="34"/>
        <v>667.41441250000003</v>
      </c>
      <c r="U140" s="68">
        <f t="shared" si="35"/>
        <v>60.674037500000004</v>
      </c>
      <c r="V140" s="68">
        <f t="shared" si="36"/>
        <v>477.74832677165358</v>
      </c>
      <c r="W140" s="68">
        <f t="shared" si="37"/>
        <v>318.4988845144357</v>
      </c>
    </row>
    <row r="141" spans="1:23" x14ac:dyDescent="0.25">
      <c r="A141" s="169" t="s">
        <v>943</v>
      </c>
      <c r="B141" s="61" t="s">
        <v>391</v>
      </c>
      <c r="C141" s="61" t="s">
        <v>585</v>
      </c>
      <c r="D141" s="61" t="s">
        <v>586</v>
      </c>
      <c r="E141" s="1" t="s">
        <v>855</v>
      </c>
      <c r="F141" s="62" t="str">
        <f t="shared" si="38"/>
        <v>20121</v>
      </c>
      <c r="G141" s="269">
        <v>10620121</v>
      </c>
      <c r="H141" s="1" t="s">
        <v>382</v>
      </c>
      <c r="I141" s="61">
        <v>22</v>
      </c>
      <c r="J141" s="61">
        <v>4.2</v>
      </c>
      <c r="K141" s="61">
        <v>8.5</v>
      </c>
      <c r="L141" s="69">
        <f t="shared" si="28"/>
        <v>0.92400000000000004</v>
      </c>
      <c r="M141" s="69">
        <f t="shared" si="29"/>
        <v>1.87</v>
      </c>
      <c r="N141" s="56">
        <f>INDEX(Rate_Chart!$A$1:$AK$127,MATCH(Data!J141,Rate_Chart!$A$1:$A$127,0),MATCH(Data!K141,Rate_Chart!$A$1:$AK$1,0))</f>
        <v>41.145181500000007</v>
      </c>
      <c r="O141" s="57">
        <f t="shared" si="30"/>
        <v>905.19399300000009</v>
      </c>
      <c r="P141" s="58">
        <f t="shared" si="31"/>
        <v>417.01197466216217</v>
      </c>
      <c r="Q141" s="58">
        <f t="shared" si="32"/>
        <v>278.00798310810814</v>
      </c>
      <c r="R141" s="66">
        <f t="shared" si="39"/>
        <v>15.840894877500004</v>
      </c>
      <c r="S141" s="64">
        <f t="shared" si="33"/>
        <v>82.5</v>
      </c>
      <c r="T141" s="66">
        <f t="shared" si="34"/>
        <v>1003.5348878775001</v>
      </c>
      <c r="U141" s="68">
        <f t="shared" si="35"/>
        <v>45.615222176250001</v>
      </c>
      <c r="V141" s="68">
        <f t="shared" si="36"/>
        <v>462.31644097550668</v>
      </c>
      <c r="W141" s="68">
        <f t="shared" si="37"/>
        <v>308.21096065033777</v>
      </c>
    </row>
    <row r="142" spans="1:23" x14ac:dyDescent="0.25">
      <c r="A142" s="169" t="s">
        <v>944</v>
      </c>
      <c r="B142" s="61" t="s">
        <v>390</v>
      </c>
      <c r="C142" s="61" t="s">
        <v>585</v>
      </c>
      <c r="D142" s="61" t="s">
        <v>586</v>
      </c>
      <c r="E142" s="1" t="s">
        <v>855</v>
      </c>
      <c r="F142" s="62" t="str">
        <f t="shared" si="38"/>
        <v>20121</v>
      </c>
      <c r="G142" s="269">
        <v>10620121</v>
      </c>
      <c r="H142" s="1" t="s">
        <v>381</v>
      </c>
      <c r="I142" s="61">
        <v>16</v>
      </c>
      <c r="J142" s="61">
        <v>6.4</v>
      </c>
      <c r="K142" s="61">
        <v>9</v>
      </c>
      <c r="L142" s="69">
        <f t="shared" si="28"/>
        <v>1.024</v>
      </c>
      <c r="M142" s="69">
        <f t="shared" si="29"/>
        <v>1.44</v>
      </c>
      <c r="N142" s="56">
        <f>INDEX(Rate_Chart!$A$1:$AK$127,MATCH(Data!J142,Rate_Chart!$A$1:$A$127,0),MATCH(Data!K142,Rate_Chart!$A$1:$AK$1,0))</f>
        <v>53.44</v>
      </c>
      <c r="O142" s="57">
        <f t="shared" si="30"/>
        <v>855.04</v>
      </c>
      <c r="P142" s="58">
        <f t="shared" si="31"/>
        <v>430.96774193548384</v>
      </c>
      <c r="Q142" s="58">
        <f t="shared" si="32"/>
        <v>287.31182795698925</v>
      </c>
      <c r="R142" s="66">
        <f t="shared" si="39"/>
        <v>14.963200000000001</v>
      </c>
      <c r="S142" s="64">
        <f t="shared" si="33"/>
        <v>60</v>
      </c>
      <c r="T142" s="66">
        <f t="shared" si="34"/>
        <v>930.00319999999999</v>
      </c>
      <c r="U142" s="68">
        <f t="shared" si="35"/>
        <v>58.1252</v>
      </c>
      <c r="V142" s="68">
        <f t="shared" si="36"/>
        <v>468.7516129032258</v>
      </c>
      <c r="W142" s="68">
        <f t="shared" si="37"/>
        <v>312.5010752688172</v>
      </c>
    </row>
    <row r="143" spans="1:23" x14ac:dyDescent="0.25">
      <c r="A143" s="169" t="s">
        <v>944</v>
      </c>
      <c r="B143" s="61" t="s">
        <v>390</v>
      </c>
      <c r="C143" s="61" t="s">
        <v>585</v>
      </c>
      <c r="D143" s="61" t="s">
        <v>586</v>
      </c>
      <c r="E143" s="1" t="s">
        <v>855</v>
      </c>
      <c r="F143" s="62" t="str">
        <f t="shared" si="38"/>
        <v>20121</v>
      </c>
      <c r="G143" s="269">
        <v>10620121</v>
      </c>
      <c r="H143" s="1" t="s">
        <v>382</v>
      </c>
      <c r="I143" s="61">
        <v>36</v>
      </c>
      <c r="J143" s="61">
        <v>4</v>
      </c>
      <c r="K143" s="61">
        <v>8.4</v>
      </c>
      <c r="L143" s="69">
        <f t="shared" si="28"/>
        <v>1.44</v>
      </c>
      <c r="M143" s="69">
        <f t="shared" si="29"/>
        <v>3.0240000000000005</v>
      </c>
      <c r="N143" s="56">
        <f>INDEX(Rate_Chart!$A$1:$AK$127,MATCH(Data!J143,Rate_Chart!$A$1:$A$127,0),MATCH(Data!K143,Rate_Chart!$A$1:$AK$1,0))</f>
        <v>40.033167600000006</v>
      </c>
      <c r="O143" s="57">
        <f t="shared" si="30"/>
        <v>1441.1940336000002</v>
      </c>
      <c r="P143" s="58">
        <f t="shared" si="31"/>
        <v>417.01216250000004</v>
      </c>
      <c r="Q143" s="58">
        <f t="shared" si="32"/>
        <v>278.00810833333338</v>
      </c>
      <c r="R143" s="66">
        <f t="shared" si="39"/>
        <v>25.220895588000008</v>
      </c>
      <c r="S143" s="64">
        <f t="shared" si="33"/>
        <v>135</v>
      </c>
      <c r="T143" s="66">
        <f t="shared" si="34"/>
        <v>1601.4149291880003</v>
      </c>
      <c r="U143" s="68">
        <f t="shared" si="35"/>
        <v>44.483748033000012</v>
      </c>
      <c r="V143" s="68">
        <f t="shared" si="36"/>
        <v>463.37237534375009</v>
      </c>
      <c r="W143" s="68">
        <f t="shared" si="37"/>
        <v>308.91491689583341</v>
      </c>
    </row>
    <row r="144" spans="1:23" x14ac:dyDescent="0.25">
      <c r="A144" s="169" t="s">
        <v>944</v>
      </c>
      <c r="B144" s="61" t="s">
        <v>391</v>
      </c>
      <c r="C144" s="61" t="s">
        <v>585</v>
      </c>
      <c r="D144" s="61" t="s">
        <v>586</v>
      </c>
      <c r="E144" s="1" t="s">
        <v>855</v>
      </c>
      <c r="F144" s="62" t="str">
        <f t="shared" si="38"/>
        <v>20121</v>
      </c>
      <c r="G144" s="269">
        <v>10620121</v>
      </c>
      <c r="H144" s="1" t="s">
        <v>381</v>
      </c>
      <c r="I144" s="61">
        <v>11</v>
      </c>
      <c r="J144" s="61">
        <v>6.3</v>
      </c>
      <c r="K144" s="61">
        <v>9</v>
      </c>
      <c r="L144" s="69">
        <f t="shared" si="28"/>
        <v>0.69299999999999995</v>
      </c>
      <c r="M144" s="69">
        <f t="shared" si="29"/>
        <v>0.99</v>
      </c>
      <c r="N144" s="56">
        <f>INDEX(Rate_Chart!$A$1:$AK$127,MATCH(Data!J144,Rate_Chart!$A$1:$A$127,0),MATCH(Data!K144,Rate_Chart!$A$1:$AK$1,0))</f>
        <v>52.604999999999997</v>
      </c>
      <c r="O144" s="57">
        <f t="shared" si="30"/>
        <v>578.65499999999997</v>
      </c>
      <c r="P144" s="58">
        <f t="shared" si="31"/>
        <v>427.6829268292683</v>
      </c>
      <c r="Q144" s="58">
        <f t="shared" si="32"/>
        <v>285.1219512195122</v>
      </c>
      <c r="R144" s="66">
        <f t="shared" si="39"/>
        <v>10.126462500000001</v>
      </c>
      <c r="S144" s="64">
        <f t="shared" si="33"/>
        <v>41.25</v>
      </c>
      <c r="T144" s="66">
        <f t="shared" si="34"/>
        <v>630.03146249999998</v>
      </c>
      <c r="U144" s="68">
        <f t="shared" si="35"/>
        <v>57.2755875</v>
      </c>
      <c r="V144" s="68">
        <f t="shared" si="36"/>
        <v>465.6551829268293</v>
      </c>
      <c r="W144" s="68">
        <f t="shared" si="37"/>
        <v>310.43678861788618</v>
      </c>
    </row>
    <row r="145" spans="1:23" x14ac:dyDescent="0.25">
      <c r="A145" s="169" t="s">
        <v>944</v>
      </c>
      <c r="B145" s="61" t="s">
        <v>391</v>
      </c>
      <c r="C145" s="61" t="s">
        <v>585</v>
      </c>
      <c r="D145" s="61" t="s">
        <v>586</v>
      </c>
      <c r="E145" s="1" t="s">
        <v>855</v>
      </c>
      <c r="F145" s="62" t="str">
        <f t="shared" si="38"/>
        <v>20121</v>
      </c>
      <c r="G145" s="269">
        <v>10620121</v>
      </c>
      <c r="H145" s="1" t="s">
        <v>382</v>
      </c>
      <c r="I145" s="61">
        <v>19</v>
      </c>
      <c r="J145" s="61">
        <v>3.7</v>
      </c>
      <c r="K145" s="61">
        <v>8.1</v>
      </c>
      <c r="L145" s="69">
        <f t="shared" si="28"/>
        <v>0.70299999999999996</v>
      </c>
      <c r="M145" s="69">
        <f t="shared" si="29"/>
        <v>1.5390000000000001</v>
      </c>
      <c r="N145" s="56">
        <f>INDEX(Rate_Chart!$A$1:$AK$127,MATCH(Data!J145,Rate_Chart!$A$1:$A$127,0),MATCH(Data!K145,Rate_Chart!$A$1:$AK$1,0))</f>
        <v>37.948125900000008</v>
      </c>
      <c r="O145" s="57">
        <f t="shared" si="30"/>
        <v>721.01439210000012</v>
      </c>
      <c r="P145" s="58">
        <f t="shared" si="31"/>
        <v>417.01237252747262</v>
      </c>
      <c r="Q145" s="58">
        <f t="shared" si="32"/>
        <v>278.00824835164843</v>
      </c>
      <c r="R145" s="66">
        <f t="shared" si="39"/>
        <v>12.617751861750003</v>
      </c>
      <c r="S145" s="64">
        <f t="shared" si="33"/>
        <v>71.25</v>
      </c>
      <c r="T145" s="66">
        <f t="shared" si="34"/>
        <v>804.8821439617501</v>
      </c>
      <c r="U145" s="68">
        <f t="shared" si="35"/>
        <v>42.362218103250008</v>
      </c>
      <c r="V145" s="68">
        <f t="shared" si="36"/>
        <v>465.51888025549459</v>
      </c>
      <c r="W145" s="68">
        <f t="shared" si="37"/>
        <v>310.34592017032975</v>
      </c>
    </row>
    <row r="146" spans="1:23" x14ac:dyDescent="0.25">
      <c r="A146" s="169" t="s">
        <v>945</v>
      </c>
      <c r="B146" s="61" t="s">
        <v>390</v>
      </c>
      <c r="C146" s="61" t="s">
        <v>585</v>
      </c>
      <c r="D146" s="61" t="s">
        <v>586</v>
      </c>
      <c r="E146" s="1" t="s">
        <v>855</v>
      </c>
      <c r="F146" s="62" t="str">
        <f t="shared" si="38"/>
        <v>20121</v>
      </c>
      <c r="G146" s="269">
        <v>10620121</v>
      </c>
      <c r="H146" s="1" t="s">
        <v>381</v>
      </c>
      <c r="I146" s="61">
        <v>16</v>
      </c>
      <c r="J146" s="61">
        <v>6.4</v>
      </c>
      <c r="K146" s="61">
        <v>9</v>
      </c>
      <c r="L146" s="69">
        <f t="shared" si="28"/>
        <v>1.024</v>
      </c>
      <c r="M146" s="69">
        <f t="shared" si="29"/>
        <v>1.44</v>
      </c>
      <c r="N146" s="56">
        <f>INDEX(Rate_Chart!$A$1:$AK$127,MATCH(Data!J146,Rate_Chart!$A$1:$A$127,0),MATCH(Data!K146,Rate_Chart!$A$1:$AK$1,0))</f>
        <v>53.44</v>
      </c>
      <c r="O146" s="57">
        <f t="shared" si="30"/>
        <v>855.04</v>
      </c>
      <c r="P146" s="58">
        <f t="shared" si="31"/>
        <v>430.96774193548384</v>
      </c>
      <c r="Q146" s="58">
        <f t="shared" si="32"/>
        <v>287.31182795698925</v>
      </c>
      <c r="R146" s="66">
        <f t="shared" si="39"/>
        <v>14.963200000000001</v>
      </c>
      <c r="S146" s="64">
        <f t="shared" si="33"/>
        <v>60</v>
      </c>
      <c r="T146" s="66">
        <f t="shared" si="34"/>
        <v>930.00319999999999</v>
      </c>
      <c r="U146" s="68">
        <f t="shared" si="35"/>
        <v>58.1252</v>
      </c>
      <c r="V146" s="68">
        <f t="shared" si="36"/>
        <v>468.7516129032258</v>
      </c>
      <c r="W146" s="68">
        <f t="shared" si="37"/>
        <v>312.5010752688172</v>
      </c>
    </row>
    <row r="147" spans="1:23" x14ac:dyDescent="0.25">
      <c r="A147" s="169" t="s">
        <v>945</v>
      </c>
      <c r="B147" s="61" t="s">
        <v>390</v>
      </c>
      <c r="C147" s="61" t="s">
        <v>585</v>
      </c>
      <c r="D147" s="61" t="s">
        <v>586</v>
      </c>
      <c r="E147" s="1" t="s">
        <v>855</v>
      </c>
      <c r="F147" s="62" t="str">
        <f t="shared" si="38"/>
        <v>20121</v>
      </c>
      <c r="G147" s="269">
        <v>10620121</v>
      </c>
      <c r="H147" s="1" t="s">
        <v>382</v>
      </c>
      <c r="I147" s="61">
        <v>30</v>
      </c>
      <c r="J147" s="61">
        <v>3.8</v>
      </c>
      <c r="K147" s="61">
        <v>8.1999999999999993</v>
      </c>
      <c r="L147" s="69">
        <f t="shared" si="28"/>
        <v>1.1399999999999999</v>
      </c>
      <c r="M147" s="69">
        <f t="shared" si="29"/>
        <v>2.4599999999999995</v>
      </c>
      <c r="N147" s="56">
        <f>INDEX(Rate_Chart!$A$1:$AK$127,MATCH(Data!J147,Rate_Chart!$A$1:$A$127,0),MATCH(Data!K147,Rate_Chart!$A$1:$AK$1,0))</f>
        <v>38.6431398</v>
      </c>
      <c r="O147" s="57">
        <f t="shared" si="30"/>
        <v>1159.2941940000001</v>
      </c>
      <c r="P147" s="58">
        <f t="shared" si="31"/>
        <v>417.01230000000004</v>
      </c>
      <c r="Q147" s="58">
        <f t="shared" si="32"/>
        <v>278.00820000000004</v>
      </c>
      <c r="R147" s="66">
        <f t="shared" si="39"/>
        <v>20.287648395000001</v>
      </c>
      <c r="S147" s="64">
        <f t="shared" si="33"/>
        <v>112.5</v>
      </c>
      <c r="T147" s="66">
        <f t="shared" si="34"/>
        <v>1292.081842395</v>
      </c>
      <c r="U147" s="68">
        <f t="shared" si="35"/>
        <v>43.069394746500002</v>
      </c>
      <c r="V147" s="68">
        <f t="shared" si="36"/>
        <v>464.77764114928061</v>
      </c>
      <c r="W147" s="68">
        <f t="shared" si="37"/>
        <v>309.85176076618706</v>
      </c>
    </row>
    <row r="148" spans="1:23" x14ac:dyDescent="0.25">
      <c r="A148" s="169" t="s">
        <v>945</v>
      </c>
      <c r="B148" s="61" t="s">
        <v>391</v>
      </c>
      <c r="C148" s="61" t="s">
        <v>585</v>
      </c>
      <c r="D148" s="61" t="s">
        <v>586</v>
      </c>
      <c r="E148" s="1" t="s">
        <v>855</v>
      </c>
      <c r="F148" s="62" t="str">
        <f t="shared" si="38"/>
        <v>20121</v>
      </c>
      <c r="G148" s="269">
        <v>10620121</v>
      </c>
      <c r="H148" s="1" t="s">
        <v>381</v>
      </c>
      <c r="I148" s="61">
        <v>19</v>
      </c>
      <c r="J148" s="61">
        <v>6.6</v>
      </c>
      <c r="K148" s="61">
        <v>9</v>
      </c>
      <c r="L148" s="69">
        <f t="shared" si="28"/>
        <v>1.254</v>
      </c>
      <c r="M148" s="69">
        <f t="shared" si="29"/>
        <v>1.71</v>
      </c>
      <c r="N148" s="56">
        <f>INDEX(Rate_Chart!$A$1:$AK$127,MATCH(Data!J148,Rate_Chart!$A$1:$A$127,0),MATCH(Data!K148,Rate_Chart!$A$1:$AK$1,0))</f>
        <v>55.11</v>
      </c>
      <c r="O148" s="57">
        <f t="shared" si="30"/>
        <v>1047.0899999999999</v>
      </c>
      <c r="P148" s="58">
        <f t="shared" si="31"/>
        <v>437.38095238095235</v>
      </c>
      <c r="Q148" s="58">
        <f t="shared" si="32"/>
        <v>291.58730158730157</v>
      </c>
      <c r="R148" s="66">
        <f t="shared" si="39"/>
        <v>18.324075000000001</v>
      </c>
      <c r="S148" s="64">
        <f t="shared" si="33"/>
        <v>71.25</v>
      </c>
      <c r="T148" s="66">
        <f t="shared" si="34"/>
        <v>1136.6640749999999</v>
      </c>
      <c r="U148" s="68">
        <f t="shared" si="35"/>
        <v>59.824424999999998</v>
      </c>
      <c r="V148" s="68">
        <f t="shared" si="36"/>
        <v>474.79702380952381</v>
      </c>
      <c r="W148" s="68">
        <f t="shared" si="37"/>
        <v>316.5313492063492</v>
      </c>
    </row>
    <row r="149" spans="1:23" x14ac:dyDescent="0.25">
      <c r="A149" s="169" t="s">
        <v>945</v>
      </c>
      <c r="B149" s="61" t="s">
        <v>391</v>
      </c>
      <c r="C149" s="61" t="s">
        <v>585</v>
      </c>
      <c r="D149" s="61" t="s">
        <v>586</v>
      </c>
      <c r="E149" s="1" t="s">
        <v>855</v>
      </c>
      <c r="F149" s="62" t="str">
        <f t="shared" si="38"/>
        <v>20121</v>
      </c>
      <c r="G149" s="269">
        <v>10620121</v>
      </c>
      <c r="H149" s="1" t="s">
        <v>382</v>
      </c>
      <c r="I149" s="61">
        <v>32</v>
      </c>
      <c r="J149" s="61">
        <v>3.5</v>
      </c>
      <c r="K149" s="61">
        <v>8.1999999999999993</v>
      </c>
      <c r="L149" s="69">
        <f t="shared" si="28"/>
        <v>1.1200000000000001</v>
      </c>
      <c r="M149" s="69">
        <f t="shared" si="29"/>
        <v>2.6239999999999997</v>
      </c>
      <c r="N149" s="56">
        <f>INDEX(Rate_Chart!$A$1:$AK$127,MATCH(Data!J149,Rate_Chart!$A$1:$A$127,0),MATCH(Data!K149,Rate_Chart!$A$1:$AK$1,0))</f>
        <v>37.392139800000002</v>
      </c>
      <c r="O149" s="57">
        <f t="shared" si="30"/>
        <v>1196.5484736000001</v>
      </c>
      <c r="P149" s="58">
        <f t="shared" si="31"/>
        <v>417.01271152416359</v>
      </c>
      <c r="Q149" s="58">
        <f t="shared" si="32"/>
        <v>278.00847434944239</v>
      </c>
      <c r="R149" s="66">
        <f t="shared" si="39"/>
        <v>20.939598288000003</v>
      </c>
      <c r="S149" s="64">
        <f t="shared" si="33"/>
        <v>120</v>
      </c>
      <c r="T149" s="66">
        <f t="shared" si="34"/>
        <v>1337.4880718880001</v>
      </c>
      <c r="U149" s="68">
        <f t="shared" si="35"/>
        <v>41.796502246500005</v>
      </c>
      <c r="V149" s="68">
        <f t="shared" si="36"/>
        <v>466.13199531412641</v>
      </c>
      <c r="W149" s="68">
        <f t="shared" si="37"/>
        <v>310.75466354275096</v>
      </c>
    </row>
    <row r="150" spans="1:23" x14ac:dyDescent="0.25">
      <c r="A150" s="169" t="s">
        <v>946</v>
      </c>
      <c r="B150" s="61" t="s">
        <v>390</v>
      </c>
      <c r="C150" s="61" t="s">
        <v>585</v>
      </c>
      <c r="D150" s="61" t="s">
        <v>586</v>
      </c>
      <c r="E150" s="1" t="s">
        <v>855</v>
      </c>
      <c r="F150" s="62" t="str">
        <f t="shared" si="38"/>
        <v>20121</v>
      </c>
      <c r="G150" s="269">
        <v>10620121</v>
      </c>
      <c r="H150" s="1" t="s">
        <v>381</v>
      </c>
      <c r="I150" s="61">
        <v>22</v>
      </c>
      <c r="J150" s="61">
        <v>6.3</v>
      </c>
      <c r="K150" s="61">
        <v>9</v>
      </c>
      <c r="L150" s="69">
        <f t="shared" si="28"/>
        <v>1.3859999999999999</v>
      </c>
      <c r="M150" s="69">
        <f t="shared" si="29"/>
        <v>1.98</v>
      </c>
      <c r="N150" s="56">
        <f>INDEX(Rate_Chart!$A$1:$AK$127,MATCH(Data!J150,Rate_Chart!$A$1:$A$127,0),MATCH(Data!K150,Rate_Chart!$A$1:$AK$1,0))</f>
        <v>52.604999999999997</v>
      </c>
      <c r="O150" s="57">
        <f t="shared" si="30"/>
        <v>1157.31</v>
      </c>
      <c r="P150" s="58">
        <f t="shared" si="31"/>
        <v>427.6829268292683</v>
      </c>
      <c r="Q150" s="58">
        <f t="shared" si="32"/>
        <v>285.1219512195122</v>
      </c>
      <c r="R150" s="66">
        <f t="shared" si="39"/>
        <v>20.252925000000001</v>
      </c>
      <c r="S150" s="64">
        <f t="shared" si="33"/>
        <v>82.5</v>
      </c>
      <c r="T150" s="66">
        <f t="shared" si="34"/>
        <v>1260.062925</v>
      </c>
      <c r="U150" s="68">
        <f t="shared" si="35"/>
        <v>57.2755875</v>
      </c>
      <c r="V150" s="68">
        <f t="shared" si="36"/>
        <v>465.6551829268293</v>
      </c>
      <c r="W150" s="68">
        <f t="shared" si="37"/>
        <v>310.43678861788618</v>
      </c>
    </row>
    <row r="151" spans="1:23" x14ac:dyDescent="0.25">
      <c r="A151" s="169" t="s">
        <v>946</v>
      </c>
      <c r="B151" s="61" t="s">
        <v>390</v>
      </c>
      <c r="C151" s="61" t="s">
        <v>585</v>
      </c>
      <c r="D151" s="61" t="s">
        <v>586</v>
      </c>
      <c r="E151" s="1" t="s">
        <v>855</v>
      </c>
      <c r="F151" s="62" t="str">
        <f t="shared" si="38"/>
        <v>20121</v>
      </c>
      <c r="G151" s="269">
        <v>10620121</v>
      </c>
      <c r="H151" s="1" t="s">
        <v>382</v>
      </c>
      <c r="I151" s="61">
        <v>36</v>
      </c>
      <c r="J151" s="61">
        <v>3.9</v>
      </c>
      <c r="K151" s="61">
        <v>8.3000000000000007</v>
      </c>
      <c r="L151" s="69">
        <f t="shared" si="28"/>
        <v>1.4040000000000001</v>
      </c>
      <c r="M151" s="69">
        <f t="shared" si="29"/>
        <v>2.988</v>
      </c>
      <c r="N151" s="56">
        <f>INDEX(Rate_Chart!$A$1:$AK$127,MATCH(Data!J151,Rate_Chart!$A$1:$A$127,0),MATCH(Data!K151,Rate_Chart!$A$1:$AK$1,0))</f>
        <v>39.338153700000007</v>
      </c>
      <c r="O151" s="57">
        <f t="shared" si="30"/>
        <v>1416.1735332000003</v>
      </c>
      <c r="P151" s="58">
        <f t="shared" si="31"/>
        <v>417.01223003533573</v>
      </c>
      <c r="Q151" s="58">
        <f t="shared" si="32"/>
        <v>278.00815335689049</v>
      </c>
      <c r="R151" s="66">
        <f t="shared" si="39"/>
        <v>24.783036831000008</v>
      </c>
      <c r="S151" s="64">
        <f t="shared" si="33"/>
        <v>135</v>
      </c>
      <c r="T151" s="66">
        <f t="shared" si="34"/>
        <v>1575.9565700310004</v>
      </c>
      <c r="U151" s="68">
        <f t="shared" si="35"/>
        <v>43.776571389750011</v>
      </c>
      <c r="V151" s="68">
        <f t="shared" si="36"/>
        <v>464.0625942376326</v>
      </c>
      <c r="W151" s="68">
        <f t="shared" si="37"/>
        <v>309.37506282508838</v>
      </c>
    </row>
    <row r="152" spans="1:23" x14ac:dyDescent="0.25">
      <c r="A152" s="169" t="s">
        <v>946</v>
      </c>
      <c r="B152" s="61" t="s">
        <v>391</v>
      </c>
      <c r="C152" s="61" t="s">
        <v>585</v>
      </c>
      <c r="D152" s="61" t="s">
        <v>586</v>
      </c>
      <c r="E152" s="1" t="s">
        <v>855</v>
      </c>
      <c r="F152" s="62" t="str">
        <f t="shared" si="38"/>
        <v>20121</v>
      </c>
      <c r="G152" s="269">
        <v>10620121</v>
      </c>
      <c r="H152" s="1" t="s">
        <v>381</v>
      </c>
      <c r="I152" s="61">
        <v>16</v>
      </c>
      <c r="J152" s="61">
        <v>6.2</v>
      </c>
      <c r="K152" s="61">
        <v>9</v>
      </c>
      <c r="L152" s="69">
        <f t="shared" si="28"/>
        <v>0.99199999999999999</v>
      </c>
      <c r="M152" s="69">
        <f t="shared" si="29"/>
        <v>1.44</v>
      </c>
      <c r="N152" s="56">
        <f>INDEX(Rate_Chart!$A$1:$AK$127,MATCH(Data!J152,Rate_Chart!$A$1:$A$127,0),MATCH(Data!K152,Rate_Chart!$A$1:$AK$1,0))</f>
        <v>51.77</v>
      </c>
      <c r="O152" s="57">
        <f t="shared" si="30"/>
        <v>828.32</v>
      </c>
      <c r="P152" s="58">
        <f t="shared" si="31"/>
        <v>424.34426229508199</v>
      </c>
      <c r="Q152" s="58">
        <f t="shared" si="32"/>
        <v>282.89617486338801</v>
      </c>
      <c r="R152" s="66">
        <f t="shared" si="39"/>
        <v>14.495600000000001</v>
      </c>
      <c r="S152" s="64">
        <f t="shared" si="33"/>
        <v>60</v>
      </c>
      <c r="T152" s="66">
        <f t="shared" si="34"/>
        <v>902.81560000000002</v>
      </c>
      <c r="U152" s="68">
        <f t="shared" si="35"/>
        <v>56.425975000000001</v>
      </c>
      <c r="V152" s="68">
        <f t="shared" si="36"/>
        <v>462.50799180327868</v>
      </c>
      <c r="W152" s="68">
        <f t="shared" si="37"/>
        <v>308.33866120218579</v>
      </c>
    </row>
    <row r="153" spans="1:23" x14ac:dyDescent="0.25">
      <c r="A153" s="169" t="s">
        <v>946</v>
      </c>
      <c r="B153" s="61" t="s">
        <v>391</v>
      </c>
      <c r="C153" s="61" t="s">
        <v>585</v>
      </c>
      <c r="D153" s="61" t="s">
        <v>586</v>
      </c>
      <c r="E153" s="1" t="s">
        <v>855</v>
      </c>
      <c r="F153" s="62" t="str">
        <f t="shared" si="38"/>
        <v>20121</v>
      </c>
      <c r="G153" s="269">
        <v>10620121</v>
      </c>
      <c r="H153" s="1" t="s">
        <v>382</v>
      </c>
      <c r="I153" s="61">
        <v>31</v>
      </c>
      <c r="J153" s="61">
        <v>3.6</v>
      </c>
      <c r="K153" s="61">
        <v>8.1</v>
      </c>
      <c r="L153" s="69">
        <f t="shared" si="28"/>
        <v>1.1160000000000001</v>
      </c>
      <c r="M153" s="69">
        <f t="shared" si="29"/>
        <v>2.5110000000000001</v>
      </c>
      <c r="N153" s="56">
        <f>INDEX(Rate_Chart!$A$1:$AK$127,MATCH(Data!J153,Rate_Chart!$A$1:$A$127,0),MATCH(Data!K153,Rate_Chart!$A$1:$AK$1,0))</f>
        <v>37.531125900000006</v>
      </c>
      <c r="O153" s="57">
        <f t="shared" si="30"/>
        <v>1163.4649029000002</v>
      </c>
      <c r="P153" s="58">
        <f t="shared" si="31"/>
        <v>417.01251000000008</v>
      </c>
      <c r="Q153" s="58">
        <f t="shared" si="32"/>
        <v>278.00834000000003</v>
      </c>
      <c r="R153" s="66">
        <f t="shared" si="39"/>
        <v>20.360635800750007</v>
      </c>
      <c r="S153" s="64">
        <f t="shared" si="33"/>
        <v>116.25</v>
      </c>
      <c r="T153" s="66">
        <f t="shared" si="34"/>
        <v>1300.0755387007503</v>
      </c>
      <c r="U153" s="68">
        <f t="shared" si="35"/>
        <v>41.937920603250006</v>
      </c>
      <c r="V153" s="68">
        <f t="shared" si="36"/>
        <v>465.97689559166673</v>
      </c>
      <c r="W153" s="68">
        <f t="shared" si="37"/>
        <v>310.6512637277778</v>
      </c>
    </row>
    <row r="154" spans="1:23" x14ac:dyDescent="0.25">
      <c r="A154" s="169" t="s">
        <v>947</v>
      </c>
      <c r="B154" s="61" t="s">
        <v>390</v>
      </c>
      <c r="C154" s="61" t="s">
        <v>585</v>
      </c>
      <c r="D154" s="61" t="s">
        <v>586</v>
      </c>
      <c r="E154" s="1" t="s">
        <v>855</v>
      </c>
      <c r="F154" s="62" t="str">
        <f t="shared" si="38"/>
        <v>20121</v>
      </c>
      <c r="G154" s="269">
        <v>10620121</v>
      </c>
      <c r="H154" s="1" t="s">
        <v>381</v>
      </c>
      <c r="I154" s="61">
        <v>26</v>
      </c>
      <c r="J154" s="61">
        <v>5.8</v>
      </c>
      <c r="K154" s="61">
        <v>9</v>
      </c>
      <c r="L154" s="69">
        <f t="shared" si="28"/>
        <v>1.5079999999999998</v>
      </c>
      <c r="M154" s="69">
        <f t="shared" si="29"/>
        <v>2.34</v>
      </c>
      <c r="N154" s="56">
        <f>INDEX(Rate_Chart!$A$1:$AK$127,MATCH(Data!J154,Rate_Chart!$A$1:$A$127,0),MATCH(Data!K154,Rate_Chart!$A$1:$AK$1,0))</f>
        <v>48.43</v>
      </c>
      <c r="O154" s="57">
        <f t="shared" si="30"/>
        <v>1259.18</v>
      </c>
      <c r="P154" s="58">
        <f t="shared" si="31"/>
        <v>410.42372881355936</v>
      </c>
      <c r="Q154" s="58">
        <f t="shared" si="32"/>
        <v>273.61581920903956</v>
      </c>
      <c r="R154" s="66">
        <f t="shared" si="39"/>
        <v>22.035650000000004</v>
      </c>
      <c r="S154" s="64">
        <f t="shared" si="33"/>
        <v>97.5</v>
      </c>
      <c r="T154" s="66">
        <f t="shared" si="34"/>
        <v>1378.7156500000001</v>
      </c>
      <c r="U154" s="68">
        <f t="shared" si="35"/>
        <v>53.027525000000004</v>
      </c>
      <c r="V154" s="68">
        <f t="shared" si="36"/>
        <v>449.38580508474581</v>
      </c>
      <c r="W154" s="68">
        <f t="shared" si="37"/>
        <v>299.59053672316389</v>
      </c>
    </row>
    <row r="155" spans="1:23" x14ac:dyDescent="0.25">
      <c r="A155" s="169" t="s">
        <v>947</v>
      </c>
      <c r="B155" s="61" t="s">
        <v>390</v>
      </c>
      <c r="C155" s="61" t="s">
        <v>585</v>
      </c>
      <c r="D155" s="61" t="s">
        <v>586</v>
      </c>
      <c r="E155" s="1" t="s">
        <v>855</v>
      </c>
      <c r="F155" s="62" t="str">
        <f t="shared" si="38"/>
        <v>20121</v>
      </c>
      <c r="G155" s="269">
        <v>10620121</v>
      </c>
      <c r="H155" s="1" t="s">
        <v>382</v>
      </c>
      <c r="I155" s="61">
        <v>40</v>
      </c>
      <c r="J155" s="61">
        <v>3.9</v>
      </c>
      <c r="K155" s="61">
        <v>8.3000000000000007</v>
      </c>
      <c r="L155" s="69">
        <f t="shared" si="28"/>
        <v>1.56</v>
      </c>
      <c r="M155" s="69">
        <f t="shared" si="29"/>
        <v>3.32</v>
      </c>
      <c r="N155" s="56">
        <f>INDEX(Rate_Chart!$A$1:$AK$127,MATCH(Data!J155,Rate_Chart!$A$1:$A$127,0),MATCH(Data!K155,Rate_Chart!$A$1:$AK$1,0))</f>
        <v>39.338153700000007</v>
      </c>
      <c r="O155" s="57">
        <f t="shared" si="30"/>
        <v>1573.5261480000004</v>
      </c>
      <c r="P155" s="58">
        <f t="shared" si="31"/>
        <v>417.01223003533573</v>
      </c>
      <c r="Q155" s="58">
        <f t="shared" si="32"/>
        <v>278.00815335689049</v>
      </c>
      <c r="R155" s="66">
        <f t="shared" si="39"/>
        <v>27.53670759000001</v>
      </c>
      <c r="S155" s="64">
        <f t="shared" si="33"/>
        <v>150</v>
      </c>
      <c r="T155" s="66">
        <f t="shared" si="34"/>
        <v>1751.0628555900005</v>
      </c>
      <c r="U155" s="68">
        <f t="shared" si="35"/>
        <v>43.776571389750011</v>
      </c>
      <c r="V155" s="68">
        <f t="shared" si="36"/>
        <v>464.0625942376326</v>
      </c>
      <c r="W155" s="68">
        <f t="shared" si="37"/>
        <v>309.37506282508838</v>
      </c>
    </row>
    <row r="156" spans="1:23" x14ac:dyDescent="0.25">
      <c r="A156" s="169" t="s">
        <v>947</v>
      </c>
      <c r="B156" s="61" t="s">
        <v>391</v>
      </c>
      <c r="C156" s="61" t="s">
        <v>585</v>
      </c>
      <c r="D156" s="61" t="s">
        <v>586</v>
      </c>
      <c r="E156" s="1" t="s">
        <v>855</v>
      </c>
      <c r="F156" s="62" t="str">
        <f t="shared" si="38"/>
        <v>20121</v>
      </c>
      <c r="G156" s="269">
        <v>10620121</v>
      </c>
      <c r="H156" s="1" t="s">
        <v>381</v>
      </c>
      <c r="I156" s="61">
        <v>14</v>
      </c>
      <c r="J156" s="61">
        <v>6.2</v>
      </c>
      <c r="K156" s="61">
        <v>9</v>
      </c>
      <c r="L156" s="69">
        <f t="shared" si="28"/>
        <v>0.86799999999999999</v>
      </c>
      <c r="M156" s="69">
        <f t="shared" si="29"/>
        <v>1.26</v>
      </c>
      <c r="N156" s="56">
        <f>INDEX(Rate_Chart!$A$1:$AK$127,MATCH(Data!J156,Rate_Chart!$A$1:$A$127,0),MATCH(Data!K156,Rate_Chart!$A$1:$AK$1,0))</f>
        <v>51.77</v>
      </c>
      <c r="O156" s="57">
        <f t="shared" si="30"/>
        <v>724.78000000000009</v>
      </c>
      <c r="P156" s="58">
        <f t="shared" si="31"/>
        <v>424.34426229508199</v>
      </c>
      <c r="Q156" s="58">
        <f t="shared" si="32"/>
        <v>282.89617486338801</v>
      </c>
      <c r="R156" s="66">
        <f t="shared" si="39"/>
        <v>12.683650000000002</v>
      </c>
      <c r="S156" s="64">
        <f t="shared" si="33"/>
        <v>52.5</v>
      </c>
      <c r="T156" s="66">
        <f t="shared" si="34"/>
        <v>789.96365000000014</v>
      </c>
      <c r="U156" s="68">
        <f t="shared" si="35"/>
        <v>56.425975000000008</v>
      </c>
      <c r="V156" s="68">
        <f t="shared" si="36"/>
        <v>462.50799180327874</v>
      </c>
      <c r="W156" s="68">
        <f t="shared" si="37"/>
        <v>308.33866120218585</v>
      </c>
    </row>
    <row r="157" spans="1:23" x14ac:dyDescent="0.25">
      <c r="A157" s="169" t="s">
        <v>947</v>
      </c>
      <c r="B157" s="61" t="s">
        <v>391</v>
      </c>
      <c r="C157" s="61" t="s">
        <v>585</v>
      </c>
      <c r="D157" s="61" t="s">
        <v>586</v>
      </c>
      <c r="E157" s="1" t="s">
        <v>855</v>
      </c>
      <c r="F157" s="62" t="str">
        <f t="shared" si="38"/>
        <v>20121</v>
      </c>
      <c r="G157" s="269">
        <v>10620121</v>
      </c>
      <c r="H157" s="1" t="s">
        <v>382</v>
      </c>
      <c r="I157" s="61">
        <v>36</v>
      </c>
      <c r="J157" s="61">
        <v>3.7</v>
      </c>
      <c r="K157" s="61">
        <v>8.1999999999999993</v>
      </c>
      <c r="L157" s="69">
        <f t="shared" si="28"/>
        <v>1.3320000000000001</v>
      </c>
      <c r="M157" s="69">
        <f t="shared" si="29"/>
        <v>2.952</v>
      </c>
      <c r="N157" s="56">
        <f>INDEX(Rate_Chart!$A$1:$AK$127,MATCH(Data!J157,Rate_Chart!$A$1:$A$127,0),MATCH(Data!K157,Rate_Chart!$A$1:$AK$1,0))</f>
        <v>38.226139799999999</v>
      </c>
      <c r="O157" s="57">
        <f t="shared" si="30"/>
        <v>1376.1410327999999</v>
      </c>
      <c r="P157" s="58">
        <f t="shared" si="31"/>
        <v>417.01243418181815</v>
      </c>
      <c r="Q157" s="58">
        <f t="shared" si="32"/>
        <v>278.00828945454543</v>
      </c>
      <c r="R157" s="66">
        <f t="shared" si="39"/>
        <v>24.082468074000001</v>
      </c>
      <c r="S157" s="64">
        <f t="shared" si="33"/>
        <v>135</v>
      </c>
      <c r="T157" s="66">
        <f t="shared" si="34"/>
        <v>1535.2235008739999</v>
      </c>
      <c r="U157" s="68">
        <f t="shared" si="35"/>
        <v>42.645097246500001</v>
      </c>
      <c r="V157" s="68">
        <f t="shared" si="36"/>
        <v>465.21924268909089</v>
      </c>
      <c r="W157" s="68">
        <f t="shared" si="37"/>
        <v>310.14616179272724</v>
      </c>
    </row>
    <row r="158" spans="1:23" x14ac:dyDescent="0.25">
      <c r="A158" s="169" t="s">
        <v>943</v>
      </c>
      <c r="B158" s="61" t="s">
        <v>390</v>
      </c>
      <c r="C158" s="61" t="s">
        <v>585</v>
      </c>
      <c r="D158" s="61" t="s">
        <v>588</v>
      </c>
      <c r="E158" s="1" t="s">
        <v>948</v>
      </c>
      <c r="F158" s="62" t="str">
        <f t="shared" si="38"/>
        <v>20122</v>
      </c>
      <c r="G158" s="269">
        <v>10620122</v>
      </c>
      <c r="H158" s="1" t="s">
        <v>382</v>
      </c>
      <c r="I158" s="61">
        <v>5</v>
      </c>
      <c r="J158" s="61">
        <v>3</v>
      </c>
      <c r="K158" s="61">
        <v>8</v>
      </c>
      <c r="L158" s="69">
        <f t="shared" si="28"/>
        <v>0.15</v>
      </c>
      <c r="M158" s="69">
        <f t="shared" si="29"/>
        <v>0.4</v>
      </c>
      <c r="N158" s="56">
        <f>INDEX(Rate_Chart!$A$1:$AK$127,MATCH(Data!J158,Rate_Chart!$A$1:$A$127,0),MATCH(Data!K158,Rate_Chart!$A$1:$AK$1,0))</f>
        <v>34.751112000000006</v>
      </c>
      <c r="O158" s="57">
        <f t="shared" si="30"/>
        <v>173.75556000000003</v>
      </c>
      <c r="P158" s="58">
        <f t="shared" si="31"/>
        <v>417.01334400000002</v>
      </c>
      <c r="Q158" s="58">
        <f t="shared" si="32"/>
        <v>278.00889599999999</v>
      </c>
      <c r="R158" s="66">
        <f t="shared" si="39"/>
        <v>3.040722300000001</v>
      </c>
      <c r="S158" s="64">
        <f t="shared" si="33"/>
        <v>18.75</v>
      </c>
      <c r="T158" s="66">
        <f t="shared" si="34"/>
        <v>195.54628230000003</v>
      </c>
      <c r="U158" s="68">
        <f t="shared" si="35"/>
        <v>39.109256460000005</v>
      </c>
      <c r="V158" s="68">
        <f t="shared" si="36"/>
        <v>469.31107752000003</v>
      </c>
      <c r="W158" s="68">
        <f t="shared" si="37"/>
        <v>312.87405168000004</v>
      </c>
    </row>
    <row r="159" spans="1:23" x14ac:dyDescent="0.25">
      <c r="A159" s="169" t="s">
        <v>944</v>
      </c>
      <c r="B159" s="61" t="s">
        <v>391</v>
      </c>
      <c r="C159" s="61" t="s">
        <v>585</v>
      </c>
      <c r="D159" s="61" t="s">
        <v>588</v>
      </c>
      <c r="E159" s="1" t="s">
        <v>948</v>
      </c>
      <c r="F159" s="62" t="str">
        <f t="shared" si="38"/>
        <v>20122</v>
      </c>
      <c r="G159" s="269">
        <v>10620122</v>
      </c>
      <c r="H159" s="1" t="s">
        <v>382</v>
      </c>
      <c r="I159" s="61">
        <v>6</v>
      </c>
      <c r="J159" s="61">
        <v>3</v>
      </c>
      <c r="K159" s="61">
        <v>8</v>
      </c>
      <c r="L159" s="69">
        <f t="shared" si="28"/>
        <v>0.18</v>
      </c>
      <c r="M159" s="69">
        <f t="shared" si="29"/>
        <v>0.48</v>
      </c>
      <c r="N159" s="56">
        <f>INDEX(Rate_Chart!$A$1:$AK$127,MATCH(Data!J159,Rate_Chart!$A$1:$A$127,0),MATCH(Data!K159,Rate_Chart!$A$1:$AK$1,0))</f>
        <v>34.751112000000006</v>
      </c>
      <c r="O159" s="57">
        <f t="shared" si="30"/>
        <v>208.50667200000004</v>
      </c>
      <c r="P159" s="58">
        <f t="shared" si="31"/>
        <v>417.01334400000002</v>
      </c>
      <c r="Q159" s="58">
        <f t="shared" si="32"/>
        <v>278.00889599999999</v>
      </c>
      <c r="R159" s="66">
        <f t="shared" si="39"/>
        <v>3.6488667600000011</v>
      </c>
      <c r="S159" s="64">
        <f t="shared" si="33"/>
        <v>22.5</v>
      </c>
      <c r="T159" s="66">
        <f t="shared" si="34"/>
        <v>234.65553876000004</v>
      </c>
      <c r="U159" s="68">
        <f t="shared" si="35"/>
        <v>39.109256460000005</v>
      </c>
      <c r="V159" s="68">
        <f t="shared" si="36"/>
        <v>469.31107752000003</v>
      </c>
      <c r="W159" s="68">
        <f t="shared" si="37"/>
        <v>312.87405168000004</v>
      </c>
    </row>
    <row r="160" spans="1:23" x14ac:dyDescent="0.25">
      <c r="A160" s="169" t="s">
        <v>941</v>
      </c>
      <c r="B160" s="61" t="s">
        <v>390</v>
      </c>
      <c r="C160" s="61" t="s">
        <v>585</v>
      </c>
      <c r="D160" s="61" t="s">
        <v>587</v>
      </c>
      <c r="E160" s="1" t="s">
        <v>861</v>
      </c>
      <c r="F160" s="62" t="str">
        <f t="shared" si="38"/>
        <v>20123</v>
      </c>
      <c r="G160" s="269">
        <v>10620123</v>
      </c>
      <c r="H160" s="1" t="s">
        <v>382</v>
      </c>
      <c r="I160" s="61">
        <v>16</v>
      </c>
      <c r="J160" s="61">
        <v>4.5</v>
      </c>
      <c r="K160" s="61">
        <v>8.5</v>
      </c>
      <c r="L160" s="69">
        <f t="shared" si="28"/>
        <v>0.72</v>
      </c>
      <c r="M160" s="69">
        <f t="shared" si="29"/>
        <v>1.36</v>
      </c>
      <c r="N160" s="56">
        <f>INDEX(Rate_Chart!$A$1:$AK$127,MATCH(Data!J160,Rate_Chart!$A$1:$A$127,0),MATCH(Data!K160,Rate_Chart!$A$1:$AK$1,0))</f>
        <v>42.396181500000004</v>
      </c>
      <c r="O160" s="57">
        <f t="shared" si="30"/>
        <v>678.33890400000007</v>
      </c>
      <c r="P160" s="58">
        <f t="shared" si="31"/>
        <v>417.01162131147544</v>
      </c>
      <c r="Q160" s="58">
        <f t="shared" si="32"/>
        <v>278.00774754098364</v>
      </c>
      <c r="R160" s="66">
        <f t="shared" si="39"/>
        <v>11.870930820000002</v>
      </c>
      <c r="S160" s="64">
        <f t="shared" si="33"/>
        <v>60</v>
      </c>
      <c r="T160" s="66">
        <f t="shared" si="34"/>
        <v>750.20983482000008</v>
      </c>
      <c r="U160" s="68">
        <f t="shared" si="35"/>
        <v>46.888114676250005</v>
      </c>
      <c r="V160" s="68">
        <f t="shared" si="36"/>
        <v>461.19457058606559</v>
      </c>
      <c r="W160" s="68">
        <f t="shared" si="37"/>
        <v>307.46304705737708</v>
      </c>
    </row>
    <row r="161" spans="1:23" x14ac:dyDescent="0.25">
      <c r="A161" s="169" t="s">
        <v>941</v>
      </c>
      <c r="B161" s="61" t="s">
        <v>391</v>
      </c>
      <c r="C161" s="61" t="s">
        <v>585</v>
      </c>
      <c r="D161" s="61" t="s">
        <v>587</v>
      </c>
      <c r="E161" s="1" t="s">
        <v>861</v>
      </c>
      <c r="F161" s="62" t="str">
        <f t="shared" si="38"/>
        <v>20123</v>
      </c>
      <c r="G161" s="269">
        <v>10620123</v>
      </c>
      <c r="H161" s="1" t="s">
        <v>382</v>
      </c>
      <c r="I161" s="61">
        <v>27</v>
      </c>
      <c r="J161" s="61">
        <v>4</v>
      </c>
      <c r="K161" s="61">
        <v>8.1999999999999993</v>
      </c>
      <c r="L161" s="69">
        <f t="shared" ref="L161:L224" si="40">J161*I161/100</f>
        <v>1.08</v>
      </c>
      <c r="M161" s="69">
        <f t="shared" ref="M161:M224" si="41">K161*I161/100</f>
        <v>2.214</v>
      </c>
      <c r="N161" s="56">
        <f>INDEX(Rate_Chart!$A$1:$AK$127,MATCH(Data!J161,Rate_Chart!$A$1:$A$127,0),MATCH(Data!K161,Rate_Chart!$A$1:$AK$1,0))</f>
        <v>39.477139800000003</v>
      </c>
      <c r="O161" s="57">
        <f t="shared" ref="O161:O224" si="42">N161*I161</f>
        <v>1065.8827746000002</v>
      </c>
      <c r="P161" s="58">
        <f t="shared" ref="P161:P224" si="43">N161/(J161%+K161%*2/3)</f>
        <v>417.0120401408451</v>
      </c>
      <c r="Q161" s="58">
        <f t="shared" ref="Q161:Q224" si="44">P161*2/3</f>
        <v>278.00802676056338</v>
      </c>
      <c r="R161" s="66">
        <f t="shared" si="39"/>
        <v>18.652948555500004</v>
      </c>
      <c r="S161" s="64">
        <f t="shared" ref="S161:S224" si="45">I161*3.75</f>
        <v>101.25</v>
      </c>
      <c r="T161" s="66">
        <f t="shared" ref="T161:T224" si="46">R161+S161+O161</f>
        <v>1185.7857231555001</v>
      </c>
      <c r="U161" s="68">
        <f t="shared" ref="U161:U224" si="47">T161/I161</f>
        <v>43.917989746500005</v>
      </c>
      <c r="V161" s="68">
        <f t="shared" ref="V161:V224" si="48">U161/(J161%+K161%*2/3)</f>
        <v>463.92242689964797</v>
      </c>
      <c r="W161" s="68">
        <f t="shared" ref="W161:W224" si="49">V161*2/3</f>
        <v>309.28161793309863</v>
      </c>
    </row>
    <row r="162" spans="1:23" x14ac:dyDescent="0.25">
      <c r="A162" s="169" t="s">
        <v>942</v>
      </c>
      <c r="B162" s="61" t="s">
        <v>390</v>
      </c>
      <c r="C162" s="61" t="s">
        <v>585</v>
      </c>
      <c r="D162" s="61" t="s">
        <v>587</v>
      </c>
      <c r="E162" s="1" t="s">
        <v>861</v>
      </c>
      <c r="F162" s="62" t="str">
        <f t="shared" si="38"/>
        <v>20123</v>
      </c>
      <c r="G162" s="269">
        <v>10620123</v>
      </c>
      <c r="H162" s="1" t="s">
        <v>382</v>
      </c>
      <c r="I162" s="61">
        <v>24</v>
      </c>
      <c r="J162" s="61">
        <v>4.5</v>
      </c>
      <c r="K162" s="61">
        <v>8.3000000000000007</v>
      </c>
      <c r="L162" s="69">
        <f t="shared" si="40"/>
        <v>1.08</v>
      </c>
      <c r="M162" s="69">
        <f t="shared" si="41"/>
        <v>1.9920000000000002</v>
      </c>
      <c r="N162" s="56">
        <f>INDEX(Rate_Chart!$A$1:$AK$127,MATCH(Data!J162,Rate_Chart!$A$1:$A$127,0),MATCH(Data!K162,Rate_Chart!$A$1:$AK$1,0))</f>
        <v>41.840153700000002</v>
      </c>
      <c r="O162" s="57">
        <f t="shared" si="42"/>
        <v>1004.1636888</v>
      </c>
      <c r="P162" s="58">
        <f t="shared" si="43"/>
        <v>417.01149867109638</v>
      </c>
      <c r="Q162" s="58">
        <f t="shared" si="44"/>
        <v>278.00766578073092</v>
      </c>
      <c r="R162" s="66">
        <f t="shared" si="39"/>
        <v>17.572864554000002</v>
      </c>
      <c r="S162" s="64">
        <f t="shared" si="45"/>
        <v>90</v>
      </c>
      <c r="T162" s="66">
        <f t="shared" si="46"/>
        <v>1111.7365533540001</v>
      </c>
      <c r="U162" s="68">
        <f t="shared" si="47"/>
        <v>46.322356389750006</v>
      </c>
      <c r="V162" s="68">
        <f t="shared" si="48"/>
        <v>461.68461518023264</v>
      </c>
      <c r="W162" s="68">
        <f t="shared" si="49"/>
        <v>307.78974345348843</v>
      </c>
    </row>
    <row r="163" spans="1:23" x14ac:dyDescent="0.25">
      <c r="A163" s="169" t="s">
        <v>942</v>
      </c>
      <c r="B163" s="61" t="s">
        <v>391</v>
      </c>
      <c r="C163" s="61" t="s">
        <v>585</v>
      </c>
      <c r="D163" s="61" t="s">
        <v>587</v>
      </c>
      <c r="E163" s="1" t="s">
        <v>861</v>
      </c>
      <c r="F163" s="62" t="str">
        <f t="shared" si="38"/>
        <v>20123</v>
      </c>
      <c r="G163" s="269">
        <v>10620123</v>
      </c>
      <c r="H163" s="1" t="s">
        <v>382</v>
      </c>
      <c r="I163" s="61">
        <v>27</v>
      </c>
      <c r="J163" s="61">
        <v>4.3</v>
      </c>
      <c r="K163" s="61">
        <v>8.4</v>
      </c>
      <c r="L163" s="69">
        <f t="shared" si="40"/>
        <v>1.161</v>
      </c>
      <c r="M163" s="69">
        <f t="shared" si="41"/>
        <v>2.2680000000000002</v>
      </c>
      <c r="N163" s="56">
        <f>INDEX(Rate_Chart!$A$1:$AK$127,MATCH(Data!J163,Rate_Chart!$A$1:$A$127,0),MATCH(Data!K163,Rate_Chart!$A$1:$AK$1,0))</f>
        <v>41.284167600000004</v>
      </c>
      <c r="O163" s="57">
        <f t="shared" si="42"/>
        <v>1114.6725252000001</v>
      </c>
      <c r="P163" s="58">
        <f t="shared" si="43"/>
        <v>417.01179393939395</v>
      </c>
      <c r="Q163" s="58">
        <f t="shared" si="44"/>
        <v>278.00786262626264</v>
      </c>
      <c r="R163" s="66">
        <f t="shared" si="39"/>
        <v>19.506769191000004</v>
      </c>
      <c r="S163" s="64">
        <f t="shared" si="45"/>
        <v>101.25</v>
      </c>
      <c r="T163" s="66">
        <f t="shared" si="46"/>
        <v>1235.4292943910002</v>
      </c>
      <c r="U163" s="68">
        <f t="shared" si="47"/>
        <v>45.756640533000009</v>
      </c>
      <c r="V163" s="68">
        <f t="shared" si="48"/>
        <v>462.18828821212128</v>
      </c>
      <c r="W163" s="68">
        <f t="shared" si="49"/>
        <v>308.12552547474752</v>
      </c>
    </row>
    <row r="164" spans="1:23" x14ac:dyDescent="0.25">
      <c r="A164" s="169" t="s">
        <v>943</v>
      </c>
      <c r="B164" s="61" t="s">
        <v>390</v>
      </c>
      <c r="C164" s="61" t="s">
        <v>585</v>
      </c>
      <c r="D164" s="61" t="s">
        <v>587</v>
      </c>
      <c r="E164" s="1" t="s">
        <v>861</v>
      </c>
      <c r="F164" s="62" t="str">
        <f t="shared" si="38"/>
        <v>20123</v>
      </c>
      <c r="G164" s="269">
        <v>10620123</v>
      </c>
      <c r="H164" s="1" t="s">
        <v>382</v>
      </c>
      <c r="I164" s="61">
        <v>24</v>
      </c>
      <c r="J164" s="61">
        <v>4.5</v>
      </c>
      <c r="K164" s="61">
        <v>8.1999999999999993</v>
      </c>
      <c r="L164" s="69">
        <f t="shared" si="40"/>
        <v>1.08</v>
      </c>
      <c r="M164" s="69">
        <f t="shared" si="41"/>
        <v>1.9679999999999997</v>
      </c>
      <c r="N164" s="56">
        <f>INDEX(Rate_Chart!$A$1:$AK$127,MATCH(Data!J164,Rate_Chart!$A$1:$A$127,0),MATCH(Data!K164,Rate_Chart!$A$1:$AK$1,0))</f>
        <v>41.562139799999997</v>
      </c>
      <c r="O164" s="57">
        <f t="shared" si="42"/>
        <v>997.49135519999993</v>
      </c>
      <c r="P164" s="58">
        <f t="shared" si="43"/>
        <v>417.01143612040136</v>
      </c>
      <c r="Q164" s="58">
        <f t="shared" si="44"/>
        <v>278.00762408026759</v>
      </c>
      <c r="R164" s="66">
        <f t="shared" si="39"/>
        <v>17.456098716</v>
      </c>
      <c r="S164" s="64">
        <f t="shared" si="45"/>
        <v>90</v>
      </c>
      <c r="T164" s="66">
        <f t="shared" si="46"/>
        <v>1104.9474539159999</v>
      </c>
      <c r="U164" s="68">
        <f t="shared" si="47"/>
        <v>46.039477246499992</v>
      </c>
      <c r="V164" s="68">
        <f t="shared" si="48"/>
        <v>461.934554312709</v>
      </c>
      <c r="W164" s="68">
        <f t="shared" si="49"/>
        <v>307.956369541806</v>
      </c>
    </row>
    <row r="165" spans="1:23" x14ac:dyDescent="0.25">
      <c r="A165" s="169" t="s">
        <v>943</v>
      </c>
      <c r="B165" s="61" t="s">
        <v>391</v>
      </c>
      <c r="C165" s="61" t="s">
        <v>585</v>
      </c>
      <c r="D165" s="61" t="s">
        <v>587</v>
      </c>
      <c r="E165" s="1" t="s">
        <v>861</v>
      </c>
      <c r="F165" s="62" t="str">
        <f t="shared" si="38"/>
        <v>20123</v>
      </c>
      <c r="G165" s="269">
        <v>10620123</v>
      </c>
      <c r="H165" s="1" t="s">
        <v>382</v>
      </c>
      <c r="I165" s="61">
        <v>22</v>
      </c>
      <c r="J165" s="61">
        <v>4.2</v>
      </c>
      <c r="K165" s="61">
        <v>8.3000000000000007</v>
      </c>
      <c r="L165" s="69">
        <f t="shared" si="40"/>
        <v>0.92400000000000004</v>
      </c>
      <c r="M165" s="69">
        <f t="shared" si="41"/>
        <v>1.8260000000000003</v>
      </c>
      <c r="N165" s="56">
        <f>INDEX(Rate_Chart!$A$1:$AK$127,MATCH(Data!J165,Rate_Chart!$A$1:$A$127,0),MATCH(Data!K165,Rate_Chart!$A$1:$AK$1,0))</f>
        <v>40.589153700000004</v>
      </c>
      <c r="O165" s="57">
        <f t="shared" si="42"/>
        <v>892.96138140000005</v>
      </c>
      <c r="P165" s="58">
        <f t="shared" si="43"/>
        <v>417.01185308219181</v>
      </c>
      <c r="Q165" s="58">
        <f t="shared" si="44"/>
        <v>278.00790205479456</v>
      </c>
      <c r="R165" s="66">
        <f t="shared" si="39"/>
        <v>15.626824174500003</v>
      </c>
      <c r="S165" s="64">
        <f t="shared" si="45"/>
        <v>82.5</v>
      </c>
      <c r="T165" s="66">
        <f t="shared" si="46"/>
        <v>991.08820557450008</v>
      </c>
      <c r="U165" s="68">
        <f t="shared" si="47"/>
        <v>45.049463889750001</v>
      </c>
      <c r="V165" s="68">
        <f t="shared" si="48"/>
        <v>462.83695777140406</v>
      </c>
      <c r="W165" s="68">
        <f t="shared" si="49"/>
        <v>308.55797184760269</v>
      </c>
    </row>
    <row r="166" spans="1:23" x14ac:dyDescent="0.25">
      <c r="A166" s="169" t="s">
        <v>944</v>
      </c>
      <c r="B166" s="61" t="s">
        <v>390</v>
      </c>
      <c r="C166" s="61" t="s">
        <v>585</v>
      </c>
      <c r="D166" s="61" t="s">
        <v>587</v>
      </c>
      <c r="E166" s="1" t="s">
        <v>861</v>
      </c>
      <c r="F166" s="62" t="str">
        <f t="shared" si="38"/>
        <v>20123</v>
      </c>
      <c r="G166" s="269">
        <v>10620123</v>
      </c>
      <c r="H166" s="1" t="s">
        <v>382</v>
      </c>
      <c r="I166" s="61">
        <v>25</v>
      </c>
      <c r="J166" s="61">
        <v>5</v>
      </c>
      <c r="K166" s="61">
        <v>8.4</v>
      </c>
      <c r="L166" s="69">
        <f t="shared" si="40"/>
        <v>1.25</v>
      </c>
      <c r="M166" s="69">
        <f t="shared" si="41"/>
        <v>2.1</v>
      </c>
      <c r="N166" s="56">
        <f>INDEX(Rate_Chart!$A$1:$AK$127,MATCH(Data!J166,Rate_Chart!$A$1:$A$127,0),MATCH(Data!K166,Rate_Chart!$A$1:$AK$1,0))</f>
        <v>44.203167600000008</v>
      </c>
      <c r="O166" s="57">
        <f t="shared" si="42"/>
        <v>1105.0791900000002</v>
      </c>
      <c r="P166" s="58">
        <f t="shared" si="43"/>
        <v>417.01101509433965</v>
      </c>
      <c r="Q166" s="58">
        <f t="shared" si="44"/>
        <v>278.00734339622642</v>
      </c>
      <c r="R166" s="66">
        <f t="shared" si="39"/>
        <v>19.338885825000006</v>
      </c>
      <c r="S166" s="64">
        <f t="shared" si="45"/>
        <v>93.75</v>
      </c>
      <c r="T166" s="66">
        <f t="shared" si="46"/>
        <v>1218.1680758250002</v>
      </c>
      <c r="U166" s="68">
        <f t="shared" si="47"/>
        <v>48.726723033000006</v>
      </c>
      <c r="V166" s="68">
        <f t="shared" si="48"/>
        <v>459.6860663490566</v>
      </c>
      <c r="W166" s="68">
        <f t="shared" si="49"/>
        <v>306.45737756603774</v>
      </c>
    </row>
    <row r="167" spans="1:23" x14ac:dyDescent="0.25">
      <c r="A167" s="169" t="s">
        <v>944</v>
      </c>
      <c r="B167" s="61" t="s">
        <v>391</v>
      </c>
      <c r="C167" s="61" t="s">
        <v>585</v>
      </c>
      <c r="D167" s="61" t="s">
        <v>587</v>
      </c>
      <c r="E167" s="1" t="s">
        <v>861</v>
      </c>
      <c r="F167" s="62" t="str">
        <f t="shared" si="38"/>
        <v>20123</v>
      </c>
      <c r="G167" s="269">
        <v>10620123</v>
      </c>
      <c r="H167" s="1" t="s">
        <v>382</v>
      </c>
      <c r="I167" s="61">
        <v>16</v>
      </c>
      <c r="J167" s="61">
        <v>4.5</v>
      </c>
      <c r="K167" s="61">
        <v>8.3000000000000007</v>
      </c>
      <c r="L167" s="69">
        <f t="shared" si="40"/>
        <v>0.72</v>
      </c>
      <c r="M167" s="69">
        <f t="shared" si="41"/>
        <v>1.3280000000000001</v>
      </c>
      <c r="N167" s="56">
        <f>INDEX(Rate_Chart!$A$1:$AK$127,MATCH(Data!J167,Rate_Chart!$A$1:$A$127,0),MATCH(Data!K167,Rate_Chart!$A$1:$AK$1,0))</f>
        <v>41.840153700000002</v>
      </c>
      <c r="O167" s="57">
        <f t="shared" si="42"/>
        <v>669.44245920000003</v>
      </c>
      <c r="P167" s="58">
        <f t="shared" si="43"/>
        <v>417.01149867109638</v>
      </c>
      <c r="Q167" s="58">
        <f t="shared" si="44"/>
        <v>278.00766578073092</v>
      </c>
      <c r="R167" s="66">
        <f t="shared" si="39"/>
        <v>11.715243036000002</v>
      </c>
      <c r="S167" s="64">
        <f t="shared" si="45"/>
        <v>60</v>
      </c>
      <c r="T167" s="66">
        <f t="shared" si="46"/>
        <v>741.15770223599998</v>
      </c>
      <c r="U167" s="68">
        <f t="shared" si="47"/>
        <v>46.322356389749999</v>
      </c>
      <c r="V167" s="68">
        <f t="shared" si="48"/>
        <v>461.68461518023258</v>
      </c>
      <c r="W167" s="68">
        <f t="shared" si="49"/>
        <v>307.78974345348837</v>
      </c>
    </row>
    <row r="168" spans="1:23" x14ac:dyDescent="0.25">
      <c r="A168" s="169" t="s">
        <v>945</v>
      </c>
      <c r="B168" s="61" t="s">
        <v>390</v>
      </c>
      <c r="C168" s="61" t="s">
        <v>585</v>
      </c>
      <c r="D168" s="61" t="s">
        <v>587</v>
      </c>
      <c r="E168" s="1" t="s">
        <v>861</v>
      </c>
      <c r="F168" s="62" t="str">
        <f t="shared" si="38"/>
        <v>20123</v>
      </c>
      <c r="G168" s="269">
        <v>10620123</v>
      </c>
      <c r="H168" s="1" t="s">
        <v>382</v>
      </c>
      <c r="I168" s="61">
        <v>34</v>
      </c>
      <c r="J168" s="61">
        <v>4.5999999999999996</v>
      </c>
      <c r="K168" s="61">
        <v>8.4</v>
      </c>
      <c r="L168" s="69">
        <f t="shared" si="40"/>
        <v>1.5639999999999998</v>
      </c>
      <c r="M168" s="69">
        <f t="shared" si="41"/>
        <v>2.8560000000000003</v>
      </c>
      <c r="N168" s="56">
        <f>INDEX(Rate_Chart!$A$1:$AK$127,MATCH(Data!J168,Rate_Chart!$A$1:$A$127,0),MATCH(Data!K168,Rate_Chart!$A$1:$AK$1,0))</f>
        <v>42.535167600000008</v>
      </c>
      <c r="O168" s="57">
        <f t="shared" si="42"/>
        <v>1446.1956984000003</v>
      </c>
      <c r="P168" s="58">
        <f t="shared" si="43"/>
        <v>417.01144705882359</v>
      </c>
      <c r="Q168" s="58">
        <f t="shared" si="44"/>
        <v>278.00763137254904</v>
      </c>
      <c r="R168" s="66">
        <f t="shared" si="39"/>
        <v>25.308424722000009</v>
      </c>
      <c r="S168" s="64">
        <f t="shared" si="45"/>
        <v>127.5</v>
      </c>
      <c r="T168" s="66">
        <f t="shared" si="46"/>
        <v>1599.0041231220002</v>
      </c>
      <c r="U168" s="68">
        <f t="shared" si="47"/>
        <v>47.029533033000007</v>
      </c>
      <c r="V168" s="68">
        <f t="shared" si="48"/>
        <v>461.07385326470592</v>
      </c>
      <c r="W168" s="68">
        <f t="shared" si="49"/>
        <v>307.38256884313728</v>
      </c>
    </row>
    <row r="169" spans="1:23" x14ac:dyDescent="0.25">
      <c r="A169" s="169" t="s">
        <v>945</v>
      </c>
      <c r="B169" s="61" t="s">
        <v>391</v>
      </c>
      <c r="C169" s="61" t="s">
        <v>585</v>
      </c>
      <c r="D169" s="61" t="s">
        <v>587</v>
      </c>
      <c r="E169" s="1" t="s">
        <v>861</v>
      </c>
      <c r="F169" s="62" t="str">
        <f t="shared" si="38"/>
        <v>20123</v>
      </c>
      <c r="G169" s="269">
        <v>10620123</v>
      </c>
      <c r="H169" s="1" t="s">
        <v>382</v>
      </c>
      <c r="I169" s="61">
        <v>22</v>
      </c>
      <c r="J169" s="61">
        <v>4</v>
      </c>
      <c r="K169" s="61">
        <v>8</v>
      </c>
      <c r="L169" s="69">
        <f t="shared" si="40"/>
        <v>0.88</v>
      </c>
      <c r="M169" s="69">
        <f t="shared" si="41"/>
        <v>1.76</v>
      </c>
      <c r="N169" s="56">
        <f>INDEX(Rate_Chart!$A$1:$AK$127,MATCH(Data!J169,Rate_Chart!$A$1:$A$127,0),MATCH(Data!K169,Rate_Chart!$A$1:$AK$1,0))</f>
        <v>38.921112000000008</v>
      </c>
      <c r="O169" s="57">
        <f t="shared" si="42"/>
        <v>856.2644640000002</v>
      </c>
      <c r="P169" s="58">
        <f t="shared" si="43"/>
        <v>417.01191428571434</v>
      </c>
      <c r="Q169" s="58">
        <f t="shared" si="44"/>
        <v>278.00794285714289</v>
      </c>
      <c r="R169" s="66">
        <f t="shared" si="39"/>
        <v>14.984628120000005</v>
      </c>
      <c r="S169" s="64">
        <f t="shared" si="45"/>
        <v>82.5</v>
      </c>
      <c r="T169" s="66">
        <f t="shared" si="46"/>
        <v>953.74909212000023</v>
      </c>
      <c r="U169" s="68">
        <f t="shared" si="47"/>
        <v>43.352231460000013</v>
      </c>
      <c r="V169" s="68">
        <f t="shared" si="48"/>
        <v>464.48819421428584</v>
      </c>
      <c r="W169" s="68">
        <f t="shared" si="49"/>
        <v>309.65879614285723</v>
      </c>
    </row>
    <row r="170" spans="1:23" x14ac:dyDescent="0.25">
      <c r="A170" s="169" t="s">
        <v>946</v>
      </c>
      <c r="B170" s="61" t="s">
        <v>390</v>
      </c>
      <c r="C170" s="61" t="s">
        <v>585</v>
      </c>
      <c r="D170" s="61" t="s">
        <v>587</v>
      </c>
      <c r="E170" s="1" t="s">
        <v>861</v>
      </c>
      <c r="F170" s="62" t="str">
        <f t="shared" si="38"/>
        <v>20123</v>
      </c>
      <c r="G170" s="269">
        <v>10620123</v>
      </c>
      <c r="H170" s="1" t="s">
        <v>381</v>
      </c>
      <c r="I170" s="61">
        <v>24</v>
      </c>
      <c r="J170" s="61">
        <v>5.5</v>
      </c>
      <c r="K170" s="61">
        <v>8.5</v>
      </c>
      <c r="L170" s="69">
        <f t="shared" si="40"/>
        <v>1.32</v>
      </c>
      <c r="M170" s="69">
        <f t="shared" si="41"/>
        <v>2.04</v>
      </c>
      <c r="N170" s="56">
        <f>INDEX(Rate_Chart!$A$1:$AK$127,MATCH(Data!J170,Rate_Chart!$A$1:$A$127,0),MATCH(Data!K170,Rate_Chart!$A$1:$AK$1,0))</f>
        <v>46.566181499999999</v>
      </c>
      <c r="O170" s="57">
        <f t="shared" si="42"/>
        <v>1117.588356</v>
      </c>
      <c r="P170" s="58">
        <f t="shared" si="43"/>
        <v>417.01058059701495</v>
      </c>
      <c r="Q170" s="58">
        <f t="shared" si="44"/>
        <v>278.00705373134332</v>
      </c>
      <c r="R170" s="66">
        <f t="shared" si="39"/>
        <v>19.557796230000001</v>
      </c>
      <c r="S170" s="64">
        <f t="shared" si="45"/>
        <v>90</v>
      </c>
      <c r="T170" s="66">
        <f t="shared" si="46"/>
        <v>1227.1461522300001</v>
      </c>
      <c r="U170" s="68">
        <f t="shared" si="47"/>
        <v>51.131089676250006</v>
      </c>
      <c r="V170" s="68">
        <f t="shared" si="48"/>
        <v>457.89035530970153</v>
      </c>
      <c r="W170" s="68">
        <f t="shared" si="49"/>
        <v>305.26023687313437</v>
      </c>
    </row>
    <row r="171" spans="1:23" x14ac:dyDescent="0.25">
      <c r="A171" s="169" t="s">
        <v>946</v>
      </c>
      <c r="B171" s="61" t="s">
        <v>391</v>
      </c>
      <c r="C171" s="61" t="s">
        <v>585</v>
      </c>
      <c r="D171" s="61" t="s">
        <v>587</v>
      </c>
      <c r="E171" s="1" t="s">
        <v>861</v>
      </c>
      <c r="F171" s="62" t="str">
        <f t="shared" si="38"/>
        <v>20123</v>
      </c>
      <c r="G171" s="269">
        <v>10620123</v>
      </c>
      <c r="H171" s="1" t="s">
        <v>382</v>
      </c>
      <c r="I171" s="61">
        <v>19</v>
      </c>
      <c r="J171" s="61">
        <v>4</v>
      </c>
      <c r="K171" s="61">
        <v>8.1999999999999993</v>
      </c>
      <c r="L171" s="69">
        <f t="shared" si="40"/>
        <v>0.76</v>
      </c>
      <c r="M171" s="69">
        <f t="shared" si="41"/>
        <v>1.5579999999999998</v>
      </c>
      <c r="N171" s="56">
        <f>INDEX(Rate_Chart!$A$1:$AK$127,MATCH(Data!J171,Rate_Chart!$A$1:$A$127,0),MATCH(Data!K171,Rate_Chart!$A$1:$AK$1,0))</f>
        <v>39.477139800000003</v>
      </c>
      <c r="O171" s="57">
        <f t="shared" si="42"/>
        <v>750.06565620000003</v>
      </c>
      <c r="P171" s="58">
        <f t="shared" si="43"/>
        <v>417.0120401408451</v>
      </c>
      <c r="Q171" s="58">
        <f t="shared" si="44"/>
        <v>278.00802676056338</v>
      </c>
      <c r="R171" s="66">
        <f t="shared" si="39"/>
        <v>13.126148983500002</v>
      </c>
      <c r="S171" s="64">
        <f t="shared" si="45"/>
        <v>71.25</v>
      </c>
      <c r="T171" s="66">
        <f t="shared" si="46"/>
        <v>834.44180518350004</v>
      </c>
      <c r="U171" s="68">
        <f t="shared" si="47"/>
        <v>43.917989746500005</v>
      </c>
      <c r="V171" s="68">
        <f t="shared" si="48"/>
        <v>463.92242689964797</v>
      </c>
      <c r="W171" s="68">
        <f t="shared" si="49"/>
        <v>309.28161793309863</v>
      </c>
    </row>
    <row r="172" spans="1:23" x14ac:dyDescent="0.25">
      <c r="A172" s="169" t="s">
        <v>947</v>
      </c>
      <c r="B172" s="61" t="s">
        <v>390</v>
      </c>
      <c r="C172" s="61" t="s">
        <v>585</v>
      </c>
      <c r="D172" s="61" t="s">
        <v>587</v>
      </c>
      <c r="E172" s="1" t="s">
        <v>861</v>
      </c>
      <c r="F172" s="62" t="str">
        <f t="shared" si="38"/>
        <v>20123</v>
      </c>
      <c r="G172" s="269">
        <v>10620123</v>
      </c>
      <c r="H172" s="1" t="s">
        <v>382</v>
      </c>
      <c r="I172" s="61">
        <v>25</v>
      </c>
      <c r="J172" s="61">
        <v>4.5999999999999996</v>
      </c>
      <c r="K172" s="61">
        <v>8.4</v>
      </c>
      <c r="L172" s="69">
        <f t="shared" si="40"/>
        <v>1.1499999999999999</v>
      </c>
      <c r="M172" s="69">
        <f t="shared" si="41"/>
        <v>2.1</v>
      </c>
      <c r="N172" s="56">
        <f>INDEX(Rate_Chart!$A$1:$AK$127,MATCH(Data!J172,Rate_Chart!$A$1:$A$127,0),MATCH(Data!K172,Rate_Chart!$A$1:$AK$1,0))</f>
        <v>42.535167600000008</v>
      </c>
      <c r="O172" s="57">
        <f t="shared" si="42"/>
        <v>1063.3791900000001</v>
      </c>
      <c r="P172" s="58">
        <f t="shared" si="43"/>
        <v>417.01144705882359</v>
      </c>
      <c r="Q172" s="58">
        <f t="shared" si="44"/>
        <v>278.00763137254904</v>
      </c>
      <c r="R172" s="66">
        <f t="shared" si="39"/>
        <v>18.609135825000003</v>
      </c>
      <c r="S172" s="64">
        <f t="shared" si="45"/>
        <v>93.75</v>
      </c>
      <c r="T172" s="66">
        <f t="shared" si="46"/>
        <v>1175.7383258250002</v>
      </c>
      <c r="U172" s="68">
        <f t="shared" si="47"/>
        <v>47.029533033000007</v>
      </c>
      <c r="V172" s="68">
        <f t="shared" si="48"/>
        <v>461.07385326470592</v>
      </c>
      <c r="W172" s="68">
        <f t="shared" si="49"/>
        <v>307.38256884313728</v>
      </c>
    </row>
    <row r="173" spans="1:23" x14ac:dyDescent="0.25">
      <c r="A173" s="169" t="s">
        <v>947</v>
      </c>
      <c r="B173" s="61" t="s">
        <v>391</v>
      </c>
      <c r="C173" s="61" t="s">
        <v>585</v>
      </c>
      <c r="D173" s="61" t="s">
        <v>587</v>
      </c>
      <c r="E173" s="1" t="s">
        <v>861</v>
      </c>
      <c r="F173" s="62" t="str">
        <f t="shared" si="38"/>
        <v>20123</v>
      </c>
      <c r="G173" s="269">
        <v>10620123</v>
      </c>
      <c r="H173" s="1" t="s">
        <v>382</v>
      </c>
      <c r="I173" s="61">
        <v>18</v>
      </c>
      <c r="J173" s="61">
        <v>3.8</v>
      </c>
      <c r="K173" s="61">
        <v>8.4</v>
      </c>
      <c r="L173" s="69">
        <f t="shared" si="40"/>
        <v>0.68399999999999994</v>
      </c>
      <c r="M173" s="69">
        <f t="shared" si="41"/>
        <v>1.5120000000000002</v>
      </c>
      <c r="N173" s="56">
        <f>INDEX(Rate_Chart!$A$1:$AK$127,MATCH(Data!J173,Rate_Chart!$A$1:$A$127,0),MATCH(Data!K173,Rate_Chart!$A$1:$AK$1,0))</f>
        <v>39.19916760000001</v>
      </c>
      <c r="O173" s="57">
        <f t="shared" si="42"/>
        <v>705.58501680000018</v>
      </c>
      <c r="P173" s="58">
        <f t="shared" si="43"/>
        <v>417.01242127659583</v>
      </c>
      <c r="Q173" s="58">
        <f t="shared" si="44"/>
        <v>278.00828085106389</v>
      </c>
      <c r="R173" s="66">
        <f t="shared" si="39"/>
        <v>12.347737794000004</v>
      </c>
      <c r="S173" s="64">
        <f t="shared" si="45"/>
        <v>67.5</v>
      </c>
      <c r="T173" s="66">
        <f t="shared" si="46"/>
        <v>785.43275459400024</v>
      </c>
      <c r="U173" s="68">
        <f t="shared" si="47"/>
        <v>43.635153033000016</v>
      </c>
      <c r="V173" s="68">
        <f t="shared" si="48"/>
        <v>464.20375567021296</v>
      </c>
      <c r="W173" s="68">
        <f t="shared" si="49"/>
        <v>309.46917044680862</v>
      </c>
    </row>
    <row r="174" spans="1:23" x14ac:dyDescent="0.25">
      <c r="A174" s="169" t="s">
        <v>941</v>
      </c>
      <c r="B174" s="61" t="s">
        <v>390</v>
      </c>
      <c r="C174" s="61" t="s">
        <v>585</v>
      </c>
      <c r="D174" s="61" t="s">
        <v>854</v>
      </c>
      <c r="E174" s="1" t="s">
        <v>869</v>
      </c>
      <c r="F174" s="62" t="str">
        <f t="shared" si="38"/>
        <v>20124</v>
      </c>
      <c r="G174" s="269">
        <v>10620124</v>
      </c>
      <c r="H174" s="1" t="s">
        <v>381</v>
      </c>
      <c r="I174" s="61">
        <v>16</v>
      </c>
      <c r="J174" s="61">
        <v>6</v>
      </c>
      <c r="K174" s="61">
        <v>9</v>
      </c>
      <c r="L174" s="69">
        <f t="shared" si="40"/>
        <v>0.96</v>
      </c>
      <c r="M174" s="69">
        <f t="shared" si="41"/>
        <v>1.44</v>
      </c>
      <c r="N174" s="56">
        <f>INDEX(Rate_Chart!$A$1:$AK$127,MATCH(Data!J174,Rate_Chart!$A$1:$A$127,0),MATCH(Data!K174,Rate_Chart!$A$1:$AK$1,0))</f>
        <v>50.1</v>
      </c>
      <c r="O174" s="57">
        <f t="shared" si="42"/>
        <v>801.6</v>
      </c>
      <c r="P174" s="58">
        <f t="shared" si="43"/>
        <v>417.5</v>
      </c>
      <c r="Q174" s="58">
        <f t="shared" si="44"/>
        <v>278.33333333333331</v>
      </c>
      <c r="R174" s="66">
        <f t="shared" si="39"/>
        <v>14.028000000000002</v>
      </c>
      <c r="S174" s="64">
        <f t="shared" si="45"/>
        <v>60</v>
      </c>
      <c r="T174" s="66">
        <f t="shared" si="46"/>
        <v>875.62800000000004</v>
      </c>
      <c r="U174" s="68">
        <f t="shared" si="47"/>
        <v>54.726750000000003</v>
      </c>
      <c r="V174" s="68">
        <f t="shared" si="48"/>
        <v>456.05625000000003</v>
      </c>
      <c r="W174" s="68">
        <f t="shared" si="49"/>
        <v>304.03750000000002</v>
      </c>
    </row>
    <row r="175" spans="1:23" x14ac:dyDescent="0.25">
      <c r="A175" s="169" t="s">
        <v>941</v>
      </c>
      <c r="B175" s="61" t="s">
        <v>390</v>
      </c>
      <c r="C175" s="61" t="s">
        <v>585</v>
      </c>
      <c r="D175" s="61" t="s">
        <v>854</v>
      </c>
      <c r="E175" s="1" t="s">
        <v>869</v>
      </c>
      <c r="F175" s="62" t="str">
        <f t="shared" si="38"/>
        <v>20124</v>
      </c>
      <c r="G175" s="269">
        <v>10620124</v>
      </c>
      <c r="H175" s="1" t="s">
        <v>382</v>
      </c>
      <c r="I175" s="61">
        <v>18</v>
      </c>
      <c r="J175" s="61">
        <v>3.6</v>
      </c>
      <c r="K175" s="61">
        <v>8.3000000000000007</v>
      </c>
      <c r="L175" s="69">
        <f t="shared" si="40"/>
        <v>0.64800000000000002</v>
      </c>
      <c r="M175" s="69">
        <f t="shared" si="41"/>
        <v>1.494</v>
      </c>
      <c r="N175" s="56">
        <f>INDEX(Rate_Chart!$A$1:$AK$127,MATCH(Data!J175,Rate_Chart!$A$1:$A$127,0),MATCH(Data!K175,Rate_Chart!$A$1:$AK$1,0))</f>
        <v>38.087153700000009</v>
      </c>
      <c r="O175" s="57">
        <f t="shared" si="42"/>
        <v>685.56876660000012</v>
      </c>
      <c r="P175" s="58">
        <f t="shared" si="43"/>
        <v>417.01263175182481</v>
      </c>
      <c r="Q175" s="58">
        <f t="shared" si="44"/>
        <v>278.00842116788323</v>
      </c>
      <c r="R175" s="66">
        <f t="shared" si="39"/>
        <v>11.997453415500003</v>
      </c>
      <c r="S175" s="64">
        <f t="shared" si="45"/>
        <v>67.5</v>
      </c>
      <c r="T175" s="66">
        <f t="shared" si="46"/>
        <v>765.06622001550011</v>
      </c>
      <c r="U175" s="68">
        <f t="shared" si="47"/>
        <v>42.503678889750006</v>
      </c>
      <c r="V175" s="68">
        <f t="shared" si="48"/>
        <v>465.36874696806569</v>
      </c>
      <c r="W175" s="68">
        <f t="shared" si="49"/>
        <v>310.24583131204378</v>
      </c>
    </row>
    <row r="176" spans="1:23" x14ac:dyDescent="0.25">
      <c r="A176" s="169" t="s">
        <v>941</v>
      </c>
      <c r="B176" s="61" t="s">
        <v>391</v>
      </c>
      <c r="C176" s="61" t="s">
        <v>585</v>
      </c>
      <c r="D176" s="61" t="s">
        <v>854</v>
      </c>
      <c r="E176" s="1" t="s">
        <v>869</v>
      </c>
      <c r="F176" s="62" t="str">
        <f t="shared" si="38"/>
        <v>20124</v>
      </c>
      <c r="G176" s="269">
        <v>10620124</v>
      </c>
      <c r="H176" s="1" t="s">
        <v>381</v>
      </c>
      <c r="I176" s="61">
        <v>12</v>
      </c>
      <c r="J176" s="61">
        <v>5.6</v>
      </c>
      <c r="K176" s="61">
        <v>9</v>
      </c>
      <c r="L176" s="69">
        <f t="shared" si="40"/>
        <v>0.67199999999999993</v>
      </c>
      <c r="M176" s="69">
        <f t="shared" si="41"/>
        <v>1.08</v>
      </c>
      <c r="N176" s="56">
        <f>INDEX(Rate_Chart!$A$1:$AK$127,MATCH(Data!J176,Rate_Chart!$A$1:$A$127,0),MATCH(Data!K176,Rate_Chart!$A$1:$AK$1,0))</f>
        <v>46.76</v>
      </c>
      <c r="O176" s="57">
        <f t="shared" si="42"/>
        <v>561.12</v>
      </c>
      <c r="P176" s="58">
        <f t="shared" si="43"/>
        <v>403.10344827586209</v>
      </c>
      <c r="Q176" s="58">
        <f t="shared" si="44"/>
        <v>268.73563218390808</v>
      </c>
      <c r="R176" s="66">
        <f t="shared" si="39"/>
        <v>9.8196000000000012</v>
      </c>
      <c r="S176" s="64">
        <f t="shared" si="45"/>
        <v>45</v>
      </c>
      <c r="T176" s="66">
        <f t="shared" si="46"/>
        <v>615.93960000000004</v>
      </c>
      <c r="U176" s="68">
        <f t="shared" si="47"/>
        <v>51.328300000000006</v>
      </c>
      <c r="V176" s="68">
        <f t="shared" si="48"/>
        <v>442.48534482758629</v>
      </c>
      <c r="W176" s="68">
        <f t="shared" si="49"/>
        <v>294.99022988505754</v>
      </c>
    </row>
    <row r="177" spans="1:23" x14ac:dyDescent="0.25">
      <c r="A177" s="169" t="s">
        <v>941</v>
      </c>
      <c r="B177" s="61" t="s">
        <v>391</v>
      </c>
      <c r="C177" s="61" t="s">
        <v>585</v>
      </c>
      <c r="D177" s="61" t="s">
        <v>854</v>
      </c>
      <c r="E177" s="1" t="s">
        <v>869</v>
      </c>
      <c r="F177" s="62" t="str">
        <f t="shared" si="38"/>
        <v>20124</v>
      </c>
      <c r="G177" s="269">
        <v>10620124</v>
      </c>
      <c r="H177" s="1" t="s">
        <v>382</v>
      </c>
      <c r="I177" s="61">
        <v>29</v>
      </c>
      <c r="J177" s="61">
        <v>3.2</v>
      </c>
      <c r="K177" s="61">
        <v>8.4</v>
      </c>
      <c r="L177" s="69">
        <f t="shared" si="40"/>
        <v>0.92800000000000016</v>
      </c>
      <c r="M177" s="69">
        <f t="shared" si="41"/>
        <v>2.4360000000000004</v>
      </c>
      <c r="N177" s="56">
        <f>INDEX(Rate_Chart!$A$1:$AK$127,MATCH(Data!J177,Rate_Chart!$A$1:$A$127,0),MATCH(Data!K177,Rate_Chart!$A$1:$AK$1,0))</f>
        <v>36.697167600000007</v>
      </c>
      <c r="O177" s="57">
        <f t="shared" si="42"/>
        <v>1064.2178604000003</v>
      </c>
      <c r="P177" s="58">
        <f t="shared" si="43"/>
        <v>417.01326818181826</v>
      </c>
      <c r="Q177" s="58">
        <f t="shared" si="44"/>
        <v>278.00884545454551</v>
      </c>
      <c r="R177" s="66">
        <f t="shared" si="39"/>
        <v>18.623812557000008</v>
      </c>
      <c r="S177" s="64">
        <f t="shared" si="45"/>
        <v>108.75</v>
      </c>
      <c r="T177" s="66">
        <f t="shared" si="46"/>
        <v>1191.5916729570004</v>
      </c>
      <c r="U177" s="68">
        <f t="shared" si="47"/>
        <v>41.089368033000014</v>
      </c>
      <c r="V177" s="68">
        <f t="shared" si="48"/>
        <v>466.92463673863654</v>
      </c>
      <c r="W177" s="68">
        <f t="shared" si="49"/>
        <v>311.28309115909104</v>
      </c>
    </row>
    <row r="178" spans="1:23" x14ac:dyDescent="0.25">
      <c r="A178" s="169" t="s">
        <v>942</v>
      </c>
      <c r="B178" s="61" t="s">
        <v>390</v>
      </c>
      <c r="C178" s="61" t="s">
        <v>585</v>
      </c>
      <c r="D178" s="61" t="s">
        <v>854</v>
      </c>
      <c r="E178" s="1" t="s">
        <v>869</v>
      </c>
      <c r="F178" s="62" t="str">
        <f t="shared" si="38"/>
        <v>20124</v>
      </c>
      <c r="G178" s="269">
        <v>10620124</v>
      </c>
      <c r="H178" s="1" t="s">
        <v>381</v>
      </c>
      <c r="I178" s="61">
        <v>28</v>
      </c>
      <c r="J178" s="61">
        <v>6.3</v>
      </c>
      <c r="K178" s="61">
        <v>9</v>
      </c>
      <c r="L178" s="69">
        <f t="shared" si="40"/>
        <v>1.764</v>
      </c>
      <c r="M178" s="69">
        <f t="shared" si="41"/>
        <v>2.52</v>
      </c>
      <c r="N178" s="56">
        <f>INDEX(Rate_Chart!$A$1:$AK$127,MATCH(Data!J178,Rate_Chart!$A$1:$A$127,0),MATCH(Data!K178,Rate_Chart!$A$1:$AK$1,0))</f>
        <v>52.604999999999997</v>
      </c>
      <c r="O178" s="57">
        <f t="shared" si="42"/>
        <v>1472.9399999999998</v>
      </c>
      <c r="P178" s="58">
        <f t="shared" si="43"/>
        <v>427.6829268292683</v>
      </c>
      <c r="Q178" s="58">
        <f t="shared" si="44"/>
        <v>285.1219512195122</v>
      </c>
      <c r="R178" s="66">
        <f t="shared" si="39"/>
        <v>25.776450000000001</v>
      </c>
      <c r="S178" s="64">
        <f t="shared" si="45"/>
        <v>105</v>
      </c>
      <c r="T178" s="66">
        <f t="shared" si="46"/>
        <v>1603.7164499999999</v>
      </c>
      <c r="U178" s="68">
        <f t="shared" si="47"/>
        <v>57.275587499999993</v>
      </c>
      <c r="V178" s="68">
        <f t="shared" si="48"/>
        <v>465.65518292682924</v>
      </c>
      <c r="W178" s="68">
        <f t="shared" si="49"/>
        <v>310.43678861788618</v>
      </c>
    </row>
    <row r="179" spans="1:23" x14ac:dyDescent="0.25">
      <c r="A179" s="169" t="s">
        <v>942</v>
      </c>
      <c r="B179" s="61" t="s">
        <v>390</v>
      </c>
      <c r="C179" s="61" t="s">
        <v>585</v>
      </c>
      <c r="D179" s="61" t="s">
        <v>854</v>
      </c>
      <c r="E179" s="1" t="s">
        <v>869</v>
      </c>
      <c r="F179" s="62" t="str">
        <f t="shared" si="38"/>
        <v>20124</v>
      </c>
      <c r="G179" s="269">
        <v>10620124</v>
      </c>
      <c r="H179" s="1" t="s">
        <v>382</v>
      </c>
      <c r="I179" s="61">
        <v>19</v>
      </c>
      <c r="J179" s="61">
        <v>3.5</v>
      </c>
      <c r="K179" s="61">
        <v>8.1999999999999993</v>
      </c>
      <c r="L179" s="69">
        <f t="shared" si="40"/>
        <v>0.66500000000000004</v>
      </c>
      <c r="M179" s="69">
        <f t="shared" si="41"/>
        <v>1.5579999999999998</v>
      </c>
      <c r="N179" s="56">
        <f>INDEX(Rate_Chart!$A$1:$AK$127,MATCH(Data!J179,Rate_Chart!$A$1:$A$127,0),MATCH(Data!K179,Rate_Chart!$A$1:$AK$1,0))</f>
        <v>37.392139800000002</v>
      </c>
      <c r="O179" s="57">
        <f t="shared" si="42"/>
        <v>710.45065620000003</v>
      </c>
      <c r="P179" s="58">
        <f t="shared" si="43"/>
        <v>417.01271152416359</v>
      </c>
      <c r="Q179" s="58">
        <f t="shared" si="44"/>
        <v>278.00847434944239</v>
      </c>
      <c r="R179" s="66">
        <f t="shared" si="39"/>
        <v>12.432886483500001</v>
      </c>
      <c r="S179" s="64">
        <f t="shared" si="45"/>
        <v>71.25</v>
      </c>
      <c r="T179" s="66">
        <f t="shared" si="46"/>
        <v>794.13354268350008</v>
      </c>
      <c r="U179" s="68">
        <f t="shared" si="47"/>
        <v>41.796502246500005</v>
      </c>
      <c r="V179" s="68">
        <f t="shared" si="48"/>
        <v>466.13199531412641</v>
      </c>
      <c r="W179" s="68">
        <f t="shared" si="49"/>
        <v>310.75466354275096</v>
      </c>
    </row>
    <row r="180" spans="1:23" x14ac:dyDescent="0.25">
      <c r="A180" s="169" t="s">
        <v>942</v>
      </c>
      <c r="B180" s="61" t="s">
        <v>391</v>
      </c>
      <c r="C180" s="61" t="s">
        <v>585</v>
      </c>
      <c r="D180" s="61" t="s">
        <v>854</v>
      </c>
      <c r="E180" s="1" t="s">
        <v>869</v>
      </c>
      <c r="F180" s="62" t="str">
        <f t="shared" si="38"/>
        <v>20124</v>
      </c>
      <c r="G180" s="269">
        <v>10620124</v>
      </c>
      <c r="H180" s="1" t="s">
        <v>381</v>
      </c>
      <c r="I180" s="61">
        <v>12</v>
      </c>
      <c r="J180" s="61">
        <v>5.8</v>
      </c>
      <c r="K180" s="61">
        <v>8.8000000000000007</v>
      </c>
      <c r="L180" s="69">
        <f t="shared" si="40"/>
        <v>0.69599999999999995</v>
      </c>
      <c r="M180" s="69">
        <f t="shared" si="41"/>
        <v>1.056</v>
      </c>
      <c r="N180" s="56">
        <f>INDEX(Rate_Chart!$A$1:$AK$127,MATCH(Data!J180,Rate_Chart!$A$1:$A$127,0),MATCH(Data!K180,Rate_Chart!$A$1:$AK$1,0))</f>
        <v>47.945700000000002</v>
      </c>
      <c r="O180" s="57">
        <f t="shared" si="42"/>
        <v>575.34840000000008</v>
      </c>
      <c r="P180" s="58">
        <f t="shared" si="43"/>
        <v>410.96314285714288</v>
      </c>
      <c r="Q180" s="58">
        <f t="shared" si="44"/>
        <v>273.97542857142861</v>
      </c>
      <c r="R180" s="66">
        <f t="shared" si="39"/>
        <v>10.068597000000002</v>
      </c>
      <c r="S180" s="64">
        <f t="shared" si="45"/>
        <v>45</v>
      </c>
      <c r="T180" s="66">
        <f t="shared" si="46"/>
        <v>630.41699700000004</v>
      </c>
      <c r="U180" s="68">
        <f t="shared" si="47"/>
        <v>52.534749750000003</v>
      </c>
      <c r="V180" s="68">
        <f t="shared" si="48"/>
        <v>450.29785500000003</v>
      </c>
      <c r="W180" s="68">
        <f t="shared" si="49"/>
        <v>300.19857000000002</v>
      </c>
    </row>
    <row r="181" spans="1:23" x14ac:dyDescent="0.25">
      <c r="A181" s="169" t="s">
        <v>942</v>
      </c>
      <c r="B181" s="61" t="s">
        <v>391</v>
      </c>
      <c r="C181" s="61" t="s">
        <v>585</v>
      </c>
      <c r="D181" s="61" t="s">
        <v>854</v>
      </c>
      <c r="E181" s="1" t="s">
        <v>869</v>
      </c>
      <c r="F181" s="62" t="str">
        <f t="shared" si="38"/>
        <v>20124</v>
      </c>
      <c r="G181" s="269">
        <v>10620124</v>
      </c>
      <c r="H181" s="1" t="s">
        <v>382</v>
      </c>
      <c r="I181" s="61">
        <v>22</v>
      </c>
      <c r="J181" s="61">
        <v>3.2</v>
      </c>
      <c r="K181" s="61">
        <v>8.1999999999999993</v>
      </c>
      <c r="L181" s="69">
        <f t="shared" si="40"/>
        <v>0.70400000000000007</v>
      </c>
      <c r="M181" s="69">
        <f t="shared" si="41"/>
        <v>1.8039999999999998</v>
      </c>
      <c r="N181" s="56">
        <f>INDEX(Rate_Chart!$A$1:$AK$127,MATCH(Data!J181,Rate_Chart!$A$1:$A$127,0),MATCH(Data!K181,Rate_Chart!$A$1:$AK$1,0))</f>
        <v>36.141139799999998</v>
      </c>
      <c r="O181" s="57">
        <f t="shared" si="42"/>
        <v>795.10507559999996</v>
      </c>
      <c r="P181" s="58">
        <f t="shared" si="43"/>
        <v>417.0131515384615</v>
      </c>
      <c r="Q181" s="58">
        <f t="shared" si="44"/>
        <v>278.00876769230769</v>
      </c>
      <c r="R181" s="66">
        <f t="shared" si="39"/>
        <v>13.914338823000001</v>
      </c>
      <c r="S181" s="64">
        <f t="shared" si="45"/>
        <v>82.5</v>
      </c>
      <c r="T181" s="66">
        <f t="shared" si="46"/>
        <v>891.51941442299994</v>
      </c>
      <c r="U181" s="68">
        <f t="shared" si="47"/>
        <v>40.5236097465</v>
      </c>
      <c r="V181" s="68">
        <f t="shared" si="48"/>
        <v>467.58011245961535</v>
      </c>
      <c r="W181" s="68">
        <f t="shared" si="49"/>
        <v>311.72007497307692</v>
      </c>
    </row>
    <row r="182" spans="1:23" x14ac:dyDescent="0.25">
      <c r="A182" s="169" t="s">
        <v>943</v>
      </c>
      <c r="B182" s="61" t="s">
        <v>390</v>
      </c>
      <c r="C182" s="61" t="s">
        <v>585</v>
      </c>
      <c r="D182" s="61" t="s">
        <v>854</v>
      </c>
      <c r="E182" s="1" t="s">
        <v>869</v>
      </c>
      <c r="F182" s="62" t="str">
        <f t="shared" si="38"/>
        <v>20124</v>
      </c>
      <c r="G182" s="269">
        <v>10620124</v>
      </c>
      <c r="H182" s="1" t="s">
        <v>381</v>
      </c>
      <c r="I182" s="61">
        <v>26</v>
      </c>
      <c r="J182" s="61">
        <v>6</v>
      </c>
      <c r="K182" s="61">
        <v>9</v>
      </c>
      <c r="L182" s="69">
        <f t="shared" si="40"/>
        <v>1.56</v>
      </c>
      <c r="M182" s="69">
        <f t="shared" si="41"/>
        <v>2.34</v>
      </c>
      <c r="N182" s="56">
        <f>INDEX(Rate_Chart!$A$1:$AK$127,MATCH(Data!J182,Rate_Chart!$A$1:$A$127,0),MATCH(Data!K182,Rate_Chart!$A$1:$AK$1,0))</f>
        <v>50.1</v>
      </c>
      <c r="O182" s="57">
        <f t="shared" si="42"/>
        <v>1302.6000000000001</v>
      </c>
      <c r="P182" s="58">
        <f t="shared" si="43"/>
        <v>417.5</v>
      </c>
      <c r="Q182" s="58">
        <f t="shared" si="44"/>
        <v>278.33333333333331</v>
      </c>
      <c r="R182" s="66">
        <f t="shared" si="39"/>
        <v>22.795500000000004</v>
      </c>
      <c r="S182" s="64">
        <f t="shared" si="45"/>
        <v>97.5</v>
      </c>
      <c r="T182" s="66">
        <f t="shared" si="46"/>
        <v>1422.8955000000001</v>
      </c>
      <c r="U182" s="68">
        <f t="shared" si="47"/>
        <v>54.726750000000003</v>
      </c>
      <c r="V182" s="68">
        <f t="shared" si="48"/>
        <v>456.05625000000003</v>
      </c>
      <c r="W182" s="68">
        <f t="shared" si="49"/>
        <v>304.03750000000002</v>
      </c>
    </row>
    <row r="183" spans="1:23" x14ac:dyDescent="0.25">
      <c r="A183" s="169" t="s">
        <v>943</v>
      </c>
      <c r="B183" s="61" t="s">
        <v>390</v>
      </c>
      <c r="C183" s="61" t="s">
        <v>585</v>
      </c>
      <c r="D183" s="61" t="s">
        <v>854</v>
      </c>
      <c r="E183" s="1" t="s">
        <v>869</v>
      </c>
      <c r="F183" s="62" t="str">
        <f t="shared" si="38"/>
        <v>20124</v>
      </c>
      <c r="G183" s="269">
        <v>10620124</v>
      </c>
      <c r="H183" s="1" t="s">
        <v>382</v>
      </c>
      <c r="I183" s="61">
        <v>28</v>
      </c>
      <c r="J183" s="61">
        <v>3.1</v>
      </c>
      <c r="K183" s="61">
        <v>8.1999999999999993</v>
      </c>
      <c r="L183" s="69">
        <f t="shared" si="40"/>
        <v>0.86799999999999999</v>
      </c>
      <c r="M183" s="69">
        <f t="shared" si="41"/>
        <v>2.2959999999999998</v>
      </c>
      <c r="N183" s="56">
        <f>INDEX(Rate_Chart!$A$1:$AK$127,MATCH(Data!J183,Rate_Chart!$A$1:$A$127,0),MATCH(Data!K183,Rate_Chart!$A$1:$AK$1,0))</f>
        <v>35.724139800000003</v>
      </c>
      <c r="O183" s="57">
        <f t="shared" si="42"/>
        <v>1000.2759144000001</v>
      </c>
      <c r="P183" s="58">
        <f t="shared" si="43"/>
        <v>417.0133050583658</v>
      </c>
      <c r="Q183" s="58">
        <f t="shared" si="44"/>
        <v>278.00887003891052</v>
      </c>
      <c r="R183" s="66">
        <f t="shared" si="39"/>
        <v>17.504828502000006</v>
      </c>
      <c r="S183" s="64">
        <f t="shared" si="45"/>
        <v>105</v>
      </c>
      <c r="T183" s="66">
        <f t="shared" si="46"/>
        <v>1122.7807429020002</v>
      </c>
      <c r="U183" s="68">
        <f t="shared" si="47"/>
        <v>40.099312246500006</v>
      </c>
      <c r="V183" s="68">
        <f t="shared" si="48"/>
        <v>468.08535696303505</v>
      </c>
      <c r="W183" s="68">
        <f t="shared" si="49"/>
        <v>312.05690464202337</v>
      </c>
    </row>
    <row r="184" spans="1:23" x14ac:dyDescent="0.25">
      <c r="A184" s="169" t="s">
        <v>943</v>
      </c>
      <c r="B184" s="61" t="s">
        <v>391</v>
      </c>
      <c r="C184" s="61" t="s">
        <v>585</v>
      </c>
      <c r="D184" s="61" t="s">
        <v>854</v>
      </c>
      <c r="E184" s="1" t="s">
        <v>869</v>
      </c>
      <c r="F184" s="62" t="str">
        <f t="shared" si="38"/>
        <v>20124</v>
      </c>
      <c r="G184" s="269">
        <v>10620124</v>
      </c>
      <c r="H184" s="1" t="s">
        <v>381</v>
      </c>
      <c r="I184" s="61">
        <v>12</v>
      </c>
      <c r="J184" s="61">
        <v>5.7</v>
      </c>
      <c r="K184" s="61">
        <v>8.8000000000000007</v>
      </c>
      <c r="L184" s="69">
        <f t="shared" si="40"/>
        <v>0.68400000000000005</v>
      </c>
      <c r="M184" s="69">
        <f t="shared" si="41"/>
        <v>1.056</v>
      </c>
      <c r="N184" s="56">
        <f>INDEX(Rate_Chart!$A$1:$AK$127,MATCH(Data!J184,Rate_Chart!$A$1:$A$127,0),MATCH(Data!K184,Rate_Chart!$A$1:$AK$1,0))</f>
        <v>47.119050000000001</v>
      </c>
      <c r="O184" s="57">
        <f t="shared" si="42"/>
        <v>565.42859999999996</v>
      </c>
      <c r="P184" s="58">
        <f t="shared" si="43"/>
        <v>407.3693083573487</v>
      </c>
      <c r="Q184" s="58">
        <f t="shared" si="44"/>
        <v>271.57953890489915</v>
      </c>
      <c r="R184" s="66">
        <f t="shared" si="39"/>
        <v>9.8950005000000001</v>
      </c>
      <c r="S184" s="64">
        <f t="shared" si="45"/>
        <v>45</v>
      </c>
      <c r="T184" s="66">
        <f t="shared" si="46"/>
        <v>620.3236005</v>
      </c>
      <c r="U184" s="68">
        <f t="shared" si="47"/>
        <v>51.693633374999997</v>
      </c>
      <c r="V184" s="68">
        <f t="shared" si="48"/>
        <v>446.91902053314118</v>
      </c>
      <c r="W184" s="68">
        <f t="shared" si="49"/>
        <v>297.94601368876079</v>
      </c>
    </row>
    <row r="185" spans="1:23" x14ac:dyDescent="0.25">
      <c r="A185" s="169" t="s">
        <v>943</v>
      </c>
      <c r="B185" s="61" t="s">
        <v>391</v>
      </c>
      <c r="C185" s="61" t="s">
        <v>585</v>
      </c>
      <c r="D185" s="61" t="s">
        <v>854</v>
      </c>
      <c r="E185" s="1" t="s">
        <v>869</v>
      </c>
      <c r="F185" s="62" t="str">
        <f t="shared" si="38"/>
        <v>20124</v>
      </c>
      <c r="G185" s="269">
        <v>10620124</v>
      </c>
      <c r="H185" s="1" t="s">
        <v>382</v>
      </c>
      <c r="I185" s="61">
        <v>19</v>
      </c>
      <c r="J185" s="61">
        <v>3.1</v>
      </c>
      <c r="K185" s="61">
        <v>8.3000000000000007</v>
      </c>
      <c r="L185" s="69">
        <f t="shared" si="40"/>
        <v>0.58899999999999997</v>
      </c>
      <c r="M185" s="69">
        <f t="shared" si="41"/>
        <v>1.5770000000000002</v>
      </c>
      <c r="N185" s="56">
        <f>INDEX(Rate_Chart!$A$1:$AK$127,MATCH(Data!J185,Rate_Chart!$A$1:$A$127,0),MATCH(Data!K185,Rate_Chart!$A$1:$AK$1,0))</f>
        <v>36.002153700000008</v>
      </c>
      <c r="O185" s="57">
        <f t="shared" si="42"/>
        <v>684.04092030000015</v>
      </c>
      <c r="P185" s="58">
        <f t="shared" si="43"/>
        <v>417.01336332046338</v>
      </c>
      <c r="Q185" s="58">
        <f t="shared" si="44"/>
        <v>278.00890888030892</v>
      </c>
      <c r="R185" s="66">
        <f t="shared" si="39"/>
        <v>11.970716105250004</v>
      </c>
      <c r="S185" s="64">
        <f t="shared" si="45"/>
        <v>71.25</v>
      </c>
      <c r="T185" s="66">
        <f t="shared" si="46"/>
        <v>767.2616364052501</v>
      </c>
      <c r="U185" s="68">
        <f t="shared" si="47"/>
        <v>40.382191389750005</v>
      </c>
      <c r="V185" s="68">
        <f t="shared" si="48"/>
        <v>467.74739061486486</v>
      </c>
      <c r="W185" s="68">
        <f t="shared" si="49"/>
        <v>311.83159374324322</v>
      </c>
    </row>
    <row r="186" spans="1:23" x14ac:dyDescent="0.25">
      <c r="A186" s="169" t="s">
        <v>944</v>
      </c>
      <c r="B186" s="61" t="s">
        <v>390</v>
      </c>
      <c r="C186" s="61" t="s">
        <v>585</v>
      </c>
      <c r="D186" s="61" t="s">
        <v>854</v>
      </c>
      <c r="E186" s="1" t="s">
        <v>869</v>
      </c>
      <c r="F186" s="62" t="str">
        <f t="shared" si="38"/>
        <v>20124</v>
      </c>
      <c r="G186" s="269">
        <v>10620124</v>
      </c>
      <c r="H186" s="1" t="s">
        <v>381</v>
      </c>
      <c r="I186" s="61">
        <v>27</v>
      </c>
      <c r="J186" s="61">
        <v>6.1</v>
      </c>
      <c r="K186" s="61">
        <v>9</v>
      </c>
      <c r="L186" s="69">
        <f t="shared" si="40"/>
        <v>1.6469999999999998</v>
      </c>
      <c r="M186" s="69">
        <f t="shared" si="41"/>
        <v>2.4300000000000002</v>
      </c>
      <c r="N186" s="56">
        <f>INDEX(Rate_Chart!$A$1:$AK$127,MATCH(Data!J186,Rate_Chart!$A$1:$A$127,0),MATCH(Data!K186,Rate_Chart!$A$1:$AK$1,0))</f>
        <v>50.935000000000002</v>
      </c>
      <c r="O186" s="57">
        <f t="shared" si="42"/>
        <v>1375.2450000000001</v>
      </c>
      <c r="P186" s="58">
        <f t="shared" si="43"/>
        <v>420.95041322314052</v>
      </c>
      <c r="Q186" s="58">
        <f t="shared" si="44"/>
        <v>280.63360881542701</v>
      </c>
      <c r="R186" s="66">
        <f t="shared" si="39"/>
        <v>24.066787500000004</v>
      </c>
      <c r="S186" s="64">
        <f t="shared" si="45"/>
        <v>101.25</v>
      </c>
      <c r="T186" s="66">
        <f t="shared" si="46"/>
        <v>1500.5617875</v>
      </c>
      <c r="U186" s="68">
        <f t="shared" si="47"/>
        <v>55.576362500000002</v>
      </c>
      <c r="V186" s="68">
        <f t="shared" si="48"/>
        <v>459.30878099173555</v>
      </c>
      <c r="W186" s="68">
        <f t="shared" si="49"/>
        <v>306.20585399449038</v>
      </c>
    </row>
    <row r="187" spans="1:23" x14ac:dyDescent="0.25">
      <c r="A187" s="169" t="s">
        <v>944</v>
      </c>
      <c r="B187" s="61" t="s">
        <v>390</v>
      </c>
      <c r="C187" s="61" t="s">
        <v>585</v>
      </c>
      <c r="D187" s="61" t="s">
        <v>854</v>
      </c>
      <c r="E187" s="1" t="s">
        <v>869</v>
      </c>
      <c r="F187" s="62" t="str">
        <f t="shared" si="38"/>
        <v>20124</v>
      </c>
      <c r="G187" s="269">
        <v>10620124</v>
      </c>
      <c r="H187" s="1" t="s">
        <v>382</v>
      </c>
      <c r="I187" s="61">
        <v>25</v>
      </c>
      <c r="J187" s="61">
        <v>3.5</v>
      </c>
      <c r="K187" s="61">
        <v>8.4</v>
      </c>
      <c r="L187" s="69">
        <f t="shared" si="40"/>
        <v>0.875</v>
      </c>
      <c r="M187" s="69">
        <f t="shared" si="41"/>
        <v>2.1</v>
      </c>
      <c r="N187" s="56">
        <f>INDEX(Rate_Chart!$A$1:$AK$127,MATCH(Data!J187,Rate_Chart!$A$1:$A$127,0),MATCH(Data!K187,Rate_Chart!$A$1:$AK$1,0))</f>
        <v>37.948167600000005</v>
      </c>
      <c r="O187" s="57">
        <f t="shared" si="42"/>
        <v>948.70419000000015</v>
      </c>
      <c r="P187" s="58">
        <f t="shared" si="43"/>
        <v>417.01283076923085</v>
      </c>
      <c r="Q187" s="58">
        <f t="shared" si="44"/>
        <v>278.00855384615392</v>
      </c>
      <c r="R187" s="66">
        <f t="shared" si="39"/>
        <v>16.602323325000004</v>
      </c>
      <c r="S187" s="64">
        <f t="shared" si="45"/>
        <v>93.75</v>
      </c>
      <c r="T187" s="66">
        <f t="shared" si="46"/>
        <v>1059.0565133250002</v>
      </c>
      <c r="U187" s="68">
        <f t="shared" si="47"/>
        <v>42.362260533000011</v>
      </c>
      <c r="V187" s="68">
        <f t="shared" si="48"/>
        <v>465.51934651648367</v>
      </c>
      <c r="W187" s="68">
        <f t="shared" si="49"/>
        <v>310.34623101098913</v>
      </c>
    </row>
    <row r="188" spans="1:23" x14ac:dyDescent="0.25">
      <c r="A188" s="169" t="s">
        <v>944</v>
      </c>
      <c r="B188" s="61" t="s">
        <v>391</v>
      </c>
      <c r="C188" s="61" t="s">
        <v>585</v>
      </c>
      <c r="D188" s="61" t="s">
        <v>854</v>
      </c>
      <c r="E188" s="1" t="s">
        <v>869</v>
      </c>
      <c r="F188" s="62" t="str">
        <f t="shared" si="38"/>
        <v>20124</v>
      </c>
      <c r="G188" s="269">
        <v>10620124</v>
      </c>
      <c r="H188" s="1" t="s">
        <v>381</v>
      </c>
      <c r="I188" s="61">
        <v>9</v>
      </c>
      <c r="J188" s="61">
        <v>5.5</v>
      </c>
      <c r="K188" s="61">
        <v>8.8000000000000007</v>
      </c>
      <c r="L188" s="69">
        <f t="shared" si="40"/>
        <v>0.495</v>
      </c>
      <c r="M188" s="69">
        <f t="shared" si="41"/>
        <v>0.79200000000000004</v>
      </c>
      <c r="N188" s="56">
        <f>INDEX(Rate_Chart!$A$1:$AK$127,MATCH(Data!J188,Rate_Chart!$A$1:$A$127,0),MATCH(Data!K188,Rate_Chart!$A$1:$AK$1,0))</f>
        <v>46.566181499999999</v>
      </c>
      <c r="O188" s="57">
        <f t="shared" si="42"/>
        <v>419.09563349999996</v>
      </c>
      <c r="P188" s="58">
        <f t="shared" si="43"/>
        <v>409.67315102639293</v>
      </c>
      <c r="Q188" s="58">
        <f t="shared" si="44"/>
        <v>273.11543401759531</v>
      </c>
      <c r="R188" s="66">
        <f t="shared" si="39"/>
        <v>7.3341735862500004</v>
      </c>
      <c r="S188" s="64">
        <f t="shared" si="45"/>
        <v>33.75</v>
      </c>
      <c r="T188" s="66">
        <f t="shared" si="46"/>
        <v>460.17980708624998</v>
      </c>
      <c r="U188" s="68">
        <f t="shared" si="47"/>
        <v>51.131089676249999</v>
      </c>
      <c r="V188" s="68">
        <f t="shared" si="48"/>
        <v>449.83363351539589</v>
      </c>
      <c r="W188" s="68">
        <f t="shared" si="49"/>
        <v>299.88908901026394</v>
      </c>
    </row>
    <row r="189" spans="1:23" x14ac:dyDescent="0.25">
      <c r="A189" s="169" t="s">
        <v>944</v>
      </c>
      <c r="B189" s="61" t="s">
        <v>391</v>
      </c>
      <c r="C189" s="61" t="s">
        <v>585</v>
      </c>
      <c r="D189" s="61" t="s">
        <v>854</v>
      </c>
      <c r="E189" s="1" t="s">
        <v>869</v>
      </c>
      <c r="F189" s="62" t="str">
        <f t="shared" si="38"/>
        <v>20124</v>
      </c>
      <c r="G189" s="269">
        <v>10620124</v>
      </c>
      <c r="H189" s="1" t="s">
        <v>382</v>
      </c>
      <c r="I189" s="61">
        <v>14</v>
      </c>
      <c r="J189" s="61">
        <v>3.2</v>
      </c>
      <c r="K189" s="61">
        <v>8.3000000000000007</v>
      </c>
      <c r="L189" s="69">
        <f t="shared" si="40"/>
        <v>0.44800000000000006</v>
      </c>
      <c r="M189" s="69">
        <f t="shared" si="41"/>
        <v>1.1620000000000001</v>
      </c>
      <c r="N189" s="56">
        <f>INDEX(Rate_Chart!$A$1:$AK$127,MATCH(Data!J189,Rate_Chart!$A$1:$A$127,0),MATCH(Data!K189,Rate_Chart!$A$1:$AK$1,0))</f>
        <v>36.419153700000003</v>
      </c>
      <c r="O189" s="57">
        <f t="shared" si="42"/>
        <v>509.86815180000002</v>
      </c>
      <c r="P189" s="58">
        <f t="shared" si="43"/>
        <v>417.01321030534348</v>
      </c>
      <c r="Q189" s="58">
        <f t="shared" si="44"/>
        <v>278.00880687022897</v>
      </c>
      <c r="R189" s="66">
        <f t="shared" si="39"/>
        <v>8.9226926565000007</v>
      </c>
      <c r="S189" s="64">
        <f t="shared" si="45"/>
        <v>52.5</v>
      </c>
      <c r="T189" s="66">
        <f t="shared" si="46"/>
        <v>571.29084445650005</v>
      </c>
      <c r="U189" s="68">
        <f t="shared" si="47"/>
        <v>40.806488889750007</v>
      </c>
      <c r="V189" s="68">
        <f t="shared" si="48"/>
        <v>467.24987278339694</v>
      </c>
      <c r="W189" s="68">
        <f t="shared" si="49"/>
        <v>311.49991518893131</v>
      </c>
    </row>
    <row r="190" spans="1:23" x14ac:dyDescent="0.25">
      <c r="A190" s="169" t="s">
        <v>945</v>
      </c>
      <c r="B190" s="61" t="s">
        <v>390</v>
      </c>
      <c r="C190" s="61" t="s">
        <v>585</v>
      </c>
      <c r="D190" s="61" t="s">
        <v>854</v>
      </c>
      <c r="E190" s="1" t="s">
        <v>869</v>
      </c>
      <c r="F190" s="62" t="str">
        <f t="shared" si="38"/>
        <v>20124</v>
      </c>
      <c r="G190" s="269">
        <v>10620124</v>
      </c>
      <c r="H190" s="1" t="s">
        <v>381</v>
      </c>
      <c r="I190" s="61">
        <v>30</v>
      </c>
      <c r="J190" s="61">
        <v>6</v>
      </c>
      <c r="K190" s="61">
        <v>9</v>
      </c>
      <c r="L190" s="69">
        <f t="shared" si="40"/>
        <v>1.8</v>
      </c>
      <c r="M190" s="69">
        <f t="shared" si="41"/>
        <v>2.7</v>
      </c>
      <c r="N190" s="56">
        <f>INDEX(Rate_Chart!$A$1:$AK$127,MATCH(Data!J190,Rate_Chart!$A$1:$A$127,0),MATCH(Data!K190,Rate_Chart!$A$1:$AK$1,0))</f>
        <v>50.1</v>
      </c>
      <c r="O190" s="57">
        <f t="shared" si="42"/>
        <v>1503</v>
      </c>
      <c r="P190" s="58">
        <f t="shared" si="43"/>
        <v>417.5</v>
      </c>
      <c r="Q190" s="58">
        <f t="shared" si="44"/>
        <v>278.33333333333331</v>
      </c>
      <c r="R190" s="66">
        <f t="shared" si="39"/>
        <v>26.302500000000002</v>
      </c>
      <c r="S190" s="64">
        <f t="shared" si="45"/>
        <v>112.5</v>
      </c>
      <c r="T190" s="66">
        <f t="shared" si="46"/>
        <v>1641.8025</v>
      </c>
      <c r="U190" s="68">
        <f t="shared" si="47"/>
        <v>54.726750000000003</v>
      </c>
      <c r="V190" s="68">
        <f t="shared" si="48"/>
        <v>456.05625000000003</v>
      </c>
      <c r="W190" s="68">
        <f t="shared" si="49"/>
        <v>304.03750000000002</v>
      </c>
    </row>
    <row r="191" spans="1:23" x14ac:dyDescent="0.25">
      <c r="A191" s="169" t="s">
        <v>945</v>
      </c>
      <c r="B191" s="61" t="s">
        <v>390</v>
      </c>
      <c r="C191" s="61" t="s">
        <v>585</v>
      </c>
      <c r="D191" s="61" t="s">
        <v>854</v>
      </c>
      <c r="E191" s="1" t="s">
        <v>869</v>
      </c>
      <c r="F191" s="62" t="str">
        <f t="shared" si="38"/>
        <v>20124</v>
      </c>
      <c r="G191" s="269">
        <v>10620124</v>
      </c>
      <c r="H191" s="1" t="s">
        <v>382</v>
      </c>
      <c r="I191" s="61">
        <v>23</v>
      </c>
      <c r="J191" s="61">
        <v>3.6</v>
      </c>
      <c r="K191" s="61">
        <v>8.3000000000000007</v>
      </c>
      <c r="L191" s="69">
        <f t="shared" si="40"/>
        <v>0.82799999999999996</v>
      </c>
      <c r="M191" s="69">
        <f t="shared" si="41"/>
        <v>1.909</v>
      </c>
      <c r="N191" s="56">
        <f>INDEX(Rate_Chart!$A$1:$AK$127,MATCH(Data!J191,Rate_Chart!$A$1:$A$127,0),MATCH(Data!K191,Rate_Chart!$A$1:$AK$1,0))</f>
        <v>38.087153700000009</v>
      </c>
      <c r="O191" s="57">
        <f t="shared" si="42"/>
        <v>876.00453510000023</v>
      </c>
      <c r="P191" s="58">
        <f t="shared" si="43"/>
        <v>417.01263175182481</v>
      </c>
      <c r="Q191" s="58">
        <f t="shared" si="44"/>
        <v>278.00842116788323</v>
      </c>
      <c r="R191" s="66">
        <f t="shared" si="39"/>
        <v>15.330079364250006</v>
      </c>
      <c r="S191" s="64">
        <f t="shared" si="45"/>
        <v>86.25</v>
      </c>
      <c r="T191" s="66">
        <f t="shared" si="46"/>
        <v>977.58461446425019</v>
      </c>
      <c r="U191" s="68">
        <f t="shared" si="47"/>
        <v>42.503678889750006</v>
      </c>
      <c r="V191" s="68">
        <f t="shared" si="48"/>
        <v>465.36874696806569</v>
      </c>
      <c r="W191" s="68">
        <f t="shared" si="49"/>
        <v>310.24583131204378</v>
      </c>
    </row>
    <row r="192" spans="1:23" x14ac:dyDescent="0.25">
      <c r="A192" s="169" t="s">
        <v>945</v>
      </c>
      <c r="B192" s="61" t="s">
        <v>391</v>
      </c>
      <c r="C192" s="61" t="s">
        <v>585</v>
      </c>
      <c r="D192" s="61" t="s">
        <v>854</v>
      </c>
      <c r="E192" s="1" t="s">
        <v>869</v>
      </c>
      <c r="F192" s="62" t="str">
        <f t="shared" si="38"/>
        <v>20124</v>
      </c>
      <c r="G192" s="269">
        <v>10620124</v>
      </c>
      <c r="H192" s="1" t="s">
        <v>382</v>
      </c>
      <c r="I192" s="61">
        <v>20</v>
      </c>
      <c r="J192" s="61">
        <v>4.2</v>
      </c>
      <c r="K192" s="61">
        <v>8.5</v>
      </c>
      <c r="L192" s="69">
        <f t="shared" si="40"/>
        <v>0.84</v>
      </c>
      <c r="M192" s="69">
        <f t="shared" si="41"/>
        <v>1.7</v>
      </c>
      <c r="N192" s="56">
        <f>INDEX(Rate_Chart!$A$1:$AK$127,MATCH(Data!J192,Rate_Chart!$A$1:$A$127,0),MATCH(Data!K192,Rate_Chart!$A$1:$AK$1,0))</f>
        <v>41.145181500000007</v>
      </c>
      <c r="O192" s="57">
        <f t="shared" si="42"/>
        <v>822.90363000000013</v>
      </c>
      <c r="P192" s="58">
        <f t="shared" si="43"/>
        <v>417.01197466216217</v>
      </c>
      <c r="Q192" s="58">
        <f t="shared" si="44"/>
        <v>278.00798310810814</v>
      </c>
      <c r="R192" s="66">
        <f t="shared" si="39"/>
        <v>14.400813525000004</v>
      </c>
      <c r="S192" s="64">
        <f t="shared" si="45"/>
        <v>75</v>
      </c>
      <c r="T192" s="66">
        <f t="shared" si="46"/>
        <v>912.30444352500012</v>
      </c>
      <c r="U192" s="68">
        <f t="shared" si="47"/>
        <v>45.615222176250008</v>
      </c>
      <c r="V192" s="68">
        <f t="shared" si="48"/>
        <v>462.31644097550679</v>
      </c>
      <c r="W192" s="68">
        <f t="shared" si="49"/>
        <v>308.21096065033788</v>
      </c>
    </row>
    <row r="193" spans="1:23" x14ac:dyDescent="0.25">
      <c r="A193" s="169" t="s">
        <v>946</v>
      </c>
      <c r="B193" s="61" t="s">
        <v>390</v>
      </c>
      <c r="C193" s="61" t="s">
        <v>585</v>
      </c>
      <c r="D193" s="61" t="s">
        <v>854</v>
      </c>
      <c r="E193" s="1" t="s">
        <v>869</v>
      </c>
      <c r="F193" s="62" t="str">
        <f t="shared" si="38"/>
        <v>20124</v>
      </c>
      <c r="G193" s="269">
        <v>10620124</v>
      </c>
      <c r="H193" s="1" t="s">
        <v>381</v>
      </c>
      <c r="I193" s="61">
        <v>32</v>
      </c>
      <c r="J193" s="61">
        <v>6.1</v>
      </c>
      <c r="K193" s="61">
        <v>9</v>
      </c>
      <c r="L193" s="69">
        <f t="shared" si="40"/>
        <v>1.952</v>
      </c>
      <c r="M193" s="69">
        <f t="shared" si="41"/>
        <v>2.88</v>
      </c>
      <c r="N193" s="56">
        <f>INDEX(Rate_Chart!$A$1:$AK$127,MATCH(Data!J193,Rate_Chart!$A$1:$A$127,0),MATCH(Data!K193,Rate_Chart!$A$1:$AK$1,0))</f>
        <v>50.935000000000002</v>
      </c>
      <c r="O193" s="57">
        <f t="shared" si="42"/>
        <v>1629.92</v>
      </c>
      <c r="P193" s="58">
        <f t="shared" si="43"/>
        <v>420.95041322314052</v>
      </c>
      <c r="Q193" s="58">
        <f t="shared" si="44"/>
        <v>280.63360881542701</v>
      </c>
      <c r="R193" s="66">
        <f t="shared" si="39"/>
        <v>28.523600000000005</v>
      </c>
      <c r="S193" s="64">
        <f t="shared" si="45"/>
        <v>120</v>
      </c>
      <c r="T193" s="66">
        <f t="shared" si="46"/>
        <v>1778.4436000000001</v>
      </c>
      <c r="U193" s="68">
        <f t="shared" si="47"/>
        <v>55.576362500000002</v>
      </c>
      <c r="V193" s="68">
        <f t="shared" si="48"/>
        <v>459.30878099173555</v>
      </c>
      <c r="W193" s="68">
        <f t="shared" si="49"/>
        <v>306.20585399449038</v>
      </c>
    </row>
    <row r="194" spans="1:23" x14ac:dyDescent="0.25">
      <c r="A194" s="169" t="s">
        <v>946</v>
      </c>
      <c r="B194" s="61" t="s">
        <v>390</v>
      </c>
      <c r="C194" s="61" t="s">
        <v>585</v>
      </c>
      <c r="D194" s="61" t="s">
        <v>854</v>
      </c>
      <c r="E194" s="1" t="s">
        <v>869</v>
      </c>
      <c r="F194" s="62" t="str">
        <f t="shared" si="38"/>
        <v>20124</v>
      </c>
      <c r="G194" s="269">
        <v>10620124</v>
      </c>
      <c r="H194" s="1" t="s">
        <v>382</v>
      </c>
      <c r="I194" s="61">
        <v>27</v>
      </c>
      <c r="J194" s="61">
        <v>3.5</v>
      </c>
      <c r="K194" s="61">
        <v>8.3000000000000007</v>
      </c>
      <c r="L194" s="69">
        <f t="shared" si="40"/>
        <v>0.94499999999999995</v>
      </c>
      <c r="M194" s="69">
        <f t="shared" si="41"/>
        <v>2.2410000000000001</v>
      </c>
      <c r="N194" s="56">
        <f>INDEX(Rate_Chart!$A$1:$AK$127,MATCH(Data!J194,Rate_Chart!$A$1:$A$127,0),MATCH(Data!K194,Rate_Chart!$A$1:$AK$1,0))</f>
        <v>37.670153700000007</v>
      </c>
      <c r="O194" s="57">
        <f t="shared" si="42"/>
        <v>1017.0941499000002</v>
      </c>
      <c r="P194" s="58">
        <f t="shared" si="43"/>
        <v>417.01277158671587</v>
      </c>
      <c r="Q194" s="58">
        <f t="shared" si="44"/>
        <v>278.00851439114393</v>
      </c>
      <c r="R194" s="66">
        <f t="shared" si="39"/>
        <v>17.799147623250004</v>
      </c>
      <c r="S194" s="64">
        <f t="shared" si="45"/>
        <v>101.25</v>
      </c>
      <c r="T194" s="66">
        <f t="shared" si="46"/>
        <v>1136.1432975232501</v>
      </c>
      <c r="U194" s="68">
        <f t="shared" si="47"/>
        <v>42.079381389750004</v>
      </c>
      <c r="V194" s="68">
        <f t="shared" si="48"/>
        <v>465.82341021863465</v>
      </c>
      <c r="W194" s="68">
        <f t="shared" si="49"/>
        <v>310.54894014575643</v>
      </c>
    </row>
    <row r="195" spans="1:23" x14ac:dyDescent="0.25">
      <c r="A195" s="169" t="s">
        <v>946</v>
      </c>
      <c r="B195" s="61" t="s">
        <v>391</v>
      </c>
      <c r="C195" s="61" t="s">
        <v>585</v>
      </c>
      <c r="D195" s="61" t="s">
        <v>854</v>
      </c>
      <c r="E195" s="1" t="s">
        <v>869</v>
      </c>
      <c r="F195" s="62" t="str">
        <f t="shared" si="38"/>
        <v>20124</v>
      </c>
      <c r="G195" s="269">
        <v>10620124</v>
      </c>
      <c r="H195" s="1" t="s">
        <v>381</v>
      </c>
      <c r="I195" s="61">
        <v>14</v>
      </c>
      <c r="J195" s="61">
        <v>5.5</v>
      </c>
      <c r="K195" s="61">
        <v>8.4</v>
      </c>
      <c r="L195" s="69">
        <f t="shared" si="40"/>
        <v>0.77</v>
      </c>
      <c r="M195" s="69">
        <f t="shared" si="41"/>
        <v>1.1760000000000002</v>
      </c>
      <c r="N195" s="56">
        <f>INDEX(Rate_Chart!$A$1:$AK$127,MATCH(Data!J195,Rate_Chart!$A$1:$A$127,0),MATCH(Data!K195,Rate_Chart!$A$1:$AK$1,0))</f>
        <v>46.288167600000008</v>
      </c>
      <c r="O195" s="57">
        <f t="shared" si="42"/>
        <v>648.03434640000012</v>
      </c>
      <c r="P195" s="58">
        <f t="shared" si="43"/>
        <v>417.01051891891899</v>
      </c>
      <c r="Q195" s="58">
        <f t="shared" si="44"/>
        <v>278.00701261261264</v>
      </c>
      <c r="R195" s="66">
        <f t="shared" si="39"/>
        <v>11.340601062000003</v>
      </c>
      <c r="S195" s="64">
        <f t="shared" si="45"/>
        <v>52.5</v>
      </c>
      <c r="T195" s="66">
        <f t="shared" si="46"/>
        <v>711.87494746200014</v>
      </c>
      <c r="U195" s="68">
        <f t="shared" si="47"/>
        <v>50.848210533000007</v>
      </c>
      <c r="V195" s="68">
        <f t="shared" si="48"/>
        <v>458.09198678378385</v>
      </c>
      <c r="W195" s="68">
        <f t="shared" si="49"/>
        <v>305.39465785585588</v>
      </c>
    </row>
    <row r="196" spans="1:23" x14ac:dyDescent="0.25">
      <c r="A196" s="169" t="s">
        <v>946</v>
      </c>
      <c r="B196" s="61" t="s">
        <v>391</v>
      </c>
      <c r="C196" s="61" t="s">
        <v>585</v>
      </c>
      <c r="D196" s="61" t="s">
        <v>854</v>
      </c>
      <c r="E196" s="1" t="s">
        <v>869</v>
      </c>
      <c r="F196" s="62" t="str">
        <f t="shared" si="38"/>
        <v>20124</v>
      </c>
      <c r="G196" s="269">
        <v>10620124</v>
      </c>
      <c r="H196" s="1" t="s">
        <v>382</v>
      </c>
      <c r="I196" s="61">
        <v>14</v>
      </c>
      <c r="J196" s="61">
        <v>3.5</v>
      </c>
      <c r="K196" s="61">
        <v>8.1</v>
      </c>
      <c r="L196" s="69">
        <f t="shared" si="40"/>
        <v>0.49</v>
      </c>
      <c r="M196" s="69">
        <f t="shared" si="41"/>
        <v>1.1339999999999999</v>
      </c>
      <c r="N196" s="56">
        <f>INDEX(Rate_Chart!$A$1:$AK$127,MATCH(Data!J196,Rate_Chart!$A$1:$A$127,0),MATCH(Data!K196,Rate_Chart!$A$1:$AK$1,0))</f>
        <v>37.114125900000005</v>
      </c>
      <c r="O196" s="57">
        <f t="shared" si="42"/>
        <v>519.59776260000012</v>
      </c>
      <c r="P196" s="58">
        <f t="shared" si="43"/>
        <v>417.01265056179784</v>
      </c>
      <c r="Q196" s="58">
        <f t="shared" si="44"/>
        <v>278.00843370786521</v>
      </c>
      <c r="R196" s="66">
        <f t="shared" si="39"/>
        <v>9.0929608455000022</v>
      </c>
      <c r="S196" s="64">
        <f t="shared" si="45"/>
        <v>52.5</v>
      </c>
      <c r="T196" s="66">
        <f t="shared" si="46"/>
        <v>581.19072344550011</v>
      </c>
      <c r="U196" s="68">
        <f t="shared" si="47"/>
        <v>41.513623103250005</v>
      </c>
      <c r="V196" s="68">
        <f t="shared" si="48"/>
        <v>466.44520340730344</v>
      </c>
      <c r="W196" s="68">
        <f t="shared" si="49"/>
        <v>310.96346893820231</v>
      </c>
    </row>
    <row r="197" spans="1:23" x14ac:dyDescent="0.25">
      <c r="A197" s="169" t="s">
        <v>947</v>
      </c>
      <c r="B197" s="61" t="s">
        <v>390</v>
      </c>
      <c r="C197" s="61" t="s">
        <v>585</v>
      </c>
      <c r="D197" s="61" t="s">
        <v>854</v>
      </c>
      <c r="E197" s="1" t="s">
        <v>869</v>
      </c>
      <c r="F197" s="62" t="str">
        <f t="shared" ref="F197:F260" si="50">MID(E197,2,5)</f>
        <v>20124</v>
      </c>
      <c r="G197" s="269">
        <v>10620124</v>
      </c>
      <c r="H197" s="1" t="s">
        <v>381</v>
      </c>
      <c r="I197" s="61">
        <v>29</v>
      </c>
      <c r="J197" s="61">
        <v>6.1</v>
      </c>
      <c r="K197" s="61">
        <v>9</v>
      </c>
      <c r="L197" s="69">
        <f t="shared" si="40"/>
        <v>1.7689999999999997</v>
      </c>
      <c r="M197" s="69">
        <f t="shared" si="41"/>
        <v>2.61</v>
      </c>
      <c r="N197" s="56">
        <f>INDEX(Rate_Chart!$A$1:$AK$127,MATCH(Data!J197,Rate_Chart!$A$1:$A$127,0),MATCH(Data!K197,Rate_Chart!$A$1:$AK$1,0))</f>
        <v>50.935000000000002</v>
      </c>
      <c r="O197" s="57">
        <f t="shared" si="42"/>
        <v>1477.115</v>
      </c>
      <c r="P197" s="58">
        <f t="shared" si="43"/>
        <v>420.95041322314052</v>
      </c>
      <c r="Q197" s="58">
        <f t="shared" si="44"/>
        <v>280.63360881542701</v>
      </c>
      <c r="R197" s="66">
        <f t="shared" ref="R197:R259" si="51">O197*1.75%</f>
        <v>25.849512500000003</v>
      </c>
      <c r="S197" s="64">
        <f t="shared" si="45"/>
        <v>108.75</v>
      </c>
      <c r="T197" s="66">
        <f t="shared" si="46"/>
        <v>1611.7145125</v>
      </c>
      <c r="U197" s="68">
        <f t="shared" si="47"/>
        <v>55.576362500000002</v>
      </c>
      <c r="V197" s="68">
        <f t="shared" si="48"/>
        <v>459.30878099173555</v>
      </c>
      <c r="W197" s="68">
        <f t="shared" si="49"/>
        <v>306.20585399449038</v>
      </c>
    </row>
    <row r="198" spans="1:23" x14ac:dyDescent="0.25">
      <c r="A198" s="169" t="s">
        <v>947</v>
      </c>
      <c r="B198" s="61" t="s">
        <v>390</v>
      </c>
      <c r="C198" s="61" t="s">
        <v>585</v>
      </c>
      <c r="D198" s="61" t="s">
        <v>854</v>
      </c>
      <c r="E198" s="1" t="s">
        <v>869</v>
      </c>
      <c r="F198" s="62" t="str">
        <f t="shared" si="50"/>
        <v>20124</v>
      </c>
      <c r="G198" s="269">
        <v>10620124</v>
      </c>
      <c r="H198" s="1" t="s">
        <v>382</v>
      </c>
      <c r="I198" s="61">
        <v>34</v>
      </c>
      <c r="J198" s="61">
        <v>3.5</v>
      </c>
      <c r="K198" s="61">
        <v>8.4</v>
      </c>
      <c r="L198" s="69">
        <f t="shared" si="40"/>
        <v>1.19</v>
      </c>
      <c r="M198" s="69">
        <f t="shared" si="41"/>
        <v>2.8560000000000003</v>
      </c>
      <c r="N198" s="56">
        <f>INDEX(Rate_Chart!$A$1:$AK$127,MATCH(Data!J198,Rate_Chart!$A$1:$A$127,0),MATCH(Data!K198,Rate_Chart!$A$1:$AK$1,0))</f>
        <v>37.948167600000005</v>
      </c>
      <c r="O198" s="57">
        <f t="shared" si="42"/>
        <v>1290.2376984000002</v>
      </c>
      <c r="P198" s="58">
        <f t="shared" si="43"/>
        <v>417.01283076923085</v>
      </c>
      <c r="Q198" s="58">
        <f t="shared" si="44"/>
        <v>278.00855384615392</v>
      </c>
      <c r="R198" s="66">
        <f t="shared" si="51"/>
        <v>22.579159722000007</v>
      </c>
      <c r="S198" s="64">
        <f t="shared" si="45"/>
        <v>127.5</v>
      </c>
      <c r="T198" s="66">
        <f t="shared" si="46"/>
        <v>1440.3168581220002</v>
      </c>
      <c r="U198" s="68">
        <f t="shared" si="47"/>
        <v>42.362260533000004</v>
      </c>
      <c r="V198" s="68">
        <f t="shared" si="48"/>
        <v>465.51934651648355</v>
      </c>
      <c r="W198" s="68">
        <f t="shared" si="49"/>
        <v>310.34623101098902</v>
      </c>
    </row>
    <row r="199" spans="1:23" x14ac:dyDescent="0.25">
      <c r="A199" s="169" t="s">
        <v>947</v>
      </c>
      <c r="B199" s="61" t="s">
        <v>391</v>
      </c>
      <c r="C199" s="61" t="s">
        <v>585</v>
      </c>
      <c r="D199" s="61" t="s">
        <v>854</v>
      </c>
      <c r="E199" s="1" t="s">
        <v>869</v>
      </c>
      <c r="F199" s="62" t="str">
        <f t="shared" si="50"/>
        <v>20124</v>
      </c>
      <c r="G199" s="269">
        <v>10620124</v>
      </c>
      <c r="H199" s="1" t="s">
        <v>382</v>
      </c>
      <c r="I199" s="61">
        <v>30</v>
      </c>
      <c r="J199" s="61">
        <v>3.7</v>
      </c>
      <c r="K199" s="61">
        <v>8.5</v>
      </c>
      <c r="L199" s="69">
        <f t="shared" si="40"/>
        <v>1.1100000000000001</v>
      </c>
      <c r="M199" s="69">
        <f t="shared" si="41"/>
        <v>2.5499999999999998</v>
      </c>
      <c r="N199" s="56">
        <f>INDEX(Rate_Chart!$A$1:$AK$127,MATCH(Data!J199,Rate_Chart!$A$1:$A$127,0),MATCH(Data!K199,Rate_Chart!$A$1:$AK$1,0))</f>
        <v>39.060181500000006</v>
      </c>
      <c r="O199" s="57">
        <f t="shared" si="42"/>
        <v>1171.8054450000002</v>
      </c>
      <c r="P199" s="58">
        <f t="shared" si="43"/>
        <v>417.0126138790036</v>
      </c>
      <c r="Q199" s="58">
        <f t="shared" si="44"/>
        <v>278.00840925266908</v>
      </c>
      <c r="R199" s="66">
        <f t="shared" si="51"/>
        <v>20.506595287500005</v>
      </c>
      <c r="S199" s="64">
        <f t="shared" si="45"/>
        <v>112.5</v>
      </c>
      <c r="T199" s="66">
        <f t="shared" si="46"/>
        <v>1304.8120402875002</v>
      </c>
      <c r="U199" s="68">
        <f t="shared" si="47"/>
        <v>43.493734676250007</v>
      </c>
      <c r="V199" s="68">
        <f t="shared" si="48"/>
        <v>464.34592181049823</v>
      </c>
      <c r="W199" s="68">
        <f t="shared" si="49"/>
        <v>309.56394787366548</v>
      </c>
    </row>
    <row r="200" spans="1:23" x14ac:dyDescent="0.25">
      <c r="A200" s="169" t="s">
        <v>941</v>
      </c>
      <c r="B200" s="61" t="s">
        <v>391</v>
      </c>
      <c r="C200" s="61" t="s">
        <v>585</v>
      </c>
      <c r="D200" s="61" t="s">
        <v>586</v>
      </c>
      <c r="E200" s="1" t="s">
        <v>870</v>
      </c>
      <c r="F200" s="62" t="str">
        <f t="shared" si="50"/>
        <v>20125</v>
      </c>
      <c r="G200" s="269">
        <v>10620125</v>
      </c>
      <c r="H200" s="1" t="s">
        <v>382</v>
      </c>
      <c r="I200" s="61">
        <v>42</v>
      </c>
      <c r="J200" s="61">
        <v>4.5</v>
      </c>
      <c r="K200" s="61">
        <v>8.5</v>
      </c>
      <c r="L200" s="69">
        <f t="shared" si="40"/>
        <v>1.89</v>
      </c>
      <c r="M200" s="69">
        <f t="shared" si="41"/>
        <v>3.57</v>
      </c>
      <c r="N200" s="56">
        <f>INDEX(Rate_Chart!$A$1:$AK$127,MATCH(Data!J200,Rate_Chart!$A$1:$A$127,0),MATCH(Data!K200,Rate_Chart!$A$1:$AK$1,0))</f>
        <v>42.396181500000004</v>
      </c>
      <c r="O200" s="57">
        <f t="shared" si="42"/>
        <v>1780.6396230000003</v>
      </c>
      <c r="P200" s="58">
        <f t="shared" si="43"/>
        <v>417.01162131147544</v>
      </c>
      <c r="Q200" s="58">
        <f t="shared" si="44"/>
        <v>278.00774754098364</v>
      </c>
      <c r="R200" s="66">
        <f t="shared" si="51"/>
        <v>31.161193402500007</v>
      </c>
      <c r="S200" s="64">
        <f t="shared" si="45"/>
        <v>157.5</v>
      </c>
      <c r="T200" s="66">
        <f t="shared" si="46"/>
        <v>1969.3008164025002</v>
      </c>
      <c r="U200" s="68">
        <f t="shared" si="47"/>
        <v>46.888114676250005</v>
      </c>
      <c r="V200" s="68">
        <f t="shared" si="48"/>
        <v>461.19457058606559</v>
      </c>
      <c r="W200" s="68">
        <f t="shared" si="49"/>
        <v>307.46304705737708</v>
      </c>
    </row>
    <row r="201" spans="1:23" x14ac:dyDescent="0.25">
      <c r="A201" s="169" t="s">
        <v>942</v>
      </c>
      <c r="B201" s="61" t="s">
        <v>390</v>
      </c>
      <c r="C201" s="61" t="s">
        <v>585</v>
      </c>
      <c r="D201" s="61" t="s">
        <v>586</v>
      </c>
      <c r="E201" s="1" t="s">
        <v>870</v>
      </c>
      <c r="F201" s="62" t="str">
        <f t="shared" si="50"/>
        <v>20125</v>
      </c>
      <c r="G201" s="269">
        <v>10620125</v>
      </c>
      <c r="H201" s="1" t="s">
        <v>381</v>
      </c>
      <c r="I201" s="61">
        <v>5</v>
      </c>
      <c r="J201" s="61">
        <v>8.6</v>
      </c>
      <c r="K201" s="61">
        <v>9</v>
      </c>
      <c r="L201" s="69">
        <f t="shared" si="40"/>
        <v>0.43</v>
      </c>
      <c r="M201" s="69">
        <f t="shared" si="41"/>
        <v>0.45</v>
      </c>
      <c r="N201" s="56">
        <f>INDEX(Rate_Chart!$A$1:$AK$127,MATCH(Data!J201,Rate_Chart!$A$1:$A$127,0),MATCH(Data!K201,Rate_Chart!$A$1:$AK$1,0))</f>
        <v>71.809999999999988</v>
      </c>
      <c r="O201" s="57">
        <f t="shared" si="42"/>
        <v>359.04999999999995</v>
      </c>
      <c r="P201" s="58">
        <f t="shared" si="43"/>
        <v>491.84931506849313</v>
      </c>
      <c r="Q201" s="58">
        <f t="shared" si="44"/>
        <v>327.89954337899542</v>
      </c>
      <c r="R201" s="66">
        <f t="shared" si="51"/>
        <v>6.2833749999999995</v>
      </c>
      <c r="S201" s="64">
        <f t="shared" si="45"/>
        <v>18.75</v>
      </c>
      <c r="T201" s="66">
        <f t="shared" si="46"/>
        <v>384.08337499999993</v>
      </c>
      <c r="U201" s="68">
        <f t="shared" si="47"/>
        <v>76.816674999999989</v>
      </c>
      <c r="V201" s="68">
        <f t="shared" si="48"/>
        <v>526.14160958904108</v>
      </c>
      <c r="W201" s="68">
        <f t="shared" si="49"/>
        <v>350.76107305936074</v>
      </c>
    </row>
    <row r="202" spans="1:23" x14ac:dyDescent="0.25">
      <c r="A202" s="169" t="s">
        <v>942</v>
      </c>
      <c r="B202" s="61" t="s">
        <v>390</v>
      </c>
      <c r="C202" s="61" t="s">
        <v>585</v>
      </c>
      <c r="D202" s="61" t="s">
        <v>586</v>
      </c>
      <c r="E202" s="1" t="s">
        <v>870</v>
      </c>
      <c r="F202" s="62" t="str">
        <f t="shared" si="50"/>
        <v>20125</v>
      </c>
      <c r="G202" s="269">
        <v>10620125</v>
      </c>
      <c r="H202" s="1" t="s">
        <v>382</v>
      </c>
      <c r="I202" s="61">
        <v>22</v>
      </c>
      <c r="J202" s="61">
        <v>3.9</v>
      </c>
      <c r="K202" s="61">
        <v>8.4</v>
      </c>
      <c r="L202" s="69">
        <f t="shared" si="40"/>
        <v>0.85799999999999998</v>
      </c>
      <c r="M202" s="69">
        <f t="shared" si="41"/>
        <v>1.8480000000000001</v>
      </c>
      <c r="N202" s="56">
        <f>INDEX(Rate_Chart!$A$1:$AK$127,MATCH(Data!J202,Rate_Chart!$A$1:$A$127,0),MATCH(Data!K202,Rate_Chart!$A$1:$AK$1,0))</f>
        <v>39.616167600000011</v>
      </c>
      <c r="O202" s="57">
        <f t="shared" si="42"/>
        <v>871.55568720000019</v>
      </c>
      <c r="P202" s="58">
        <f t="shared" si="43"/>
        <v>417.01229052631589</v>
      </c>
      <c r="Q202" s="58">
        <f t="shared" si="44"/>
        <v>278.0081936842106</v>
      </c>
      <c r="R202" s="66">
        <f t="shared" si="51"/>
        <v>15.252224526000004</v>
      </c>
      <c r="S202" s="64">
        <f t="shared" si="45"/>
        <v>82.5</v>
      </c>
      <c r="T202" s="66">
        <f t="shared" si="46"/>
        <v>969.30791172600016</v>
      </c>
      <c r="U202" s="68">
        <f t="shared" si="47"/>
        <v>44.05945053300001</v>
      </c>
      <c r="V202" s="68">
        <f t="shared" si="48"/>
        <v>463.78368982105275</v>
      </c>
      <c r="W202" s="68">
        <f t="shared" si="49"/>
        <v>309.18912654736852</v>
      </c>
    </row>
    <row r="203" spans="1:23" x14ac:dyDescent="0.25">
      <c r="A203" s="169" t="s">
        <v>942</v>
      </c>
      <c r="B203" s="61" t="s">
        <v>391</v>
      </c>
      <c r="C203" s="61" t="s">
        <v>585</v>
      </c>
      <c r="D203" s="61" t="s">
        <v>586</v>
      </c>
      <c r="E203" s="1" t="s">
        <v>870</v>
      </c>
      <c r="F203" s="62" t="str">
        <f t="shared" si="50"/>
        <v>20125</v>
      </c>
      <c r="G203" s="269">
        <v>10620125</v>
      </c>
      <c r="H203" s="1" t="s">
        <v>381</v>
      </c>
      <c r="I203" s="61">
        <v>6</v>
      </c>
      <c r="J203" s="61">
        <v>8</v>
      </c>
      <c r="K203" s="61">
        <v>9</v>
      </c>
      <c r="L203" s="69">
        <f t="shared" si="40"/>
        <v>0.48</v>
      </c>
      <c r="M203" s="69">
        <f t="shared" si="41"/>
        <v>0.54</v>
      </c>
      <c r="N203" s="56">
        <f>INDEX(Rate_Chart!$A$1:$AK$127,MATCH(Data!J203,Rate_Chart!$A$1:$A$127,0),MATCH(Data!K203,Rate_Chart!$A$1:$AK$1,0))</f>
        <v>66.8</v>
      </c>
      <c r="O203" s="57">
        <f t="shared" si="42"/>
        <v>400.79999999999995</v>
      </c>
      <c r="P203" s="58">
        <f t="shared" si="43"/>
        <v>477.14285714285705</v>
      </c>
      <c r="Q203" s="58">
        <f t="shared" si="44"/>
        <v>318.09523809523802</v>
      </c>
      <c r="R203" s="66">
        <f t="shared" si="51"/>
        <v>7.0140000000000002</v>
      </c>
      <c r="S203" s="64">
        <f t="shared" si="45"/>
        <v>22.5</v>
      </c>
      <c r="T203" s="66">
        <f t="shared" si="46"/>
        <v>430.31399999999996</v>
      </c>
      <c r="U203" s="68">
        <f t="shared" si="47"/>
        <v>71.718999999999994</v>
      </c>
      <c r="V203" s="68">
        <f t="shared" si="48"/>
        <v>512.27857142857135</v>
      </c>
      <c r="W203" s="68">
        <f t="shared" si="49"/>
        <v>341.51904761904757</v>
      </c>
    </row>
    <row r="204" spans="1:23" x14ac:dyDescent="0.25">
      <c r="A204" s="169" t="s">
        <v>942</v>
      </c>
      <c r="B204" s="61" t="s">
        <v>391</v>
      </c>
      <c r="C204" s="61" t="s">
        <v>585</v>
      </c>
      <c r="D204" s="61" t="s">
        <v>586</v>
      </c>
      <c r="E204" s="1" t="s">
        <v>870</v>
      </c>
      <c r="F204" s="62" t="str">
        <f t="shared" si="50"/>
        <v>20125</v>
      </c>
      <c r="G204" s="269">
        <v>10620125</v>
      </c>
      <c r="H204" s="1" t="s">
        <v>382</v>
      </c>
      <c r="I204" s="61">
        <v>23</v>
      </c>
      <c r="J204" s="61">
        <v>4</v>
      </c>
      <c r="K204" s="61">
        <v>8.4</v>
      </c>
      <c r="L204" s="69">
        <f t="shared" si="40"/>
        <v>0.92</v>
      </c>
      <c r="M204" s="69">
        <f t="shared" si="41"/>
        <v>1.9320000000000002</v>
      </c>
      <c r="N204" s="56">
        <f>INDEX(Rate_Chart!$A$1:$AK$127,MATCH(Data!J204,Rate_Chart!$A$1:$A$127,0),MATCH(Data!K204,Rate_Chart!$A$1:$AK$1,0))</f>
        <v>40.033167600000006</v>
      </c>
      <c r="O204" s="57">
        <f t="shared" si="42"/>
        <v>920.76285480000013</v>
      </c>
      <c r="P204" s="58">
        <f t="shared" si="43"/>
        <v>417.01216250000004</v>
      </c>
      <c r="Q204" s="58">
        <f t="shared" si="44"/>
        <v>278.00810833333338</v>
      </c>
      <c r="R204" s="66">
        <f t="shared" si="51"/>
        <v>16.113349959000004</v>
      </c>
      <c r="S204" s="64">
        <f t="shared" si="45"/>
        <v>86.25</v>
      </c>
      <c r="T204" s="66">
        <f t="shared" si="46"/>
        <v>1023.1262047590001</v>
      </c>
      <c r="U204" s="68">
        <f t="shared" si="47"/>
        <v>44.483748033000005</v>
      </c>
      <c r="V204" s="68">
        <f t="shared" si="48"/>
        <v>463.37237534375004</v>
      </c>
      <c r="W204" s="68">
        <f t="shared" si="49"/>
        <v>308.91491689583336</v>
      </c>
    </row>
    <row r="205" spans="1:23" x14ac:dyDescent="0.25">
      <c r="A205" s="169" t="s">
        <v>943</v>
      </c>
      <c r="B205" s="61" t="s">
        <v>390</v>
      </c>
      <c r="C205" s="61" t="s">
        <v>585</v>
      </c>
      <c r="D205" s="61" t="s">
        <v>586</v>
      </c>
      <c r="E205" s="1" t="s">
        <v>870</v>
      </c>
      <c r="F205" s="62" t="str">
        <f t="shared" si="50"/>
        <v>20125</v>
      </c>
      <c r="G205" s="269">
        <v>10620125</v>
      </c>
      <c r="H205" s="1" t="s">
        <v>381</v>
      </c>
      <c r="I205" s="61">
        <v>6</v>
      </c>
      <c r="J205" s="61">
        <v>8.5</v>
      </c>
      <c r="K205" s="61">
        <v>9</v>
      </c>
      <c r="L205" s="69">
        <f t="shared" si="40"/>
        <v>0.51</v>
      </c>
      <c r="M205" s="69">
        <f t="shared" si="41"/>
        <v>0.54</v>
      </c>
      <c r="N205" s="56">
        <f>INDEX(Rate_Chart!$A$1:$AK$127,MATCH(Data!J205,Rate_Chart!$A$1:$A$127,0),MATCH(Data!K205,Rate_Chart!$A$1:$AK$1,0))</f>
        <v>70.975000000000009</v>
      </c>
      <c r="O205" s="57">
        <f t="shared" si="42"/>
        <v>425.85</v>
      </c>
      <c r="P205" s="58">
        <f t="shared" si="43"/>
        <v>489.48275862068965</v>
      </c>
      <c r="Q205" s="58">
        <f t="shared" si="44"/>
        <v>326.32183908045977</v>
      </c>
      <c r="R205" s="66">
        <f t="shared" si="51"/>
        <v>7.4523750000000009</v>
      </c>
      <c r="S205" s="64">
        <f t="shared" si="45"/>
        <v>22.5</v>
      </c>
      <c r="T205" s="66">
        <f t="shared" si="46"/>
        <v>455.80237500000004</v>
      </c>
      <c r="U205" s="68">
        <f t="shared" si="47"/>
        <v>75.967062500000011</v>
      </c>
      <c r="V205" s="68">
        <f t="shared" si="48"/>
        <v>523.91077586206893</v>
      </c>
      <c r="W205" s="68">
        <f t="shared" si="49"/>
        <v>349.27385057471264</v>
      </c>
    </row>
    <row r="206" spans="1:23" x14ac:dyDescent="0.25">
      <c r="A206" s="169" t="s">
        <v>943</v>
      </c>
      <c r="B206" s="61" t="s">
        <v>390</v>
      </c>
      <c r="C206" s="61" t="s">
        <v>585</v>
      </c>
      <c r="D206" s="61" t="s">
        <v>586</v>
      </c>
      <c r="E206" s="1" t="s">
        <v>870</v>
      </c>
      <c r="F206" s="62" t="str">
        <f t="shared" si="50"/>
        <v>20125</v>
      </c>
      <c r="G206" s="269">
        <v>10620125</v>
      </c>
      <c r="H206" s="1" t="s">
        <v>382</v>
      </c>
      <c r="I206" s="61">
        <v>27</v>
      </c>
      <c r="J206" s="61">
        <v>3.7</v>
      </c>
      <c r="K206" s="61">
        <v>8.3000000000000007</v>
      </c>
      <c r="L206" s="69">
        <f t="shared" si="40"/>
        <v>0.99900000000000011</v>
      </c>
      <c r="M206" s="69">
        <f t="shared" si="41"/>
        <v>2.2410000000000001</v>
      </c>
      <c r="N206" s="56">
        <f>INDEX(Rate_Chart!$A$1:$AK$127,MATCH(Data!J206,Rate_Chart!$A$1:$A$127,0),MATCH(Data!K206,Rate_Chart!$A$1:$AK$1,0))</f>
        <v>38.504153700000003</v>
      </c>
      <c r="O206" s="57">
        <f t="shared" si="42"/>
        <v>1039.6121499000001</v>
      </c>
      <c r="P206" s="58">
        <f t="shared" si="43"/>
        <v>417.01249494584835</v>
      </c>
      <c r="Q206" s="58">
        <f t="shared" si="44"/>
        <v>278.00832996389892</v>
      </c>
      <c r="R206" s="66">
        <f t="shared" si="51"/>
        <v>18.193212623250002</v>
      </c>
      <c r="S206" s="64">
        <f t="shared" si="45"/>
        <v>101.25</v>
      </c>
      <c r="T206" s="66">
        <f t="shared" si="46"/>
        <v>1159.0553625232501</v>
      </c>
      <c r="U206" s="68">
        <f t="shared" si="47"/>
        <v>42.92797638975</v>
      </c>
      <c r="V206" s="68">
        <f t="shared" si="48"/>
        <v>464.923932018953</v>
      </c>
      <c r="W206" s="68">
        <f t="shared" si="49"/>
        <v>309.94928801263535</v>
      </c>
    </row>
    <row r="207" spans="1:23" x14ac:dyDescent="0.25">
      <c r="A207" s="169" t="s">
        <v>943</v>
      </c>
      <c r="B207" s="61" t="s">
        <v>391</v>
      </c>
      <c r="C207" s="61" t="s">
        <v>585</v>
      </c>
      <c r="D207" s="61" t="s">
        <v>586</v>
      </c>
      <c r="E207" s="1" t="s">
        <v>870</v>
      </c>
      <c r="F207" s="62" t="str">
        <f t="shared" si="50"/>
        <v>20125</v>
      </c>
      <c r="G207" s="269">
        <v>10620125</v>
      </c>
      <c r="H207" s="1" t="s">
        <v>381</v>
      </c>
      <c r="I207" s="61">
        <v>7</v>
      </c>
      <c r="J207" s="61">
        <v>7.8</v>
      </c>
      <c r="K207" s="61">
        <v>9</v>
      </c>
      <c r="L207" s="69">
        <f t="shared" si="40"/>
        <v>0.54600000000000004</v>
      </c>
      <c r="M207" s="69">
        <f t="shared" si="41"/>
        <v>0.63</v>
      </c>
      <c r="N207" s="56">
        <f>INDEX(Rate_Chart!$A$1:$AK$127,MATCH(Data!J207,Rate_Chart!$A$1:$A$127,0),MATCH(Data!K207,Rate_Chart!$A$1:$AK$1,0))</f>
        <v>65.13</v>
      </c>
      <c r="O207" s="57">
        <f t="shared" si="42"/>
        <v>455.90999999999997</v>
      </c>
      <c r="P207" s="58">
        <f t="shared" si="43"/>
        <v>471.95652173913038</v>
      </c>
      <c r="Q207" s="58">
        <f t="shared" si="44"/>
        <v>314.63768115942025</v>
      </c>
      <c r="R207" s="66">
        <f t="shared" si="51"/>
        <v>7.9784250000000005</v>
      </c>
      <c r="S207" s="64">
        <f t="shared" si="45"/>
        <v>26.25</v>
      </c>
      <c r="T207" s="66">
        <f t="shared" si="46"/>
        <v>490.13842499999998</v>
      </c>
      <c r="U207" s="68">
        <f t="shared" si="47"/>
        <v>70.019774999999996</v>
      </c>
      <c r="V207" s="68">
        <f t="shared" si="48"/>
        <v>507.3896739130434</v>
      </c>
      <c r="W207" s="68">
        <f t="shared" si="49"/>
        <v>338.25978260869562</v>
      </c>
    </row>
    <row r="208" spans="1:23" x14ac:dyDescent="0.25">
      <c r="A208" s="169" t="s">
        <v>943</v>
      </c>
      <c r="B208" s="61" t="s">
        <v>391</v>
      </c>
      <c r="C208" s="61" t="s">
        <v>585</v>
      </c>
      <c r="D208" s="61" t="s">
        <v>586</v>
      </c>
      <c r="E208" s="1" t="s">
        <v>870</v>
      </c>
      <c r="F208" s="62" t="str">
        <f t="shared" si="50"/>
        <v>20125</v>
      </c>
      <c r="G208" s="269">
        <v>10620125</v>
      </c>
      <c r="H208" s="1" t="s">
        <v>382</v>
      </c>
      <c r="I208" s="61">
        <v>23</v>
      </c>
      <c r="J208" s="61">
        <v>4.2</v>
      </c>
      <c r="K208" s="61">
        <v>8.5</v>
      </c>
      <c r="L208" s="69">
        <f t="shared" si="40"/>
        <v>0.96600000000000008</v>
      </c>
      <c r="M208" s="69">
        <f t="shared" si="41"/>
        <v>1.9550000000000001</v>
      </c>
      <c r="N208" s="56">
        <f>INDEX(Rate_Chart!$A$1:$AK$127,MATCH(Data!J208,Rate_Chart!$A$1:$A$127,0),MATCH(Data!K208,Rate_Chart!$A$1:$AK$1,0))</f>
        <v>41.145181500000007</v>
      </c>
      <c r="O208" s="57">
        <f t="shared" si="42"/>
        <v>946.33917450000013</v>
      </c>
      <c r="P208" s="58">
        <f t="shared" si="43"/>
        <v>417.01197466216217</v>
      </c>
      <c r="Q208" s="58">
        <f t="shared" si="44"/>
        <v>278.00798310810814</v>
      </c>
      <c r="R208" s="66">
        <f t="shared" si="51"/>
        <v>16.560935553750003</v>
      </c>
      <c r="S208" s="64">
        <f t="shared" si="45"/>
        <v>86.25</v>
      </c>
      <c r="T208" s="66">
        <f t="shared" si="46"/>
        <v>1049.15011005375</v>
      </c>
      <c r="U208" s="68">
        <f t="shared" si="47"/>
        <v>45.615222176250001</v>
      </c>
      <c r="V208" s="68">
        <f t="shared" si="48"/>
        <v>462.31644097550668</v>
      </c>
      <c r="W208" s="68">
        <f t="shared" si="49"/>
        <v>308.21096065033777</v>
      </c>
    </row>
    <row r="209" spans="1:23" x14ac:dyDescent="0.25">
      <c r="A209" s="169" t="s">
        <v>944</v>
      </c>
      <c r="B209" s="61" t="s">
        <v>390</v>
      </c>
      <c r="C209" s="61" t="s">
        <v>585</v>
      </c>
      <c r="D209" s="61" t="s">
        <v>586</v>
      </c>
      <c r="E209" s="1" t="s">
        <v>870</v>
      </c>
      <c r="F209" s="62" t="str">
        <f t="shared" si="50"/>
        <v>20125</v>
      </c>
      <c r="G209" s="269">
        <v>10620125</v>
      </c>
      <c r="H209" s="1" t="s">
        <v>381</v>
      </c>
      <c r="I209" s="61">
        <v>5</v>
      </c>
      <c r="J209" s="61">
        <v>8.6</v>
      </c>
      <c r="K209" s="61">
        <v>9</v>
      </c>
      <c r="L209" s="69">
        <f t="shared" si="40"/>
        <v>0.43</v>
      </c>
      <c r="M209" s="69">
        <f t="shared" si="41"/>
        <v>0.45</v>
      </c>
      <c r="N209" s="56">
        <f>INDEX(Rate_Chart!$A$1:$AK$127,MATCH(Data!J209,Rate_Chart!$A$1:$A$127,0),MATCH(Data!K209,Rate_Chart!$A$1:$AK$1,0))</f>
        <v>71.809999999999988</v>
      </c>
      <c r="O209" s="57">
        <f t="shared" si="42"/>
        <v>359.04999999999995</v>
      </c>
      <c r="P209" s="58">
        <f t="shared" si="43"/>
        <v>491.84931506849313</v>
      </c>
      <c r="Q209" s="58">
        <f t="shared" si="44"/>
        <v>327.89954337899542</v>
      </c>
      <c r="R209" s="66">
        <f t="shared" si="51"/>
        <v>6.2833749999999995</v>
      </c>
      <c r="S209" s="64">
        <f t="shared" si="45"/>
        <v>18.75</v>
      </c>
      <c r="T209" s="66">
        <f t="shared" si="46"/>
        <v>384.08337499999993</v>
      </c>
      <c r="U209" s="68">
        <f t="shared" si="47"/>
        <v>76.816674999999989</v>
      </c>
      <c r="V209" s="68">
        <f t="shared" si="48"/>
        <v>526.14160958904108</v>
      </c>
      <c r="W209" s="68">
        <f t="shared" si="49"/>
        <v>350.76107305936074</v>
      </c>
    </row>
    <row r="210" spans="1:23" x14ac:dyDescent="0.25">
      <c r="A210" s="169" t="s">
        <v>944</v>
      </c>
      <c r="B210" s="61" t="s">
        <v>390</v>
      </c>
      <c r="C210" s="61" t="s">
        <v>585</v>
      </c>
      <c r="D210" s="61" t="s">
        <v>586</v>
      </c>
      <c r="E210" s="1" t="s">
        <v>870</v>
      </c>
      <c r="F210" s="62" t="str">
        <f t="shared" si="50"/>
        <v>20125</v>
      </c>
      <c r="G210" s="269">
        <v>10620125</v>
      </c>
      <c r="H210" s="1" t="s">
        <v>382</v>
      </c>
      <c r="I210" s="61">
        <v>24</v>
      </c>
      <c r="J210" s="61">
        <v>3.6</v>
      </c>
      <c r="K210" s="61">
        <v>8.4</v>
      </c>
      <c r="L210" s="69">
        <f t="shared" si="40"/>
        <v>0.8640000000000001</v>
      </c>
      <c r="M210" s="69">
        <f t="shared" si="41"/>
        <v>2.016</v>
      </c>
      <c r="N210" s="56">
        <f>INDEX(Rate_Chart!$A$1:$AK$127,MATCH(Data!J210,Rate_Chart!$A$1:$A$127,0),MATCH(Data!K210,Rate_Chart!$A$1:$AK$1,0))</f>
        <v>38.365167600000007</v>
      </c>
      <c r="O210" s="57">
        <f t="shared" si="42"/>
        <v>920.76402240000016</v>
      </c>
      <c r="P210" s="58">
        <f t="shared" si="43"/>
        <v>417.01269130434792</v>
      </c>
      <c r="Q210" s="58">
        <f t="shared" si="44"/>
        <v>278.00846086956528</v>
      </c>
      <c r="R210" s="66">
        <f t="shared" si="51"/>
        <v>16.113370392000004</v>
      </c>
      <c r="S210" s="64">
        <f t="shared" si="45"/>
        <v>90</v>
      </c>
      <c r="T210" s="66">
        <f t="shared" si="46"/>
        <v>1026.8773927920001</v>
      </c>
      <c r="U210" s="68">
        <f t="shared" si="47"/>
        <v>42.786558033000006</v>
      </c>
      <c r="V210" s="68">
        <f t="shared" si="48"/>
        <v>465.07128296739137</v>
      </c>
      <c r="W210" s="68">
        <f t="shared" si="49"/>
        <v>310.04752197826093</v>
      </c>
    </row>
    <row r="211" spans="1:23" x14ac:dyDescent="0.25">
      <c r="A211" s="169" t="s">
        <v>944</v>
      </c>
      <c r="B211" s="61" t="s">
        <v>391</v>
      </c>
      <c r="C211" s="61" t="s">
        <v>585</v>
      </c>
      <c r="D211" s="61" t="s">
        <v>586</v>
      </c>
      <c r="E211" s="1" t="s">
        <v>870</v>
      </c>
      <c r="F211" s="62" t="str">
        <f t="shared" si="50"/>
        <v>20125</v>
      </c>
      <c r="G211" s="269">
        <v>10620125</v>
      </c>
      <c r="H211" s="1" t="s">
        <v>381</v>
      </c>
      <c r="I211" s="61">
        <v>17</v>
      </c>
      <c r="J211" s="61">
        <v>5.5</v>
      </c>
      <c r="K211" s="61">
        <v>8.8000000000000007</v>
      </c>
      <c r="L211" s="69">
        <f t="shared" si="40"/>
        <v>0.93500000000000005</v>
      </c>
      <c r="M211" s="69">
        <f t="shared" si="41"/>
        <v>1.4960000000000002</v>
      </c>
      <c r="N211" s="56">
        <f>INDEX(Rate_Chart!$A$1:$AK$127,MATCH(Data!J211,Rate_Chart!$A$1:$A$127,0),MATCH(Data!K211,Rate_Chart!$A$1:$AK$1,0))</f>
        <v>46.566181499999999</v>
      </c>
      <c r="O211" s="57">
        <f t="shared" si="42"/>
        <v>791.62508549999995</v>
      </c>
      <c r="P211" s="58">
        <f t="shared" si="43"/>
        <v>409.67315102639293</v>
      </c>
      <c r="Q211" s="58">
        <f t="shared" si="44"/>
        <v>273.11543401759531</v>
      </c>
      <c r="R211" s="66">
        <f t="shared" si="51"/>
        <v>13.85343899625</v>
      </c>
      <c r="S211" s="64">
        <f t="shared" si="45"/>
        <v>63.75</v>
      </c>
      <c r="T211" s="66">
        <f t="shared" si="46"/>
        <v>869.22852449624997</v>
      </c>
      <c r="U211" s="68">
        <f t="shared" si="47"/>
        <v>51.131089676249999</v>
      </c>
      <c r="V211" s="68">
        <f t="shared" si="48"/>
        <v>449.83363351539589</v>
      </c>
      <c r="W211" s="68">
        <f t="shared" si="49"/>
        <v>299.88908901026394</v>
      </c>
    </row>
    <row r="212" spans="1:23" x14ac:dyDescent="0.25">
      <c r="A212" s="169" t="s">
        <v>945</v>
      </c>
      <c r="B212" s="61" t="s">
        <v>390</v>
      </c>
      <c r="C212" s="61" t="s">
        <v>585</v>
      </c>
      <c r="D212" s="61" t="s">
        <v>586</v>
      </c>
      <c r="E212" s="1" t="s">
        <v>870</v>
      </c>
      <c r="F212" s="62" t="str">
        <f t="shared" si="50"/>
        <v>20125</v>
      </c>
      <c r="G212" s="269">
        <v>10620125</v>
      </c>
      <c r="H212" s="1" t="s">
        <v>381</v>
      </c>
      <c r="I212" s="61">
        <v>5</v>
      </c>
      <c r="J212" s="61">
        <v>7</v>
      </c>
      <c r="K212" s="61">
        <v>9</v>
      </c>
      <c r="L212" s="69">
        <f t="shared" si="40"/>
        <v>0.35</v>
      </c>
      <c r="M212" s="69">
        <f t="shared" si="41"/>
        <v>0.45</v>
      </c>
      <c r="N212" s="56">
        <f>INDEX(Rate_Chart!$A$1:$AK$127,MATCH(Data!J212,Rate_Chart!$A$1:$A$127,0),MATCH(Data!K212,Rate_Chart!$A$1:$AK$1,0))</f>
        <v>58.45</v>
      </c>
      <c r="O212" s="57">
        <f t="shared" si="42"/>
        <v>292.25</v>
      </c>
      <c r="P212" s="58">
        <f t="shared" si="43"/>
        <v>449.61538461538464</v>
      </c>
      <c r="Q212" s="58">
        <f t="shared" si="44"/>
        <v>299.74358974358978</v>
      </c>
      <c r="R212" s="66">
        <f t="shared" si="51"/>
        <v>5.1143750000000008</v>
      </c>
      <c r="S212" s="64">
        <f t="shared" si="45"/>
        <v>18.75</v>
      </c>
      <c r="T212" s="66">
        <f t="shared" si="46"/>
        <v>316.114375</v>
      </c>
      <c r="U212" s="68">
        <f t="shared" si="47"/>
        <v>63.222875000000002</v>
      </c>
      <c r="V212" s="68">
        <f t="shared" si="48"/>
        <v>486.32980769230767</v>
      </c>
      <c r="W212" s="68">
        <f t="shared" si="49"/>
        <v>324.21987179487178</v>
      </c>
    </row>
    <row r="213" spans="1:23" x14ac:dyDescent="0.25">
      <c r="A213" s="169" t="s">
        <v>945</v>
      </c>
      <c r="B213" s="61" t="s">
        <v>390</v>
      </c>
      <c r="C213" s="61" t="s">
        <v>585</v>
      </c>
      <c r="D213" s="61" t="s">
        <v>586</v>
      </c>
      <c r="E213" s="1" t="s">
        <v>870</v>
      </c>
      <c r="F213" s="62" t="str">
        <f t="shared" si="50"/>
        <v>20125</v>
      </c>
      <c r="G213" s="269">
        <v>10620125</v>
      </c>
      <c r="H213" s="1" t="s">
        <v>382</v>
      </c>
      <c r="I213" s="61">
        <v>21</v>
      </c>
      <c r="J213" s="61">
        <v>3.6</v>
      </c>
      <c r="K213" s="61">
        <v>8.5</v>
      </c>
      <c r="L213" s="69">
        <f t="shared" si="40"/>
        <v>0.75600000000000012</v>
      </c>
      <c r="M213" s="69">
        <f t="shared" si="41"/>
        <v>1.7849999999999999</v>
      </c>
      <c r="N213" s="56">
        <f>INDEX(Rate_Chart!$A$1:$AK$127,MATCH(Data!J213,Rate_Chart!$A$1:$A$127,0),MATCH(Data!K213,Rate_Chart!$A$1:$AK$1,0))</f>
        <v>38.643181500000004</v>
      </c>
      <c r="O213" s="57">
        <f t="shared" si="42"/>
        <v>811.50681150000014</v>
      </c>
      <c r="P213" s="58">
        <f t="shared" si="43"/>
        <v>417.01274999999998</v>
      </c>
      <c r="Q213" s="58">
        <f t="shared" si="44"/>
        <v>278.00849999999997</v>
      </c>
      <c r="R213" s="66">
        <f t="shared" si="51"/>
        <v>14.201369201250003</v>
      </c>
      <c r="S213" s="64">
        <f t="shared" si="45"/>
        <v>78.75</v>
      </c>
      <c r="T213" s="66">
        <f t="shared" si="46"/>
        <v>904.45818070125017</v>
      </c>
      <c r="U213" s="68">
        <f t="shared" si="47"/>
        <v>43.069437176250005</v>
      </c>
      <c r="V213" s="68">
        <f t="shared" si="48"/>
        <v>464.77809902428061</v>
      </c>
      <c r="W213" s="68">
        <f t="shared" si="49"/>
        <v>309.85206601618705</v>
      </c>
    </row>
    <row r="214" spans="1:23" x14ac:dyDescent="0.25">
      <c r="A214" s="169" t="s">
        <v>945</v>
      </c>
      <c r="B214" s="61" t="s">
        <v>391</v>
      </c>
      <c r="C214" s="61" t="s">
        <v>585</v>
      </c>
      <c r="D214" s="61" t="s">
        <v>586</v>
      </c>
      <c r="E214" s="1" t="s">
        <v>870</v>
      </c>
      <c r="F214" s="62" t="str">
        <f t="shared" si="50"/>
        <v>20125</v>
      </c>
      <c r="G214" s="269">
        <v>10620125</v>
      </c>
      <c r="H214" s="1" t="s">
        <v>381</v>
      </c>
      <c r="I214" s="61">
        <v>7</v>
      </c>
      <c r="J214" s="61">
        <v>7.6</v>
      </c>
      <c r="K214" s="61">
        <v>9</v>
      </c>
      <c r="L214" s="69">
        <f t="shared" si="40"/>
        <v>0.53199999999999992</v>
      </c>
      <c r="M214" s="69">
        <f t="shared" si="41"/>
        <v>0.63</v>
      </c>
      <c r="N214" s="56">
        <f>INDEX(Rate_Chart!$A$1:$AK$127,MATCH(Data!J214,Rate_Chart!$A$1:$A$127,0),MATCH(Data!K214,Rate_Chart!$A$1:$AK$1,0))</f>
        <v>63.46</v>
      </c>
      <c r="O214" s="57">
        <f t="shared" si="42"/>
        <v>444.22</v>
      </c>
      <c r="P214" s="58">
        <f t="shared" si="43"/>
        <v>466.61764705882348</v>
      </c>
      <c r="Q214" s="58">
        <f t="shared" si="44"/>
        <v>311.07843137254901</v>
      </c>
      <c r="R214" s="66">
        <f t="shared" si="51"/>
        <v>7.7738500000000013</v>
      </c>
      <c r="S214" s="64">
        <f t="shared" si="45"/>
        <v>26.25</v>
      </c>
      <c r="T214" s="66">
        <f t="shared" si="46"/>
        <v>478.24385000000001</v>
      </c>
      <c r="U214" s="68">
        <f t="shared" si="47"/>
        <v>68.320549999999997</v>
      </c>
      <c r="V214" s="68">
        <f t="shared" si="48"/>
        <v>502.35698529411758</v>
      </c>
      <c r="W214" s="68">
        <f t="shared" si="49"/>
        <v>334.90465686274507</v>
      </c>
    </row>
    <row r="215" spans="1:23" x14ac:dyDescent="0.25">
      <c r="A215" s="169" t="s">
        <v>945</v>
      </c>
      <c r="B215" s="61" t="s">
        <v>391</v>
      </c>
      <c r="C215" s="61" t="s">
        <v>585</v>
      </c>
      <c r="D215" s="61" t="s">
        <v>586</v>
      </c>
      <c r="E215" s="1" t="s">
        <v>870</v>
      </c>
      <c r="F215" s="62" t="str">
        <f t="shared" si="50"/>
        <v>20125</v>
      </c>
      <c r="G215" s="269">
        <v>10620125</v>
      </c>
      <c r="H215" s="1" t="s">
        <v>382</v>
      </c>
      <c r="I215" s="61">
        <v>25</v>
      </c>
      <c r="J215" s="61">
        <v>4.2</v>
      </c>
      <c r="K215" s="61">
        <v>8.3000000000000007</v>
      </c>
      <c r="L215" s="69">
        <f t="shared" si="40"/>
        <v>1.05</v>
      </c>
      <c r="M215" s="69">
        <f t="shared" si="41"/>
        <v>2.0750000000000002</v>
      </c>
      <c r="N215" s="56">
        <f>INDEX(Rate_Chart!$A$1:$AK$127,MATCH(Data!J215,Rate_Chart!$A$1:$A$127,0),MATCH(Data!K215,Rate_Chart!$A$1:$AK$1,0))</f>
        <v>40.589153700000004</v>
      </c>
      <c r="O215" s="57">
        <f t="shared" si="42"/>
        <v>1014.7288425000002</v>
      </c>
      <c r="P215" s="58">
        <f t="shared" si="43"/>
        <v>417.01185308219181</v>
      </c>
      <c r="Q215" s="58">
        <f t="shared" si="44"/>
        <v>278.00790205479456</v>
      </c>
      <c r="R215" s="66">
        <f t="shared" si="51"/>
        <v>17.757754743750006</v>
      </c>
      <c r="S215" s="64">
        <f t="shared" si="45"/>
        <v>93.75</v>
      </c>
      <c r="T215" s="66">
        <f t="shared" si="46"/>
        <v>1126.2365972437501</v>
      </c>
      <c r="U215" s="68">
        <f t="shared" si="47"/>
        <v>45.049463889750001</v>
      </c>
      <c r="V215" s="68">
        <f t="shared" si="48"/>
        <v>462.83695777140406</v>
      </c>
      <c r="W215" s="68">
        <f t="shared" si="49"/>
        <v>308.55797184760269</v>
      </c>
    </row>
    <row r="216" spans="1:23" x14ac:dyDescent="0.25">
      <c r="A216" s="169" t="s">
        <v>946</v>
      </c>
      <c r="B216" s="61" t="s">
        <v>390</v>
      </c>
      <c r="C216" s="61" t="s">
        <v>585</v>
      </c>
      <c r="D216" s="61" t="s">
        <v>586</v>
      </c>
      <c r="E216" s="1" t="s">
        <v>870</v>
      </c>
      <c r="F216" s="62" t="str">
        <f t="shared" si="50"/>
        <v>20125</v>
      </c>
      <c r="G216" s="269">
        <v>10620125</v>
      </c>
      <c r="H216" s="1" t="s">
        <v>381</v>
      </c>
      <c r="I216" s="61">
        <v>8</v>
      </c>
      <c r="J216" s="61">
        <v>7.9</v>
      </c>
      <c r="K216" s="61">
        <v>9</v>
      </c>
      <c r="L216" s="69">
        <f t="shared" si="40"/>
        <v>0.63200000000000001</v>
      </c>
      <c r="M216" s="69">
        <f t="shared" si="41"/>
        <v>0.72</v>
      </c>
      <c r="N216" s="56">
        <f>INDEX(Rate_Chart!$A$1:$AK$127,MATCH(Data!J216,Rate_Chart!$A$1:$A$127,0),MATCH(Data!K216,Rate_Chart!$A$1:$AK$1,0))</f>
        <v>65.965000000000003</v>
      </c>
      <c r="O216" s="57">
        <f t="shared" si="42"/>
        <v>527.72</v>
      </c>
      <c r="P216" s="58">
        <f t="shared" si="43"/>
        <v>474.56834532374097</v>
      </c>
      <c r="Q216" s="58">
        <f t="shared" si="44"/>
        <v>316.37889688249396</v>
      </c>
      <c r="R216" s="66">
        <f t="shared" si="51"/>
        <v>9.235100000000001</v>
      </c>
      <c r="S216" s="64">
        <f t="shared" si="45"/>
        <v>30</v>
      </c>
      <c r="T216" s="66">
        <f t="shared" si="46"/>
        <v>566.95510000000002</v>
      </c>
      <c r="U216" s="68">
        <f t="shared" si="47"/>
        <v>70.869387500000002</v>
      </c>
      <c r="V216" s="68">
        <f t="shared" si="48"/>
        <v>509.85170863309349</v>
      </c>
      <c r="W216" s="68">
        <f t="shared" si="49"/>
        <v>339.901139088729</v>
      </c>
    </row>
    <row r="217" spans="1:23" x14ac:dyDescent="0.25">
      <c r="A217" s="169" t="s">
        <v>946</v>
      </c>
      <c r="B217" s="61" t="s">
        <v>390</v>
      </c>
      <c r="C217" s="61" t="s">
        <v>585</v>
      </c>
      <c r="D217" s="61" t="s">
        <v>586</v>
      </c>
      <c r="E217" s="1" t="s">
        <v>870</v>
      </c>
      <c r="F217" s="62" t="str">
        <f t="shared" si="50"/>
        <v>20125</v>
      </c>
      <c r="G217" s="269">
        <v>10620125</v>
      </c>
      <c r="H217" s="1" t="s">
        <v>382</v>
      </c>
      <c r="I217" s="61">
        <v>20</v>
      </c>
      <c r="J217" s="61">
        <v>3.7</v>
      </c>
      <c r="K217" s="61">
        <v>8.5</v>
      </c>
      <c r="L217" s="69">
        <f t="shared" si="40"/>
        <v>0.74</v>
      </c>
      <c r="M217" s="69">
        <f t="shared" si="41"/>
        <v>1.7</v>
      </c>
      <c r="N217" s="56">
        <f>INDEX(Rate_Chart!$A$1:$AK$127,MATCH(Data!J217,Rate_Chart!$A$1:$A$127,0),MATCH(Data!K217,Rate_Chart!$A$1:$AK$1,0))</f>
        <v>39.060181500000006</v>
      </c>
      <c r="O217" s="57">
        <f t="shared" si="42"/>
        <v>781.20363000000009</v>
      </c>
      <c r="P217" s="58">
        <f t="shared" si="43"/>
        <v>417.0126138790036</v>
      </c>
      <c r="Q217" s="58">
        <f t="shared" si="44"/>
        <v>278.00840925266908</v>
      </c>
      <c r="R217" s="66">
        <f t="shared" si="51"/>
        <v>13.671063525000003</v>
      </c>
      <c r="S217" s="64">
        <f t="shared" si="45"/>
        <v>75</v>
      </c>
      <c r="T217" s="66">
        <f t="shared" si="46"/>
        <v>869.87469352500011</v>
      </c>
      <c r="U217" s="68">
        <f t="shared" si="47"/>
        <v>43.493734676250007</v>
      </c>
      <c r="V217" s="68">
        <f t="shared" si="48"/>
        <v>464.34592181049823</v>
      </c>
      <c r="W217" s="68">
        <f t="shared" si="49"/>
        <v>309.56394787366548</v>
      </c>
    </row>
    <row r="218" spans="1:23" x14ac:dyDescent="0.25">
      <c r="A218" s="169" t="s">
        <v>946</v>
      </c>
      <c r="B218" s="61" t="s">
        <v>391</v>
      </c>
      <c r="C218" s="61" t="s">
        <v>585</v>
      </c>
      <c r="D218" s="61" t="s">
        <v>586</v>
      </c>
      <c r="E218" s="1" t="s">
        <v>870</v>
      </c>
      <c r="F218" s="62" t="str">
        <f t="shared" si="50"/>
        <v>20125</v>
      </c>
      <c r="G218" s="269">
        <v>10620125</v>
      </c>
      <c r="H218" s="1" t="s">
        <v>381</v>
      </c>
      <c r="I218" s="61">
        <v>9</v>
      </c>
      <c r="J218" s="61">
        <v>6.4</v>
      </c>
      <c r="K218" s="61">
        <v>8.8000000000000007</v>
      </c>
      <c r="L218" s="69">
        <f t="shared" si="40"/>
        <v>0.57600000000000007</v>
      </c>
      <c r="M218" s="69">
        <f t="shared" si="41"/>
        <v>0.79200000000000004</v>
      </c>
      <c r="N218" s="56">
        <f>INDEX(Rate_Chart!$A$1:$AK$127,MATCH(Data!J218,Rate_Chart!$A$1:$A$127,0),MATCH(Data!K218,Rate_Chart!$A$1:$AK$1,0))</f>
        <v>52.9056</v>
      </c>
      <c r="O218" s="57">
        <f t="shared" si="42"/>
        <v>476.15039999999999</v>
      </c>
      <c r="P218" s="58">
        <f t="shared" si="43"/>
        <v>431.29565217391303</v>
      </c>
      <c r="Q218" s="58">
        <f t="shared" si="44"/>
        <v>287.53043478260867</v>
      </c>
      <c r="R218" s="66">
        <f t="shared" si="51"/>
        <v>8.3326320000000003</v>
      </c>
      <c r="S218" s="64">
        <f t="shared" si="45"/>
        <v>33.75</v>
      </c>
      <c r="T218" s="66">
        <f t="shared" si="46"/>
        <v>518.23303199999998</v>
      </c>
      <c r="U218" s="68">
        <f t="shared" si="47"/>
        <v>57.581447999999995</v>
      </c>
      <c r="V218" s="68">
        <f t="shared" si="48"/>
        <v>469.4139782608695</v>
      </c>
      <c r="W218" s="68">
        <f t="shared" si="49"/>
        <v>312.94265217391302</v>
      </c>
    </row>
    <row r="219" spans="1:23" x14ac:dyDescent="0.25">
      <c r="A219" s="169" t="s">
        <v>946</v>
      </c>
      <c r="B219" s="61" t="s">
        <v>391</v>
      </c>
      <c r="C219" s="61" t="s">
        <v>585</v>
      </c>
      <c r="D219" s="61" t="s">
        <v>586</v>
      </c>
      <c r="E219" s="1" t="s">
        <v>870</v>
      </c>
      <c r="F219" s="62" t="str">
        <f t="shared" si="50"/>
        <v>20125</v>
      </c>
      <c r="G219" s="269">
        <v>10620125</v>
      </c>
      <c r="H219" s="1" t="s">
        <v>382</v>
      </c>
      <c r="I219" s="61">
        <v>28</v>
      </c>
      <c r="J219" s="61">
        <v>3.8</v>
      </c>
      <c r="K219" s="61">
        <v>8.1999999999999993</v>
      </c>
      <c r="L219" s="69">
        <f t="shared" si="40"/>
        <v>1.0639999999999998</v>
      </c>
      <c r="M219" s="69">
        <f t="shared" si="41"/>
        <v>2.2959999999999998</v>
      </c>
      <c r="N219" s="56">
        <f>INDEX(Rate_Chart!$A$1:$AK$127,MATCH(Data!J219,Rate_Chart!$A$1:$A$127,0),MATCH(Data!K219,Rate_Chart!$A$1:$AK$1,0))</f>
        <v>38.6431398</v>
      </c>
      <c r="O219" s="57">
        <f t="shared" si="42"/>
        <v>1082.0079144000001</v>
      </c>
      <c r="P219" s="58">
        <f t="shared" si="43"/>
        <v>417.01230000000004</v>
      </c>
      <c r="Q219" s="58">
        <f t="shared" si="44"/>
        <v>278.00820000000004</v>
      </c>
      <c r="R219" s="66">
        <f t="shared" si="51"/>
        <v>18.935138502000004</v>
      </c>
      <c r="S219" s="64">
        <f t="shared" si="45"/>
        <v>105</v>
      </c>
      <c r="T219" s="66">
        <f t="shared" si="46"/>
        <v>1205.9430529020001</v>
      </c>
      <c r="U219" s="68">
        <f t="shared" si="47"/>
        <v>43.069394746500002</v>
      </c>
      <c r="V219" s="68">
        <f t="shared" si="48"/>
        <v>464.77764114928061</v>
      </c>
      <c r="W219" s="68">
        <f t="shared" si="49"/>
        <v>309.85176076618706</v>
      </c>
    </row>
    <row r="220" spans="1:23" x14ac:dyDescent="0.25">
      <c r="A220" s="169" t="s">
        <v>947</v>
      </c>
      <c r="B220" s="61" t="s">
        <v>390</v>
      </c>
      <c r="C220" s="61" t="s">
        <v>585</v>
      </c>
      <c r="D220" s="61" t="s">
        <v>586</v>
      </c>
      <c r="E220" s="1" t="s">
        <v>870</v>
      </c>
      <c r="F220" s="62" t="str">
        <f t="shared" si="50"/>
        <v>20125</v>
      </c>
      <c r="G220" s="269">
        <v>10620125</v>
      </c>
      <c r="H220" s="1" t="s">
        <v>381</v>
      </c>
      <c r="I220" s="61">
        <v>8</v>
      </c>
      <c r="J220" s="61">
        <v>7.7</v>
      </c>
      <c r="K220" s="61">
        <v>9</v>
      </c>
      <c r="L220" s="69">
        <f t="shared" si="40"/>
        <v>0.61599999999999999</v>
      </c>
      <c r="M220" s="69">
        <f t="shared" si="41"/>
        <v>0.72</v>
      </c>
      <c r="N220" s="56">
        <f>INDEX(Rate_Chart!$A$1:$AK$127,MATCH(Data!J220,Rate_Chart!$A$1:$A$127,0),MATCH(Data!K220,Rate_Chart!$A$1:$AK$1,0))</f>
        <v>64.295000000000002</v>
      </c>
      <c r="O220" s="57">
        <f t="shared" si="42"/>
        <v>514.36</v>
      </c>
      <c r="P220" s="58">
        <f t="shared" si="43"/>
        <v>469.30656934306569</v>
      </c>
      <c r="Q220" s="58">
        <f t="shared" si="44"/>
        <v>312.87104622871044</v>
      </c>
      <c r="R220" s="66">
        <f t="shared" si="51"/>
        <v>9.0013000000000005</v>
      </c>
      <c r="S220" s="64">
        <f t="shared" si="45"/>
        <v>30</v>
      </c>
      <c r="T220" s="66">
        <f t="shared" si="46"/>
        <v>553.36130000000003</v>
      </c>
      <c r="U220" s="68">
        <f t="shared" si="47"/>
        <v>69.170162500000004</v>
      </c>
      <c r="V220" s="68">
        <f t="shared" si="48"/>
        <v>504.89169708029198</v>
      </c>
      <c r="W220" s="68">
        <f t="shared" si="49"/>
        <v>336.59446472019465</v>
      </c>
    </row>
    <row r="221" spans="1:23" x14ac:dyDescent="0.25">
      <c r="A221" s="169" t="s">
        <v>947</v>
      </c>
      <c r="B221" s="61" t="s">
        <v>390</v>
      </c>
      <c r="C221" s="61" t="s">
        <v>585</v>
      </c>
      <c r="D221" s="61" t="s">
        <v>586</v>
      </c>
      <c r="E221" s="1" t="s">
        <v>870</v>
      </c>
      <c r="F221" s="62" t="str">
        <f t="shared" si="50"/>
        <v>20125</v>
      </c>
      <c r="G221" s="269">
        <v>10620125</v>
      </c>
      <c r="H221" s="1" t="s">
        <v>382</v>
      </c>
      <c r="I221" s="61">
        <v>26</v>
      </c>
      <c r="J221" s="61">
        <v>3.2</v>
      </c>
      <c r="K221" s="61">
        <v>8.1</v>
      </c>
      <c r="L221" s="69">
        <f t="shared" si="40"/>
        <v>0.83200000000000007</v>
      </c>
      <c r="M221" s="69">
        <f t="shared" si="41"/>
        <v>2.1059999999999999</v>
      </c>
      <c r="N221" s="56">
        <f>INDEX(Rate_Chart!$A$1:$AK$127,MATCH(Data!J221,Rate_Chart!$A$1:$A$127,0),MATCH(Data!K221,Rate_Chart!$A$1:$AK$1,0))</f>
        <v>35.8631259</v>
      </c>
      <c r="O221" s="57">
        <f t="shared" si="42"/>
        <v>932.4412734</v>
      </c>
      <c r="P221" s="58">
        <f t="shared" si="43"/>
        <v>417.01309186046512</v>
      </c>
      <c r="Q221" s="58">
        <f t="shared" si="44"/>
        <v>278.00872790697673</v>
      </c>
      <c r="R221" s="66">
        <f t="shared" si="51"/>
        <v>16.3177222845</v>
      </c>
      <c r="S221" s="64">
        <f t="shared" si="45"/>
        <v>97.5</v>
      </c>
      <c r="T221" s="66">
        <f t="shared" si="46"/>
        <v>1046.2589956845</v>
      </c>
      <c r="U221" s="68">
        <f t="shared" si="47"/>
        <v>40.24073060325</v>
      </c>
      <c r="V221" s="68">
        <f t="shared" si="48"/>
        <v>467.91547213081401</v>
      </c>
      <c r="W221" s="68">
        <f t="shared" si="49"/>
        <v>311.94364808720934</v>
      </c>
    </row>
    <row r="222" spans="1:23" x14ac:dyDescent="0.25">
      <c r="A222" s="169" t="s">
        <v>947</v>
      </c>
      <c r="B222" s="61" t="s">
        <v>391</v>
      </c>
      <c r="C222" s="61" t="s">
        <v>585</v>
      </c>
      <c r="D222" s="61" t="s">
        <v>586</v>
      </c>
      <c r="E222" s="1" t="s">
        <v>870</v>
      </c>
      <c r="F222" s="62" t="str">
        <f t="shared" si="50"/>
        <v>20125</v>
      </c>
      <c r="G222" s="269">
        <v>10620125</v>
      </c>
      <c r="H222" s="1" t="s">
        <v>381</v>
      </c>
      <c r="I222" s="61">
        <v>6</v>
      </c>
      <c r="J222" s="61">
        <v>7.6</v>
      </c>
      <c r="K222" s="61">
        <v>9</v>
      </c>
      <c r="L222" s="69">
        <f t="shared" si="40"/>
        <v>0.45599999999999996</v>
      </c>
      <c r="M222" s="69">
        <f t="shared" si="41"/>
        <v>0.54</v>
      </c>
      <c r="N222" s="56">
        <f>INDEX(Rate_Chart!$A$1:$AK$127,MATCH(Data!J222,Rate_Chart!$A$1:$A$127,0),MATCH(Data!K222,Rate_Chart!$A$1:$AK$1,0))</f>
        <v>63.46</v>
      </c>
      <c r="O222" s="57">
        <f t="shared" si="42"/>
        <v>380.76</v>
      </c>
      <c r="P222" s="58">
        <f t="shared" si="43"/>
        <v>466.61764705882348</v>
      </c>
      <c r="Q222" s="58">
        <f t="shared" si="44"/>
        <v>311.07843137254901</v>
      </c>
      <c r="R222" s="66">
        <f t="shared" si="51"/>
        <v>6.6633000000000004</v>
      </c>
      <c r="S222" s="64">
        <f t="shared" si="45"/>
        <v>22.5</v>
      </c>
      <c r="T222" s="66">
        <f t="shared" si="46"/>
        <v>409.92329999999998</v>
      </c>
      <c r="U222" s="68">
        <f t="shared" si="47"/>
        <v>68.320549999999997</v>
      </c>
      <c r="V222" s="68">
        <f t="shared" si="48"/>
        <v>502.35698529411758</v>
      </c>
      <c r="W222" s="68">
        <f t="shared" si="49"/>
        <v>334.90465686274507</v>
      </c>
    </row>
    <row r="223" spans="1:23" x14ac:dyDescent="0.25">
      <c r="A223" s="169" t="s">
        <v>947</v>
      </c>
      <c r="B223" s="61" t="s">
        <v>391</v>
      </c>
      <c r="C223" s="61" t="s">
        <v>585</v>
      </c>
      <c r="D223" s="61" t="s">
        <v>586</v>
      </c>
      <c r="E223" s="1" t="s">
        <v>870</v>
      </c>
      <c r="F223" s="62" t="str">
        <f t="shared" si="50"/>
        <v>20125</v>
      </c>
      <c r="G223" s="269">
        <v>10620125</v>
      </c>
      <c r="H223" s="1" t="s">
        <v>382</v>
      </c>
      <c r="I223" s="61">
        <v>22</v>
      </c>
      <c r="J223" s="61">
        <v>4.3</v>
      </c>
      <c r="K223" s="61">
        <v>8.1999999999999993</v>
      </c>
      <c r="L223" s="69">
        <f t="shared" si="40"/>
        <v>0.94599999999999995</v>
      </c>
      <c r="M223" s="69">
        <f t="shared" si="41"/>
        <v>1.8039999999999998</v>
      </c>
      <c r="N223" s="56">
        <f>INDEX(Rate_Chart!$A$1:$AK$127,MATCH(Data!J223,Rate_Chart!$A$1:$A$127,0),MATCH(Data!K223,Rate_Chart!$A$1:$AK$1,0))</f>
        <v>40.728139799999994</v>
      </c>
      <c r="O223" s="57">
        <f t="shared" si="42"/>
        <v>896.01907559999984</v>
      </c>
      <c r="P223" s="58">
        <f t="shared" si="43"/>
        <v>417.01167030716726</v>
      </c>
      <c r="Q223" s="58">
        <f t="shared" si="44"/>
        <v>278.00778020477816</v>
      </c>
      <c r="R223" s="66">
        <f t="shared" si="51"/>
        <v>15.680333822999998</v>
      </c>
      <c r="S223" s="64">
        <f t="shared" si="45"/>
        <v>82.5</v>
      </c>
      <c r="T223" s="66">
        <f t="shared" si="46"/>
        <v>994.19940942299979</v>
      </c>
      <c r="U223" s="68">
        <f t="shared" si="47"/>
        <v>45.190882246499989</v>
      </c>
      <c r="V223" s="68">
        <f t="shared" si="48"/>
        <v>462.70527897440269</v>
      </c>
      <c r="W223" s="68">
        <f t="shared" si="49"/>
        <v>308.47018598293511</v>
      </c>
    </row>
    <row r="224" spans="1:23" x14ac:dyDescent="0.25">
      <c r="A224" s="169" t="s">
        <v>941</v>
      </c>
      <c r="B224" s="61" t="s">
        <v>390</v>
      </c>
      <c r="C224" s="61" t="s">
        <v>585</v>
      </c>
      <c r="D224" s="61" t="s">
        <v>586</v>
      </c>
      <c r="E224" s="1" t="s">
        <v>880</v>
      </c>
      <c r="F224" s="62" t="str">
        <f t="shared" si="50"/>
        <v>20126</v>
      </c>
      <c r="G224" s="269">
        <v>10620126</v>
      </c>
      <c r="H224" s="1" t="s">
        <v>382</v>
      </c>
      <c r="I224" s="61">
        <v>19</v>
      </c>
      <c r="J224" s="61">
        <v>3.4</v>
      </c>
      <c r="K224" s="61">
        <v>8.5</v>
      </c>
      <c r="L224" s="69">
        <f t="shared" si="40"/>
        <v>0.64599999999999991</v>
      </c>
      <c r="M224" s="69">
        <f t="shared" si="41"/>
        <v>1.615</v>
      </c>
      <c r="N224" s="56">
        <f>INDEX(Rate_Chart!$A$1:$AK$127,MATCH(Data!J224,Rate_Chart!$A$1:$A$127,0),MATCH(Data!K224,Rate_Chart!$A$1:$AK$1,0))</f>
        <v>37.809181500000008</v>
      </c>
      <c r="O224" s="57">
        <f t="shared" si="42"/>
        <v>718.3744485000002</v>
      </c>
      <c r="P224" s="58">
        <f t="shared" si="43"/>
        <v>417.01303125000004</v>
      </c>
      <c r="Q224" s="58">
        <f t="shared" si="44"/>
        <v>278.00868750000001</v>
      </c>
      <c r="R224" s="66">
        <f t="shared" si="51"/>
        <v>12.571552848750004</v>
      </c>
      <c r="S224" s="64">
        <f t="shared" si="45"/>
        <v>71.25</v>
      </c>
      <c r="T224" s="66">
        <f t="shared" si="46"/>
        <v>802.1960013487502</v>
      </c>
      <c r="U224" s="68">
        <f t="shared" si="47"/>
        <v>42.220842176250009</v>
      </c>
      <c r="V224" s="68">
        <f t="shared" si="48"/>
        <v>465.67105341452213</v>
      </c>
      <c r="W224" s="68">
        <f t="shared" si="49"/>
        <v>310.44736894301474</v>
      </c>
    </row>
    <row r="225" spans="1:23" x14ac:dyDescent="0.25">
      <c r="A225" s="169" t="s">
        <v>941</v>
      </c>
      <c r="B225" s="61" t="s">
        <v>391</v>
      </c>
      <c r="C225" s="61" t="s">
        <v>585</v>
      </c>
      <c r="D225" s="61" t="s">
        <v>586</v>
      </c>
      <c r="E225" s="1" t="s">
        <v>880</v>
      </c>
      <c r="F225" s="62" t="str">
        <f t="shared" si="50"/>
        <v>20126</v>
      </c>
      <c r="G225" s="269">
        <v>10620126</v>
      </c>
      <c r="H225" s="1" t="s">
        <v>382</v>
      </c>
      <c r="I225" s="61">
        <v>22</v>
      </c>
      <c r="J225" s="61">
        <v>3.4</v>
      </c>
      <c r="K225" s="61">
        <v>8.5</v>
      </c>
      <c r="L225" s="69">
        <f t="shared" ref="L225:L287" si="52">J225*I225/100</f>
        <v>0.748</v>
      </c>
      <c r="M225" s="69">
        <f t="shared" ref="M225:M287" si="53">K225*I225/100</f>
        <v>1.87</v>
      </c>
      <c r="N225" s="56">
        <f>INDEX(Rate_Chart!$A$1:$AK$127,MATCH(Data!J225,Rate_Chart!$A$1:$A$127,0),MATCH(Data!K225,Rate_Chart!$A$1:$AK$1,0))</f>
        <v>37.809181500000008</v>
      </c>
      <c r="O225" s="57">
        <f t="shared" ref="O225:O287" si="54">N225*I225</f>
        <v>831.80199300000015</v>
      </c>
      <c r="P225" s="58">
        <f t="shared" ref="P225:P287" si="55">N225/(J225%+K225%*2/3)</f>
        <v>417.01303125000004</v>
      </c>
      <c r="Q225" s="58">
        <f t="shared" ref="Q225:Q287" si="56">P225*2/3</f>
        <v>278.00868750000001</v>
      </c>
      <c r="R225" s="66">
        <f t="shared" si="51"/>
        <v>14.556534877500004</v>
      </c>
      <c r="S225" s="64">
        <f t="shared" ref="S225:S287" si="57">I225*3.75</f>
        <v>82.5</v>
      </c>
      <c r="T225" s="66">
        <f t="shared" ref="T225:T287" si="58">R225+S225+O225</f>
        <v>928.85852787750014</v>
      </c>
      <c r="U225" s="68">
        <f t="shared" ref="U225:U287" si="59">T225/I225</f>
        <v>42.220842176250009</v>
      </c>
      <c r="V225" s="68">
        <f t="shared" ref="V225:V287" si="60">U225/(J225%+K225%*2/3)</f>
        <v>465.67105341452213</v>
      </c>
      <c r="W225" s="68">
        <f t="shared" ref="W225:W287" si="61">V225*2/3</f>
        <v>310.44736894301474</v>
      </c>
    </row>
    <row r="226" spans="1:23" x14ac:dyDescent="0.25">
      <c r="A226" s="169" t="s">
        <v>942</v>
      </c>
      <c r="B226" s="61" t="s">
        <v>390</v>
      </c>
      <c r="C226" s="61" t="s">
        <v>585</v>
      </c>
      <c r="D226" s="61" t="s">
        <v>586</v>
      </c>
      <c r="E226" s="1" t="s">
        <v>880</v>
      </c>
      <c r="F226" s="62" t="str">
        <f t="shared" si="50"/>
        <v>20126</v>
      </c>
      <c r="G226" s="269">
        <v>10620126</v>
      </c>
      <c r="H226" s="1" t="s">
        <v>382</v>
      </c>
      <c r="I226" s="61">
        <v>20</v>
      </c>
      <c r="J226" s="61">
        <v>3.7</v>
      </c>
      <c r="K226" s="61">
        <v>8.5</v>
      </c>
      <c r="L226" s="69">
        <f t="shared" si="52"/>
        <v>0.74</v>
      </c>
      <c r="M226" s="69">
        <f t="shared" si="53"/>
        <v>1.7</v>
      </c>
      <c r="N226" s="56">
        <f>INDEX(Rate_Chart!$A$1:$AK$127,MATCH(Data!J226,Rate_Chart!$A$1:$A$127,0),MATCH(Data!K226,Rate_Chart!$A$1:$AK$1,0))</f>
        <v>39.060181500000006</v>
      </c>
      <c r="O226" s="57">
        <f t="shared" si="54"/>
        <v>781.20363000000009</v>
      </c>
      <c r="P226" s="58">
        <f t="shared" si="55"/>
        <v>417.0126138790036</v>
      </c>
      <c r="Q226" s="58">
        <f t="shared" si="56"/>
        <v>278.00840925266908</v>
      </c>
      <c r="R226" s="66">
        <f t="shared" si="51"/>
        <v>13.671063525000003</v>
      </c>
      <c r="S226" s="64">
        <f t="shared" si="57"/>
        <v>75</v>
      </c>
      <c r="T226" s="66">
        <f t="shared" si="58"/>
        <v>869.87469352500011</v>
      </c>
      <c r="U226" s="68">
        <f t="shared" si="59"/>
        <v>43.493734676250007</v>
      </c>
      <c r="V226" s="68">
        <f t="shared" si="60"/>
        <v>464.34592181049823</v>
      </c>
      <c r="W226" s="68">
        <f t="shared" si="61"/>
        <v>309.56394787366548</v>
      </c>
    </row>
    <row r="227" spans="1:23" x14ac:dyDescent="0.25">
      <c r="A227" s="169" t="s">
        <v>942</v>
      </c>
      <c r="B227" s="61" t="s">
        <v>391</v>
      </c>
      <c r="C227" s="61" t="s">
        <v>585</v>
      </c>
      <c r="D227" s="61" t="s">
        <v>586</v>
      </c>
      <c r="E227" s="1" t="s">
        <v>880</v>
      </c>
      <c r="F227" s="62" t="str">
        <f t="shared" si="50"/>
        <v>20126</v>
      </c>
      <c r="G227" s="269">
        <v>10620126</v>
      </c>
      <c r="H227" s="1" t="s">
        <v>382</v>
      </c>
      <c r="I227" s="61">
        <v>22</v>
      </c>
      <c r="J227" s="61">
        <v>3.8</v>
      </c>
      <c r="K227" s="61">
        <v>8.5</v>
      </c>
      <c r="L227" s="69">
        <f t="shared" si="52"/>
        <v>0.83599999999999997</v>
      </c>
      <c r="M227" s="69">
        <f t="shared" si="53"/>
        <v>1.87</v>
      </c>
      <c r="N227" s="56">
        <f>INDEX(Rate_Chart!$A$1:$AK$127,MATCH(Data!J227,Rate_Chart!$A$1:$A$127,0),MATCH(Data!K227,Rate_Chart!$A$1:$AK$1,0))</f>
        <v>39.4771815</v>
      </c>
      <c r="O227" s="57">
        <f t="shared" si="54"/>
        <v>868.49799299999995</v>
      </c>
      <c r="P227" s="58">
        <f t="shared" si="55"/>
        <v>417.0124806338028</v>
      </c>
      <c r="Q227" s="58">
        <f t="shared" si="56"/>
        <v>278.00832042253518</v>
      </c>
      <c r="R227" s="66">
        <f t="shared" si="51"/>
        <v>15.1987148775</v>
      </c>
      <c r="S227" s="64">
        <f t="shared" si="57"/>
        <v>82.5</v>
      </c>
      <c r="T227" s="66">
        <f t="shared" si="58"/>
        <v>966.19670787749999</v>
      </c>
      <c r="U227" s="68">
        <f t="shared" si="59"/>
        <v>43.918032176250001</v>
      </c>
      <c r="V227" s="68">
        <f t="shared" si="60"/>
        <v>463.92287510123236</v>
      </c>
      <c r="W227" s="68">
        <f t="shared" si="61"/>
        <v>309.28191673415489</v>
      </c>
    </row>
    <row r="228" spans="1:23" x14ac:dyDescent="0.25">
      <c r="A228" s="169" t="s">
        <v>943</v>
      </c>
      <c r="B228" s="61" t="s">
        <v>390</v>
      </c>
      <c r="C228" s="61" t="s">
        <v>585</v>
      </c>
      <c r="D228" s="61" t="s">
        <v>586</v>
      </c>
      <c r="E228" s="1" t="s">
        <v>880</v>
      </c>
      <c r="F228" s="62" t="str">
        <f t="shared" si="50"/>
        <v>20126</v>
      </c>
      <c r="G228" s="269">
        <v>10620126</v>
      </c>
      <c r="H228" s="1" t="s">
        <v>382</v>
      </c>
      <c r="I228" s="61">
        <v>20</v>
      </c>
      <c r="J228" s="61">
        <v>3.5</v>
      </c>
      <c r="K228" s="61">
        <v>8.4</v>
      </c>
      <c r="L228" s="69">
        <f t="shared" si="52"/>
        <v>0.7</v>
      </c>
      <c r="M228" s="69">
        <f t="shared" si="53"/>
        <v>1.68</v>
      </c>
      <c r="N228" s="56">
        <f>INDEX(Rate_Chart!$A$1:$AK$127,MATCH(Data!J228,Rate_Chart!$A$1:$A$127,0),MATCH(Data!K228,Rate_Chart!$A$1:$AK$1,0))</f>
        <v>37.948167600000005</v>
      </c>
      <c r="O228" s="57">
        <f t="shared" si="54"/>
        <v>758.9633520000001</v>
      </c>
      <c r="P228" s="58">
        <f t="shared" si="55"/>
        <v>417.01283076923085</v>
      </c>
      <c r="Q228" s="58">
        <f t="shared" si="56"/>
        <v>278.00855384615392</v>
      </c>
      <c r="R228" s="66">
        <f t="shared" si="51"/>
        <v>13.281858660000003</v>
      </c>
      <c r="S228" s="64">
        <f t="shared" si="57"/>
        <v>75</v>
      </c>
      <c r="T228" s="66">
        <f t="shared" si="58"/>
        <v>847.24521066000011</v>
      </c>
      <c r="U228" s="68">
        <f t="shared" si="59"/>
        <v>42.362260533000004</v>
      </c>
      <c r="V228" s="68">
        <f t="shared" si="60"/>
        <v>465.51934651648355</v>
      </c>
      <c r="W228" s="68">
        <f t="shared" si="61"/>
        <v>310.34623101098902</v>
      </c>
    </row>
    <row r="229" spans="1:23" x14ac:dyDescent="0.25">
      <c r="A229" s="169" t="s">
        <v>943</v>
      </c>
      <c r="B229" s="61" t="s">
        <v>391</v>
      </c>
      <c r="C229" s="61" t="s">
        <v>585</v>
      </c>
      <c r="D229" s="61" t="s">
        <v>586</v>
      </c>
      <c r="E229" s="1" t="s">
        <v>880</v>
      </c>
      <c r="F229" s="62" t="str">
        <f t="shared" si="50"/>
        <v>20126</v>
      </c>
      <c r="G229" s="269">
        <v>10620126</v>
      </c>
      <c r="H229" s="1" t="s">
        <v>382</v>
      </c>
      <c r="I229" s="61">
        <v>19</v>
      </c>
      <c r="J229" s="61">
        <v>3.3</v>
      </c>
      <c r="K229" s="61">
        <v>8.4</v>
      </c>
      <c r="L229" s="69">
        <f t="shared" si="52"/>
        <v>0.627</v>
      </c>
      <c r="M229" s="69">
        <f t="shared" si="53"/>
        <v>1.5959999999999999</v>
      </c>
      <c r="N229" s="56">
        <f>INDEX(Rate_Chart!$A$1:$AK$127,MATCH(Data!J229,Rate_Chart!$A$1:$A$127,0),MATCH(Data!K229,Rate_Chart!$A$1:$AK$1,0))</f>
        <v>37.114167600000009</v>
      </c>
      <c r="O229" s="57">
        <f t="shared" si="54"/>
        <v>705.16918440000018</v>
      </c>
      <c r="P229" s="58">
        <f t="shared" si="55"/>
        <v>417.01311910112372</v>
      </c>
      <c r="Q229" s="58">
        <f t="shared" si="56"/>
        <v>278.00874606741581</v>
      </c>
      <c r="R229" s="66">
        <f t="shared" si="51"/>
        <v>12.340460727000004</v>
      </c>
      <c r="S229" s="64">
        <f t="shared" si="57"/>
        <v>71.25</v>
      </c>
      <c r="T229" s="66">
        <f t="shared" si="58"/>
        <v>788.75964512700023</v>
      </c>
      <c r="U229" s="68">
        <f t="shared" si="59"/>
        <v>41.513665533000015</v>
      </c>
      <c r="V229" s="68">
        <f t="shared" si="60"/>
        <v>466.44568014606762</v>
      </c>
      <c r="W229" s="68">
        <f t="shared" si="61"/>
        <v>310.9637867640451</v>
      </c>
    </row>
    <row r="230" spans="1:23" x14ac:dyDescent="0.25">
      <c r="A230" s="169" t="s">
        <v>944</v>
      </c>
      <c r="B230" s="61" t="s">
        <v>390</v>
      </c>
      <c r="C230" s="61" t="s">
        <v>585</v>
      </c>
      <c r="D230" s="61" t="s">
        <v>586</v>
      </c>
      <c r="E230" s="1" t="s">
        <v>880</v>
      </c>
      <c r="F230" s="62" t="str">
        <f t="shared" si="50"/>
        <v>20126</v>
      </c>
      <c r="G230" s="269">
        <v>10620126</v>
      </c>
      <c r="H230" s="1" t="s">
        <v>382</v>
      </c>
      <c r="I230" s="61">
        <v>20</v>
      </c>
      <c r="J230" s="61">
        <v>3.2</v>
      </c>
      <c r="K230" s="61">
        <v>8.4</v>
      </c>
      <c r="L230" s="69">
        <f t="shared" si="52"/>
        <v>0.64</v>
      </c>
      <c r="M230" s="69">
        <f t="shared" si="53"/>
        <v>1.68</v>
      </c>
      <c r="N230" s="56">
        <f>INDEX(Rate_Chart!$A$1:$AK$127,MATCH(Data!J230,Rate_Chart!$A$1:$A$127,0),MATCH(Data!K230,Rate_Chart!$A$1:$AK$1,0))</f>
        <v>36.697167600000007</v>
      </c>
      <c r="O230" s="57">
        <f t="shared" si="54"/>
        <v>733.94335200000012</v>
      </c>
      <c r="P230" s="58">
        <f t="shared" si="55"/>
        <v>417.01326818181826</v>
      </c>
      <c r="Q230" s="58">
        <f t="shared" si="56"/>
        <v>278.00884545454551</v>
      </c>
      <c r="R230" s="66">
        <f t="shared" si="51"/>
        <v>12.844008660000004</v>
      </c>
      <c r="S230" s="64">
        <f t="shared" si="57"/>
        <v>75</v>
      </c>
      <c r="T230" s="66">
        <f t="shared" si="58"/>
        <v>821.7873606600001</v>
      </c>
      <c r="U230" s="68">
        <f t="shared" si="59"/>
        <v>41.089368033000007</v>
      </c>
      <c r="V230" s="68">
        <f t="shared" si="60"/>
        <v>466.92463673863648</v>
      </c>
      <c r="W230" s="68">
        <f t="shared" si="61"/>
        <v>311.28309115909099</v>
      </c>
    </row>
    <row r="231" spans="1:23" x14ac:dyDescent="0.25">
      <c r="A231" s="169" t="s">
        <v>944</v>
      </c>
      <c r="B231" s="61" t="s">
        <v>391</v>
      </c>
      <c r="C231" s="61" t="s">
        <v>585</v>
      </c>
      <c r="D231" s="61" t="s">
        <v>586</v>
      </c>
      <c r="E231" s="1" t="s">
        <v>880</v>
      </c>
      <c r="F231" s="62" t="str">
        <f t="shared" si="50"/>
        <v>20126</v>
      </c>
      <c r="G231" s="269">
        <v>10620126</v>
      </c>
      <c r="H231" s="1" t="s">
        <v>382</v>
      </c>
      <c r="I231" s="61">
        <v>20</v>
      </c>
      <c r="J231" s="61">
        <v>4</v>
      </c>
      <c r="K231" s="61">
        <v>8.5</v>
      </c>
      <c r="L231" s="69">
        <f t="shared" si="52"/>
        <v>0.8</v>
      </c>
      <c r="M231" s="69">
        <f t="shared" si="53"/>
        <v>1.7</v>
      </c>
      <c r="N231" s="56">
        <f>INDEX(Rate_Chart!$A$1:$AK$127,MATCH(Data!J231,Rate_Chart!$A$1:$A$127,0),MATCH(Data!K231,Rate_Chart!$A$1:$AK$1,0))</f>
        <v>40.311181500000004</v>
      </c>
      <c r="O231" s="57">
        <f t="shared" si="54"/>
        <v>806.22363000000007</v>
      </c>
      <c r="P231" s="58">
        <f t="shared" si="55"/>
        <v>417.0122224137931</v>
      </c>
      <c r="Q231" s="58">
        <f t="shared" si="56"/>
        <v>278.00814827586208</v>
      </c>
      <c r="R231" s="66">
        <f t="shared" si="51"/>
        <v>14.108913525000002</v>
      </c>
      <c r="S231" s="64">
        <f t="shared" si="57"/>
        <v>75</v>
      </c>
      <c r="T231" s="66">
        <f t="shared" si="58"/>
        <v>895.33254352500012</v>
      </c>
      <c r="U231" s="68">
        <f t="shared" si="59"/>
        <v>44.766627176250005</v>
      </c>
      <c r="V231" s="68">
        <f t="shared" si="60"/>
        <v>463.10303975431032</v>
      </c>
      <c r="W231" s="68">
        <f t="shared" si="61"/>
        <v>308.7353598362069</v>
      </c>
    </row>
    <row r="232" spans="1:23" x14ac:dyDescent="0.25">
      <c r="A232" s="169" t="s">
        <v>945</v>
      </c>
      <c r="B232" s="61" t="s">
        <v>390</v>
      </c>
      <c r="C232" s="61" t="s">
        <v>585</v>
      </c>
      <c r="D232" s="61" t="s">
        <v>586</v>
      </c>
      <c r="E232" s="1" t="s">
        <v>880</v>
      </c>
      <c r="F232" s="62" t="str">
        <f t="shared" si="50"/>
        <v>20126</v>
      </c>
      <c r="G232" s="269">
        <v>10620126</v>
      </c>
      <c r="H232" s="1" t="s">
        <v>382</v>
      </c>
      <c r="I232" s="61">
        <v>16</v>
      </c>
      <c r="J232" s="61">
        <v>3</v>
      </c>
      <c r="K232" s="61">
        <v>8.4</v>
      </c>
      <c r="L232" s="69">
        <f t="shared" si="52"/>
        <v>0.48</v>
      </c>
      <c r="M232" s="69">
        <f t="shared" si="53"/>
        <v>1.3440000000000001</v>
      </c>
      <c r="N232" s="56">
        <f>INDEX(Rate_Chart!$A$1:$AK$127,MATCH(Data!J232,Rate_Chart!$A$1:$A$127,0),MATCH(Data!K232,Rate_Chart!$A$1:$AK$1,0))</f>
        <v>35.863167600000004</v>
      </c>
      <c r="O232" s="57">
        <f t="shared" si="54"/>
        <v>573.81068160000007</v>
      </c>
      <c r="P232" s="58">
        <f t="shared" si="55"/>
        <v>417.01357674418614</v>
      </c>
      <c r="Q232" s="58">
        <f t="shared" si="56"/>
        <v>278.00905116279074</v>
      </c>
      <c r="R232" s="66">
        <f t="shared" si="51"/>
        <v>10.041686928000003</v>
      </c>
      <c r="S232" s="64">
        <f t="shared" si="57"/>
        <v>60</v>
      </c>
      <c r="T232" s="66">
        <f t="shared" si="58"/>
        <v>643.85236852800006</v>
      </c>
      <c r="U232" s="68">
        <f t="shared" si="59"/>
        <v>40.240773033000004</v>
      </c>
      <c r="V232" s="68">
        <f t="shared" si="60"/>
        <v>467.91596550000008</v>
      </c>
      <c r="W232" s="68">
        <f t="shared" si="61"/>
        <v>311.94397700000007</v>
      </c>
    </row>
    <row r="233" spans="1:23" x14ac:dyDescent="0.25">
      <c r="A233" s="169" t="s">
        <v>945</v>
      </c>
      <c r="B233" s="61" t="s">
        <v>391</v>
      </c>
      <c r="C233" s="61" t="s">
        <v>585</v>
      </c>
      <c r="D233" s="61" t="s">
        <v>586</v>
      </c>
      <c r="E233" s="1" t="s">
        <v>880</v>
      </c>
      <c r="F233" s="62" t="str">
        <f t="shared" si="50"/>
        <v>20126</v>
      </c>
      <c r="G233" s="269">
        <v>10620126</v>
      </c>
      <c r="H233" s="1" t="s">
        <v>382</v>
      </c>
      <c r="I233" s="61">
        <v>23</v>
      </c>
      <c r="J233" s="61">
        <v>3.8</v>
      </c>
      <c r="K233" s="61">
        <v>8.4</v>
      </c>
      <c r="L233" s="69">
        <f t="shared" si="52"/>
        <v>0.87399999999999989</v>
      </c>
      <c r="M233" s="69">
        <f t="shared" si="53"/>
        <v>1.9320000000000002</v>
      </c>
      <c r="N233" s="56">
        <f>INDEX(Rate_Chart!$A$1:$AK$127,MATCH(Data!J233,Rate_Chart!$A$1:$A$127,0),MATCH(Data!K233,Rate_Chart!$A$1:$AK$1,0))</f>
        <v>39.19916760000001</v>
      </c>
      <c r="O233" s="57">
        <f t="shared" si="54"/>
        <v>901.58085480000022</v>
      </c>
      <c r="P233" s="58">
        <f t="shared" si="55"/>
        <v>417.01242127659583</v>
      </c>
      <c r="Q233" s="58">
        <f t="shared" si="56"/>
        <v>278.00828085106389</v>
      </c>
      <c r="R233" s="66">
        <f t="shared" si="51"/>
        <v>15.777664959000006</v>
      </c>
      <c r="S233" s="64">
        <f t="shared" si="57"/>
        <v>86.25</v>
      </c>
      <c r="T233" s="66">
        <f t="shared" si="58"/>
        <v>1003.6085197590003</v>
      </c>
      <c r="U233" s="68">
        <f t="shared" si="59"/>
        <v>43.635153033000009</v>
      </c>
      <c r="V233" s="68">
        <f t="shared" si="60"/>
        <v>464.20375567021284</v>
      </c>
      <c r="W233" s="68">
        <f t="shared" si="61"/>
        <v>309.46917044680856</v>
      </c>
    </row>
    <row r="234" spans="1:23" x14ac:dyDescent="0.25">
      <c r="A234" s="169" t="s">
        <v>946</v>
      </c>
      <c r="B234" s="61" t="s">
        <v>390</v>
      </c>
      <c r="C234" s="61" t="s">
        <v>585</v>
      </c>
      <c r="D234" s="61" t="s">
        <v>586</v>
      </c>
      <c r="E234" s="1" t="s">
        <v>880</v>
      </c>
      <c r="F234" s="62" t="str">
        <f t="shared" si="50"/>
        <v>20126</v>
      </c>
      <c r="G234" s="269">
        <v>10620126</v>
      </c>
      <c r="H234" s="1" t="s">
        <v>382</v>
      </c>
      <c r="I234" s="61">
        <v>16</v>
      </c>
      <c r="J234" s="61">
        <v>3.1</v>
      </c>
      <c r="K234" s="61">
        <v>8.4</v>
      </c>
      <c r="L234" s="69">
        <f t="shared" si="52"/>
        <v>0.496</v>
      </c>
      <c r="M234" s="69">
        <f t="shared" si="53"/>
        <v>1.3440000000000001</v>
      </c>
      <c r="N234" s="56">
        <f>INDEX(Rate_Chart!$A$1:$AK$127,MATCH(Data!J234,Rate_Chart!$A$1:$A$127,0),MATCH(Data!K234,Rate_Chart!$A$1:$AK$1,0))</f>
        <v>36.280167600000006</v>
      </c>
      <c r="O234" s="57">
        <f t="shared" si="54"/>
        <v>580.48268160000009</v>
      </c>
      <c r="P234" s="58">
        <f t="shared" si="55"/>
        <v>417.01342068965528</v>
      </c>
      <c r="Q234" s="58">
        <f t="shared" si="56"/>
        <v>278.00894712643685</v>
      </c>
      <c r="R234" s="66">
        <f t="shared" si="51"/>
        <v>10.158446928000002</v>
      </c>
      <c r="S234" s="64">
        <f t="shared" si="57"/>
        <v>60</v>
      </c>
      <c r="T234" s="66">
        <f t="shared" si="58"/>
        <v>650.64112852800008</v>
      </c>
      <c r="U234" s="68">
        <f t="shared" si="59"/>
        <v>40.665070533000005</v>
      </c>
      <c r="V234" s="68">
        <f t="shared" si="60"/>
        <v>467.41460382758629</v>
      </c>
      <c r="W234" s="68">
        <f t="shared" si="61"/>
        <v>311.60973588505755</v>
      </c>
    </row>
    <row r="235" spans="1:23" x14ac:dyDescent="0.25">
      <c r="A235" s="169" t="s">
        <v>946</v>
      </c>
      <c r="B235" s="61" t="s">
        <v>391</v>
      </c>
      <c r="C235" s="61" t="s">
        <v>585</v>
      </c>
      <c r="D235" s="61" t="s">
        <v>586</v>
      </c>
      <c r="E235" s="1" t="s">
        <v>880</v>
      </c>
      <c r="F235" s="62" t="str">
        <f t="shared" si="50"/>
        <v>20126</v>
      </c>
      <c r="G235" s="269">
        <v>10620126</v>
      </c>
      <c r="H235" s="1" t="s">
        <v>382</v>
      </c>
      <c r="I235" s="61">
        <v>20</v>
      </c>
      <c r="J235" s="61">
        <v>3.5</v>
      </c>
      <c r="K235" s="61">
        <v>8.4</v>
      </c>
      <c r="L235" s="69">
        <f t="shared" si="52"/>
        <v>0.7</v>
      </c>
      <c r="M235" s="69">
        <f t="shared" si="53"/>
        <v>1.68</v>
      </c>
      <c r="N235" s="56">
        <f>INDEX(Rate_Chart!$A$1:$AK$127,MATCH(Data!J235,Rate_Chart!$A$1:$A$127,0),MATCH(Data!K235,Rate_Chart!$A$1:$AK$1,0))</f>
        <v>37.948167600000005</v>
      </c>
      <c r="O235" s="57">
        <f t="shared" si="54"/>
        <v>758.9633520000001</v>
      </c>
      <c r="P235" s="58">
        <f t="shared" si="55"/>
        <v>417.01283076923085</v>
      </c>
      <c r="Q235" s="58">
        <f t="shared" si="56"/>
        <v>278.00855384615392</v>
      </c>
      <c r="R235" s="66">
        <f t="shared" si="51"/>
        <v>13.281858660000003</v>
      </c>
      <c r="S235" s="64">
        <f t="shared" si="57"/>
        <v>75</v>
      </c>
      <c r="T235" s="66">
        <f t="shared" si="58"/>
        <v>847.24521066000011</v>
      </c>
      <c r="U235" s="68">
        <f t="shared" si="59"/>
        <v>42.362260533000004</v>
      </c>
      <c r="V235" s="68">
        <f t="shared" si="60"/>
        <v>465.51934651648355</v>
      </c>
      <c r="W235" s="68">
        <f t="shared" si="61"/>
        <v>310.34623101098902</v>
      </c>
    </row>
    <row r="236" spans="1:23" x14ac:dyDescent="0.25">
      <c r="A236" s="169" t="s">
        <v>947</v>
      </c>
      <c r="B236" s="61" t="s">
        <v>390</v>
      </c>
      <c r="C236" s="61" t="s">
        <v>585</v>
      </c>
      <c r="D236" s="61" t="s">
        <v>586</v>
      </c>
      <c r="E236" s="1" t="s">
        <v>880</v>
      </c>
      <c r="F236" s="62" t="str">
        <f t="shared" si="50"/>
        <v>20126</v>
      </c>
      <c r="G236" s="269">
        <v>10620126</v>
      </c>
      <c r="H236" s="1" t="s">
        <v>382</v>
      </c>
      <c r="I236" s="61">
        <v>15</v>
      </c>
      <c r="J236" s="61">
        <v>3.1</v>
      </c>
      <c r="K236" s="61">
        <v>8.4</v>
      </c>
      <c r="L236" s="69">
        <f t="shared" si="52"/>
        <v>0.46500000000000002</v>
      </c>
      <c r="M236" s="69">
        <f t="shared" si="53"/>
        <v>1.26</v>
      </c>
      <c r="N236" s="56">
        <f>INDEX(Rate_Chart!$A$1:$AK$127,MATCH(Data!J236,Rate_Chart!$A$1:$A$127,0),MATCH(Data!K236,Rate_Chart!$A$1:$AK$1,0))</f>
        <v>36.280167600000006</v>
      </c>
      <c r="O236" s="57">
        <f t="shared" si="54"/>
        <v>544.20251400000006</v>
      </c>
      <c r="P236" s="58">
        <f t="shared" si="55"/>
        <v>417.01342068965528</v>
      </c>
      <c r="Q236" s="58">
        <f t="shared" si="56"/>
        <v>278.00894712643685</v>
      </c>
      <c r="R236" s="66">
        <f t="shared" si="51"/>
        <v>9.5235439950000025</v>
      </c>
      <c r="S236" s="64">
        <f t="shared" si="57"/>
        <v>56.25</v>
      </c>
      <c r="T236" s="66">
        <f t="shared" si="58"/>
        <v>609.97605799500002</v>
      </c>
      <c r="U236" s="68">
        <f t="shared" si="59"/>
        <v>40.665070532999998</v>
      </c>
      <c r="V236" s="68">
        <f t="shared" si="60"/>
        <v>467.41460382758623</v>
      </c>
      <c r="W236" s="68">
        <f t="shared" si="61"/>
        <v>311.60973588505749</v>
      </c>
    </row>
    <row r="237" spans="1:23" x14ac:dyDescent="0.25">
      <c r="A237" s="169" t="s">
        <v>947</v>
      </c>
      <c r="B237" s="61" t="s">
        <v>391</v>
      </c>
      <c r="C237" s="61" t="s">
        <v>585</v>
      </c>
      <c r="D237" s="61" t="s">
        <v>586</v>
      </c>
      <c r="E237" s="1" t="s">
        <v>880</v>
      </c>
      <c r="F237" s="62" t="str">
        <f t="shared" si="50"/>
        <v>20126</v>
      </c>
      <c r="G237" s="269">
        <v>10620126</v>
      </c>
      <c r="H237" s="1" t="s">
        <v>382</v>
      </c>
      <c r="I237" s="61">
        <v>17</v>
      </c>
      <c r="J237" s="61">
        <v>3.3</v>
      </c>
      <c r="K237" s="61">
        <v>8.5</v>
      </c>
      <c r="L237" s="69">
        <f t="shared" si="52"/>
        <v>0.56099999999999994</v>
      </c>
      <c r="M237" s="69">
        <f t="shared" si="53"/>
        <v>1.4450000000000001</v>
      </c>
      <c r="N237" s="56">
        <f>INDEX(Rate_Chart!$A$1:$AK$127,MATCH(Data!J237,Rate_Chart!$A$1:$A$127,0),MATCH(Data!K237,Rate_Chart!$A$1:$AK$1,0))</f>
        <v>37.392181500000007</v>
      </c>
      <c r="O237" s="57">
        <f t="shared" si="54"/>
        <v>635.6670855000001</v>
      </c>
      <c r="P237" s="58">
        <f t="shared" si="55"/>
        <v>417.0131765799257</v>
      </c>
      <c r="Q237" s="58">
        <f t="shared" si="56"/>
        <v>278.00878438661715</v>
      </c>
      <c r="R237" s="66">
        <f t="shared" si="51"/>
        <v>11.124173996250002</v>
      </c>
      <c r="S237" s="64">
        <f t="shared" si="57"/>
        <v>63.75</v>
      </c>
      <c r="T237" s="66">
        <f t="shared" si="58"/>
        <v>710.54125949625006</v>
      </c>
      <c r="U237" s="68">
        <f t="shared" si="59"/>
        <v>41.796544676250001</v>
      </c>
      <c r="V237" s="68">
        <f t="shared" si="60"/>
        <v>466.1324685083643</v>
      </c>
      <c r="W237" s="68">
        <f t="shared" si="61"/>
        <v>310.75497900557622</v>
      </c>
    </row>
    <row r="238" spans="1:23" x14ac:dyDescent="0.25">
      <c r="A238" s="169" t="s">
        <v>941</v>
      </c>
      <c r="B238" s="61" t="s">
        <v>390</v>
      </c>
      <c r="C238" s="61" t="s">
        <v>585</v>
      </c>
      <c r="D238" s="61" t="s">
        <v>854</v>
      </c>
      <c r="E238" s="1" t="s">
        <v>881</v>
      </c>
      <c r="F238" s="62" t="str">
        <f t="shared" si="50"/>
        <v>20127</v>
      </c>
      <c r="G238" s="269">
        <v>10620127</v>
      </c>
      <c r="H238" s="1" t="s">
        <v>382</v>
      </c>
      <c r="I238" s="61">
        <v>31</v>
      </c>
      <c r="J238" s="61">
        <v>3.6</v>
      </c>
      <c r="K238" s="61">
        <v>8.5</v>
      </c>
      <c r="L238" s="69">
        <f t="shared" si="52"/>
        <v>1.1160000000000001</v>
      </c>
      <c r="M238" s="69">
        <f t="shared" si="53"/>
        <v>2.6349999999999998</v>
      </c>
      <c r="N238" s="56">
        <f>INDEX(Rate_Chart!$A$1:$AK$127,MATCH(Data!J238,Rate_Chart!$A$1:$A$127,0),MATCH(Data!K238,Rate_Chart!$A$1:$AK$1,0))</f>
        <v>38.643181500000004</v>
      </c>
      <c r="O238" s="57">
        <f t="shared" si="54"/>
        <v>1197.9386265000001</v>
      </c>
      <c r="P238" s="58">
        <f t="shared" si="55"/>
        <v>417.01274999999998</v>
      </c>
      <c r="Q238" s="58">
        <f t="shared" si="56"/>
        <v>278.00849999999997</v>
      </c>
      <c r="R238" s="66">
        <f t="shared" si="51"/>
        <v>20.963925963750004</v>
      </c>
      <c r="S238" s="64">
        <f t="shared" si="57"/>
        <v>116.25</v>
      </c>
      <c r="T238" s="66">
        <f t="shared" si="58"/>
        <v>1335.15255246375</v>
      </c>
      <c r="U238" s="68">
        <f t="shared" si="59"/>
        <v>43.069437176249998</v>
      </c>
      <c r="V238" s="68">
        <f t="shared" si="60"/>
        <v>464.77809902428049</v>
      </c>
      <c r="W238" s="68">
        <f t="shared" si="61"/>
        <v>309.852066016187</v>
      </c>
    </row>
    <row r="239" spans="1:23" x14ac:dyDescent="0.25">
      <c r="A239" s="169" t="s">
        <v>941</v>
      </c>
      <c r="B239" s="61" t="s">
        <v>391</v>
      </c>
      <c r="C239" s="61" t="s">
        <v>585</v>
      </c>
      <c r="D239" s="61" t="s">
        <v>854</v>
      </c>
      <c r="E239" s="1" t="s">
        <v>881</v>
      </c>
      <c r="F239" s="62" t="str">
        <f t="shared" si="50"/>
        <v>20127</v>
      </c>
      <c r="G239" s="269">
        <v>10620127</v>
      </c>
      <c r="H239" s="1" t="s">
        <v>381</v>
      </c>
      <c r="I239" s="61">
        <v>3</v>
      </c>
      <c r="J239" s="61">
        <v>5.8</v>
      </c>
      <c r="K239" s="61">
        <v>8.6</v>
      </c>
      <c r="L239" s="69">
        <f t="shared" si="52"/>
        <v>0.17399999999999999</v>
      </c>
      <c r="M239" s="69">
        <f t="shared" si="53"/>
        <v>0.25799999999999995</v>
      </c>
      <c r="N239" s="56">
        <f>INDEX(Rate_Chart!$A$1:$AK$127,MATCH(Data!J239,Rate_Chart!$A$1:$A$127,0),MATCH(Data!K239,Rate_Chart!$A$1:$AK$1,0))</f>
        <v>47.461399999999998</v>
      </c>
      <c r="O239" s="57">
        <f t="shared" si="54"/>
        <v>142.38419999999999</v>
      </c>
      <c r="P239" s="58">
        <f t="shared" si="55"/>
        <v>411.51502890173413</v>
      </c>
      <c r="Q239" s="58">
        <f t="shared" si="56"/>
        <v>274.34335260115608</v>
      </c>
      <c r="R239" s="66">
        <f t="shared" si="51"/>
        <v>2.4917235</v>
      </c>
      <c r="S239" s="64">
        <f t="shared" si="57"/>
        <v>11.25</v>
      </c>
      <c r="T239" s="66">
        <f t="shared" si="58"/>
        <v>156.1259235</v>
      </c>
      <c r="U239" s="68">
        <f t="shared" si="59"/>
        <v>52.041974500000002</v>
      </c>
      <c r="V239" s="68">
        <f t="shared" si="60"/>
        <v>451.23099277456657</v>
      </c>
      <c r="W239" s="68">
        <f t="shared" si="61"/>
        <v>300.82066184971103</v>
      </c>
    </row>
    <row r="240" spans="1:23" x14ac:dyDescent="0.25">
      <c r="A240" s="169" t="s">
        <v>941</v>
      </c>
      <c r="B240" s="61" t="s">
        <v>391</v>
      </c>
      <c r="C240" s="61" t="s">
        <v>585</v>
      </c>
      <c r="D240" s="61" t="s">
        <v>854</v>
      </c>
      <c r="E240" s="1" t="s">
        <v>881</v>
      </c>
      <c r="F240" s="62" t="str">
        <f t="shared" si="50"/>
        <v>20127</v>
      </c>
      <c r="G240" s="269">
        <v>10620127</v>
      </c>
      <c r="H240" s="1" t="s">
        <v>382</v>
      </c>
      <c r="I240" s="61">
        <v>37</v>
      </c>
      <c r="J240" s="61">
        <v>3.6</v>
      </c>
      <c r="K240" s="61">
        <v>8.5</v>
      </c>
      <c r="L240" s="69">
        <f t="shared" si="52"/>
        <v>1.3320000000000001</v>
      </c>
      <c r="M240" s="69">
        <f t="shared" si="53"/>
        <v>3.145</v>
      </c>
      <c r="N240" s="56">
        <f>INDEX(Rate_Chart!$A$1:$AK$127,MATCH(Data!J240,Rate_Chart!$A$1:$A$127,0),MATCH(Data!K240,Rate_Chart!$A$1:$AK$1,0))</f>
        <v>38.643181500000004</v>
      </c>
      <c r="O240" s="57">
        <f t="shared" si="54"/>
        <v>1429.7977155000001</v>
      </c>
      <c r="P240" s="58">
        <f t="shared" si="55"/>
        <v>417.01274999999998</v>
      </c>
      <c r="Q240" s="58">
        <f t="shared" si="56"/>
        <v>278.00849999999997</v>
      </c>
      <c r="R240" s="66">
        <f t="shared" si="51"/>
        <v>25.021460021250004</v>
      </c>
      <c r="S240" s="64">
        <f t="shared" si="57"/>
        <v>138.75</v>
      </c>
      <c r="T240" s="66">
        <f t="shared" si="58"/>
        <v>1593.5691755212501</v>
      </c>
      <c r="U240" s="68">
        <f t="shared" si="59"/>
        <v>43.069437176250005</v>
      </c>
      <c r="V240" s="68">
        <f t="shared" si="60"/>
        <v>464.77809902428061</v>
      </c>
      <c r="W240" s="68">
        <f t="shared" si="61"/>
        <v>309.85206601618705</v>
      </c>
    </row>
    <row r="241" spans="1:23" x14ac:dyDescent="0.25">
      <c r="A241" s="169" t="s">
        <v>942</v>
      </c>
      <c r="B241" s="61" t="s">
        <v>390</v>
      </c>
      <c r="C241" s="61" t="s">
        <v>585</v>
      </c>
      <c r="D241" s="61" t="s">
        <v>854</v>
      </c>
      <c r="E241" s="1" t="s">
        <v>881</v>
      </c>
      <c r="F241" s="62" t="str">
        <f t="shared" si="50"/>
        <v>20127</v>
      </c>
      <c r="G241" s="269">
        <v>10620127</v>
      </c>
      <c r="H241" s="1" t="s">
        <v>382</v>
      </c>
      <c r="I241" s="61">
        <v>42</v>
      </c>
      <c r="J241" s="61">
        <v>3</v>
      </c>
      <c r="K241" s="61">
        <v>8.5</v>
      </c>
      <c r="L241" s="69">
        <f t="shared" si="52"/>
        <v>1.26</v>
      </c>
      <c r="M241" s="69">
        <f t="shared" si="53"/>
        <v>3.57</v>
      </c>
      <c r="N241" s="56">
        <f>INDEX(Rate_Chart!$A$1:$AK$127,MATCH(Data!J241,Rate_Chart!$A$1:$A$127,0),MATCH(Data!K241,Rate_Chart!$A$1:$AK$1,0))</f>
        <v>36.141181500000002</v>
      </c>
      <c r="O241" s="57">
        <f t="shared" si="54"/>
        <v>1517.929623</v>
      </c>
      <c r="P241" s="58">
        <f t="shared" si="55"/>
        <v>417.01363269230768</v>
      </c>
      <c r="Q241" s="58">
        <f t="shared" si="56"/>
        <v>278.00908846153845</v>
      </c>
      <c r="R241" s="66">
        <f t="shared" si="51"/>
        <v>26.563768402500003</v>
      </c>
      <c r="S241" s="64">
        <f t="shared" si="57"/>
        <v>157.5</v>
      </c>
      <c r="T241" s="66">
        <f t="shared" si="58"/>
        <v>1701.9933914025</v>
      </c>
      <c r="U241" s="68">
        <f t="shared" si="59"/>
        <v>40.523652176250003</v>
      </c>
      <c r="V241" s="68">
        <f t="shared" si="60"/>
        <v>467.58060203365386</v>
      </c>
      <c r="W241" s="68">
        <f t="shared" si="61"/>
        <v>311.72040135576924</v>
      </c>
    </row>
    <row r="242" spans="1:23" x14ac:dyDescent="0.25">
      <c r="A242" s="169" t="s">
        <v>942</v>
      </c>
      <c r="B242" s="61" t="s">
        <v>391</v>
      </c>
      <c r="C242" s="61" t="s">
        <v>585</v>
      </c>
      <c r="D242" s="61" t="s">
        <v>854</v>
      </c>
      <c r="E242" s="1" t="s">
        <v>881</v>
      </c>
      <c r="F242" s="62" t="str">
        <f t="shared" si="50"/>
        <v>20127</v>
      </c>
      <c r="G242" s="269">
        <v>10620127</v>
      </c>
      <c r="H242" s="1" t="s">
        <v>381</v>
      </c>
      <c r="I242" s="61">
        <v>2</v>
      </c>
      <c r="J242" s="61">
        <v>7.2</v>
      </c>
      <c r="K242" s="61">
        <v>9</v>
      </c>
      <c r="L242" s="69">
        <f t="shared" si="52"/>
        <v>0.14400000000000002</v>
      </c>
      <c r="M242" s="69">
        <f t="shared" si="53"/>
        <v>0.18</v>
      </c>
      <c r="N242" s="56">
        <f>INDEX(Rate_Chart!$A$1:$AK$127,MATCH(Data!J242,Rate_Chart!$A$1:$A$127,0),MATCH(Data!K242,Rate_Chart!$A$1:$AK$1,0))</f>
        <v>60.120000000000005</v>
      </c>
      <c r="O242" s="57">
        <f t="shared" si="54"/>
        <v>120.24000000000001</v>
      </c>
      <c r="P242" s="58">
        <f t="shared" si="55"/>
        <v>455.4545454545455</v>
      </c>
      <c r="Q242" s="58">
        <f t="shared" si="56"/>
        <v>303.63636363636368</v>
      </c>
      <c r="R242" s="66">
        <f t="shared" si="51"/>
        <v>2.1042000000000005</v>
      </c>
      <c r="S242" s="64">
        <f t="shared" si="57"/>
        <v>7.5</v>
      </c>
      <c r="T242" s="66">
        <f t="shared" si="58"/>
        <v>129.8442</v>
      </c>
      <c r="U242" s="68">
        <f t="shared" si="59"/>
        <v>64.9221</v>
      </c>
      <c r="V242" s="68">
        <f t="shared" si="60"/>
        <v>491.83409090909089</v>
      </c>
      <c r="W242" s="68">
        <f t="shared" si="61"/>
        <v>327.88939393939393</v>
      </c>
    </row>
    <row r="243" spans="1:23" x14ac:dyDescent="0.25">
      <c r="A243" s="169" t="s">
        <v>942</v>
      </c>
      <c r="B243" s="61" t="s">
        <v>391</v>
      </c>
      <c r="C243" s="61" t="s">
        <v>585</v>
      </c>
      <c r="D243" s="61" t="s">
        <v>854</v>
      </c>
      <c r="E243" s="1" t="s">
        <v>881</v>
      </c>
      <c r="F243" s="62" t="str">
        <f t="shared" si="50"/>
        <v>20127</v>
      </c>
      <c r="G243" s="269">
        <v>10620127</v>
      </c>
      <c r="H243" s="1" t="s">
        <v>382</v>
      </c>
      <c r="I243" s="61">
        <v>39</v>
      </c>
      <c r="J243" s="61">
        <v>3.6</v>
      </c>
      <c r="K243" s="61">
        <v>8.5</v>
      </c>
      <c r="L243" s="69">
        <f t="shared" si="52"/>
        <v>1.4040000000000001</v>
      </c>
      <c r="M243" s="69">
        <f t="shared" si="53"/>
        <v>3.3149999999999999</v>
      </c>
      <c r="N243" s="56">
        <f>INDEX(Rate_Chart!$A$1:$AK$127,MATCH(Data!J243,Rate_Chart!$A$1:$A$127,0),MATCH(Data!K243,Rate_Chart!$A$1:$AK$1,0))</f>
        <v>38.643181500000004</v>
      </c>
      <c r="O243" s="57">
        <f t="shared" si="54"/>
        <v>1507.0840785000003</v>
      </c>
      <c r="P243" s="58">
        <f t="shared" si="55"/>
        <v>417.01274999999998</v>
      </c>
      <c r="Q243" s="58">
        <f t="shared" si="56"/>
        <v>278.00849999999997</v>
      </c>
      <c r="R243" s="66">
        <f t="shared" si="51"/>
        <v>26.373971373750006</v>
      </c>
      <c r="S243" s="64">
        <f t="shared" si="57"/>
        <v>146.25</v>
      </c>
      <c r="T243" s="66">
        <f t="shared" si="58"/>
        <v>1679.7080498737503</v>
      </c>
      <c r="U243" s="68">
        <f t="shared" si="59"/>
        <v>43.069437176250005</v>
      </c>
      <c r="V243" s="68">
        <f t="shared" si="60"/>
        <v>464.77809902428061</v>
      </c>
      <c r="W243" s="68">
        <f t="shared" si="61"/>
        <v>309.85206601618705</v>
      </c>
    </row>
    <row r="244" spans="1:23" x14ac:dyDescent="0.25">
      <c r="A244" s="169" t="s">
        <v>943</v>
      </c>
      <c r="B244" s="61" t="s">
        <v>390</v>
      </c>
      <c r="C244" s="61" t="s">
        <v>585</v>
      </c>
      <c r="D244" s="61" t="s">
        <v>854</v>
      </c>
      <c r="E244" s="1" t="s">
        <v>881</v>
      </c>
      <c r="F244" s="62" t="str">
        <f t="shared" si="50"/>
        <v>20127</v>
      </c>
      <c r="G244" s="269">
        <v>10620127</v>
      </c>
      <c r="H244" s="1" t="s">
        <v>382</v>
      </c>
      <c r="I244" s="61">
        <v>40</v>
      </c>
      <c r="J244" s="61">
        <v>4.0999999999999996</v>
      </c>
      <c r="K244" s="61">
        <v>8.5</v>
      </c>
      <c r="L244" s="69">
        <f t="shared" si="52"/>
        <v>1.64</v>
      </c>
      <c r="M244" s="69">
        <f t="shared" si="53"/>
        <v>3.4</v>
      </c>
      <c r="N244" s="56">
        <f>INDEX(Rate_Chart!$A$1:$AK$127,MATCH(Data!J244,Rate_Chart!$A$1:$A$127,0),MATCH(Data!K244,Rate_Chart!$A$1:$AK$1,0))</f>
        <v>40.728181500000005</v>
      </c>
      <c r="O244" s="57">
        <f t="shared" si="54"/>
        <v>1629.1272600000002</v>
      </c>
      <c r="P244" s="58">
        <f t="shared" si="55"/>
        <v>417.01209726962463</v>
      </c>
      <c r="Q244" s="58">
        <f t="shared" si="56"/>
        <v>278.0080648464164</v>
      </c>
      <c r="R244" s="66">
        <f t="shared" si="51"/>
        <v>28.509727050000006</v>
      </c>
      <c r="S244" s="64">
        <f t="shared" si="57"/>
        <v>150</v>
      </c>
      <c r="T244" s="66">
        <f t="shared" si="58"/>
        <v>1807.6369870500002</v>
      </c>
      <c r="U244" s="68">
        <f t="shared" si="59"/>
        <v>45.190924676250006</v>
      </c>
      <c r="V244" s="68">
        <f t="shared" si="60"/>
        <v>462.70571340870316</v>
      </c>
      <c r="W244" s="68">
        <f t="shared" si="61"/>
        <v>308.47047560580211</v>
      </c>
    </row>
    <row r="245" spans="1:23" x14ac:dyDescent="0.25">
      <c r="A245" s="169" t="s">
        <v>943</v>
      </c>
      <c r="B245" s="61" t="s">
        <v>391</v>
      </c>
      <c r="C245" s="61" t="s">
        <v>585</v>
      </c>
      <c r="D245" s="61" t="s">
        <v>854</v>
      </c>
      <c r="E245" s="1" t="s">
        <v>881</v>
      </c>
      <c r="F245" s="62" t="str">
        <f t="shared" si="50"/>
        <v>20127</v>
      </c>
      <c r="G245" s="269">
        <v>10620127</v>
      </c>
      <c r="H245" s="1" t="s">
        <v>381</v>
      </c>
      <c r="I245" s="61">
        <v>2</v>
      </c>
      <c r="J245" s="61">
        <v>6.3</v>
      </c>
      <c r="K245" s="61">
        <v>8.8000000000000007</v>
      </c>
      <c r="L245" s="69">
        <f t="shared" si="52"/>
        <v>0.126</v>
      </c>
      <c r="M245" s="69">
        <f t="shared" si="53"/>
        <v>0.17600000000000002</v>
      </c>
      <c r="N245" s="56">
        <f>INDEX(Rate_Chart!$A$1:$AK$127,MATCH(Data!J245,Rate_Chart!$A$1:$A$127,0),MATCH(Data!K245,Rate_Chart!$A$1:$AK$1,0))</f>
        <v>52.078949999999999</v>
      </c>
      <c r="O245" s="57">
        <f t="shared" si="54"/>
        <v>104.1579</v>
      </c>
      <c r="P245" s="58">
        <f t="shared" si="55"/>
        <v>428.04616438356163</v>
      </c>
      <c r="Q245" s="58">
        <f t="shared" si="56"/>
        <v>285.36410958904111</v>
      </c>
      <c r="R245" s="66">
        <f t="shared" si="51"/>
        <v>1.8227632500000002</v>
      </c>
      <c r="S245" s="64">
        <f t="shared" si="57"/>
        <v>7.5</v>
      </c>
      <c r="T245" s="66">
        <f t="shared" si="58"/>
        <v>113.48066324999999</v>
      </c>
      <c r="U245" s="68">
        <f t="shared" si="59"/>
        <v>56.740331624999996</v>
      </c>
      <c r="V245" s="68">
        <f t="shared" si="60"/>
        <v>466.35889006849311</v>
      </c>
      <c r="W245" s="68">
        <f t="shared" si="61"/>
        <v>310.90592671232872</v>
      </c>
    </row>
    <row r="246" spans="1:23" x14ac:dyDescent="0.25">
      <c r="A246" s="169" t="s">
        <v>943</v>
      </c>
      <c r="B246" s="61" t="s">
        <v>391</v>
      </c>
      <c r="C246" s="61" t="s">
        <v>585</v>
      </c>
      <c r="D246" s="61" t="s">
        <v>854</v>
      </c>
      <c r="E246" s="1" t="s">
        <v>881</v>
      </c>
      <c r="F246" s="62" t="str">
        <f t="shared" si="50"/>
        <v>20127</v>
      </c>
      <c r="G246" s="269">
        <v>10620127</v>
      </c>
      <c r="H246" s="1" t="s">
        <v>382</v>
      </c>
      <c r="I246" s="61">
        <v>38</v>
      </c>
      <c r="J246" s="61">
        <v>3.5</v>
      </c>
      <c r="K246" s="61">
        <v>8.5</v>
      </c>
      <c r="L246" s="69">
        <f t="shared" si="52"/>
        <v>1.33</v>
      </c>
      <c r="M246" s="69">
        <f t="shared" si="53"/>
        <v>3.23</v>
      </c>
      <c r="N246" s="56">
        <f>INDEX(Rate_Chart!$A$1:$AK$127,MATCH(Data!J246,Rate_Chart!$A$1:$A$127,0),MATCH(Data!K246,Rate_Chart!$A$1:$AK$1,0))</f>
        <v>38.226181500000003</v>
      </c>
      <c r="O246" s="57">
        <f t="shared" si="54"/>
        <v>1452.5948970000002</v>
      </c>
      <c r="P246" s="58">
        <f t="shared" si="55"/>
        <v>417.01288909090908</v>
      </c>
      <c r="Q246" s="58">
        <f t="shared" si="56"/>
        <v>278.00859272727274</v>
      </c>
      <c r="R246" s="66">
        <f t="shared" si="51"/>
        <v>25.420410697500007</v>
      </c>
      <c r="S246" s="64">
        <f t="shared" si="57"/>
        <v>142.5</v>
      </c>
      <c r="T246" s="66">
        <f t="shared" si="58"/>
        <v>1620.5153076975002</v>
      </c>
      <c r="U246" s="68">
        <f t="shared" si="59"/>
        <v>42.645139676250004</v>
      </c>
      <c r="V246" s="68">
        <f t="shared" si="60"/>
        <v>465.21970555909093</v>
      </c>
      <c r="W246" s="68">
        <f t="shared" si="61"/>
        <v>310.14647037272726</v>
      </c>
    </row>
    <row r="247" spans="1:23" x14ac:dyDescent="0.25">
      <c r="A247" s="169" t="s">
        <v>944</v>
      </c>
      <c r="B247" s="61" t="s">
        <v>390</v>
      </c>
      <c r="C247" s="61" t="s">
        <v>585</v>
      </c>
      <c r="D247" s="61" t="s">
        <v>854</v>
      </c>
      <c r="E247" s="1" t="s">
        <v>881</v>
      </c>
      <c r="F247" s="62" t="str">
        <f t="shared" si="50"/>
        <v>20127</v>
      </c>
      <c r="G247" s="269">
        <v>10620127</v>
      </c>
      <c r="H247" s="1" t="s">
        <v>382</v>
      </c>
      <c r="I247" s="61">
        <v>40</v>
      </c>
      <c r="J247" s="61">
        <v>3.3</v>
      </c>
      <c r="K247" s="61">
        <v>8.5</v>
      </c>
      <c r="L247" s="69">
        <f t="shared" si="52"/>
        <v>1.32</v>
      </c>
      <c r="M247" s="69">
        <f t="shared" si="53"/>
        <v>3.4</v>
      </c>
      <c r="N247" s="56">
        <f>INDEX(Rate_Chart!$A$1:$AK$127,MATCH(Data!J247,Rate_Chart!$A$1:$A$127,0),MATCH(Data!K247,Rate_Chart!$A$1:$AK$1,0))</f>
        <v>37.392181500000007</v>
      </c>
      <c r="O247" s="57">
        <f t="shared" si="54"/>
        <v>1495.6872600000002</v>
      </c>
      <c r="P247" s="58">
        <f t="shared" si="55"/>
        <v>417.0131765799257</v>
      </c>
      <c r="Q247" s="58">
        <f t="shared" si="56"/>
        <v>278.00878438661715</v>
      </c>
      <c r="R247" s="66">
        <f t="shared" si="51"/>
        <v>26.174527050000005</v>
      </c>
      <c r="S247" s="64">
        <f t="shared" si="57"/>
        <v>150</v>
      </c>
      <c r="T247" s="66">
        <f t="shared" si="58"/>
        <v>1671.8617870500002</v>
      </c>
      <c r="U247" s="68">
        <f t="shared" si="59"/>
        <v>41.796544676250008</v>
      </c>
      <c r="V247" s="68">
        <f t="shared" si="60"/>
        <v>466.13246850836435</v>
      </c>
      <c r="W247" s="68">
        <f t="shared" si="61"/>
        <v>310.75497900557622</v>
      </c>
    </row>
    <row r="248" spans="1:23" x14ac:dyDescent="0.25">
      <c r="A248" s="169" t="s">
        <v>944</v>
      </c>
      <c r="B248" s="61" t="s">
        <v>391</v>
      </c>
      <c r="C248" s="61" t="s">
        <v>585</v>
      </c>
      <c r="D248" s="61" t="s">
        <v>854</v>
      </c>
      <c r="E248" s="1" t="s">
        <v>881</v>
      </c>
      <c r="F248" s="62" t="str">
        <f t="shared" si="50"/>
        <v>20127</v>
      </c>
      <c r="G248" s="269">
        <v>10620127</v>
      </c>
      <c r="H248" s="1" t="s">
        <v>381</v>
      </c>
      <c r="I248" s="61">
        <v>2</v>
      </c>
      <c r="J248" s="61">
        <v>6.9</v>
      </c>
      <c r="K248" s="61">
        <v>9</v>
      </c>
      <c r="L248" s="69">
        <f t="shared" si="52"/>
        <v>0.13800000000000001</v>
      </c>
      <c r="M248" s="69">
        <f t="shared" si="53"/>
        <v>0.18</v>
      </c>
      <c r="N248" s="56">
        <f>INDEX(Rate_Chart!$A$1:$AK$127,MATCH(Data!J248,Rate_Chart!$A$1:$A$127,0),MATCH(Data!K248,Rate_Chart!$A$1:$AK$1,0))</f>
        <v>57.615000000000002</v>
      </c>
      <c r="O248" s="57">
        <f t="shared" si="54"/>
        <v>115.23</v>
      </c>
      <c r="P248" s="58">
        <f t="shared" si="55"/>
        <v>446.62790697674421</v>
      </c>
      <c r="Q248" s="58">
        <f t="shared" si="56"/>
        <v>297.75193798449612</v>
      </c>
      <c r="R248" s="66">
        <f t="shared" si="51"/>
        <v>2.0165250000000001</v>
      </c>
      <c r="S248" s="64">
        <f t="shared" si="57"/>
        <v>7.5</v>
      </c>
      <c r="T248" s="66">
        <f t="shared" si="58"/>
        <v>124.74652500000001</v>
      </c>
      <c r="U248" s="68">
        <f t="shared" si="59"/>
        <v>62.373262500000003</v>
      </c>
      <c r="V248" s="68">
        <f t="shared" si="60"/>
        <v>483.51366279069771</v>
      </c>
      <c r="W248" s="68">
        <f t="shared" si="61"/>
        <v>322.34244186046516</v>
      </c>
    </row>
    <row r="249" spans="1:23" x14ac:dyDescent="0.25">
      <c r="A249" s="169" t="s">
        <v>944</v>
      </c>
      <c r="B249" s="61" t="s">
        <v>391</v>
      </c>
      <c r="C249" s="61" t="s">
        <v>585</v>
      </c>
      <c r="D249" s="61" t="s">
        <v>854</v>
      </c>
      <c r="E249" s="1" t="s">
        <v>881</v>
      </c>
      <c r="F249" s="62" t="str">
        <f t="shared" si="50"/>
        <v>20127</v>
      </c>
      <c r="G249" s="269">
        <v>10620127</v>
      </c>
      <c r="H249" s="1" t="s">
        <v>382</v>
      </c>
      <c r="I249" s="61">
        <v>40</v>
      </c>
      <c r="J249" s="61">
        <v>3.5</v>
      </c>
      <c r="K249" s="61">
        <v>8.4</v>
      </c>
      <c r="L249" s="69">
        <f t="shared" si="52"/>
        <v>1.4</v>
      </c>
      <c r="M249" s="69">
        <f t="shared" si="53"/>
        <v>3.36</v>
      </c>
      <c r="N249" s="56">
        <f>INDEX(Rate_Chart!$A$1:$AK$127,MATCH(Data!J249,Rate_Chart!$A$1:$A$127,0),MATCH(Data!K249,Rate_Chart!$A$1:$AK$1,0))</f>
        <v>37.948167600000005</v>
      </c>
      <c r="O249" s="57">
        <f t="shared" si="54"/>
        <v>1517.9267040000002</v>
      </c>
      <c r="P249" s="58">
        <f t="shared" si="55"/>
        <v>417.01283076923085</v>
      </c>
      <c r="Q249" s="58">
        <f t="shared" si="56"/>
        <v>278.00855384615392</v>
      </c>
      <c r="R249" s="66">
        <f t="shared" si="51"/>
        <v>26.563717320000006</v>
      </c>
      <c r="S249" s="64">
        <f t="shared" si="57"/>
        <v>150</v>
      </c>
      <c r="T249" s="66">
        <f t="shared" si="58"/>
        <v>1694.4904213200002</v>
      </c>
      <c r="U249" s="68">
        <f t="shared" si="59"/>
        <v>42.362260533000004</v>
      </c>
      <c r="V249" s="68">
        <f t="shared" si="60"/>
        <v>465.51934651648355</v>
      </c>
      <c r="W249" s="68">
        <f t="shared" si="61"/>
        <v>310.34623101098902</v>
      </c>
    </row>
    <row r="250" spans="1:23" x14ac:dyDescent="0.25">
      <c r="A250" s="169" t="s">
        <v>945</v>
      </c>
      <c r="B250" s="61" t="s">
        <v>390</v>
      </c>
      <c r="C250" s="61" t="s">
        <v>585</v>
      </c>
      <c r="D250" s="61" t="s">
        <v>854</v>
      </c>
      <c r="E250" s="1" t="s">
        <v>881</v>
      </c>
      <c r="F250" s="62" t="str">
        <f t="shared" si="50"/>
        <v>20127</v>
      </c>
      <c r="G250" s="269">
        <v>10620127</v>
      </c>
      <c r="H250" s="1" t="s">
        <v>382</v>
      </c>
      <c r="I250" s="61">
        <v>40</v>
      </c>
      <c r="J250" s="61">
        <v>3.8</v>
      </c>
      <c r="K250" s="61">
        <v>8.5</v>
      </c>
      <c r="L250" s="69">
        <f t="shared" si="52"/>
        <v>1.52</v>
      </c>
      <c r="M250" s="69">
        <f t="shared" si="53"/>
        <v>3.4</v>
      </c>
      <c r="N250" s="56">
        <f>INDEX(Rate_Chart!$A$1:$AK$127,MATCH(Data!J250,Rate_Chart!$A$1:$A$127,0),MATCH(Data!K250,Rate_Chart!$A$1:$AK$1,0))</f>
        <v>39.4771815</v>
      </c>
      <c r="O250" s="57">
        <f t="shared" si="54"/>
        <v>1579.08726</v>
      </c>
      <c r="P250" s="58">
        <f t="shared" si="55"/>
        <v>417.0124806338028</v>
      </c>
      <c r="Q250" s="58">
        <f t="shared" si="56"/>
        <v>278.00832042253518</v>
      </c>
      <c r="R250" s="66">
        <f t="shared" si="51"/>
        <v>27.634027050000004</v>
      </c>
      <c r="S250" s="64">
        <f t="shared" si="57"/>
        <v>150</v>
      </c>
      <c r="T250" s="66">
        <f t="shared" si="58"/>
        <v>1756.72128705</v>
      </c>
      <c r="U250" s="68">
        <f t="shared" si="59"/>
        <v>43.918032176250001</v>
      </c>
      <c r="V250" s="68">
        <f t="shared" si="60"/>
        <v>463.92287510123236</v>
      </c>
      <c r="W250" s="68">
        <f t="shared" si="61"/>
        <v>309.28191673415489</v>
      </c>
    </row>
    <row r="251" spans="1:23" x14ac:dyDescent="0.25">
      <c r="A251" s="169" t="s">
        <v>945</v>
      </c>
      <c r="B251" s="61" t="s">
        <v>391</v>
      </c>
      <c r="C251" s="61" t="s">
        <v>585</v>
      </c>
      <c r="D251" s="61" t="s">
        <v>854</v>
      </c>
      <c r="E251" s="1" t="s">
        <v>881</v>
      </c>
      <c r="F251" s="62" t="str">
        <f t="shared" si="50"/>
        <v>20127</v>
      </c>
      <c r="G251" s="269">
        <v>10620127</v>
      </c>
      <c r="H251" s="1" t="s">
        <v>382</v>
      </c>
      <c r="I251" s="61">
        <v>41</v>
      </c>
      <c r="J251" s="61">
        <v>3.8</v>
      </c>
      <c r="K251" s="61">
        <v>8.5</v>
      </c>
      <c r="L251" s="69">
        <f t="shared" si="52"/>
        <v>1.5579999999999998</v>
      </c>
      <c r="M251" s="69">
        <f t="shared" si="53"/>
        <v>3.4849999999999999</v>
      </c>
      <c r="N251" s="56">
        <f>INDEX(Rate_Chart!$A$1:$AK$127,MATCH(Data!J251,Rate_Chart!$A$1:$A$127,0),MATCH(Data!K251,Rate_Chart!$A$1:$AK$1,0))</f>
        <v>39.4771815</v>
      </c>
      <c r="O251" s="57">
        <f t="shared" si="54"/>
        <v>1618.5644414999999</v>
      </c>
      <c r="P251" s="58">
        <f t="shared" si="55"/>
        <v>417.0124806338028</v>
      </c>
      <c r="Q251" s="58">
        <f t="shared" si="56"/>
        <v>278.00832042253518</v>
      </c>
      <c r="R251" s="66">
        <f t="shared" si="51"/>
        <v>28.324877726250001</v>
      </c>
      <c r="S251" s="64">
        <f t="shared" si="57"/>
        <v>153.75</v>
      </c>
      <c r="T251" s="66">
        <f t="shared" si="58"/>
        <v>1800.6393192262499</v>
      </c>
      <c r="U251" s="68">
        <f t="shared" si="59"/>
        <v>43.918032176249994</v>
      </c>
      <c r="V251" s="68">
        <f t="shared" si="60"/>
        <v>463.92287510123231</v>
      </c>
      <c r="W251" s="68">
        <f t="shared" si="61"/>
        <v>309.28191673415489</v>
      </c>
    </row>
    <row r="252" spans="1:23" x14ac:dyDescent="0.25">
      <c r="A252" s="169" t="s">
        <v>946</v>
      </c>
      <c r="B252" s="61" t="s">
        <v>390</v>
      </c>
      <c r="C252" s="61" t="s">
        <v>585</v>
      </c>
      <c r="D252" s="61" t="s">
        <v>854</v>
      </c>
      <c r="E252" s="1" t="s">
        <v>881</v>
      </c>
      <c r="F252" s="62" t="str">
        <f t="shared" si="50"/>
        <v>20127</v>
      </c>
      <c r="G252" s="269">
        <v>10620127</v>
      </c>
      <c r="H252" s="1" t="s">
        <v>382</v>
      </c>
      <c r="I252" s="61">
        <v>40</v>
      </c>
      <c r="J252" s="61">
        <v>3.5</v>
      </c>
      <c r="K252" s="61">
        <v>8.5</v>
      </c>
      <c r="L252" s="69">
        <f t="shared" si="52"/>
        <v>1.4</v>
      </c>
      <c r="M252" s="69">
        <f t="shared" si="53"/>
        <v>3.4</v>
      </c>
      <c r="N252" s="56">
        <f>INDEX(Rate_Chart!$A$1:$AK$127,MATCH(Data!J252,Rate_Chart!$A$1:$A$127,0),MATCH(Data!K252,Rate_Chart!$A$1:$AK$1,0))</f>
        <v>38.226181500000003</v>
      </c>
      <c r="O252" s="57">
        <f t="shared" si="54"/>
        <v>1529.0472600000001</v>
      </c>
      <c r="P252" s="58">
        <f t="shared" si="55"/>
        <v>417.01288909090908</v>
      </c>
      <c r="Q252" s="58">
        <f t="shared" si="56"/>
        <v>278.00859272727274</v>
      </c>
      <c r="R252" s="66">
        <f t="shared" si="51"/>
        <v>26.758327050000002</v>
      </c>
      <c r="S252" s="64">
        <f t="shared" si="57"/>
        <v>150</v>
      </c>
      <c r="T252" s="66">
        <f t="shared" si="58"/>
        <v>1705.80558705</v>
      </c>
      <c r="U252" s="68">
        <f t="shared" si="59"/>
        <v>42.645139676249997</v>
      </c>
      <c r="V252" s="68">
        <f t="shared" si="60"/>
        <v>465.21970555909081</v>
      </c>
      <c r="W252" s="68">
        <f t="shared" si="61"/>
        <v>310.14647037272721</v>
      </c>
    </row>
    <row r="253" spans="1:23" x14ac:dyDescent="0.25">
      <c r="A253" s="169" t="s">
        <v>946</v>
      </c>
      <c r="B253" s="61" t="s">
        <v>391</v>
      </c>
      <c r="C253" s="61" t="s">
        <v>585</v>
      </c>
      <c r="D253" s="61" t="s">
        <v>854</v>
      </c>
      <c r="E253" s="1" t="s">
        <v>881</v>
      </c>
      <c r="F253" s="62" t="str">
        <f t="shared" si="50"/>
        <v>20127</v>
      </c>
      <c r="G253" s="269">
        <v>10620127</v>
      </c>
      <c r="H253" s="1" t="s">
        <v>382</v>
      </c>
      <c r="I253" s="61">
        <v>42</v>
      </c>
      <c r="J253" s="61">
        <v>3.2</v>
      </c>
      <c r="K253" s="61">
        <v>8.5</v>
      </c>
      <c r="L253" s="69">
        <f t="shared" si="52"/>
        <v>1.3440000000000001</v>
      </c>
      <c r="M253" s="69">
        <f t="shared" si="53"/>
        <v>3.57</v>
      </c>
      <c r="N253" s="56">
        <f>INDEX(Rate_Chart!$A$1:$AK$127,MATCH(Data!J253,Rate_Chart!$A$1:$A$127,0),MATCH(Data!K253,Rate_Chart!$A$1:$AK$1,0))</f>
        <v>36.975181500000005</v>
      </c>
      <c r="O253" s="57">
        <f t="shared" si="54"/>
        <v>1552.9576230000002</v>
      </c>
      <c r="P253" s="58">
        <f t="shared" si="55"/>
        <v>417.01332518796994</v>
      </c>
      <c r="Q253" s="58">
        <f t="shared" si="56"/>
        <v>278.00888345864661</v>
      </c>
      <c r="R253" s="66">
        <f t="shared" si="51"/>
        <v>27.176758402500006</v>
      </c>
      <c r="S253" s="64">
        <f t="shared" si="57"/>
        <v>157.5</v>
      </c>
      <c r="T253" s="66">
        <f t="shared" si="58"/>
        <v>1737.6343814025004</v>
      </c>
      <c r="U253" s="68">
        <f t="shared" si="59"/>
        <v>41.372247176250006</v>
      </c>
      <c r="V253" s="68">
        <f t="shared" si="60"/>
        <v>466.60429146146623</v>
      </c>
      <c r="W253" s="68">
        <f t="shared" si="61"/>
        <v>311.06952764097747</v>
      </c>
    </row>
    <row r="254" spans="1:23" x14ac:dyDescent="0.25">
      <c r="A254" s="169" t="s">
        <v>942</v>
      </c>
      <c r="B254" s="61" t="s">
        <v>390</v>
      </c>
      <c r="C254" s="61" t="s">
        <v>585</v>
      </c>
      <c r="D254" s="61" t="s">
        <v>854</v>
      </c>
      <c r="E254" s="1" t="s">
        <v>901</v>
      </c>
      <c r="F254" s="62" t="str">
        <f t="shared" si="50"/>
        <v>20129</v>
      </c>
      <c r="G254" s="269">
        <v>10620129</v>
      </c>
      <c r="H254" s="1" t="s">
        <v>381</v>
      </c>
      <c r="I254" s="61">
        <v>9</v>
      </c>
      <c r="J254" s="61">
        <v>7.2</v>
      </c>
      <c r="K254" s="61">
        <v>9</v>
      </c>
      <c r="L254" s="69">
        <f t="shared" si="52"/>
        <v>0.64800000000000002</v>
      </c>
      <c r="M254" s="69">
        <f t="shared" si="53"/>
        <v>0.81</v>
      </c>
      <c r="N254" s="56">
        <f>INDEX(Rate_Chart!$A$1:$AK$127,MATCH(Data!J254,Rate_Chart!$A$1:$A$127,0),MATCH(Data!K254,Rate_Chart!$A$1:$AK$1,0))</f>
        <v>60.120000000000005</v>
      </c>
      <c r="O254" s="57">
        <f t="shared" si="54"/>
        <v>541.08000000000004</v>
      </c>
      <c r="P254" s="58">
        <f t="shared" si="55"/>
        <v>455.4545454545455</v>
      </c>
      <c r="Q254" s="58">
        <f t="shared" si="56"/>
        <v>303.63636363636368</v>
      </c>
      <c r="R254" s="66">
        <f t="shared" si="51"/>
        <v>9.4689000000000014</v>
      </c>
      <c r="S254" s="64">
        <f t="shared" si="57"/>
        <v>33.75</v>
      </c>
      <c r="T254" s="66">
        <f t="shared" si="58"/>
        <v>584.2989</v>
      </c>
      <c r="U254" s="68">
        <f t="shared" si="59"/>
        <v>64.9221</v>
      </c>
      <c r="V254" s="68">
        <f t="shared" si="60"/>
        <v>491.83409090909089</v>
      </c>
      <c r="W254" s="68">
        <f t="shared" si="61"/>
        <v>327.88939393939393</v>
      </c>
    </row>
    <row r="255" spans="1:23" x14ac:dyDescent="0.25">
      <c r="A255" s="169" t="s">
        <v>943</v>
      </c>
      <c r="B255" s="61" t="s">
        <v>390</v>
      </c>
      <c r="C255" s="61" t="s">
        <v>585</v>
      </c>
      <c r="D255" s="61" t="s">
        <v>854</v>
      </c>
      <c r="E255" s="1" t="s">
        <v>901</v>
      </c>
      <c r="F255" s="62" t="str">
        <f t="shared" si="50"/>
        <v>20129</v>
      </c>
      <c r="G255" s="269">
        <v>10620129</v>
      </c>
      <c r="H255" s="1" t="s">
        <v>381</v>
      </c>
      <c r="I255" s="61">
        <v>10</v>
      </c>
      <c r="J255" s="61">
        <v>7.4</v>
      </c>
      <c r="K255" s="61">
        <v>9</v>
      </c>
      <c r="L255" s="69">
        <f t="shared" si="52"/>
        <v>0.74</v>
      </c>
      <c r="M255" s="69">
        <f t="shared" si="53"/>
        <v>0.9</v>
      </c>
      <c r="N255" s="56">
        <f>INDEX(Rate_Chart!$A$1:$AK$127,MATCH(Data!J255,Rate_Chart!$A$1:$A$127,0),MATCH(Data!K255,Rate_Chart!$A$1:$AK$1,0))</f>
        <v>61.790000000000006</v>
      </c>
      <c r="O255" s="57">
        <f t="shared" si="54"/>
        <v>617.90000000000009</v>
      </c>
      <c r="P255" s="58">
        <f t="shared" si="55"/>
        <v>461.11940298507466</v>
      </c>
      <c r="Q255" s="58">
        <f t="shared" si="56"/>
        <v>307.41293532338312</v>
      </c>
      <c r="R255" s="66">
        <f t="shared" si="51"/>
        <v>10.813250000000002</v>
      </c>
      <c r="S255" s="64">
        <f t="shared" si="57"/>
        <v>37.5</v>
      </c>
      <c r="T255" s="66">
        <f t="shared" si="58"/>
        <v>666.21325000000013</v>
      </c>
      <c r="U255" s="68">
        <f t="shared" si="59"/>
        <v>66.621325000000013</v>
      </c>
      <c r="V255" s="68">
        <f t="shared" si="60"/>
        <v>497.17406716417918</v>
      </c>
      <c r="W255" s="68">
        <f t="shared" si="61"/>
        <v>331.44937810945277</v>
      </c>
    </row>
    <row r="256" spans="1:23" x14ac:dyDescent="0.25">
      <c r="A256" s="169" t="s">
        <v>944</v>
      </c>
      <c r="B256" s="61" t="s">
        <v>390</v>
      </c>
      <c r="C256" s="61" t="s">
        <v>585</v>
      </c>
      <c r="D256" s="61" t="s">
        <v>854</v>
      </c>
      <c r="E256" s="1" t="s">
        <v>901</v>
      </c>
      <c r="F256" s="62" t="str">
        <f t="shared" si="50"/>
        <v>20129</v>
      </c>
      <c r="G256" s="269">
        <v>10620129</v>
      </c>
      <c r="H256" s="1" t="s">
        <v>381</v>
      </c>
      <c r="I256" s="61">
        <v>8</v>
      </c>
      <c r="J256" s="61">
        <v>7.4</v>
      </c>
      <c r="K256" s="61">
        <v>9</v>
      </c>
      <c r="L256" s="69">
        <f t="shared" si="52"/>
        <v>0.59200000000000008</v>
      </c>
      <c r="M256" s="69">
        <f t="shared" si="53"/>
        <v>0.72</v>
      </c>
      <c r="N256" s="56">
        <f>INDEX(Rate_Chart!$A$1:$AK$127,MATCH(Data!J256,Rate_Chart!$A$1:$A$127,0),MATCH(Data!K256,Rate_Chart!$A$1:$AK$1,0))</f>
        <v>61.790000000000006</v>
      </c>
      <c r="O256" s="57">
        <f t="shared" si="54"/>
        <v>494.32000000000005</v>
      </c>
      <c r="P256" s="58">
        <f t="shared" si="55"/>
        <v>461.11940298507466</v>
      </c>
      <c r="Q256" s="58">
        <f t="shared" si="56"/>
        <v>307.41293532338312</v>
      </c>
      <c r="R256" s="66">
        <f t="shared" si="51"/>
        <v>8.6506000000000025</v>
      </c>
      <c r="S256" s="64">
        <f t="shared" si="57"/>
        <v>30</v>
      </c>
      <c r="T256" s="66">
        <f t="shared" si="58"/>
        <v>532.9706000000001</v>
      </c>
      <c r="U256" s="68">
        <f t="shared" si="59"/>
        <v>66.621325000000013</v>
      </c>
      <c r="V256" s="68">
        <f t="shared" si="60"/>
        <v>497.17406716417918</v>
      </c>
      <c r="W256" s="68">
        <f t="shared" si="61"/>
        <v>331.44937810945277</v>
      </c>
    </row>
    <row r="257" spans="1:23" x14ac:dyDescent="0.25">
      <c r="A257" s="169" t="s">
        <v>945</v>
      </c>
      <c r="B257" s="61" t="s">
        <v>390</v>
      </c>
      <c r="C257" s="61" t="s">
        <v>585</v>
      </c>
      <c r="D257" s="61" t="s">
        <v>854</v>
      </c>
      <c r="E257" s="1" t="s">
        <v>901</v>
      </c>
      <c r="F257" s="62" t="str">
        <f t="shared" si="50"/>
        <v>20129</v>
      </c>
      <c r="G257" s="269">
        <v>10620129</v>
      </c>
      <c r="H257" s="1" t="s">
        <v>381</v>
      </c>
      <c r="I257" s="61">
        <v>36</v>
      </c>
      <c r="J257" s="61">
        <v>7.2</v>
      </c>
      <c r="K257" s="61">
        <v>9</v>
      </c>
      <c r="L257" s="69">
        <f t="shared" si="52"/>
        <v>2.5920000000000001</v>
      </c>
      <c r="M257" s="69">
        <f t="shared" si="53"/>
        <v>3.24</v>
      </c>
      <c r="N257" s="56">
        <f>INDEX(Rate_Chart!$A$1:$AK$127,MATCH(Data!J257,Rate_Chart!$A$1:$A$127,0),MATCH(Data!K257,Rate_Chart!$A$1:$AK$1,0))</f>
        <v>60.120000000000005</v>
      </c>
      <c r="O257" s="57">
        <f t="shared" si="54"/>
        <v>2164.3200000000002</v>
      </c>
      <c r="P257" s="58">
        <f t="shared" si="55"/>
        <v>455.4545454545455</v>
      </c>
      <c r="Q257" s="58">
        <f t="shared" si="56"/>
        <v>303.63636363636368</v>
      </c>
      <c r="R257" s="66">
        <f t="shared" si="51"/>
        <v>37.875600000000006</v>
      </c>
      <c r="S257" s="64">
        <f t="shared" si="57"/>
        <v>135</v>
      </c>
      <c r="T257" s="66">
        <f t="shared" si="58"/>
        <v>2337.1956</v>
      </c>
      <c r="U257" s="68">
        <f t="shared" si="59"/>
        <v>64.9221</v>
      </c>
      <c r="V257" s="68">
        <f t="shared" si="60"/>
        <v>491.83409090909089</v>
      </c>
      <c r="W257" s="68">
        <f t="shared" si="61"/>
        <v>327.88939393939393</v>
      </c>
    </row>
    <row r="258" spans="1:23" x14ac:dyDescent="0.25">
      <c r="A258" s="169" t="s">
        <v>945</v>
      </c>
      <c r="B258" s="61" t="s">
        <v>390</v>
      </c>
      <c r="C258" s="61" t="s">
        <v>585</v>
      </c>
      <c r="D258" s="61" t="s">
        <v>854</v>
      </c>
      <c r="E258" s="1" t="s">
        <v>901</v>
      </c>
      <c r="F258" s="62" t="str">
        <f t="shared" si="50"/>
        <v>20129</v>
      </c>
      <c r="G258" s="269">
        <v>10620129</v>
      </c>
      <c r="H258" s="1" t="s">
        <v>382</v>
      </c>
      <c r="I258" s="61">
        <v>25</v>
      </c>
      <c r="J258" s="61">
        <v>4</v>
      </c>
      <c r="K258" s="61">
        <v>8.4</v>
      </c>
      <c r="L258" s="69">
        <f t="shared" si="52"/>
        <v>1</v>
      </c>
      <c r="M258" s="69">
        <f t="shared" si="53"/>
        <v>2.1</v>
      </c>
      <c r="N258" s="56">
        <f>INDEX(Rate_Chart!$A$1:$AK$127,MATCH(Data!J258,Rate_Chart!$A$1:$A$127,0),MATCH(Data!K258,Rate_Chart!$A$1:$AK$1,0))</f>
        <v>40.033167600000006</v>
      </c>
      <c r="O258" s="57">
        <f t="shared" si="54"/>
        <v>1000.8291900000002</v>
      </c>
      <c r="P258" s="58">
        <f t="shared" si="55"/>
        <v>417.01216250000004</v>
      </c>
      <c r="Q258" s="58">
        <f t="shared" si="56"/>
        <v>278.00810833333338</v>
      </c>
      <c r="R258" s="66">
        <f t="shared" si="51"/>
        <v>17.514510825000006</v>
      </c>
      <c r="S258" s="64">
        <f t="shared" si="57"/>
        <v>93.75</v>
      </c>
      <c r="T258" s="66">
        <f t="shared" si="58"/>
        <v>1112.0937008250003</v>
      </c>
      <c r="U258" s="68">
        <f t="shared" si="59"/>
        <v>44.483748033000012</v>
      </c>
      <c r="V258" s="68">
        <f t="shared" si="60"/>
        <v>463.37237534375009</v>
      </c>
      <c r="W258" s="68">
        <f t="shared" si="61"/>
        <v>308.91491689583341</v>
      </c>
    </row>
    <row r="259" spans="1:23" x14ac:dyDescent="0.25">
      <c r="A259" s="169" t="s">
        <v>946</v>
      </c>
      <c r="B259" s="61" t="s">
        <v>390</v>
      </c>
      <c r="C259" s="61" t="s">
        <v>585</v>
      </c>
      <c r="D259" s="61" t="s">
        <v>854</v>
      </c>
      <c r="E259" s="1" t="s">
        <v>901</v>
      </c>
      <c r="F259" s="62" t="str">
        <f t="shared" si="50"/>
        <v>20129</v>
      </c>
      <c r="G259" s="269">
        <v>10620129</v>
      </c>
      <c r="H259" s="1" t="s">
        <v>381</v>
      </c>
      <c r="I259" s="61">
        <v>13</v>
      </c>
      <c r="J259" s="61">
        <v>5.6</v>
      </c>
      <c r="K259" s="61">
        <v>8.8000000000000007</v>
      </c>
      <c r="L259" s="69">
        <f t="shared" si="52"/>
        <v>0.72799999999999998</v>
      </c>
      <c r="M259" s="69">
        <f t="shared" si="53"/>
        <v>1.1440000000000001</v>
      </c>
      <c r="N259" s="56">
        <f>INDEX(Rate_Chart!$A$1:$AK$127,MATCH(Data!J259,Rate_Chart!$A$1:$A$127,0),MATCH(Data!K259,Rate_Chart!$A$1:$AK$1,0))</f>
        <v>46.292400000000001</v>
      </c>
      <c r="O259" s="57">
        <f t="shared" si="54"/>
        <v>601.80119999999999</v>
      </c>
      <c r="P259" s="58">
        <f t="shared" si="55"/>
        <v>403.71279069767445</v>
      </c>
      <c r="Q259" s="58">
        <f t="shared" si="56"/>
        <v>269.14186046511628</v>
      </c>
      <c r="R259" s="66">
        <f t="shared" si="51"/>
        <v>10.531521000000001</v>
      </c>
      <c r="S259" s="64">
        <f t="shared" si="57"/>
        <v>48.75</v>
      </c>
      <c r="T259" s="66">
        <f t="shared" si="58"/>
        <v>661.08272099999999</v>
      </c>
      <c r="U259" s="68">
        <f t="shared" si="59"/>
        <v>50.852516999999999</v>
      </c>
      <c r="V259" s="68">
        <f t="shared" si="60"/>
        <v>443.48125290697675</v>
      </c>
      <c r="W259" s="68">
        <f t="shared" si="61"/>
        <v>295.65416860465115</v>
      </c>
    </row>
    <row r="260" spans="1:23" x14ac:dyDescent="0.25">
      <c r="A260" s="169" t="s">
        <v>941</v>
      </c>
      <c r="B260" s="61" t="s">
        <v>390</v>
      </c>
      <c r="C260" s="61" t="s">
        <v>585</v>
      </c>
      <c r="D260" s="61" t="s">
        <v>586</v>
      </c>
      <c r="E260" s="1" t="s">
        <v>939</v>
      </c>
      <c r="F260" s="62" t="str">
        <f t="shared" si="50"/>
        <v>60526</v>
      </c>
      <c r="G260" s="269">
        <v>10620072</v>
      </c>
      <c r="H260" s="1" t="s">
        <v>381</v>
      </c>
      <c r="I260" s="61">
        <v>5</v>
      </c>
      <c r="J260" s="61">
        <v>6.3</v>
      </c>
      <c r="K260" s="61">
        <v>9</v>
      </c>
      <c r="L260" s="69">
        <f t="shared" si="52"/>
        <v>0.315</v>
      </c>
      <c r="M260" s="69">
        <f t="shared" si="53"/>
        <v>0.45</v>
      </c>
      <c r="N260" s="56">
        <f>INDEX(Rate_Chart!$A$1:$AK$127,MATCH(Data!J260,Rate_Chart!$A$1:$A$127,0),MATCH(Data!K260,Rate_Chart!$A$1:$AK$1,0))</f>
        <v>52.604999999999997</v>
      </c>
      <c r="O260" s="57">
        <f t="shared" si="54"/>
        <v>263.02499999999998</v>
      </c>
      <c r="P260" s="58">
        <f t="shared" si="55"/>
        <v>427.6829268292683</v>
      </c>
      <c r="Q260" s="58">
        <f t="shared" si="56"/>
        <v>285.1219512195122</v>
      </c>
      <c r="R260" s="66">
        <f t="shared" ref="R260:R323" si="62">O260*1.75%</f>
        <v>4.6029375000000003</v>
      </c>
      <c r="S260" s="64">
        <f t="shared" si="57"/>
        <v>18.75</v>
      </c>
      <c r="T260" s="66">
        <f t="shared" si="58"/>
        <v>286.37793749999997</v>
      </c>
      <c r="U260" s="68">
        <f t="shared" si="59"/>
        <v>57.275587499999993</v>
      </c>
      <c r="V260" s="68">
        <f t="shared" si="60"/>
        <v>465.65518292682924</v>
      </c>
      <c r="W260" s="68">
        <f t="shared" si="61"/>
        <v>310.43678861788618</v>
      </c>
    </row>
    <row r="261" spans="1:23" x14ac:dyDescent="0.25">
      <c r="A261" s="169" t="s">
        <v>941</v>
      </c>
      <c r="B261" s="61" t="s">
        <v>391</v>
      </c>
      <c r="C261" s="61" t="s">
        <v>585</v>
      </c>
      <c r="D261" s="61" t="s">
        <v>586</v>
      </c>
      <c r="E261" s="1" t="s">
        <v>939</v>
      </c>
      <c r="F261" s="62" t="str">
        <f t="shared" ref="F261:F324" si="63">MID(E261,2,5)</f>
        <v>60526</v>
      </c>
      <c r="G261" s="269">
        <v>10620072</v>
      </c>
      <c r="H261" s="1" t="s">
        <v>381</v>
      </c>
      <c r="I261" s="61">
        <v>9</v>
      </c>
      <c r="J261" s="61">
        <v>5.6</v>
      </c>
      <c r="K261" s="61">
        <v>9</v>
      </c>
      <c r="L261" s="69">
        <f t="shared" si="52"/>
        <v>0.504</v>
      </c>
      <c r="M261" s="69">
        <f t="shared" si="53"/>
        <v>0.81</v>
      </c>
      <c r="N261" s="56">
        <f>INDEX(Rate_Chart!$A$1:$AK$127,MATCH(Data!J261,Rate_Chart!$A$1:$A$127,0),MATCH(Data!K261,Rate_Chart!$A$1:$AK$1,0))</f>
        <v>46.76</v>
      </c>
      <c r="O261" s="57">
        <f t="shared" si="54"/>
        <v>420.84</v>
      </c>
      <c r="P261" s="58">
        <f t="shared" si="55"/>
        <v>403.10344827586209</v>
      </c>
      <c r="Q261" s="58">
        <f t="shared" si="56"/>
        <v>268.73563218390808</v>
      </c>
      <c r="R261" s="66">
        <f t="shared" si="62"/>
        <v>7.3647</v>
      </c>
      <c r="S261" s="64">
        <f t="shared" si="57"/>
        <v>33.75</v>
      </c>
      <c r="T261" s="66">
        <f t="shared" si="58"/>
        <v>461.9547</v>
      </c>
      <c r="U261" s="68">
        <f t="shared" si="59"/>
        <v>51.328299999999999</v>
      </c>
      <c r="V261" s="68">
        <f t="shared" si="60"/>
        <v>442.48534482758623</v>
      </c>
      <c r="W261" s="68">
        <f t="shared" si="61"/>
        <v>294.99022988505749</v>
      </c>
    </row>
    <row r="262" spans="1:23" x14ac:dyDescent="0.25">
      <c r="A262" s="169" t="s">
        <v>942</v>
      </c>
      <c r="B262" s="61" t="s">
        <v>390</v>
      </c>
      <c r="C262" s="61" t="s">
        <v>585</v>
      </c>
      <c r="D262" s="61" t="s">
        <v>586</v>
      </c>
      <c r="E262" s="1" t="s">
        <v>939</v>
      </c>
      <c r="F262" s="62" t="str">
        <f t="shared" si="63"/>
        <v>60526</v>
      </c>
      <c r="G262" s="269">
        <v>10620072</v>
      </c>
      <c r="H262" s="1" t="s">
        <v>382</v>
      </c>
      <c r="I262" s="61">
        <v>5</v>
      </c>
      <c r="J262" s="61">
        <v>5.2</v>
      </c>
      <c r="K262" s="61">
        <v>8.5</v>
      </c>
      <c r="L262" s="69">
        <f t="shared" si="52"/>
        <v>0.26</v>
      </c>
      <c r="M262" s="69">
        <f t="shared" si="53"/>
        <v>0.42499999999999999</v>
      </c>
      <c r="N262" s="56">
        <f>INDEX(Rate_Chart!$A$1:$AK$127,MATCH(Data!J262,Rate_Chart!$A$1:$A$127,0),MATCH(Data!K262,Rate_Chart!$A$1:$AK$1,0))</f>
        <v>45.315181500000008</v>
      </c>
      <c r="O262" s="57">
        <f t="shared" si="54"/>
        <v>226.57590750000003</v>
      </c>
      <c r="P262" s="58">
        <f t="shared" si="55"/>
        <v>417.01087269938654</v>
      </c>
      <c r="Q262" s="58">
        <f t="shared" si="56"/>
        <v>278.00724846625769</v>
      </c>
      <c r="R262" s="66">
        <f t="shared" si="62"/>
        <v>3.965078381250001</v>
      </c>
      <c r="S262" s="64">
        <f t="shared" si="57"/>
        <v>18.75</v>
      </c>
      <c r="T262" s="66">
        <f t="shared" si="58"/>
        <v>249.29098588125004</v>
      </c>
      <c r="U262" s="68">
        <f t="shared" si="59"/>
        <v>49.858197176250009</v>
      </c>
      <c r="V262" s="68">
        <f t="shared" si="60"/>
        <v>458.81776542561352</v>
      </c>
      <c r="W262" s="68">
        <f t="shared" si="61"/>
        <v>305.87851028374234</v>
      </c>
    </row>
    <row r="263" spans="1:23" x14ac:dyDescent="0.25">
      <c r="A263" s="169" t="s">
        <v>942</v>
      </c>
      <c r="B263" s="61" t="s">
        <v>391</v>
      </c>
      <c r="C263" s="61" t="s">
        <v>585</v>
      </c>
      <c r="D263" s="61" t="s">
        <v>586</v>
      </c>
      <c r="E263" s="1" t="s">
        <v>939</v>
      </c>
      <c r="F263" s="62" t="str">
        <f t="shared" si="63"/>
        <v>60526</v>
      </c>
      <c r="G263" s="269">
        <v>10620072</v>
      </c>
      <c r="H263" s="1" t="s">
        <v>381</v>
      </c>
      <c r="I263" s="61">
        <v>8</v>
      </c>
      <c r="J263" s="61">
        <v>5.7</v>
      </c>
      <c r="K263" s="61">
        <v>8.8000000000000007</v>
      </c>
      <c r="L263" s="69">
        <f t="shared" si="52"/>
        <v>0.45600000000000002</v>
      </c>
      <c r="M263" s="69">
        <f t="shared" si="53"/>
        <v>0.70400000000000007</v>
      </c>
      <c r="N263" s="56">
        <f>INDEX(Rate_Chart!$A$1:$AK$127,MATCH(Data!J263,Rate_Chart!$A$1:$A$127,0),MATCH(Data!K263,Rate_Chart!$A$1:$AK$1,0))</f>
        <v>47.119050000000001</v>
      </c>
      <c r="O263" s="57">
        <f t="shared" si="54"/>
        <v>376.95240000000001</v>
      </c>
      <c r="P263" s="58">
        <f t="shared" si="55"/>
        <v>407.3693083573487</v>
      </c>
      <c r="Q263" s="58">
        <f t="shared" si="56"/>
        <v>271.57953890489915</v>
      </c>
      <c r="R263" s="66">
        <f t="shared" si="62"/>
        <v>6.5966670000000009</v>
      </c>
      <c r="S263" s="64">
        <f t="shared" si="57"/>
        <v>30</v>
      </c>
      <c r="T263" s="66">
        <f t="shared" si="58"/>
        <v>413.54906700000004</v>
      </c>
      <c r="U263" s="68">
        <f t="shared" si="59"/>
        <v>51.693633375000005</v>
      </c>
      <c r="V263" s="68">
        <f t="shared" si="60"/>
        <v>446.91902053314124</v>
      </c>
      <c r="W263" s="68">
        <f t="shared" si="61"/>
        <v>297.94601368876084</v>
      </c>
    </row>
    <row r="264" spans="1:23" x14ac:dyDescent="0.25">
      <c r="A264" s="169" t="s">
        <v>943</v>
      </c>
      <c r="B264" s="61" t="s">
        <v>390</v>
      </c>
      <c r="C264" s="61" t="s">
        <v>585</v>
      </c>
      <c r="D264" s="61" t="s">
        <v>586</v>
      </c>
      <c r="E264" s="1" t="s">
        <v>939</v>
      </c>
      <c r="F264" s="62" t="str">
        <f t="shared" si="63"/>
        <v>60526</v>
      </c>
      <c r="G264" s="269">
        <v>10620072</v>
      </c>
      <c r="H264" s="1" t="s">
        <v>382</v>
      </c>
      <c r="I264" s="61">
        <v>6</v>
      </c>
      <c r="J264" s="61">
        <v>5</v>
      </c>
      <c r="K264" s="61">
        <v>8.5</v>
      </c>
      <c r="L264" s="69">
        <f t="shared" si="52"/>
        <v>0.3</v>
      </c>
      <c r="M264" s="69">
        <f t="shared" si="53"/>
        <v>0.51</v>
      </c>
      <c r="N264" s="56">
        <f>INDEX(Rate_Chart!$A$1:$AK$127,MATCH(Data!J264,Rate_Chart!$A$1:$A$127,0),MATCH(Data!K264,Rate_Chart!$A$1:$AK$1,0))</f>
        <v>44.481181500000005</v>
      </c>
      <c r="O264" s="57">
        <f t="shared" si="54"/>
        <v>266.88708900000006</v>
      </c>
      <c r="P264" s="58">
        <f t="shared" si="55"/>
        <v>417.01107656250002</v>
      </c>
      <c r="Q264" s="58">
        <f t="shared" si="56"/>
        <v>278.00738437500002</v>
      </c>
      <c r="R264" s="66">
        <f t="shared" si="62"/>
        <v>4.6705240575000015</v>
      </c>
      <c r="S264" s="64">
        <f t="shared" si="57"/>
        <v>22.5</v>
      </c>
      <c r="T264" s="66">
        <f t="shared" si="58"/>
        <v>294.05761305750008</v>
      </c>
      <c r="U264" s="68">
        <f t="shared" si="59"/>
        <v>49.009602176250013</v>
      </c>
      <c r="V264" s="68">
        <f t="shared" si="60"/>
        <v>459.46502040234384</v>
      </c>
      <c r="W264" s="68">
        <f t="shared" si="61"/>
        <v>306.31001360156256</v>
      </c>
    </row>
    <row r="265" spans="1:23" x14ac:dyDescent="0.25">
      <c r="A265" s="169" t="s">
        <v>943</v>
      </c>
      <c r="B265" s="61" t="s">
        <v>391</v>
      </c>
      <c r="C265" s="61" t="s">
        <v>585</v>
      </c>
      <c r="D265" s="61" t="s">
        <v>586</v>
      </c>
      <c r="E265" s="1" t="s">
        <v>939</v>
      </c>
      <c r="F265" s="62" t="str">
        <f t="shared" si="63"/>
        <v>60526</v>
      </c>
      <c r="G265" s="269">
        <v>10620072</v>
      </c>
      <c r="H265" s="1" t="s">
        <v>381</v>
      </c>
      <c r="I265" s="61">
        <v>9</v>
      </c>
      <c r="J265" s="61">
        <v>5.5</v>
      </c>
      <c r="K265" s="61">
        <v>8.8000000000000007</v>
      </c>
      <c r="L265" s="69">
        <f t="shared" si="52"/>
        <v>0.495</v>
      </c>
      <c r="M265" s="69">
        <f t="shared" si="53"/>
        <v>0.79200000000000004</v>
      </c>
      <c r="N265" s="56">
        <f>INDEX(Rate_Chart!$A$1:$AK$127,MATCH(Data!J265,Rate_Chart!$A$1:$A$127,0),MATCH(Data!K265,Rate_Chart!$A$1:$AK$1,0))</f>
        <v>46.566181499999999</v>
      </c>
      <c r="O265" s="57">
        <f t="shared" si="54"/>
        <v>419.09563349999996</v>
      </c>
      <c r="P265" s="58">
        <f t="shared" si="55"/>
        <v>409.67315102639293</v>
      </c>
      <c r="Q265" s="58">
        <f t="shared" si="56"/>
        <v>273.11543401759531</v>
      </c>
      <c r="R265" s="66">
        <f t="shared" si="62"/>
        <v>7.3341735862500004</v>
      </c>
      <c r="S265" s="64">
        <f t="shared" si="57"/>
        <v>33.75</v>
      </c>
      <c r="T265" s="66">
        <f t="shared" si="58"/>
        <v>460.17980708624998</v>
      </c>
      <c r="U265" s="68">
        <f t="shared" si="59"/>
        <v>51.131089676249999</v>
      </c>
      <c r="V265" s="68">
        <f t="shared" si="60"/>
        <v>449.83363351539589</v>
      </c>
      <c r="W265" s="68">
        <f t="shared" si="61"/>
        <v>299.88908901026394</v>
      </c>
    </row>
    <row r="266" spans="1:23" x14ac:dyDescent="0.25">
      <c r="A266" s="169" t="s">
        <v>944</v>
      </c>
      <c r="B266" s="61" t="s">
        <v>390</v>
      </c>
      <c r="C266" s="61" t="s">
        <v>585</v>
      </c>
      <c r="D266" s="61" t="s">
        <v>586</v>
      </c>
      <c r="E266" s="1" t="s">
        <v>939</v>
      </c>
      <c r="F266" s="62" t="str">
        <f t="shared" si="63"/>
        <v>60526</v>
      </c>
      <c r="G266" s="269">
        <v>10620072</v>
      </c>
      <c r="H266" s="1" t="s">
        <v>382</v>
      </c>
      <c r="I266" s="61">
        <v>8</v>
      </c>
      <c r="J266" s="61">
        <v>4.5</v>
      </c>
      <c r="K266" s="61">
        <v>8.5</v>
      </c>
      <c r="L266" s="69">
        <f t="shared" si="52"/>
        <v>0.36</v>
      </c>
      <c r="M266" s="69">
        <f t="shared" si="53"/>
        <v>0.68</v>
      </c>
      <c r="N266" s="56">
        <f>INDEX(Rate_Chart!$A$1:$AK$127,MATCH(Data!J266,Rate_Chart!$A$1:$A$127,0),MATCH(Data!K266,Rate_Chart!$A$1:$AK$1,0))</f>
        <v>42.396181500000004</v>
      </c>
      <c r="O266" s="57">
        <f t="shared" si="54"/>
        <v>339.16945200000004</v>
      </c>
      <c r="P266" s="58">
        <f t="shared" si="55"/>
        <v>417.01162131147544</v>
      </c>
      <c r="Q266" s="58">
        <f t="shared" si="56"/>
        <v>278.00774754098364</v>
      </c>
      <c r="R266" s="66">
        <f t="shared" si="62"/>
        <v>5.9354654100000008</v>
      </c>
      <c r="S266" s="64">
        <f t="shared" si="57"/>
        <v>30</v>
      </c>
      <c r="T266" s="66">
        <f t="shared" si="58"/>
        <v>375.10491741000004</v>
      </c>
      <c r="U266" s="68">
        <f t="shared" si="59"/>
        <v>46.888114676250005</v>
      </c>
      <c r="V266" s="68">
        <f t="shared" si="60"/>
        <v>461.19457058606559</v>
      </c>
      <c r="W266" s="68">
        <f t="shared" si="61"/>
        <v>307.46304705737708</v>
      </c>
    </row>
    <row r="267" spans="1:23" x14ac:dyDescent="0.25">
      <c r="A267" s="169" t="s">
        <v>944</v>
      </c>
      <c r="B267" s="61" t="s">
        <v>391</v>
      </c>
      <c r="C267" s="61" t="s">
        <v>585</v>
      </c>
      <c r="D267" s="61" t="s">
        <v>586</v>
      </c>
      <c r="E267" s="1" t="s">
        <v>939</v>
      </c>
      <c r="F267" s="62" t="str">
        <f t="shared" si="63"/>
        <v>60526</v>
      </c>
      <c r="G267" s="269">
        <v>10620072</v>
      </c>
      <c r="H267" s="1" t="s">
        <v>382</v>
      </c>
      <c r="I267" s="61">
        <v>8</v>
      </c>
      <c r="J267" s="61">
        <v>4.9000000000000004</v>
      </c>
      <c r="K267" s="61">
        <v>8.5</v>
      </c>
      <c r="L267" s="69">
        <f t="shared" si="52"/>
        <v>0.39200000000000002</v>
      </c>
      <c r="M267" s="69">
        <f t="shared" si="53"/>
        <v>0.68</v>
      </c>
      <c r="N267" s="56">
        <f>INDEX(Rate_Chart!$A$1:$AK$127,MATCH(Data!J267,Rate_Chart!$A$1:$A$127,0),MATCH(Data!K267,Rate_Chart!$A$1:$AK$1,0))</f>
        <v>44.064181500000004</v>
      </c>
      <c r="O267" s="57">
        <f t="shared" si="54"/>
        <v>352.51345200000003</v>
      </c>
      <c r="P267" s="58">
        <f t="shared" si="55"/>
        <v>417.01118138801263</v>
      </c>
      <c r="Q267" s="58">
        <f t="shared" si="56"/>
        <v>278.00745425867507</v>
      </c>
      <c r="R267" s="66">
        <f t="shared" si="62"/>
        <v>6.1689854100000012</v>
      </c>
      <c r="S267" s="64">
        <f t="shared" si="57"/>
        <v>30</v>
      </c>
      <c r="T267" s="66">
        <f t="shared" si="58"/>
        <v>388.68243741000003</v>
      </c>
      <c r="U267" s="68">
        <f t="shared" si="59"/>
        <v>48.585304676250004</v>
      </c>
      <c r="V267" s="68">
        <f t="shared" si="60"/>
        <v>459.79783605283916</v>
      </c>
      <c r="W267" s="68">
        <f t="shared" si="61"/>
        <v>306.53189070189279</v>
      </c>
    </row>
    <row r="268" spans="1:23" x14ac:dyDescent="0.25">
      <c r="A268" s="169" t="s">
        <v>945</v>
      </c>
      <c r="B268" s="61" t="s">
        <v>390</v>
      </c>
      <c r="C268" s="61" t="s">
        <v>585</v>
      </c>
      <c r="D268" s="61" t="s">
        <v>586</v>
      </c>
      <c r="E268" s="1" t="s">
        <v>939</v>
      </c>
      <c r="F268" s="62" t="str">
        <f t="shared" si="63"/>
        <v>60526</v>
      </c>
      <c r="G268" s="269">
        <v>10620072</v>
      </c>
      <c r="H268" s="1" t="s">
        <v>382</v>
      </c>
      <c r="I268" s="61">
        <v>9</v>
      </c>
      <c r="J268" s="61">
        <v>4.3</v>
      </c>
      <c r="K268" s="61">
        <v>8.1999999999999993</v>
      </c>
      <c r="L268" s="69">
        <f t="shared" si="52"/>
        <v>0.38699999999999996</v>
      </c>
      <c r="M268" s="69">
        <f t="shared" si="53"/>
        <v>0.73799999999999999</v>
      </c>
      <c r="N268" s="56">
        <f>INDEX(Rate_Chart!$A$1:$AK$127,MATCH(Data!J268,Rate_Chart!$A$1:$A$127,0),MATCH(Data!K268,Rate_Chart!$A$1:$AK$1,0))</f>
        <v>40.728139799999994</v>
      </c>
      <c r="O268" s="57">
        <f t="shared" si="54"/>
        <v>366.55325819999996</v>
      </c>
      <c r="P268" s="58">
        <f t="shared" si="55"/>
        <v>417.01167030716726</v>
      </c>
      <c r="Q268" s="58">
        <f t="shared" si="56"/>
        <v>278.00778020477816</v>
      </c>
      <c r="R268" s="66">
        <f t="shared" si="62"/>
        <v>6.4146820184999997</v>
      </c>
      <c r="S268" s="64">
        <f t="shared" si="57"/>
        <v>33.75</v>
      </c>
      <c r="T268" s="66">
        <f t="shared" si="58"/>
        <v>406.71794021849996</v>
      </c>
      <c r="U268" s="68">
        <f t="shared" si="59"/>
        <v>45.190882246499996</v>
      </c>
      <c r="V268" s="68">
        <f t="shared" si="60"/>
        <v>462.70527897440275</v>
      </c>
      <c r="W268" s="68">
        <f t="shared" si="61"/>
        <v>308.47018598293516</v>
      </c>
    </row>
    <row r="269" spans="1:23" x14ac:dyDescent="0.25">
      <c r="A269" s="169" t="s">
        <v>945</v>
      </c>
      <c r="B269" s="61" t="s">
        <v>391</v>
      </c>
      <c r="C269" s="61" t="s">
        <v>585</v>
      </c>
      <c r="D269" s="61" t="s">
        <v>586</v>
      </c>
      <c r="E269" s="1" t="s">
        <v>939</v>
      </c>
      <c r="F269" s="62" t="str">
        <f t="shared" si="63"/>
        <v>60526</v>
      </c>
      <c r="G269" s="269">
        <v>10620072</v>
      </c>
      <c r="H269" s="1" t="s">
        <v>381</v>
      </c>
      <c r="I269" s="61">
        <v>6</v>
      </c>
      <c r="J269" s="61">
        <v>5.6</v>
      </c>
      <c r="K269" s="61">
        <v>8.5</v>
      </c>
      <c r="L269" s="69">
        <f t="shared" si="52"/>
        <v>0.33599999999999997</v>
      </c>
      <c r="M269" s="69">
        <f t="shared" si="53"/>
        <v>0.51</v>
      </c>
      <c r="N269" s="56">
        <f>INDEX(Rate_Chart!$A$1:$AK$127,MATCH(Data!J269,Rate_Chart!$A$1:$A$127,0),MATCH(Data!K269,Rate_Chart!$A$1:$AK$1,0))</f>
        <v>45.357199999999999</v>
      </c>
      <c r="O269" s="57">
        <f t="shared" si="54"/>
        <v>272.14319999999998</v>
      </c>
      <c r="P269" s="58">
        <f t="shared" si="55"/>
        <v>402.57869822485208</v>
      </c>
      <c r="Q269" s="58">
        <f t="shared" si="56"/>
        <v>268.38579881656807</v>
      </c>
      <c r="R269" s="66">
        <f t="shared" si="62"/>
        <v>4.7625060000000001</v>
      </c>
      <c r="S269" s="64">
        <f t="shared" si="57"/>
        <v>22.5</v>
      </c>
      <c r="T269" s="66">
        <f t="shared" si="58"/>
        <v>299.40570600000001</v>
      </c>
      <c r="U269" s="68">
        <f t="shared" si="59"/>
        <v>49.900950999999999</v>
      </c>
      <c r="V269" s="68">
        <f t="shared" si="60"/>
        <v>442.90784911242605</v>
      </c>
      <c r="W269" s="68">
        <f t="shared" si="61"/>
        <v>295.27189940828401</v>
      </c>
    </row>
    <row r="270" spans="1:23" x14ac:dyDescent="0.25">
      <c r="A270" s="169" t="s">
        <v>946</v>
      </c>
      <c r="B270" s="61" t="s">
        <v>390</v>
      </c>
      <c r="C270" s="61" t="s">
        <v>585</v>
      </c>
      <c r="D270" s="61" t="s">
        <v>586</v>
      </c>
      <c r="E270" s="1" t="s">
        <v>939</v>
      </c>
      <c r="F270" s="62" t="str">
        <f t="shared" si="63"/>
        <v>60526</v>
      </c>
      <c r="G270" s="269">
        <v>10620072</v>
      </c>
      <c r="H270" s="1" t="s">
        <v>382</v>
      </c>
      <c r="I270" s="61">
        <v>6</v>
      </c>
      <c r="J270" s="61">
        <v>3.5</v>
      </c>
      <c r="K270" s="61">
        <v>8.3000000000000007</v>
      </c>
      <c r="L270" s="69">
        <f t="shared" si="52"/>
        <v>0.21</v>
      </c>
      <c r="M270" s="69">
        <f t="shared" si="53"/>
        <v>0.49800000000000005</v>
      </c>
      <c r="N270" s="56">
        <f>INDEX(Rate_Chart!$A$1:$AK$127,MATCH(Data!J270,Rate_Chart!$A$1:$A$127,0),MATCH(Data!K270,Rate_Chart!$A$1:$AK$1,0))</f>
        <v>37.670153700000007</v>
      </c>
      <c r="O270" s="57">
        <f t="shared" si="54"/>
        <v>226.02092220000003</v>
      </c>
      <c r="P270" s="58">
        <f t="shared" si="55"/>
        <v>417.01277158671587</v>
      </c>
      <c r="Q270" s="58">
        <f t="shared" si="56"/>
        <v>278.00851439114393</v>
      </c>
      <c r="R270" s="66">
        <f t="shared" si="62"/>
        <v>3.955366138500001</v>
      </c>
      <c r="S270" s="64">
        <f t="shared" si="57"/>
        <v>22.5</v>
      </c>
      <c r="T270" s="66">
        <f t="shared" si="58"/>
        <v>252.47628833850004</v>
      </c>
      <c r="U270" s="68">
        <f t="shared" si="59"/>
        <v>42.079381389750004</v>
      </c>
      <c r="V270" s="68">
        <f t="shared" si="60"/>
        <v>465.82341021863465</v>
      </c>
      <c r="W270" s="68">
        <f t="shared" si="61"/>
        <v>310.54894014575643</v>
      </c>
    </row>
    <row r="271" spans="1:23" x14ac:dyDescent="0.25">
      <c r="A271" s="169" t="s">
        <v>946</v>
      </c>
      <c r="B271" s="61" t="s">
        <v>391</v>
      </c>
      <c r="C271" s="61" t="s">
        <v>585</v>
      </c>
      <c r="D271" s="61" t="s">
        <v>586</v>
      </c>
      <c r="E271" s="1" t="s">
        <v>939</v>
      </c>
      <c r="F271" s="62" t="str">
        <f t="shared" si="63"/>
        <v>60526</v>
      </c>
      <c r="G271" s="269">
        <v>10620072</v>
      </c>
      <c r="H271" s="1" t="s">
        <v>381</v>
      </c>
      <c r="I271" s="61">
        <v>7</v>
      </c>
      <c r="J271" s="61">
        <v>5.5</v>
      </c>
      <c r="K271" s="61">
        <v>8.5</v>
      </c>
      <c r="L271" s="69">
        <f t="shared" si="52"/>
        <v>0.38500000000000001</v>
      </c>
      <c r="M271" s="69">
        <f t="shared" si="53"/>
        <v>0.59499999999999997</v>
      </c>
      <c r="N271" s="56">
        <f>INDEX(Rate_Chart!$A$1:$AK$127,MATCH(Data!J271,Rate_Chart!$A$1:$A$127,0),MATCH(Data!K271,Rate_Chart!$A$1:$AK$1,0))</f>
        <v>46.566181499999999</v>
      </c>
      <c r="O271" s="57">
        <f t="shared" si="54"/>
        <v>325.96327050000002</v>
      </c>
      <c r="P271" s="58">
        <f t="shared" si="55"/>
        <v>417.01058059701495</v>
      </c>
      <c r="Q271" s="58">
        <f t="shared" si="56"/>
        <v>278.00705373134332</v>
      </c>
      <c r="R271" s="66">
        <f t="shared" si="62"/>
        <v>5.7043572337500006</v>
      </c>
      <c r="S271" s="64">
        <f t="shared" si="57"/>
        <v>26.25</v>
      </c>
      <c r="T271" s="66">
        <f t="shared" si="58"/>
        <v>357.91762773375001</v>
      </c>
      <c r="U271" s="68">
        <f t="shared" si="59"/>
        <v>51.131089676249999</v>
      </c>
      <c r="V271" s="68">
        <f t="shared" si="60"/>
        <v>457.89035530970148</v>
      </c>
      <c r="W271" s="68">
        <f t="shared" si="61"/>
        <v>305.26023687313432</v>
      </c>
    </row>
    <row r="272" spans="1:23" x14ac:dyDescent="0.25">
      <c r="A272" s="169" t="s">
        <v>947</v>
      </c>
      <c r="B272" s="61" t="s">
        <v>390</v>
      </c>
      <c r="C272" s="61" t="s">
        <v>585</v>
      </c>
      <c r="D272" s="61" t="s">
        <v>586</v>
      </c>
      <c r="E272" s="1" t="s">
        <v>939</v>
      </c>
      <c r="F272" s="62" t="str">
        <f t="shared" si="63"/>
        <v>60526</v>
      </c>
      <c r="G272" s="269">
        <v>10620072</v>
      </c>
      <c r="H272" s="1" t="s">
        <v>382</v>
      </c>
      <c r="I272" s="61">
        <v>9</v>
      </c>
      <c r="J272" s="61">
        <v>4.2</v>
      </c>
      <c r="K272" s="61">
        <v>8.3000000000000007</v>
      </c>
      <c r="L272" s="69">
        <f t="shared" si="52"/>
        <v>0.37800000000000006</v>
      </c>
      <c r="M272" s="69">
        <f t="shared" si="53"/>
        <v>0.747</v>
      </c>
      <c r="N272" s="56">
        <f>INDEX(Rate_Chart!$A$1:$AK$127,MATCH(Data!J272,Rate_Chart!$A$1:$A$127,0),MATCH(Data!K272,Rate_Chart!$A$1:$AK$1,0))</f>
        <v>40.589153700000004</v>
      </c>
      <c r="O272" s="57">
        <f t="shared" si="54"/>
        <v>365.30238330000003</v>
      </c>
      <c r="P272" s="58">
        <f t="shared" si="55"/>
        <v>417.01185308219181</v>
      </c>
      <c r="Q272" s="58">
        <f t="shared" si="56"/>
        <v>278.00790205479456</v>
      </c>
      <c r="R272" s="66">
        <f t="shared" si="62"/>
        <v>6.3927917077500007</v>
      </c>
      <c r="S272" s="64">
        <f t="shared" si="57"/>
        <v>33.75</v>
      </c>
      <c r="T272" s="66">
        <f t="shared" si="58"/>
        <v>405.44517500775004</v>
      </c>
      <c r="U272" s="68">
        <f t="shared" si="59"/>
        <v>45.049463889750001</v>
      </c>
      <c r="V272" s="68">
        <f t="shared" si="60"/>
        <v>462.83695777140406</v>
      </c>
      <c r="W272" s="68">
        <f t="shared" si="61"/>
        <v>308.55797184760269</v>
      </c>
    </row>
    <row r="273" spans="1:23" x14ac:dyDescent="0.25">
      <c r="A273" s="169" t="s">
        <v>947</v>
      </c>
      <c r="B273" s="61" t="s">
        <v>391</v>
      </c>
      <c r="C273" s="61" t="s">
        <v>585</v>
      </c>
      <c r="D273" s="61" t="s">
        <v>586</v>
      </c>
      <c r="E273" s="1" t="s">
        <v>939</v>
      </c>
      <c r="F273" s="62" t="str">
        <f t="shared" si="63"/>
        <v>60526</v>
      </c>
      <c r="G273" s="269">
        <v>10620072</v>
      </c>
      <c r="H273" s="1" t="s">
        <v>382</v>
      </c>
      <c r="I273" s="61">
        <v>8</v>
      </c>
      <c r="J273" s="61">
        <v>5.3</v>
      </c>
      <c r="K273" s="61">
        <v>8.5</v>
      </c>
      <c r="L273" s="69">
        <f t="shared" si="52"/>
        <v>0.42399999999999999</v>
      </c>
      <c r="M273" s="69">
        <f t="shared" si="53"/>
        <v>0.68</v>
      </c>
      <c r="N273" s="56">
        <f>INDEX(Rate_Chart!$A$1:$AK$127,MATCH(Data!J273,Rate_Chart!$A$1:$A$127,0),MATCH(Data!K273,Rate_Chart!$A$1:$AK$1,0))</f>
        <v>45.732181500000003</v>
      </c>
      <c r="O273" s="57">
        <f t="shared" si="54"/>
        <v>365.85745200000002</v>
      </c>
      <c r="P273" s="58">
        <f t="shared" si="55"/>
        <v>417.01077355623107</v>
      </c>
      <c r="Q273" s="58">
        <f t="shared" si="56"/>
        <v>278.00718237082071</v>
      </c>
      <c r="R273" s="66">
        <f t="shared" si="62"/>
        <v>6.4025054100000007</v>
      </c>
      <c r="S273" s="64">
        <f t="shared" si="57"/>
        <v>30</v>
      </c>
      <c r="T273" s="66">
        <f t="shared" si="58"/>
        <v>402.25995741000003</v>
      </c>
      <c r="U273" s="68">
        <f t="shared" si="59"/>
        <v>50.282494676250003</v>
      </c>
      <c r="V273" s="68">
        <f t="shared" si="60"/>
        <v>458.50299096884504</v>
      </c>
      <c r="W273" s="68">
        <f t="shared" si="61"/>
        <v>305.66866064589669</v>
      </c>
    </row>
    <row r="274" spans="1:23" x14ac:dyDescent="0.25">
      <c r="A274" s="169" t="s">
        <v>941</v>
      </c>
      <c r="B274" s="61" t="s">
        <v>390</v>
      </c>
      <c r="C274" s="61" t="s">
        <v>585</v>
      </c>
      <c r="D274" s="61" t="s">
        <v>586</v>
      </c>
      <c r="E274" s="1" t="s">
        <v>341</v>
      </c>
      <c r="F274" s="62" t="str">
        <f t="shared" si="63"/>
        <v>60566</v>
      </c>
      <c r="G274" s="269">
        <v>10620059</v>
      </c>
      <c r="H274" s="1" t="s">
        <v>382</v>
      </c>
      <c r="I274" s="61">
        <v>12</v>
      </c>
      <c r="J274" s="61">
        <v>3.3</v>
      </c>
      <c r="K274" s="61">
        <v>8</v>
      </c>
      <c r="L274" s="69">
        <f t="shared" si="52"/>
        <v>0.39599999999999996</v>
      </c>
      <c r="M274" s="69">
        <f t="shared" si="53"/>
        <v>0.96</v>
      </c>
      <c r="N274" s="56">
        <f>INDEX(Rate_Chart!$A$1:$AK$127,MATCH(Data!J274,Rate_Chart!$A$1:$A$127,0),MATCH(Data!K274,Rate_Chart!$A$1:$AK$1,0))</f>
        <v>36.002112000000004</v>
      </c>
      <c r="O274" s="57">
        <f t="shared" si="54"/>
        <v>432.02534400000002</v>
      </c>
      <c r="P274" s="58">
        <f t="shared" si="55"/>
        <v>417.01288030888031</v>
      </c>
      <c r="Q274" s="58">
        <f t="shared" si="56"/>
        <v>278.00858687258687</v>
      </c>
      <c r="R274" s="66">
        <f t="shared" si="62"/>
        <v>7.5604435200000006</v>
      </c>
      <c r="S274" s="64">
        <f t="shared" si="57"/>
        <v>45</v>
      </c>
      <c r="T274" s="66">
        <f t="shared" si="58"/>
        <v>484.58578752</v>
      </c>
      <c r="U274" s="68">
        <f t="shared" si="59"/>
        <v>40.382148960000002</v>
      </c>
      <c r="V274" s="68">
        <f t="shared" si="60"/>
        <v>467.74689915057911</v>
      </c>
      <c r="W274" s="68">
        <f t="shared" si="61"/>
        <v>311.83126610038607</v>
      </c>
    </row>
    <row r="275" spans="1:23" x14ac:dyDescent="0.25">
      <c r="A275" s="169" t="s">
        <v>942</v>
      </c>
      <c r="B275" s="61" t="s">
        <v>390</v>
      </c>
      <c r="C275" s="61" t="s">
        <v>585</v>
      </c>
      <c r="D275" s="61" t="s">
        <v>586</v>
      </c>
      <c r="E275" s="1" t="s">
        <v>341</v>
      </c>
      <c r="F275" s="62" t="str">
        <f t="shared" si="63"/>
        <v>60566</v>
      </c>
      <c r="G275" s="269">
        <v>10620059</v>
      </c>
      <c r="H275" s="1" t="s">
        <v>381</v>
      </c>
      <c r="I275" s="61">
        <v>9</v>
      </c>
      <c r="J275" s="61">
        <v>7.4</v>
      </c>
      <c r="K275" s="61">
        <v>9</v>
      </c>
      <c r="L275" s="69">
        <f t="shared" si="52"/>
        <v>0.66600000000000004</v>
      </c>
      <c r="M275" s="69">
        <f t="shared" si="53"/>
        <v>0.81</v>
      </c>
      <c r="N275" s="56">
        <f>INDEX(Rate_Chart!$A$1:$AK$127,MATCH(Data!J275,Rate_Chart!$A$1:$A$127,0),MATCH(Data!K275,Rate_Chart!$A$1:$AK$1,0))</f>
        <v>61.790000000000006</v>
      </c>
      <c r="O275" s="57">
        <f t="shared" si="54"/>
        <v>556.11</v>
      </c>
      <c r="P275" s="58">
        <f t="shared" si="55"/>
        <v>461.11940298507466</v>
      </c>
      <c r="Q275" s="58">
        <f t="shared" si="56"/>
        <v>307.41293532338312</v>
      </c>
      <c r="R275" s="66">
        <f t="shared" si="62"/>
        <v>9.7319250000000004</v>
      </c>
      <c r="S275" s="64">
        <f t="shared" si="57"/>
        <v>33.75</v>
      </c>
      <c r="T275" s="66">
        <f t="shared" si="58"/>
        <v>599.59192500000006</v>
      </c>
      <c r="U275" s="68">
        <f t="shared" si="59"/>
        <v>66.621325000000013</v>
      </c>
      <c r="V275" s="68">
        <f t="shared" si="60"/>
        <v>497.17406716417918</v>
      </c>
      <c r="W275" s="68">
        <f t="shared" si="61"/>
        <v>331.44937810945277</v>
      </c>
    </row>
    <row r="276" spans="1:23" x14ac:dyDescent="0.25">
      <c r="A276" s="169" t="s">
        <v>942</v>
      </c>
      <c r="B276" s="61" t="s">
        <v>391</v>
      </c>
      <c r="C276" s="61" t="s">
        <v>585</v>
      </c>
      <c r="D276" s="61" t="s">
        <v>586</v>
      </c>
      <c r="E276" s="1" t="s">
        <v>341</v>
      </c>
      <c r="F276" s="62" t="str">
        <f t="shared" si="63"/>
        <v>60566</v>
      </c>
      <c r="G276" s="269">
        <v>10620059</v>
      </c>
      <c r="H276" s="1" t="s">
        <v>382</v>
      </c>
      <c r="I276" s="61">
        <v>84</v>
      </c>
      <c r="J276" s="61">
        <v>3.9</v>
      </c>
      <c r="K276" s="61">
        <v>8.1999999999999993</v>
      </c>
      <c r="L276" s="69">
        <f t="shared" si="52"/>
        <v>3.2759999999999998</v>
      </c>
      <c r="M276" s="69">
        <f t="shared" si="53"/>
        <v>6.8879999999999999</v>
      </c>
      <c r="N276" s="56">
        <f>INDEX(Rate_Chart!$A$1:$AK$127,MATCH(Data!J276,Rate_Chart!$A$1:$A$127,0),MATCH(Data!K276,Rate_Chart!$A$1:$AK$1,0))</f>
        <v>39.060139800000002</v>
      </c>
      <c r="O276" s="57">
        <f t="shared" si="54"/>
        <v>3281.0517432000001</v>
      </c>
      <c r="P276" s="58">
        <f t="shared" si="55"/>
        <v>417.01216868327407</v>
      </c>
      <c r="Q276" s="58">
        <f t="shared" si="56"/>
        <v>278.00811245551603</v>
      </c>
      <c r="R276" s="66">
        <f t="shared" si="62"/>
        <v>57.418405506000006</v>
      </c>
      <c r="S276" s="64">
        <f t="shared" si="57"/>
        <v>315</v>
      </c>
      <c r="T276" s="66">
        <f t="shared" si="58"/>
        <v>3653.4701487060001</v>
      </c>
      <c r="U276" s="68">
        <f t="shared" si="59"/>
        <v>43.493692246500004</v>
      </c>
      <c r="V276" s="68">
        <f t="shared" si="60"/>
        <v>464.34546882384348</v>
      </c>
      <c r="W276" s="68">
        <f t="shared" si="61"/>
        <v>309.5636458825623</v>
      </c>
    </row>
    <row r="277" spans="1:23" x14ac:dyDescent="0.25">
      <c r="A277" s="169" t="s">
        <v>943</v>
      </c>
      <c r="B277" s="61" t="s">
        <v>390</v>
      </c>
      <c r="C277" s="61" t="s">
        <v>585</v>
      </c>
      <c r="D277" s="61" t="s">
        <v>586</v>
      </c>
      <c r="E277" s="1" t="s">
        <v>341</v>
      </c>
      <c r="F277" s="62" t="str">
        <f t="shared" si="63"/>
        <v>60566</v>
      </c>
      <c r="G277" s="269">
        <v>10620059</v>
      </c>
      <c r="H277" s="1" t="s">
        <v>381</v>
      </c>
      <c r="I277" s="61">
        <v>19</v>
      </c>
      <c r="J277" s="61">
        <v>5.7</v>
      </c>
      <c r="K277" s="61">
        <v>8.8000000000000007</v>
      </c>
      <c r="L277" s="69">
        <f t="shared" si="52"/>
        <v>1.083</v>
      </c>
      <c r="M277" s="69">
        <f t="shared" si="53"/>
        <v>1.6720000000000002</v>
      </c>
      <c r="N277" s="56">
        <f>INDEX(Rate_Chart!$A$1:$AK$127,MATCH(Data!J277,Rate_Chart!$A$1:$A$127,0),MATCH(Data!K277,Rate_Chart!$A$1:$AK$1,0))</f>
        <v>47.119050000000001</v>
      </c>
      <c r="O277" s="57">
        <f t="shared" si="54"/>
        <v>895.26195000000007</v>
      </c>
      <c r="P277" s="58">
        <f t="shared" si="55"/>
        <v>407.3693083573487</v>
      </c>
      <c r="Q277" s="58">
        <f t="shared" si="56"/>
        <v>271.57953890489915</v>
      </c>
      <c r="R277" s="66">
        <f t="shared" si="62"/>
        <v>15.667084125000002</v>
      </c>
      <c r="S277" s="64">
        <f t="shared" si="57"/>
        <v>71.25</v>
      </c>
      <c r="T277" s="66">
        <f t="shared" si="58"/>
        <v>982.17903412500004</v>
      </c>
      <c r="U277" s="68">
        <f t="shared" si="59"/>
        <v>51.693633375000005</v>
      </c>
      <c r="V277" s="68">
        <f t="shared" si="60"/>
        <v>446.91902053314124</v>
      </c>
      <c r="W277" s="68">
        <f t="shared" si="61"/>
        <v>297.94601368876084</v>
      </c>
    </row>
    <row r="278" spans="1:23" x14ac:dyDescent="0.25">
      <c r="A278" s="169" t="s">
        <v>943</v>
      </c>
      <c r="B278" s="61" t="s">
        <v>391</v>
      </c>
      <c r="C278" s="61" t="s">
        <v>585</v>
      </c>
      <c r="D278" s="61" t="s">
        <v>586</v>
      </c>
      <c r="E278" s="1" t="s">
        <v>341</v>
      </c>
      <c r="F278" s="62" t="str">
        <f t="shared" si="63"/>
        <v>60566</v>
      </c>
      <c r="G278" s="269">
        <v>10620059</v>
      </c>
      <c r="H278" s="1" t="s">
        <v>381</v>
      </c>
      <c r="I278" s="61">
        <v>39</v>
      </c>
      <c r="J278" s="61">
        <v>5.5</v>
      </c>
      <c r="K278" s="61">
        <v>8.6</v>
      </c>
      <c r="L278" s="69">
        <f t="shared" si="52"/>
        <v>2.145</v>
      </c>
      <c r="M278" s="69">
        <f t="shared" si="53"/>
        <v>3.3539999999999996</v>
      </c>
      <c r="N278" s="56">
        <f>INDEX(Rate_Chart!$A$1:$AK$127,MATCH(Data!J278,Rate_Chart!$A$1:$A$127,0),MATCH(Data!K278,Rate_Chart!$A$1:$AK$1,0))</f>
        <v>46.566181499999999</v>
      </c>
      <c r="O278" s="57">
        <f t="shared" si="54"/>
        <v>1816.0810784999999</v>
      </c>
      <c r="P278" s="58">
        <f t="shared" si="55"/>
        <v>414.53574035608312</v>
      </c>
      <c r="Q278" s="58">
        <f t="shared" si="56"/>
        <v>276.35716023738877</v>
      </c>
      <c r="R278" s="66">
        <f t="shared" si="62"/>
        <v>31.781418873750003</v>
      </c>
      <c r="S278" s="64">
        <f t="shared" si="57"/>
        <v>146.25</v>
      </c>
      <c r="T278" s="66">
        <f t="shared" si="58"/>
        <v>1994.1124973737499</v>
      </c>
      <c r="U278" s="68">
        <f t="shared" si="59"/>
        <v>51.131089676249999</v>
      </c>
      <c r="V278" s="68">
        <f t="shared" si="60"/>
        <v>455.17290512982197</v>
      </c>
      <c r="W278" s="68">
        <f t="shared" si="61"/>
        <v>303.44860341988129</v>
      </c>
    </row>
    <row r="279" spans="1:23" x14ac:dyDescent="0.25">
      <c r="A279" s="169" t="s">
        <v>943</v>
      </c>
      <c r="B279" s="61" t="s">
        <v>391</v>
      </c>
      <c r="C279" s="61" t="s">
        <v>585</v>
      </c>
      <c r="D279" s="61" t="s">
        <v>586</v>
      </c>
      <c r="E279" s="1" t="s">
        <v>341</v>
      </c>
      <c r="F279" s="62" t="str">
        <f t="shared" si="63"/>
        <v>60566</v>
      </c>
      <c r="G279" s="269">
        <v>10620059</v>
      </c>
      <c r="H279" s="1" t="s">
        <v>382</v>
      </c>
      <c r="I279" s="61">
        <v>38</v>
      </c>
      <c r="J279" s="61">
        <v>3</v>
      </c>
      <c r="K279" s="61">
        <v>8</v>
      </c>
      <c r="L279" s="69">
        <f t="shared" si="52"/>
        <v>1.1399999999999999</v>
      </c>
      <c r="M279" s="69">
        <f t="shared" si="53"/>
        <v>3.04</v>
      </c>
      <c r="N279" s="56">
        <f>INDEX(Rate_Chart!$A$1:$AK$127,MATCH(Data!J279,Rate_Chart!$A$1:$A$127,0),MATCH(Data!K279,Rate_Chart!$A$1:$AK$1,0))</f>
        <v>34.751112000000006</v>
      </c>
      <c r="O279" s="57">
        <f t="shared" si="54"/>
        <v>1320.5422560000002</v>
      </c>
      <c r="P279" s="58">
        <f t="shared" si="55"/>
        <v>417.01334400000002</v>
      </c>
      <c r="Q279" s="58">
        <f t="shared" si="56"/>
        <v>278.00889599999999</v>
      </c>
      <c r="R279" s="66">
        <f t="shared" si="62"/>
        <v>23.109489480000004</v>
      </c>
      <c r="S279" s="64">
        <f t="shared" si="57"/>
        <v>142.5</v>
      </c>
      <c r="T279" s="66">
        <f t="shared" si="58"/>
        <v>1486.1517454800003</v>
      </c>
      <c r="U279" s="68">
        <f t="shared" si="59"/>
        <v>39.109256460000005</v>
      </c>
      <c r="V279" s="68">
        <f t="shared" si="60"/>
        <v>469.31107752000003</v>
      </c>
      <c r="W279" s="68">
        <f t="shared" si="61"/>
        <v>312.87405168000004</v>
      </c>
    </row>
    <row r="280" spans="1:23" x14ac:dyDescent="0.25">
      <c r="A280" s="169" t="s">
        <v>944</v>
      </c>
      <c r="B280" s="61" t="s">
        <v>390</v>
      </c>
      <c r="C280" s="61" t="s">
        <v>585</v>
      </c>
      <c r="D280" s="61" t="s">
        <v>586</v>
      </c>
      <c r="E280" s="1" t="s">
        <v>341</v>
      </c>
      <c r="F280" s="62" t="str">
        <f t="shared" si="63"/>
        <v>60566</v>
      </c>
      <c r="G280" s="269">
        <v>10620059</v>
      </c>
      <c r="H280" s="1" t="s">
        <v>381</v>
      </c>
      <c r="I280" s="61">
        <v>16</v>
      </c>
      <c r="J280" s="61">
        <v>5.7</v>
      </c>
      <c r="K280" s="61">
        <v>8.8000000000000007</v>
      </c>
      <c r="L280" s="69">
        <f t="shared" si="52"/>
        <v>0.91200000000000003</v>
      </c>
      <c r="M280" s="69">
        <f t="shared" si="53"/>
        <v>1.4080000000000001</v>
      </c>
      <c r="N280" s="56">
        <f>INDEX(Rate_Chart!$A$1:$AK$127,MATCH(Data!J280,Rate_Chart!$A$1:$A$127,0),MATCH(Data!K280,Rate_Chart!$A$1:$AK$1,0))</f>
        <v>47.119050000000001</v>
      </c>
      <c r="O280" s="57">
        <f t="shared" si="54"/>
        <v>753.90480000000002</v>
      </c>
      <c r="P280" s="58">
        <f t="shared" si="55"/>
        <v>407.3693083573487</v>
      </c>
      <c r="Q280" s="58">
        <f t="shared" si="56"/>
        <v>271.57953890489915</v>
      </c>
      <c r="R280" s="66">
        <f t="shared" si="62"/>
        <v>13.193334000000002</v>
      </c>
      <c r="S280" s="64">
        <f t="shared" si="57"/>
        <v>60</v>
      </c>
      <c r="T280" s="66">
        <f t="shared" si="58"/>
        <v>827.09813400000007</v>
      </c>
      <c r="U280" s="68">
        <f t="shared" si="59"/>
        <v>51.693633375000005</v>
      </c>
      <c r="V280" s="68">
        <f t="shared" si="60"/>
        <v>446.91902053314124</v>
      </c>
      <c r="W280" s="68">
        <f t="shared" si="61"/>
        <v>297.94601368876084</v>
      </c>
    </row>
    <row r="281" spans="1:23" x14ac:dyDescent="0.25">
      <c r="A281" s="169" t="s">
        <v>944</v>
      </c>
      <c r="B281" s="61" t="s">
        <v>390</v>
      </c>
      <c r="C281" s="61" t="s">
        <v>585</v>
      </c>
      <c r="D281" s="61" t="s">
        <v>586</v>
      </c>
      <c r="E281" s="1" t="s">
        <v>341</v>
      </c>
      <c r="F281" s="62" t="str">
        <f t="shared" si="63"/>
        <v>60566</v>
      </c>
      <c r="G281" s="269">
        <v>10620059</v>
      </c>
      <c r="H281" s="1" t="s">
        <v>382</v>
      </c>
      <c r="I281" s="61">
        <v>41</v>
      </c>
      <c r="J281" s="61">
        <v>3.7</v>
      </c>
      <c r="K281" s="61">
        <v>8</v>
      </c>
      <c r="L281" s="69">
        <f t="shared" si="52"/>
        <v>1.5170000000000001</v>
      </c>
      <c r="M281" s="69">
        <f t="shared" si="53"/>
        <v>3.28</v>
      </c>
      <c r="N281" s="56">
        <f>INDEX(Rate_Chart!$A$1:$AK$127,MATCH(Data!J281,Rate_Chart!$A$1:$A$127,0),MATCH(Data!K281,Rate_Chart!$A$1:$AK$1,0))</f>
        <v>37.670112000000003</v>
      </c>
      <c r="O281" s="57">
        <f t="shared" si="54"/>
        <v>1544.474592</v>
      </c>
      <c r="P281" s="58">
        <f t="shared" si="55"/>
        <v>417.0123099630996</v>
      </c>
      <c r="Q281" s="58">
        <f t="shared" si="56"/>
        <v>278.0082066420664</v>
      </c>
      <c r="R281" s="66">
        <f t="shared" si="62"/>
        <v>27.028305360000004</v>
      </c>
      <c r="S281" s="64">
        <f t="shared" si="57"/>
        <v>153.75</v>
      </c>
      <c r="T281" s="66">
        <f t="shared" si="58"/>
        <v>1725.2528973600001</v>
      </c>
      <c r="U281" s="68">
        <f t="shared" si="59"/>
        <v>42.079338960000001</v>
      </c>
      <c r="V281" s="68">
        <f t="shared" si="60"/>
        <v>465.82294051660512</v>
      </c>
      <c r="W281" s="68">
        <f t="shared" si="61"/>
        <v>310.5486270110701</v>
      </c>
    </row>
    <row r="282" spans="1:23" x14ac:dyDescent="0.25">
      <c r="A282" s="169" t="s">
        <v>944</v>
      </c>
      <c r="B282" s="61" t="s">
        <v>391</v>
      </c>
      <c r="C282" s="61" t="s">
        <v>585</v>
      </c>
      <c r="D282" s="61" t="s">
        <v>586</v>
      </c>
      <c r="E282" s="1" t="s">
        <v>341</v>
      </c>
      <c r="F282" s="62" t="str">
        <f t="shared" si="63"/>
        <v>60566</v>
      </c>
      <c r="G282" s="269">
        <v>10620059</v>
      </c>
      <c r="H282" s="1" t="s">
        <v>381</v>
      </c>
      <c r="I282" s="61">
        <v>36</v>
      </c>
      <c r="J282" s="61">
        <v>5.5</v>
      </c>
      <c r="K282" s="61">
        <v>8.5</v>
      </c>
      <c r="L282" s="69">
        <f t="shared" si="52"/>
        <v>1.98</v>
      </c>
      <c r="M282" s="69">
        <f t="shared" si="53"/>
        <v>3.06</v>
      </c>
      <c r="N282" s="56">
        <f>INDEX(Rate_Chart!$A$1:$AK$127,MATCH(Data!J282,Rate_Chart!$A$1:$A$127,0),MATCH(Data!K282,Rate_Chart!$A$1:$AK$1,0))</f>
        <v>46.566181499999999</v>
      </c>
      <c r="O282" s="57">
        <f t="shared" si="54"/>
        <v>1676.3825339999999</v>
      </c>
      <c r="P282" s="58">
        <f t="shared" si="55"/>
        <v>417.01058059701495</v>
      </c>
      <c r="Q282" s="58">
        <f t="shared" si="56"/>
        <v>278.00705373134332</v>
      </c>
      <c r="R282" s="66">
        <f t="shared" si="62"/>
        <v>29.336694345000002</v>
      </c>
      <c r="S282" s="64">
        <f t="shared" si="57"/>
        <v>135</v>
      </c>
      <c r="T282" s="66">
        <f t="shared" si="58"/>
        <v>1840.7192283449999</v>
      </c>
      <c r="U282" s="68">
        <f t="shared" si="59"/>
        <v>51.131089676249999</v>
      </c>
      <c r="V282" s="68">
        <f t="shared" si="60"/>
        <v>457.89035530970148</v>
      </c>
      <c r="W282" s="68">
        <f t="shared" si="61"/>
        <v>305.26023687313432</v>
      </c>
    </row>
    <row r="283" spans="1:23" x14ac:dyDescent="0.25">
      <c r="A283" s="169" t="s">
        <v>944</v>
      </c>
      <c r="B283" s="61" t="s">
        <v>391</v>
      </c>
      <c r="C283" s="61" t="s">
        <v>585</v>
      </c>
      <c r="D283" s="61" t="s">
        <v>586</v>
      </c>
      <c r="E283" s="1" t="s">
        <v>341</v>
      </c>
      <c r="F283" s="62" t="str">
        <f t="shared" si="63"/>
        <v>60566</v>
      </c>
      <c r="G283" s="269">
        <v>10620059</v>
      </c>
      <c r="H283" s="1" t="s">
        <v>382</v>
      </c>
      <c r="I283" s="61">
        <v>34</v>
      </c>
      <c r="J283" s="61">
        <v>3</v>
      </c>
      <c r="K283" s="61">
        <v>8</v>
      </c>
      <c r="L283" s="69">
        <f t="shared" si="52"/>
        <v>1.02</v>
      </c>
      <c r="M283" s="69">
        <f t="shared" si="53"/>
        <v>2.72</v>
      </c>
      <c r="N283" s="56">
        <f>INDEX(Rate_Chart!$A$1:$AK$127,MATCH(Data!J283,Rate_Chart!$A$1:$A$127,0),MATCH(Data!K283,Rate_Chart!$A$1:$AK$1,0))</f>
        <v>34.751112000000006</v>
      </c>
      <c r="O283" s="57">
        <f t="shared" si="54"/>
        <v>1181.5378080000003</v>
      </c>
      <c r="P283" s="58">
        <f t="shared" si="55"/>
        <v>417.01334400000002</v>
      </c>
      <c r="Q283" s="58">
        <f t="shared" si="56"/>
        <v>278.00889599999999</v>
      </c>
      <c r="R283" s="66">
        <f t="shared" si="62"/>
        <v>20.676911640000007</v>
      </c>
      <c r="S283" s="64">
        <f t="shared" si="57"/>
        <v>127.5</v>
      </c>
      <c r="T283" s="66">
        <f t="shared" si="58"/>
        <v>1329.7147196400003</v>
      </c>
      <c r="U283" s="68">
        <f t="shared" si="59"/>
        <v>39.109256460000012</v>
      </c>
      <c r="V283" s="68">
        <f t="shared" si="60"/>
        <v>469.31107752000008</v>
      </c>
      <c r="W283" s="68">
        <f t="shared" si="61"/>
        <v>312.87405168000004</v>
      </c>
    </row>
    <row r="284" spans="1:23" x14ac:dyDescent="0.25">
      <c r="A284" s="169" t="s">
        <v>945</v>
      </c>
      <c r="B284" s="61" t="s">
        <v>390</v>
      </c>
      <c r="C284" s="61" t="s">
        <v>585</v>
      </c>
      <c r="D284" s="61" t="s">
        <v>586</v>
      </c>
      <c r="E284" s="1" t="s">
        <v>341</v>
      </c>
      <c r="F284" s="62" t="str">
        <f t="shared" si="63"/>
        <v>60566</v>
      </c>
      <c r="G284" s="269">
        <v>10620059</v>
      </c>
      <c r="H284" s="1" t="s">
        <v>381</v>
      </c>
      <c r="I284" s="61">
        <v>28</v>
      </c>
      <c r="J284" s="61">
        <v>5.5</v>
      </c>
      <c r="K284" s="61">
        <v>8.4</v>
      </c>
      <c r="L284" s="69">
        <f t="shared" si="52"/>
        <v>1.54</v>
      </c>
      <c r="M284" s="69">
        <f t="shared" si="53"/>
        <v>2.3520000000000003</v>
      </c>
      <c r="N284" s="56">
        <f>INDEX(Rate_Chart!$A$1:$AK$127,MATCH(Data!J284,Rate_Chart!$A$1:$A$127,0),MATCH(Data!K284,Rate_Chart!$A$1:$AK$1,0))</f>
        <v>46.288167600000008</v>
      </c>
      <c r="O284" s="57">
        <f t="shared" si="54"/>
        <v>1296.0686928000002</v>
      </c>
      <c r="P284" s="58">
        <f t="shared" si="55"/>
        <v>417.01051891891899</v>
      </c>
      <c r="Q284" s="58">
        <f t="shared" si="56"/>
        <v>278.00701261261264</v>
      </c>
      <c r="R284" s="66">
        <f t="shared" si="62"/>
        <v>22.681202124000006</v>
      </c>
      <c r="S284" s="64">
        <f t="shared" si="57"/>
        <v>105</v>
      </c>
      <c r="T284" s="66">
        <f t="shared" si="58"/>
        <v>1423.7498949240003</v>
      </c>
      <c r="U284" s="68">
        <f t="shared" si="59"/>
        <v>50.848210533000007</v>
      </c>
      <c r="V284" s="68">
        <f t="shared" si="60"/>
        <v>458.09198678378385</v>
      </c>
      <c r="W284" s="68">
        <f t="shared" si="61"/>
        <v>305.39465785585588</v>
      </c>
    </row>
    <row r="285" spans="1:23" x14ac:dyDescent="0.25">
      <c r="A285" s="169" t="s">
        <v>945</v>
      </c>
      <c r="B285" s="61" t="s">
        <v>390</v>
      </c>
      <c r="C285" s="61" t="s">
        <v>585</v>
      </c>
      <c r="D285" s="61" t="s">
        <v>586</v>
      </c>
      <c r="E285" s="1" t="s">
        <v>341</v>
      </c>
      <c r="F285" s="62" t="str">
        <f t="shared" si="63"/>
        <v>60566</v>
      </c>
      <c r="G285" s="269">
        <v>10620059</v>
      </c>
      <c r="H285" s="1" t="s">
        <v>382</v>
      </c>
      <c r="I285" s="61">
        <v>40</v>
      </c>
      <c r="J285" s="61">
        <v>3</v>
      </c>
      <c r="K285" s="61">
        <v>8</v>
      </c>
      <c r="L285" s="69">
        <f t="shared" si="52"/>
        <v>1.2</v>
      </c>
      <c r="M285" s="69">
        <f t="shared" si="53"/>
        <v>3.2</v>
      </c>
      <c r="N285" s="56">
        <f>INDEX(Rate_Chart!$A$1:$AK$127,MATCH(Data!J285,Rate_Chart!$A$1:$A$127,0),MATCH(Data!K285,Rate_Chart!$A$1:$AK$1,0))</f>
        <v>34.751112000000006</v>
      </c>
      <c r="O285" s="57">
        <f t="shared" si="54"/>
        <v>1390.0444800000002</v>
      </c>
      <c r="P285" s="58">
        <f t="shared" si="55"/>
        <v>417.01334400000002</v>
      </c>
      <c r="Q285" s="58">
        <f t="shared" si="56"/>
        <v>278.00889599999999</v>
      </c>
      <c r="R285" s="66">
        <f t="shared" si="62"/>
        <v>24.325778400000008</v>
      </c>
      <c r="S285" s="64">
        <f t="shared" si="57"/>
        <v>150</v>
      </c>
      <c r="T285" s="66">
        <f t="shared" si="58"/>
        <v>1564.3702584000002</v>
      </c>
      <c r="U285" s="68">
        <f t="shared" si="59"/>
        <v>39.109256460000005</v>
      </c>
      <c r="V285" s="68">
        <f t="shared" si="60"/>
        <v>469.31107752000003</v>
      </c>
      <c r="W285" s="68">
        <f t="shared" si="61"/>
        <v>312.87405168000004</v>
      </c>
    </row>
    <row r="286" spans="1:23" x14ac:dyDescent="0.25">
      <c r="A286" s="169" t="s">
        <v>945</v>
      </c>
      <c r="B286" s="61" t="s">
        <v>391</v>
      </c>
      <c r="C286" s="61" t="s">
        <v>585</v>
      </c>
      <c r="D286" s="61" t="s">
        <v>586</v>
      </c>
      <c r="E286" s="1" t="s">
        <v>341</v>
      </c>
      <c r="F286" s="62" t="str">
        <f t="shared" si="63"/>
        <v>60566</v>
      </c>
      <c r="G286" s="269">
        <v>10620059</v>
      </c>
      <c r="H286" s="1" t="s">
        <v>381</v>
      </c>
      <c r="I286" s="61">
        <v>40</v>
      </c>
      <c r="J286" s="61">
        <v>5.6</v>
      </c>
      <c r="K286" s="61">
        <v>8.6</v>
      </c>
      <c r="L286" s="69">
        <f t="shared" si="52"/>
        <v>2.2400000000000002</v>
      </c>
      <c r="M286" s="69">
        <f t="shared" si="53"/>
        <v>3.44</v>
      </c>
      <c r="N286" s="56">
        <f>INDEX(Rate_Chart!$A$1:$AK$127,MATCH(Data!J286,Rate_Chart!$A$1:$A$127,0),MATCH(Data!K286,Rate_Chart!$A$1:$AK$1,0))</f>
        <v>45.824799999999996</v>
      </c>
      <c r="O286" s="57">
        <f t="shared" si="54"/>
        <v>1832.9919999999997</v>
      </c>
      <c r="P286" s="58">
        <f t="shared" si="55"/>
        <v>404.33647058823533</v>
      </c>
      <c r="Q286" s="58">
        <f t="shared" si="56"/>
        <v>269.55764705882353</v>
      </c>
      <c r="R286" s="66">
        <f t="shared" si="62"/>
        <v>32.077359999999999</v>
      </c>
      <c r="S286" s="64">
        <f t="shared" si="57"/>
        <v>150</v>
      </c>
      <c r="T286" s="66">
        <f t="shared" si="58"/>
        <v>2015.0693599999997</v>
      </c>
      <c r="U286" s="68">
        <f t="shared" si="59"/>
        <v>50.376733999999992</v>
      </c>
      <c r="V286" s="68">
        <f t="shared" si="60"/>
        <v>444.50059411764704</v>
      </c>
      <c r="W286" s="68">
        <f t="shared" si="61"/>
        <v>296.33372941176469</v>
      </c>
    </row>
    <row r="287" spans="1:23" x14ac:dyDescent="0.25">
      <c r="A287" s="169" t="s">
        <v>945</v>
      </c>
      <c r="B287" s="61" t="s">
        <v>391</v>
      </c>
      <c r="C287" s="61" t="s">
        <v>585</v>
      </c>
      <c r="D287" s="61" t="s">
        <v>586</v>
      </c>
      <c r="E287" s="1" t="s">
        <v>341</v>
      </c>
      <c r="F287" s="62" t="str">
        <f t="shared" si="63"/>
        <v>60566</v>
      </c>
      <c r="G287" s="269">
        <v>10620059</v>
      </c>
      <c r="H287" s="1" t="s">
        <v>382</v>
      </c>
      <c r="I287" s="61">
        <v>38</v>
      </c>
      <c r="J287" s="61">
        <v>3.2</v>
      </c>
      <c r="K287" s="61">
        <v>8</v>
      </c>
      <c r="L287" s="69">
        <f t="shared" si="52"/>
        <v>1.2160000000000002</v>
      </c>
      <c r="M287" s="69">
        <f t="shared" si="53"/>
        <v>3.04</v>
      </c>
      <c r="N287" s="56">
        <f>INDEX(Rate_Chart!$A$1:$AK$127,MATCH(Data!J287,Rate_Chart!$A$1:$A$127,0),MATCH(Data!K287,Rate_Chart!$A$1:$AK$1,0))</f>
        <v>35.585112000000002</v>
      </c>
      <c r="O287" s="57">
        <f t="shared" si="54"/>
        <v>1352.2342560000002</v>
      </c>
      <c r="P287" s="58">
        <f t="shared" si="55"/>
        <v>417.01303124999998</v>
      </c>
      <c r="Q287" s="58">
        <f t="shared" si="56"/>
        <v>278.00868750000001</v>
      </c>
      <c r="R287" s="66">
        <f t="shared" si="62"/>
        <v>23.664099480000004</v>
      </c>
      <c r="S287" s="64">
        <f t="shared" si="57"/>
        <v>142.5</v>
      </c>
      <c r="T287" s="66">
        <f t="shared" si="58"/>
        <v>1518.3983554800002</v>
      </c>
      <c r="U287" s="68">
        <f t="shared" si="59"/>
        <v>39.957851460000008</v>
      </c>
      <c r="V287" s="68">
        <f t="shared" si="60"/>
        <v>468.25607179687501</v>
      </c>
      <c r="W287" s="68">
        <f t="shared" si="61"/>
        <v>312.17071453124998</v>
      </c>
    </row>
    <row r="288" spans="1:23" x14ac:dyDescent="0.25">
      <c r="A288" s="169" t="s">
        <v>946</v>
      </c>
      <c r="B288" s="61" t="s">
        <v>390</v>
      </c>
      <c r="C288" s="61" t="s">
        <v>585</v>
      </c>
      <c r="D288" s="61" t="s">
        <v>586</v>
      </c>
      <c r="E288" s="1" t="s">
        <v>341</v>
      </c>
      <c r="F288" s="62" t="str">
        <f t="shared" si="63"/>
        <v>60566</v>
      </c>
      <c r="G288" s="269">
        <v>10620059</v>
      </c>
      <c r="H288" s="1" t="s">
        <v>381</v>
      </c>
      <c r="I288" s="61">
        <v>41</v>
      </c>
      <c r="J288" s="61">
        <v>5.7</v>
      </c>
      <c r="K288" s="61">
        <v>8.8000000000000007</v>
      </c>
      <c r="L288" s="69">
        <f t="shared" ref="L288:L351" si="64">J288*I288/100</f>
        <v>2.3370000000000002</v>
      </c>
      <c r="M288" s="69">
        <f t="shared" ref="M288:M351" si="65">K288*I288/100</f>
        <v>3.6080000000000001</v>
      </c>
      <c r="N288" s="56">
        <f>INDEX(Rate_Chart!$A$1:$AK$127,MATCH(Data!J288,Rate_Chart!$A$1:$A$127,0),MATCH(Data!K288,Rate_Chart!$A$1:$AK$1,0))</f>
        <v>47.119050000000001</v>
      </c>
      <c r="O288" s="57">
        <f t="shared" ref="O288:O351" si="66">N288*I288</f>
        <v>1931.88105</v>
      </c>
      <c r="P288" s="58">
        <f t="shared" ref="P288:P351" si="67">N288/(J288%+K288%*2/3)</f>
        <v>407.3693083573487</v>
      </c>
      <c r="Q288" s="58">
        <f t="shared" ref="Q288:Q351" si="68">P288*2/3</f>
        <v>271.57953890489915</v>
      </c>
      <c r="R288" s="66">
        <f t="shared" si="62"/>
        <v>33.807918375</v>
      </c>
      <c r="S288" s="64">
        <f t="shared" ref="S288:S351" si="69">I288*3.75</f>
        <v>153.75</v>
      </c>
      <c r="T288" s="66">
        <f t="shared" ref="T288:T351" si="70">R288+S288+O288</f>
        <v>2119.4389683750001</v>
      </c>
      <c r="U288" s="68">
        <f t="shared" ref="U288:U351" si="71">T288/I288</f>
        <v>51.693633375000005</v>
      </c>
      <c r="V288" s="68">
        <f t="shared" ref="V288:V351" si="72">U288/(J288%+K288%*2/3)</f>
        <v>446.91902053314124</v>
      </c>
      <c r="W288" s="68">
        <f t="shared" ref="W288:W351" si="73">V288*2/3</f>
        <v>297.94601368876084</v>
      </c>
    </row>
    <row r="289" spans="1:23" x14ac:dyDescent="0.25">
      <c r="A289" s="169" t="s">
        <v>946</v>
      </c>
      <c r="B289" s="61" t="s">
        <v>390</v>
      </c>
      <c r="C289" s="61" t="s">
        <v>585</v>
      </c>
      <c r="D289" s="61" t="s">
        <v>586</v>
      </c>
      <c r="E289" s="1" t="s">
        <v>341</v>
      </c>
      <c r="F289" s="62" t="str">
        <f t="shared" si="63"/>
        <v>60566</v>
      </c>
      <c r="G289" s="269">
        <v>10620059</v>
      </c>
      <c r="H289" s="1" t="s">
        <v>382</v>
      </c>
      <c r="I289" s="61">
        <v>52</v>
      </c>
      <c r="J289" s="61">
        <v>3.1</v>
      </c>
      <c r="K289" s="61">
        <v>8.1</v>
      </c>
      <c r="L289" s="69">
        <f t="shared" si="64"/>
        <v>1.6120000000000001</v>
      </c>
      <c r="M289" s="69">
        <f t="shared" si="65"/>
        <v>4.2119999999999997</v>
      </c>
      <c r="N289" s="56">
        <f>INDEX(Rate_Chart!$A$1:$AK$127,MATCH(Data!J289,Rate_Chart!$A$1:$A$127,0),MATCH(Data!K289,Rate_Chart!$A$1:$AK$1,0))</f>
        <v>35.446125899999998</v>
      </c>
      <c r="O289" s="57">
        <f t="shared" si="66"/>
        <v>1843.1985467999998</v>
      </c>
      <c r="P289" s="58">
        <f t="shared" si="67"/>
        <v>417.01324588235298</v>
      </c>
      <c r="Q289" s="58">
        <f t="shared" si="68"/>
        <v>278.0088305882353</v>
      </c>
      <c r="R289" s="66">
        <f t="shared" si="62"/>
        <v>32.255974569000003</v>
      </c>
      <c r="S289" s="64">
        <f t="shared" si="69"/>
        <v>195</v>
      </c>
      <c r="T289" s="66">
        <f t="shared" si="70"/>
        <v>2070.4545213689998</v>
      </c>
      <c r="U289" s="68">
        <f t="shared" si="71"/>
        <v>39.816433103249999</v>
      </c>
      <c r="V289" s="68">
        <f t="shared" si="72"/>
        <v>468.42862474411766</v>
      </c>
      <c r="W289" s="68">
        <f t="shared" si="73"/>
        <v>312.28574982941177</v>
      </c>
    </row>
    <row r="290" spans="1:23" x14ac:dyDescent="0.25">
      <c r="A290" s="169" t="s">
        <v>946</v>
      </c>
      <c r="B290" s="61" t="s">
        <v>391</v>
      </c>
      <c r="C290" s="61" t="s">
        <v>585</v>
      </c>
      <c r="D290" s="61" t="s">
        <v>586</v>
      </c>
      <c r="E290" s="1" t="s">
        <v>341</v>
      </c>
      <c r="F290" s="62" t="str">
        <f t="shared" si="63"/>
        <v>60566</v>
      </c>
      <c r="G290" s="269">
        <v>10620059</v>
      </c>
      <c r="H290" s="1" t="s">
        <v>381</v>
      </c>
      <c r="I290" s="61">
        <v>40</v>
      </c>
      <c r="J290" s="61">
        <v>5.5</v>
      </c>
      <c r="K290" s="61">
        <v>8.4</v>
      </c>
      <c r="L290" s="69">
        <f t="shared" si="64"/>
        <v>2.2000000000000002</v>
      </c>
      <c r="M290" s="69">
        <f t="shared" si="65"/>
        <v>3.36</v>
      </c>
      <c r="N290" s="56">
        <f>INDEX(Rate_Chart!$A$1:$AK$127,MATCH(Data!J290,Rate_Chart!$A$1:$A$127,0),MATCH(Data!K290,Rate_Chart!$A$1:$AK$1,0))</f>
        <v>46.288167600000008</v>
      </c>
      <c r="O290" s="57">
        <f t="shared" si="66"/>
        <v>1851.5267040000003</v>
      </c>
      <c r="P290" s="58">
        <f t="shared" si="67"/>
        <v>417.01051891891899</v>
      </c>
      <c r="Q290" s="58">
        <f t="shared" si="68"/>
        <v>278.00701261261264</v>
      </c>
      <c r="R290" s="66">
        <f t="shared" si="62"/>
        <v>32.40171732000001</v>
      </c>
      <c r="S290" s="64">
        <f t="shared" si="69"/>
        <v>150</v>
      </c>
      <c r="T290" s="66">
        <f t="shared" si="70"/>
        <v>2033.9284213200003</v>
      </c>
      <c r="U290" s="68">
        <f t="shared" si="71"/>
        <v>50.848210533000007</v>
      </c>
      <c r="V290" s="68">
        <f t="shared" si="72"/>
        <v>458.09198678378385</v>
      </c>
      <c r="W290" s="68">
        <f t="shared" si="73"/>
        <v>305.39465785585588</v>
      </c>
    </row>
    <row r="291" spans="1:23" x14ac:dyDescent="0.25">
      <c r="A291" s="169" t="s">
        <v>946</v>
      </c>
      <c r="B291" s="61" t="s">
        <v>391</v>
      </c>
      <c r="C291" s="61" t="s">
        <v>585</v>
      </c>
      <c r="D291" s="61" t="s">
        <v>586</v>
      </c>
      <c r="E291" s="1" t="s">
        <v>341</v>
      </c>
      <c r="F291" s="62" t="str">
        <f t="shared" si="63"/>
        <v>60566</v>
      </c>
      <c r="G291" s="269">
        <v>10620059</v>
      </c>
      <c r="H291" s="1" t="s">
        <v>382</v>
      </c>
      <c r="I291" s="61">
        <v>33</v>
      </c>
      <c r="J291" s="61">
        <v>3.1</v>
      </c>
      <c r="K291" s="61">
        <v>8.1</v>
      </c>
      <c r="L291" s="69">
        <f t="shared" si="64"/>
        <v>1.0229999999999999</v>
      </c>
      <c r="M291" s="69">
        <f t="shared" si="65"/>
        <v>2.673</v>
      </c>
      <c r="N291" s="56">
        <f>INDEX(Rate_Chart!$A$1:$AK$127,MATCH(Data!J291,Rate_Chart!$A$1:$A$127,0),MATCH(Data!K291,Rate_Chart!$A$1:$AK$1,0))</f>
        <v>35.446125899999998</v>
      </c>
      <c r="O291" s="57">
        <f t="shared" si="66"/>
        <v>1169.7221546999999</v>
      </c>
      <c r="P291" s="58">
        <f t="shared" si="67"/>
        <v>417.01324588235298</v>
      </c>
      <c r="Q291" s="58">
        <f t="shared" si="68"/>
        <v>278.0088305882353</v>
      </c>
      <c r="R291" s="66">
        <f t="shared" si="62"/>
        <v>20.47013770725</v>
      </c>
      <c r="S291" s="64">
        <f t="shared" si="69"/>
        <v>123.75</v>
      </c>
      <c r="T291" s="66">
        <f t="shared" si="70"/>
        <v>1313.9422924072499</v>
      </c>
      <c r="U291" s="68">
        <f t="shared" si="71"/>
        <v>39.816433103249999</v>
      </c>
      <c r="V291" s="68">
        <f t="shared" si="72"/>
        <v>468.42862474411766</v>
      </c>
      <c r="W291" s="68">
        <f t="shared" si="73"/>
        <v>312.28574982941177</v>
      </c>
    </row>
    <row r="292" spans="1:23" x14ac:dyDescent="0.25">
      <c r="A292" s="169" t="s">
        <v>947</v>
      </c>
      <c r="B292" s="61" t="s">
        <v>390</v>
      </c>
      <c r="C292" s="61" t="s">
        <v>585</v>
      </c>
      <c r="D292" s="61" t="s">
        <v>586</v>
      </c>
      <c r="E292" s="1" t="s">
        <v>341</v>
      </c>
      <c r="F292" s="62" t="str">
        <f t="shared" si="63"/>
        <v>60566</v>
      </c>
      <c r="G292" s="269">
        <v>10620059</v>
      </c>
      <c r="H292" s="1" t="s">
        <v>381</v>
      </c>
      <c r="I292" s="61">
        <v>47</v>
      </c>
      <c r="J292" s="61">
        <v>6</v>
      </c>
      <c r="K292" s="61">
        <v>8.5</v>
      </c>
      <c r="L292" s="69">
        <f t="shared" si="64"/>
        <v>2.82</v>
      </c>
      <c r="M292" s="69">
        <f t="shared" si="65"/>
        <v>3.9950000000000001</v>
      </c>
      <c r="N292" s="56">
        <f>INDEX(Rate_Chart!$A$1:$AK$127,MATCH(Data!J292,Rate_Chart!$A$1:$A$127,0),MATCH(Data!K292,Rate_Chart!$A$1:$AK$1,0))</f>
        <v>48.597000000000001</v>
      </c>
      <c r="O292" s="57">
        <f t="shared" si="66"/>
        <v>2284.0590000000002</v>
      </c>
      <c r="P292" s="58">
        <f t="shared" si="67"/>
        <v>416.54571428571427</v>
      </c>
      <c r="Q292" s="58">
        <f t="shared" si="68"/>
        <v>277.69714285714286</v>
      </c>
      <c r="R292" s="66">
        <f t="shared" si="62"/>
        <v>39.971032500000007</v>
      </c>
      <c r="S292" s="64">
        <f t="shared" si="69"/>
        <v>176.25</v>
      </c>
      <c r="T292" s="66">
        <f t="shared" si="70"/>
        <v>2500.2800325000003</v>
      </c>
      <c r="U292" s="68">
        <f t="shared" si="71"/>
        <v>53.197447500000003</v>
      </c>
      <c r="V292" s="68">
        <f t="shared" si="72"/>
        <v>455.97812142857146</v>
      </c>
      <c r="W292" s="68">
        <f t="shared" si="73"/>
        <v>303.98541428571428</v>
      </c>
    </row>
    <row r="293" spans="1:23" x14ac:dyDescent="0.25">
      <c r="A293" s="169" t="s">
        <v>947</v>
      </c>
      <c r="B293" s="61" t="s">
        <v>390</v>
      </c>
      <c r="C293" s="61" t="s">
        <v>585</v>
      </c>
      <c r="D293" s="61" t="s">
        <v>586</v>
      </c>
      <c r="E293" s="1" t="s">
        <v>341</v>
      </c>
      <c r="F293" s="62" t="str">
        <f t="shared" si="63"/>
        <v>60566</v>
      </c>
      <c r="G293" s="269">
        <v>10620059</v>
      </c>
      <c r="H293" s="1" t="s">
        <v>382</v>
      </c>
      <c r="I293" s="61">
        <v>49</v>
      </c>
      <c r="J293" s="61">
        <v>3</v>
      </c>
      <c r="K293" s="61">
        <v>8</v>
      </c>
      <c r="L293" s="69">
        <f t="shared" si="64"/>
        <v>1.47</v>
      </c>
      <c r="M293" s="69">
        <f t="shared" si="65"/>
        <v>3.92</v>
      </c>
      <c r="N293" s="56">
        <f>INDEX(Rate_Chart!$A$1:$AK$127,MATCH(Data!J293,Rate_Chart!$A$1:$A$127,0),MATCH(Data!K293,Rate_Chart!$A$1:$AK$1,0))</f>
        <v>34.751112000000006</v>
      </c>
      <c r="O293" s="57">
        <f t="shared" si="66"/>
        <v>1702.8044880000002</v>
      </c>
      <c r="P293" s="58">
        <f t="shared" si="67"/>
        <v>417.01334400000002</v>
      </c>
      <c r="Q293" s="58">
        <f t="shared" si="68"/>
        <v>278.00889599999999</v>
      </c>
      <c r="R293" s="66">
        <f t="shared" si="62"/>
        <v>29.799078540000007</v>
      </c>
      <c r="S293" s="64">
        <f t="shared" si="69"/>
        <v>183.75</v>
      </c>
      <c r="T293" s="66">
        <f t="shared" si="70"/>
        <v>1916.3535665400002</v>
      </c>
      <c r="U293" s="68">
        <f t="shared" si="71"/>
        <v>39.109256460000005</v>
      </c>
      <c r="V293" s="68">
        <f t="shared" si="72"/>
        <v>469.31107752000003</v>
      </c>
      <c r="W293" s="68">
        <f t="shared" si="73"/>
        <v>312.87405168000004</v>
      </c>
    </row>
    <row r="294" spans="1:23" x14ac:dyDescent="0.25">
      <c r="A294" s="169" t="s">
        <v>947</v>
      </c>
      <c r="B294" s="61" t="s">
        <v>391</v>
      </c>
      <c r="C294" s="61" t="s">
        <v>585</v>
      </c>
      <c r="D294" s="61" t="s">
        <v>586</v>
      </c>
      <c r="E294" s="1" t="s">
        <v>341</v>
      </c>
      <c r="F294" s="62" t="str">
        <f t="shared" si="63"/>
        <v>60566</v>
      </c>
      <c r="G294" s="269">
        <v>10620059</v>
      </c>
      <c r="H294" s="1" t="s">
        <v>382</v>
      </c>
      <c r="I294" s="61">
        <v>74</v>
      </c>
      <c r="J294" s="61">
        <v>4.0999999999999996</v>
      </c>
      <c r="K294" s="61">
        <v>8.1999999999999993</v>
      </c>
      <c r="L294" s="69">
        <f t="shared" si="64"/>
        <v>3.0339999999999998</v>
      </c>
      <c r="M294" s="69">
        <f t="shared" si="65"/>
        <v>6.0679999999999996</v>
      </c>
      <c r="N294" s="56">
        <f>INDEX(Rate_Chart!$A$1:$AK$127,MATCH(Data!J294,Rate_Chart!$A$1:$A$127,0),MATCH(Data!K294,Rate_Chart!$A$1:$AK$1,0))</f>
        <v>39.894139799999998</v>
      </c>
      <c r="O294" s="57">
        <f t="shared" si="66"/>
        <v>2952.1663451999998</v>
      </c>
      <c r="P294" s="58">
        <f t="shared" si="67"/>
        <v>417.01191428571434</v>
      </c>
      <c r="Q294" s="58">
        <f t="shared" si="68"/>
        <v>278.00794285714289</v>
      </c>
      <c r="R294" s="66">
        <f t="shared" si="62"/>
        <v>51.662911041000001</v>
      </c>
      <c r="S294" s="64">
        <f t="shared" si="69"/>
        <v>277.5</v>
      </c>
      <c r="T294" s="66">
        <f t="shared" si="70"/>
        <v>3281.3292562409997</v>
      </c>
      <c r="U294" s="68">
        <f t="shared" si="71"/>
        <v>44.342287246499993</v>
      </c>
      <c r="V294" s="68">
        <f t="shared" si="72"/>
        <v>463.50822905749129</v>
      </c>
      <c r="W294" s="68">
        <f t="shared" si="73"/>
        <v>309.00548603832755</v>
      </c>
    </row>
    <row r="295" spans="1:23" x14ac:dyDescent="0.25">
      <c r="A295" s="169" t="s">
        <v>941</v>
      </c>
      <c r="B295" s="61" t="s">
        <v>390</v>
      </c>
      <c r="C295" s="61" t="s">
        <v>585</v>
      </c>
      <c r="D295" s="61" t="s">
        <v>586</v>
      </c>
      <c r="E295" s="1" t="s">
        <v>342</v>
      </c>
      <c r="F295" s="62" t="str">
        <f t="shared" si="63"/>
        <v>60573</v>
      </c>
      <c r="G295" s="269">
        <v>10620067</v>
      </c>
      <c r="H295" s="1" t="s">
        <v>381</v>
      </c>
      <c r="I295" s="61">
        <v>12</v>
      </c>
      <c r="J295" s="61">
        <v>8.6</v>
      </c>
      <c r="K295" s="61">
        <v>9</v>
      </c>
      <c r="L295" s="69">
        <f t="shared" si="64"/>
        <v>1.0319999999999998</v>
      </c>
      <c r="M295" s="69">
        <f t="shared" si="65"/>
        <v>1.08</v>
      </c>
      <c r="N295" s="56">
        <f>INDEX(Rate_Chart!$A$1:$AK$127,MATCH(Data!J295,Rate_Chart!$A$1:$A$127,0),MATCH(Data!K295,Rate_Chart!$A$1:$AK$1,0))</f>
        <v>71.809999999999988</v>
      </c>
      <c r="O295" s="57">
        <f t="shared" si="66"/>
        <v>861.7199999999998</v>
      </c>
      <c r="P295" s="58">
        <f t="shared" si="67"/>
        <v>491.84931506849313</v>
      </c>
      <c r="Q295" s="58">
        <f t="shared" si="68"/>
        <v>327.89954337899542</v>
      </c>
      <c r="R295" s="66">
        <f t="shared" si="62"/>
        <v>15.080099999999998</v>
      </c>
      <c r="S295" s="64">
        <f t="shared" si="69"/>
        <v>45</v>
      </c>
      <c r="T295" s="66">
        <f t="shared" si="70"/>
        <v>921.80009999999982</v>
      </c>
      <c r="U295" s="68">
        <f t="shared" si="71"/>
        <v>76.816674999999989</v>
      </c>
      <c r="V295" s="68">
        <f t="shared" si="72"/>
        <v>526.14160958904108</v>
      </c>
      <c r="W295" s="68">
        <f t="shared" si="73"/>
        <v>350.76107305936074</v>
      </c>
    </row>
    <row r="296" spans="1:23" x14ac:dyDescent="0.25">
      <c r="A296" s="169" t="s">
        <v>941</v>
      </c>
      <c r="B296" s="61" t="s">
        <v>391</v>
      </c>
      <c r="C296" s="61" t="s">
        <v>585</v>
      </c>
      <c r="D296" s="61" t="s">
        <v>586</v>
      </c>
      <c r="E296" s="1" t="s">
        <v>342</v>
      </c>
      <c r="F296" s="62" t="str">
        <f t="shared" si="63"/>
        <v>60573</v>
      </c>
      <c r="G296" s="269">
        <v>10620067</v>
      </c>
      <c r="H296" s="1" t="s">
        <v>381</v>
      </c>
      <c r="I296" s="61">
        <v>18</v>
      </c>
      <c r="J296" s="61">
        <v>6.8</v>
      </c>
      <c r="K296" s="61">
        <v>9</v>
      </c>
      <c r="L296" s="69">
        <f t="shared" si="64"/>
        <v>1.224</v>
      </c>
      <c r="M296" s="69">
        <f t="shared" si="65"/>
        <v>1.62</v>
      </c>
      <c r="N296" s="56">
        <f>INDEX(Rate_Chart!$A$1:$AK$127,MATCH(Data!J296,Rate_Chart!$A$1:$A$127,0),MATCH(Data!K296,Rate_Chart!$A$1:$AK$1,0))</f>
        <v>56.78</v>
      </c>
      <c r="O296" s="57">
        <f t="shared" si="66"/>
        <v>1022.04</v>
      </c>
      <c r="P296" s="58">
        <f t="shared" si="67"/>
        <v>443.59375</v>
      </c>
      <c r="Q296" s="58">
        <f t="shared" si="68"/>
        <v>295.72916666666669</v>
      </c>
      <c r="R296" s="66">
        <f t="shared" si="62"/>
        <v>17.8857</v>
      </c>
      <c r="S296" s="64">
        <f t="shared" si="69"/>
        <v>67.5</v>
      </c>
      <c r="T296" s="66">
        <f t="shared" si="70"/>
        <v>1107.4257</v>
      </c>
      <c r="U296" s="68">
        <f t="shared" si="71"/>
        <v>61.523650000000004</v>
      </c>
      <c r="V296" s="68">
        <f t="shared" si="72"/>
        <v>480.65351562500001</v>
      </c>
      <c r="W296" s="68">
        <f t="shared" si="73"/>
        <v>320.43567708333336</v>
      </c>
    </row>
    <row r="297" spans="1:23" x14ac:dyDescent="0.25">
      <c r="A297" s="169" t="s">
        <v>942</v>
      </c>
      <c r="B297" s="61" t="s">
        <v>390</v>
      </c>
      <c r="C297" s="61" t="s">
        <v>585</v>
      </c>
      <c r="D297" s="61" t="s">
        <v>586</v>
      </c>
      <c r="E297" s="1" t="s">
        <v>342</v>
      </c>
      <c r="F297" s="62" t="str">
        <f t="shared" si="63"/>
        <v>60573</v>
      </c>
      <c r="G297" s="269">
        <v>10620067</v>
      </c>
      <c r="H297" s="1" t="s">
        <v>381</v>
      </c>
      <c r="I297" s="61">
        <v>55</v>
      </c>
      <c r="J297" s="61">
        <v>7.6</v>
      </c>
      <c r="K297" s="61">
        <v>9</v>
      </c>
      <c r="L297" s="69">
        <f t="shared" si="64"/>
        <v>4.18</v>
      </c>
      <c r="M297" s="69">
        <f t="shared" si="65"/>
        <v>4.95</v>
      </c>
      <c r="N297" s="56">
        <f>INDEX(Rate_Chart!$A$1:$AK$127,MATCH(Data!J297,Rate_Chart!$A$1:$A$127,0),MATCH(Data!K297,Rate_Chart!$A$1:$AK$1,0))</f>
        <v>63.46</v>
      </c>
      <c r="O297" s="57">
        <f t="shared" si="66"/>
        <v>3490.3</v>
      </c>
      <c r="P297" s="58">
        <f t="shared" si="67"/>
        <v>466.61764705882348</v>
      </c>
      <c r="Q297" s="58">
        <f t="shared" si="68"/>
        <v>311.07843137254901</v>
      </c>
      <c r="R297" s="66">
        <f t="shared" si="62"/>
        <v>61.080250000000007</v>
      </c>
      <c r="S297" s="64">
        <f t="shared" si="69"/>
        <v>206.25</v>
      </c>
      <c r="T297" s="66">
        <f t="shared" si="70"/>
        <v>3757.6302500000002</v>
      </c>
      <c r="U297" s="68">
        <f t="shared" si="71"/>
        <v>68.320549999999997</v>
      </c>
      <c r="V297" s="68">
        <f t="shared" si="72"/>
        <v>502.35698529411758</v>
      </c>
      <c r="W297" s="68">
        <f t="shared" si="73"/>
        <v>334.90465686274507</v>
      </c>
    </row>
    <row r="298" spans="1:23" x14ac:dyDescent="0.25">
      <c r="A298" s="169" t="s">
        <v>942</v>
      </c>
      <c r="B298" s="61" t="s">
        <v>391</v>
      </c>
      <c r="C298" s="61" t="s">
        <v>585</v>
      </c>
      <c r="D298" s="61" t="s">
        <v>586</v>
      </c>
      <c r="E298" s="1" t="s">
        <v>342</v>
      </c>
      <c r="F298" s="62" t="str">
        <f t="shared" si="63"/>
        <v>60573</v>
      </c>
      <c r="G298" s="269">
        <v>10620067</v>
      </c>
      <c r="H298" s="1" t="s">
        <v>381</v>
      </c>
      <c r="I298" s="61">
        <v>13</v>
      </c>
      <c r="J298" s="61">
        <v>6.4</v>
      </c>
      <c r="K298" s="61">
        <v>9</v>
      </c>
      <c r="L298" s="69">
        <f t="shared" si="64"/>
        <v>0.83200000000000007</v>
      </c>
      <c r="M298" s="69">
        <f t="shared" si="65"/>
        <v>1.17</v>
      </c>
      <c r="N298" s="56">
        <f>INDEX(Rate_Chart!$A$1:$AK$127,MATCH(Data!J298,Rate_Chart!$A$1:$A$127,0),MATCH(Data!K298,Rate_Chart!$A$1:$AK$1,0))</f>
        <v>53.44</v>
      </c>
      <c r="O298" s="57">
        <f t="shared" si="66"/>
        <v>694.72</v>
      </c>
      <c r="P298" s="58">
        <f t="shared" si="67"/>
        <v>430.96774193548384</v>
      </c>
      <c r="Q298" s="58">
        <f t="shared" si="68"/>
        <v>287.31182795698925</v>
      </c>
      <c r="R298" s="66">
        <f t="shared" si="62"/>
        <v>12.157600000000002</v>
      </c>
      <c r="S298" s="64">
        <f t="shared" si="69"/>
        <v>48.75</v>
      </c>
      <c r="T298" s="66">
        <f t="shared" si="70"/>
        <v>755.62760000000003</v>
      </c>
      <c r="U298" s="68">
        <f t="shared" si="71"/>
        <v>58.1252</v>
      </c>
      <c r="V298" s="68">
        <f t="shared" si="72"/>
        <v>468.7516129032258</v>
      </c>
      <c r="W298" s="68">
        <f t="shared" si="73"/>
        <v>312.5010752688172</v>
      </c>
    </row>
    <row r="299" spans="1:23" x14ac:dyDescent="0.25">
      <c r="A299" s="169" t="s">
        <v>942</v>
      </c>
      <c r="B299" s="61" t="s">
        <v>391</v>
      </c>
      <c r="C299" s="61" t="s">
        <v>585</v>
      </c>
      <c r="D299" s="61" t="s">
        <v>586</v>
      </c>
      <c r="E299" s="1" t="s">
        <v>342</v>
      </c>
      <c r="F299" s="62" t="str">
        <f t="shared" si="63"/>
        <v>60573</v>
      </c>
      <c r="G299" s="269">
        <v>10620067</v>
      </c>
      <c r="H299" s="1" t="s">
        <v>382</v>
      </c>
      <c r="I299" s="61">
        <v>41</v>
      </c>
      <c r="J299" s="61">
        <v>3.6</v>
      </c>
      <c r="K299" s="61">
        <v>8</v>
      </c>
      <c r="L299" s="69">
        <f t="shared" si="64"/>
        <v>1.476</v>
      </c>
      <c r="M299" s="69">
        <f t="shared" si="65"/>
        <v>3.28</v>
      </c>
      <c r="N299" s="56">
        <f>INDEX(Rate_Chart!$A$1:$AK$127,MATCH(Data!J299,Rate_Chart!$A$1:$A$127,0),MATCH(Data!K299,Rate_Chart!$A$1:$AK$1,0))</f>
        <v>37.253112000000009</v>
      </c>
      <c r="O299" s="57">
        <f t="shared" si="66"/>
        <v>1527.3775920000003</v>
      </c>
      <c r="P299" s="58">
        <f t="shared" si="67"/>
        <v>417.01244776119404</v>
      </c>
      <c r="Q299" s="58">
        <f t="shared" si="68"/>
        <v>278.00829850746271</v>
      </c>
      <c r="R299" s="66">
        <f t="shared" si="62"/>
        <v>26.729107860000006</v>
      </c>
      <c r="S299" s="64">
        <f t="shared" si="69"/>
        <v>153.75</v>
      </c>
      <c r="T299" s="66">
        <f t="shared" si="70"/>
        <v>1707.8566998600004</v>
      </c>
      <c r="U299" s="68">
        <f t="shared" si="71"/>
        <v>41.655041460000007</v>
      </c>
      <c r="V299" s="68">
        <f t="shared" si="72"/>
        <v>466.28777753731345</v>
      </c>
      <c r="W299" s="68">
        <f t="shared" si="73"/>
        <v>310.85851835820898</v>
      </c>
    </row>
    <row r="300" spans="1:23" x14ac:dyDescent="0.25">
      <c r="A300" s="169" t="s">
        <v>943</v>
      </c>
      <c r="B300" s="61" t="s">
        <v>390</v>
      </c>
      <c r="C300" s="61" t="s">
        <v>585</v>
      </c>
      <c r="D300" s="61" t="s">
        <v>586</v>
      </c>
      <c r="E300" s="1" t="s">
        <v>342</v>
      </c>
      <c r="F300" s="62" t="str">
        <f t="shared" si="63"/>
        <v>60573</v>
      </c>
      <c r="G300" s="269">
        <v>10620067</v>
      </c>
      <c r="H300" s="1" t="s">
        <v>381</v>
      </c>
      <c r="I300" s="61">
        <v>26</v>
      </c>
      <c r="J300" s="61">
        <v>7.6</v>
      </c>
      <c r="K300" s="61">
        <v>9</v>
      </c>
      <c r="L300" s="69">
        <f t="shared" si="64"/>
        <v>1.976</v>
      </c>
      <c r="M300" s="69">
        <f t="shared" si="65"/>
        <v>2.34</v>
      </c>
      <c r="N300" s="56">
        <f>INDEX(Rate_Chart!$A$1:$AK$127,MATCH(Data!J300,Rate_Chart!$A$1:$A$127,0),MATCH(Data!K300,Rate_Chart!$A$1:$AK$1,0))</f>
        <v>63.46</v>
      </c>
      <c r="O300" s="57">
        <f t="shared" si="66"/>
        <v>1649.96</v>
      </c>
      <c r="P300" s="58">
        <f t="shared" si="67"/>
        <v>466.61764705882348</v>
      </c>
      <c r="Q300" s="58">
        <f t="shared" si="68"/>
        <v>311.07843137254901</v>
      </c>
      <c r="R300" s="66">
        <f t="shared" si="62"/>
        <v>28.874300000000002</v>
      </c>
      <c r="S300" s="64">
        <f t="shared" si="69"/>
        <v>97.5</v>
      </c>
      <c r="T300" s="66">
        <f t="shared" si="70"/>
        <v>1776.3343</v>
      </c>
      <c r="U300" s="68">
        <f t="shared" si="71"/>
        <v>68.320549999999997</v>
      </c>
      <c r="V300" s="68">
        <f t="shared" si="72"/>
        <v>502.35698529411758</v>
      </c>
      <c r="W300" s="68">
        <f t="shared" si="73"/>
        <v>334.90465686274507</v>
      </c>
    </row>
    <row r="301" spans="1:23" x14ac:dyDescent="0.25">
      <c r="A301" s="169" t="s">
        <v>943</v>
      </c>
      <c r="B301" s="61" t="s">
        <v>391</v>
      </c>
      <c r="C301" s="61" t="s">
        <v>585</v>
      </c>
      <c r="D301" s="61" t="s">
        <v>586</v>
      </c>
      <c r="E301" s="1" t="s">
        <v>342</v>
      </c>
      <c r="F301" s="62" t="str">
        <f t="shared" si="63"/>
        <v>60573</v>
      </c>
      <c r="G301" s="269">
        <v>10620067</v>
      </c>
      <c r="H301" s="1" t="s">
        <v>381</v>
      </c>
      <c r="I301" s="61">
        <v>14</v>
      </c>
      <c r="J301" s="61">
        <v>7</v>
      </c>
      <c r="K301" s="61">
        <v>9</v>
      </c>
      <c r="L301" s="69">
        <f t="shared" si="64"/>
        <v>0.98</v>
      </c>
      <c r="M301" s="69">
        <f t="shared" si="65"/>
        <v>1.26</v>
      </c>
      <c r="N301" s="56">
        <f>INDEX(Rate_Chart!$A$1:$AK$127,MATCH(Data!J301,Rate_Chart!$A$1:$A$127,0),MATCH(Data!K301,Rate_Chart!$A$1:$AK$1,0))</f>
        <v>58.45</v>
      </c>
      <c r="O301" s="57">
        <f t="shared" si="66"/>
        <v>818.30000000000007</v>
      </c>
      <c r="P301" s="58">
        <f t="shared" si="67"/>
        <v>449.61538461538464</v>
      </c>
      <c r="Q301" s="58">
        <f t="shared" si="68"/>
        <v>299.74358974358978</v>
      </c>
      <c r="R301" s="66">
        <f t="shared" si="62"/>
        <v>14.320250000000003</v>
      </c>
      <c r="S301" s="64">
        <f t="shared" si="69"/>
        <v>52.5</v>
      </c>
      <c r="T301" s="66">
        <f t="shared" si="70"/>
        <v>885.12025000000006</v>
      </c>
      <c r="U301" s="68">
        <f t="shared" si="71"/>
        <v>63.222875000000002</v>
      </c>
      <c r="V301" s="68">
        <f t="shared" si="72"/>
        <v>486.32980769230767</v>
      </c>
      <c r="W301" s="68">
        <f t="shared" si="73"/>
        <v>324.21987179487178</v>
      </c>
    </row>
    <row r="302" spans="1:23" x14ac:dyDescent="0.25">
      <c r="A302" s="169" t="s">
        <v>943</v>
      </c>
      <c r="B302" s="61" t="s">
        <v>391</v>
      </c>
      <c r="C302" s="61" t="s">
        <v>585</v>
      </c>
      <c r="D302" s="61" t="s">
        <v>586</v>
      </c>
      <c r="E302" s="1" t="s">
        <v>342</v>
      </c>
      <c r="F302" s="62" t="str">
        <f t="shared" si="63"/>
        <v>60573</v>
      </c>
      <c r="G302" s="269">
        <v>10620067</v>
      </c>
      <c r="H302" s="1" t="s">
        <v>382</v>
      </c>
      <c r="I302" s="61">
        <v>51</v>
      </c>
      <c r="J302" s="61">
        <v>3.3</v>
      </c>
      <c r="K302" s="61">
        <v>8</v>
      </c>
      <c r="L302" s="69">
        <f t="shared" si="64"/>
        <v>1.6829999999999998</v>
      </c>
      <c r="M302" s="69">
        <f t="shared" si="65"/>
        <v>4.08</v>
      </c>
      <c r="N302" s="56">
        <f>INDEX(Rate_Chart!$A$1:$AK$127,MATCH(Data!J302,Rate_Chart!$A$1:$A$127,0),MATCH(Data!K302,Rate_Chart!$A$1:$AK$1,0))</f>
        <v>36.002112000000004</v>
      </c>
      <c r="O302" s="57">
        <f t="shared" si="66"/>
        <v>1836.1077120000002</v>
      </c>
      <c r="P302" s="58">
        <f t="shared" si="67"/>
        <v>417.01288030888031</v>
      </c>
      <c r="Q302" s="58">
        <f t="shared" si="68"/>
        <v>278.00858687258687</v>
      </c>
      <c r="R302" s="66">
        <f t="shared" si="62"/>
        <v>32.131884960000008</v>
      </c>
      <c r="S302" s="64">
        <f t="shared" si="69"/>
        <v>191.25</v>
      </c>
      <c r="T302" s="66">
        <f t="shared" si="70"/>
        <v>2059.4895969600002</v>
      </c>
      <c r="U302" s="68">
        <f t="shared" si="71"/>
        <v>40.382148960000002</v>
      </c>
      <c r="V302" s="68">
        <f t="shared" si="72"/>
        <v>467.74689915057911</v>
      </c>
      <c r="W302" s="68">
        <f t="shared" si="73"/>
        <v>311.83126610038607</v>
      </c>
    </row>
    <row r="303" spans="1:23" x14ac:dyDescent="0.25">
      <c r="A303" s="169" t="s">
        <v>944</v>
      </c>
      <c r="B303" s="61" t="s">
        <v>390</v>
      </c>
      <c r="C303" s="61" t="s">
        <v>585</v>
      </c>
      <c r="D303" s="61" t="s">
        <v>586</v>
      </c>
      <c r="E303" s="1" t="s">
        <v>342</v>
      </c>
      <c r="F303" s="62" t="str">
        <f t="shared" si="63"/>
        <v>60573</v>
      </c>
      <c r="G303" s="269">
        <v>10620067</v>
      </c>
      <c r="H303" s="1" t="s">
        <v>381</v>
      </c>
      <c r="I303" s="61">
        <v>35</v>
      </c>
      <c r="J303" s="61">
        <v>8</v>
      </c>
      <c r="K303" s="61">
        <v>9</v>
      </c>
      <c r="L303" s="69">
        <f t="shared" si="64"/>
        <v>2.8</v>
      </c>
      <c r="M303" s="69">
        <f t="shared" si="65"/>
        <v>3.15</v>
      </c>
      <c r="N303" s="56">
        <f>INDEX(Rate_Chart!$A$1:$AK$127,MATCH(Data!J303,Rate_Chart!$A$1:$A$127,0),MATCH(Data!K303,Rate_Chart!$A$1:$AK$1,0))</f>
        <v>66.8</v>
      </c>
      <c r="O303" s="57">
        <f t="shared" si="66"/>
        <v>2338</v>
      </c>
      <c r="P303" s="58">
        <f t="shared" si="67"/>
        <v>477.14285714285705</v>
      </c>
      <c r="Q303" s="58">
        <f t="shared" si="68"/>
        <v>318.09523809523802</v>
      </c>
      <c r="R303" s="66">
        <f t="shared" si="62"/>
        <v>40.915000000000006</v>
      </c>
      <c r="S303" s="64">
        <f t="shared" si="69"/>
        <v>131.25</v>
      </c>
      <c r="T303" s="66">
        <f t="shared" si="70"/>
        <v>2510.165</v>
      </c>
      <c r="U303" s="68">
        <f t="shared" si="71"/>
        <v>71.718999999999994</v>
      </c>
      <c r="V303" s="68">
        <f t="shared" si="72"/>
        <v>512.27857142857135</v>
      </c>
      <c r="W303" s="68">
        <f t="shared" si="73"/>
        <v>341.51904761904757</v>
      </c>
    </row>
    <row r="304" spans="1:23" x14ac:dyDescent="0.25">
      <c r="A304" s="169" t="s">
        <v>944</v>
      </c>
      <c r="B304" s="61" t="s">
        <v>390</v>
      </c>
      <c r="C304" s="61" t="s">
        <v>585</v>
      </c>
      <c r="D304" s="61" t="s">
        <v>586</v>
      </c>
      <c r="E304" s="1" t="s">
        <v>342</v>
      </c>
      <c r="F304" s="62" t="str">
        <f t="shared" si="63"/>
        <v>60573</v>
      </c>
      <c r="G304" s="269">
        <v>10620067</v>
      </c>
      <c r="H304" s="1" t="s">
        <v>382</v>
      </c>
      <c r="I304" s="61">
        <v>70</v>
      </c>
      <c r="J304" s="61">
        <v>3.4</v>
      </c>
      <c r="K304" s="61">
        <v>8</v>
      </c>
      <c r="L304" s="69">
        <f t="shared" si="64"/>
        <v>2.38</v>
      </c>
      <c r="M304" s="69">
        <f t="shared" si="65"/>
        <v>5.6</v>
      </c>
      <c r="N304" s="56">
        <f>INDEX(Rate_Chart!$A$1:$AK$127,MATCH(Data!J304,Rate_Chart!$A$1:$A$127,0),MATCH(Data!K304,Rate_Chart!$A$1:$AK$1,0))</f>
        <v>36.419112000000005</v>
      </c>
      <c r="O304" s="57">
        <f t="shared" si="66"/>
        <v>2549.3378400000006</v>
      </c>
      <c r="P304" s="58">
        <f t="shared" si="67"/>
        <v>417.01273282442747</v>
      </c>
      <c r="Q304" s="58">
        <f t="shared" si="68"/>
        <v>278.00848854961833</v>
      </c>
      <c r="R304" s="66">
        <f t="shared" si="62"/>
        <v>44.613412200000013</v>
      </c>
      <c r="S304" s="64">
        <f t="shared" si="69"/>
        <v>262.5</v>
      </c>
      <c r="T304" s="66">
        <f t="shared" si="70"/>
        <v>2856.4512522000005</v>
      </c>
      <c r="U304" s="68">
        <f t="shared" si="71"/>
        <v>40.806446460000004</v>
      </c>
      <c r="V304" s="68">
        <f t="shared" si="72"/>
        <v>467.24938694656487</v>
      </c>
      <c r="W304" s="68">
        <f t="shared" si="73"/>
        <v>311.49959129770991</v>
      </c>
    </row>
    <row r="305" spans="1:23" x14ac:dyDescent="0.25">
      <c r="A305" s="169" t="s">
        <v>944</v>
      </c>
      <c r="B305" s="61" t="s">
        <v>391</v>
      </c>
      <c r="C305" s="61" t="s">
        <v>585</v>
      </c>
      <c r="D305" s="61" t="s">
        <v>586</v>
      </c>
      <c r="E305" s="1" t="s">
        <v>342</v>
      </c>
      <c r="F305" s="62" t="str">
        <f t="shared" si="63"/>
        <v>60573</v>
      </c>
      <c r="G305" s="269">
        <v>10620067</v>
      </c>
      <c r="H305" s="1" t="s">
        <v>381</v>
      </c>
      <c r="I305" s="61">
        <v>14</v>
      </c>
      <c r="J305" s="61">
        <v>7.5</v>
      </c>
      <c r="K305" s="61">
        <v>9</v>
      </c>
      <c r="L305" s="69">
        <f t="shared" si="64"/>
        <v>1.05</v>
      </c>
      <c r="M305" s="69">
        <f t="shared" si="65"/>
        <v>1.26</v>
      </c>
      <c r="N305" s="56">
        <f>INDEX(Rate_Chart!$A$1:$AK$127,MATCH(Data!J305,Rate_Chart!$A$1:$A$127,0),MATCH(Data!K305,Rate_Chart!$A$1:$AK$1,0))</f>
        <v>62.625</v>
      </c>
      <c r="O305" s="57">
        <f t="shared" si="66"/>
        <v>876.75</v>
      </c>
      <c r="P305" s="58">
        <f t="shared" si="67"/>
        <v>463.88888888888886</v>
      </c>
      <c r="Q305" s="58">
        <f t="shared" si="68"/>
        <v>309.25925925925924</v>
      </c>
      <c r="R305" s="66">
        <f t="shared" si="62"/>
        <v>15.343125000000002</v>
      </c>
      <c r="S305" s="64">
        <f t="shared" si="69"/>
        <v>52.5</v>
      </c>
      <c r="T305" s="66">
        <f t="shared" si="70"/>
        <v>944.59312499999999</v>
      </c>
      <c r="U305" s="68">
        <f t="shared" si="71"/>
        <v>67.470937500000005</v>
      </c>
      <c r="V305" s="68">
        <f t="shared" si="72"/>
        <v>499.78472222222223</v>
      </c>
      <c r="W305" s="68">
        <f t="shared" si="73"/>
        <v>333.18981481481484</v>
      </c>
    </row>
    <row r="306" spans="1:23" x14ac:dyDescent="0.25">
      <c r="A306" s="169" t="s">
        <v>944</v>
      </c>
      <c r="B306" s="61" t="s">
        <v>391</v>
      </c>
      <c r="C306" s="61" t="s">
        <v>585</v>
      </c>
      <c r="D306" s="61" t="s">
        <v>586</v>
      </c>
      <c r="E306" s="1" t="s">
        <v>342</v>
      </c>
      <c r="F306" s="62" t="str">
        <f t="shared" si="63"/>
        <v>60573</v>
      </c>
      <c r="G306" s="269">
        <v>10620067</v>
      </c>
      <c r="H306" s="1" t="s">
        <v>382</v>
      </c>
      <c r="I306" s="61">
        <v>40</v>
      </c>
      <c r="J306" s="61">
        <v>3.6</v>
      </c>
      <c r="K306" s="61">
        <v>8</v>
      </c>
      <c r="L306" s="69">
        <f t="shared" si="64"/>
        <v>1.44</v>
      </c>
      <c r="M306" s="69">
        <f t="shared" si="65"/>
        <v>3.2</v>
      </c>
      <c r="N306" s="56">
        <f>INDEX(Rate_Chart!$A$1:$AK$127,MATCH(Data!J306,Rate_Chart!$A$1:$A$127,0),MATCH(Data!K306,Rate_Chart!$A$1:$AK$1,0))</f>
        <v>37.253112000000009</v>
      </c>
      <c r="O306" s="57">
        <f t="shared" si="66"/>
        <v>1490.1244800000004</v>
      </c>
      <c r="P306" s="58">
        <f t="shared" si="67"/>
        <v>417.01244776119404</v>
      </c>
      <c r="Q306" s="58">
        <f t="shared" si="68"/>
        <v>278.00829850746271</v>
      </c>
      <c r="R306" s="66">
        <f t="shared" si="62"/>
        <v>26.077178400000008</v>
      </c>
      <c r="S306" s="64">
        <f t="shared" si="69"/>
        <v>150</v>
      </c>
      <c r="T306" s="66">
        <f t="shared" si="70"/>
        <v>1666.2016584000005</v>
      </c>
      <c r="U306" s="68">
        <f t="shared" si="71"/>
        <v>41.655041460000014</v>
      </c>
      <c r="V306" s="68">
        <f t="shared" si="72"/>
        <v>466.2877775373135</v>
      </c>
      <c r="W306" s="68">
        <f t="shared" si="73"/>
        <v>310.85851835820898</v>
      </c>
    </row>
    <row r="307" spans="1:23" x14ac:dyDescent="0.25">
      <c r="A307" s="169" t="s">
        <v>945</v>
      </c>
      <c r="B307" s="61" t="s">
        <v>390</v>
      </c>
      <c r="C307" s="61" t="s">
        <v>585</v>
      </c>
      <c r="D307" s="61" t="s">
        <v>586</v>
      </c>
      <c r="E307" s="1" t="s">
        <v>342</v>
      </c>
      <c r="F307" s="62" t="str">
        <f t="shared" si="63"/>
        <v>60573</v>
      </c>
      <c r="G307" s="269">
        <v>10620067</v>
      </c>
      <c r="H307" s="1" t="s">
        <v>381</v>
      </c>
      <c r="I307" s="61">
        <v>22</v>
      </c>
      <c r="J307" s="61">
        <v>7.7</v>
      </c>
      <c r="K307" s="61">
        <v>9</v>
      </c>
      <c r="L307" s="69">
        <f t="shared" si="64"/>
        <v>1.694</v>
      </c>
      <c r="M307" s="69">
        <f t="shared" si="65"/>
        <v>1.98</v>
      </c>
      <c r="N307" s="56">
        <f>INDEX(Rate_Chart!$A$1:$AK$127,MATCH(Data!J307,Rate_Chart!$A$1:$A$127,0),MATCH(Data!K307,Rate_Chart!$A$1:$AK$1,0))</f>
        <v>64.295000000000002</v>
      </c>
      <c r="O307" s="57">
        <f t="shared" si="66"/>
        <v>1414.49</v>
      </c>
      <c r="P307" s="58">
        <f t="shared" si="67"/>
        <v>469.30656934306569</v>
      </c>
      <c r="Q307" s="58">
        <f t="shared" si="68"/>
        <v>312.87104622871044</v>
      </c>
      <c r="R307" s="66">
        <f t="shared" si="62"/>
        <v>24.753575000000001</v>
      </c>
      <c r="S307" s="64">
        <f t="shared" si="69"/>
        <v>82.5</v>
      </c>
      <c r="T307" s="66">
        <f t="shared" si="70"/>
        <v>1521.743575</v>
      </c>
      <c r="U307" s="68">
        <f t="shared" si="71"/>
        <v>69.170162500000004</v>
      </c>
      <c r="V307" s="68">
        <f t="shared" si="72"/>
        <v>504.89169708029198</v>
      </c>
      <c r="W307" s="68">
        <f t="shared" si="73"/>
        <v>336.59446472019465</v>
      </c>
    </row>
    <row r="308" spans="1:23" x14ac:dyDescent="0.25">
      <c r="A308" s="169" t="s">
        <v>945</v>
      </c>
      <c r="B308" s="61" t="s">
        <v>390</v>
      </c>
      <c r="C308" s="61" t="s">
        <v>585</v>
      </c>
      <c r="D308" s="61" t="s">
        <v>586</v>
      </c>
      <c r="E308" s="1" t="s">
        <v>342</v>
      </c>
      <c r="F308" s="62" t="str">
        <f t="shared" si="63"/>
        <v>60573</v>
      </c>
      <c r="G308" s="269">
        <v>10620067</v>
      </c>
      <c r="H308" s="1" t="s">
        <v>382</v>
      </c>
      <c r="I308" s="61">
        <v>61</v>
      </c>
      <c r="J308" s="61">
        <v>3.7</v>
      </c>
      <c r="K308" s="61">
        <v>8.1</v>
      </c>
      <c r="L308" s="69">
        <f t="shared" si="64"/>
        <v>2.2570000000000001</v>
      </c>
      <c r="M308" s="69">
        <f t="shared" si="65"/>
        <v>4.9409999999999998</v>
      </c>
      <c r="N308" s="56">
        <f>INDEX(Rate_Chart!$A$1:$AK$127,MATCH(Data!J308,Rate_Chart!$A$1:$A$127,0),MATCH(Data!K308,Rate_Chart!$A$1:$AK$1,0))</f>
        <v>37.948125900000008</v>
      </c>
      <c r="O308" s="57">
        <f t="shared" si="66"/>
        <v>2314.8356799000003</v>
      </c>
      <c r="P308" s="58">
        <f t="shared" si="67"/>
        <v>417.01237252747262</v>
      </c>
      <c r="Q308" s="58">
        <f t="shared" si="68"/>
        <v>278.00824835164843</v>
      </c>
      <c r="R308" s="66">
        <f t="shared" si="62"/>
        <v>40.509624398250011</v>
      </c>
      <c r="S308" s="64">
        <f t="shared" si="69"/>
        <v>228.75</v>
      </c>
      <c r="T308" s="66">
        <f t="shared" si="70"/>
        <v>2584.0953042982501</v>
      </c>
      <c r="U308" s="68">
        <f t="shared" si="71"/>
        <v>42.362218103250001</v>
      </c>
      <c r="V308" s="68">
        <f t="shared" si="72"/>
        <v>465.51888025549454</v>
      </c>
      <c r="W308" s="68">
        <f t="shared" si="73"/>
        <v>310.34592017032969</v>
      </c>
    </row>
    <row r="309" spans="1:23" x14ac:dyDescent="0.25">
      <c r="A309" s="169" t="s">
        <v>945</v>
      </c>
      <c r="B309" s="61" t="s">
        <v>391</v>
      </c>
      <c r="C309" s="61" t="s">
        <v>585</v>
      </c>
      <c r="D309" s="61" t="s">
        <v>586</v>
      </c>
      <c r="E309" s="1" t="s">
        <v>342</v>
      </c>
      <c r="F309" s="62" t="str">
        <f t="shared" si="63"/>
        <v>60573</v>
      </c>
      <c r="G309" s="269">
        <v>10620067</v>
      </c>
      <c r="H309" s="1" t="s">
        <v>381</v>
      </c>
      <c r="I309" s="61">
        <v>20</v>
      </c>
      <c r="J309" s="61">
        <v>6.7</v>
      </c>
      <c r="K309" s="61">
        <v>9</v>
      </c>
      <c r="L309" s="69">
        <f t="shared" si="64"/>
        <v>1.34</v>
      </c>
      <c r="M309" s="69">
        <f t="shared" si="65"/>
        <v>1.8</v>
      </c>
      <c r="N309" s="56">
        <f>INDEX(Rate_Chart!$A$1:$AK$127,MATCH(Data!J309,Rate_Chart!$A$1:$A$127,0),MATCH(Data!K309,Rate_Chart!$A$1:$AK$1,0))</f>
        <v>55.945</v>
      </c>
      <c r="O309" s="57">
        <f t="shared" si="66"/>
        <v>1118.9000000000001</v>
      </c>
      <c r="P309" s="58">
        <f t="shared" si="67"/>
        <v>440.51181102362204</v>
      </c>
      <c r="Q309" s="58">
        <f t="shared" si="68"/>
        <v>293.67454068241472</v>
      </c>
      <c r="R309" s="66">
        <f t="shared" si="62"/>
        <v>19.580750000000002</v>
      </c>
      <c r="S309" s="64">
        <f t="shared" si="69"/>
        <v>75</v>
      </c>
      <c r="T309" s="66">
        <f t="shared" si="70"/>
        <v>1213.4807500000002</v>
      </c>
      <c r="U309" s="68">
        <f t="shared" si="71"/>
        <v>60.674037500000011</v>
      </c>
      <c r="V309" s="68">
        <f t="shared" si="72"/>
        <v>477.74832677165364</v>
      </c>
      <c r="W309" s="68">
        <f t="shared" si="73"/>
        <v>318.49888451443576</v>
      </c>
    </row>
    <row r="310" spans="1:23" x14ac:dyDescent="0.25">
      <c r="A310" s="169" t="s">
        <v>945</v>
      </c>
      <c r="B310" s="61" t="s">
        <v>391</v>
      </c>
      <c r="C310" s="61" t="s">
        <v>585</v>
      </c>
      <c r="D310" s="61" t="s">
        <v>586</v>
      </c>
      <c r="E310" s="1" t="s">
        <v>342</v>
      </c>
      <c r="F310" s="62" t="str">
        <f t="shared" si="63"/>
        <v>60573</v>
      </c>
      <c r="G310" s="269">
        <v>10620067</v>
      </c>
      <c r="H310" s="1" t="s">
        <v>382</v>
      </c>
      <c r="I310" s="61">
        <v>65</v>
      </c>
      <c r="J310" s="61">
        <v>3.4</v>
      </c>
      <c r="K310" s="61">
        <v>8</v>
      </c>
      <c r="L310" s="69">
        <f t="shared" si="64"/>
        <v>2.21</v>
      </c>
      <c r="M310" s="69">
        <f t="shared" si="65"/>
        <v>5.2</v>
      </c>
      <c r="N310" s="56">
        <f>INDEX(Rate_Chart!$A$1:$AK$127,MATCH(Data!J310,Rate_Chart!$A$1:$A$127,0),MATCH(Data!K310,Rate_Chart!$A$1:$AK$1,0))</f>
        <v>36.419112000000005</v>
      </c>
      <c r="O310" s="57">
        <f t="shared" si="66"/>
        <v>2367.2422800000004</v>
      </c>
      <c r="P310" s="58">
        <f t="shared" si="67"/>
        <v>417.01273282442747</v>
      </c>
      <c r="Q310" s="58">
        <f t="shared" si="68"/>
        <v>278.00848854961833</v>
      </c>
      <c r="R310" s="66">
        <f t="shared" si="62"/>
        <v>41.426739900000008</v>
      </c>
      <c r="S310" s="64">
        <f t="shared" si="69"/>
        <v>243.75</v>
      </c>
      <c r="T310" s="66">
        <f t="shared" si="70"/>
        <v>2652.4190199000004</v>
      </c>
      <c r="U310" s="68">
        <f t="shared" si="71"/>
        <v>40.806446460000004</v>
      </c>
      <c r="V310" s="68">
        <f t="shared" si="72"/>
        <v>467.24938694656487</v>
      </c>
      <c r="W310" s="68">
        <f t="shared" si="73"/>
        <v>311.49959129770991</v>
      </c>
    </row>
    <row r="311" spans="1:23" x14ac:dyDescent="0.25">
      <c r="A311" s="169" t="s">
        <v>946</v>
      </c>
      <c r="B311" s="61" t="s">
        <v>390</v>
      </c>
      <c r="C311" s="61" t="s">
        <v>585</v>
      </c>
      <c r="D311" s="61" t="s">
        <v>586</v>
      </c>
      <c r="E311" s="1" t="s">
        <v>342</v>
      </c>
      <c r="F311" s="62" t="str">
        <f t="shared" si="63"/>
        <v>60573</v>
      </c>
      <c r="G311" s="269">
        <v>10620067</v>
      </c>
      <c r="H311" s="1" t="s">
        <v>381</v>
      </c>
      <c r="I311" s="61">
        <v>20</v>
      </c>
      <c r="J311" s="61">
        <v>7.9</v>
      </c>
      <c r="K311" s="61">
        <v>9</v>
      </c>
      <c r="L311" s="69">
        <f t="shared" si="64"/>
        <v>1.58</v>
      </c>
      <c r="M311" s="69">
        <f t="shared" si="65"/>
        <v>1.8</v>
      </c>
      <c r="N311" s="56">
        <f>INDEX(Rate_Chart!$A$1:$AK$127,MATCH(Data!J311,Rate_Chart!$A$1:$A$127,0),MATCH(Data!K311,Rate_Chart!$A$1:$AK$1,0))</f>
        <v>65.965000000000003</v>
      </c>
      <c r="O311" s="57">
        <f t="shared" si="66"/>
        <v>1319.3000000000002</v>
      </c>
      <c r="P311" s="58">
        <f t="shared" si="67"/>
        <v>474.56834532374097</v>
      </c>
      <c r="Q311" s="58">
        <f t="shared" si="68"/>
        <v>316.37889688249396</v>
      </c>
      <c r="R311" s="66">
        <f t="shared" si="62"/>
        <v>23.087750000000007</v>
      </c>
      <c r="S311" s="64">
        <f t="shared" si="69"/>
        <v>75</v>
      </c>
      <c r="T311" s="66">
        <f t="shared" si="70"/>
        <v>1417.3877500000001</v>
      </c>
      <c r="U311" s="68">
        <f t="shared" si="71"/>
        <v>70.869387500000002</v>
      </c>
      <c r="V311" s="68">
        <f t="shared" si="72"/>
        <v>509.85170863309349</v>
      </c>
      <c r="W311" s="68">
        <f t="shared" si="73"/>
        <v>339.901139088729</v>
      </c>
    </row>
    <row r="312" spans="1:23" x14ac:dyDescent="0.25">
      <c r="A312" s="169" t="s">
        <v>946</v>
      </c>
      <c r="B312" s="61" t="s">
        <v>390</v>
      </c>
      <c r="C312" s="61" t="s">
        <v>585</v>
      </c>
      <c r="D312" s="61" t="s">
        <v>586</v>
      </c>
      <c r="E312" s="1" t="s">
        <v>342</v>
      </c>
      <c r="F312" s="62" t="str">
        <f t="shared" si="63"/>
        <v>60573</v>
      </c>
      <c r="G312" s="269">
        <v>10620067</v>
      </c>
      <c r="H312" s="1" t="s">
        <v>382</v>
      </c>
      <c r="I312" s="61">
        <v>60</v>
      </c>
      <c r="J312" s="61">
        <v>3.6</v>
      </c>
      <c r="K312" s="61">
        <v>8.1999999999999993</v>
      </c>
      <c r="L312" s="69">
        <f t="shared" si="64"/>
        <v>2.16</v>
      </c>
      <c r="M312" s="69">
        <f t="shared" si="65"/>
        <v>4.919999999999999</v>
      </c>
      <c r="N312" s="56">
        <f>INDEX(Rate_Chart!$A$1:$AK$127,MATCH(Data!J312,Rate_Chart!$A$1:$A$127,0),MATCH(Data!K312,Rate_Chart!$A$1:$AK$1,0))</f>
        <v>37.809139800000004</v>
      </c>
      <c r="O312" s="57">
        <f t="shared" si="66"/>
        <v>2268.5483880000002</v>
      </c>
      <c r="P312" s="58">
        <f t="shared" si="67"/>
        <v>417.01257132352941</v>
      </c>
      <c r="Q312" s="58">
        <f t="shared" si="68"/>
        <v>278.00838088235292</v>
      </c>
      <c r="R312" s="66">
        <f t="shared" si="62"/>
        <v>39.699596790000008</v>
      </c>
      <c r="S312" s="64">
        <f t="shared" si="69"/>
        <v>225</v>
      </c>
      <c r="T312" s="66">
        <f t="shared" si="70"/>
        <v>2533.2479847900004</v>
      </c>
      <c r="U312" s="68">
        <f t="shared" si="71"/>
        <v>42.220799746500006</v>
      </c>
      <c r="V312" s="68">
        <f t="shared" si="72"/>
        <v>465.67058543933825</v>
      </c>
      <c r="W312" s="68">
        <f t="shared" si="73"/>
        <v>310.44705695955884</v>
      </c>
    </row>
    <row r="313" spans="1:23" x14ac:dyDescent="0.25">
      <c r="A313" s="169" t="s">
        <v>946</v>
      </c>
      <c r="B313" s="61" t="s">
        <v>391</v>
      </c>
      <c r="C313" s="61" t="s">
        <v>585</v>
      </c>
      <c r="D313" s="61" t="s">
        <v>586</v>
      </c>
      <c r="E313" s="1" t="s">
        <v>342</v>
      </c>
      <c r="F313" s="62" t="str">
        <f t="shared" si="63"/>
        <v>60573</v>
      </c>
      <c r="G313" s="269">
        <v>10620067</v>
      </c>
      <c r="H313" s="1" t="s">
        <v>381</v>
      </c>
      <c r="I313" s="61">
        <v>17</v>
      </c>
      <c r="J313" s="61">
        <v>6.8</v>
      </c>
      <c r="K313" s="61">
        <v>9</v>
      </c>
      <c r="L313" s="69">
        <f t="shared" si="64"/>
        <v>1.1559999999999999</v>
      </c>
      <c r="M313" s="69">
        <f t="shared" si="65"/>
        <v>1.53</v>
      </c>
      <c r="N313" s="56">
        <f>INDEX(Rate_Chart!$A$1:$AK$127,MATCH(Data!J313,Rate_Chart!$A$1:$A$127,0),MATCH(Data!K313,Rate_Chart!$A$1:$AK$1,0))</f>
        <v>56.78</v>
      </c>
      <c r="O313" s="57">
        <f t="shared" si="66"/>
        <v>965.26</v>
      </c>
      <c r="P313" s="58">
        <f t="shared" si="67"/>
        <v>443.59375</v>
      </c>
      <c r="Q313" s="58">
        <f t="shared" si="68"/>
        <v>295.72916666666669</v>
      </c>
      <c r="R313" s="66">
        <f t="shared" si="62"/>
        <v>16.892050000000001</v>
      </c>
      <c r="S313" s="64">
        <f t="shared" si="69"/>
        <v>63.75</v>
      </c>
      <c r="T313" s="66">
        <f t="shared" si="70"/>
        <v>1045.9020499999999</v>
      </c>
      <c r="U313" s="68">
        <f t="shared" si="71"/>
        <v>61.523649999999996</v>
      </c>
      <c r="V313" s="68">
        <f t="shared" si="72"/>
        <v>480.65351562499995</v>
      </c>
      <c r="W313" s="68">
        <f t="shared" si="73"/>
        <v>320.4356770833333</v>
      </c>
    </row>
    <row r="314" spans="1:23" x14ac:dyDescent="0.25">
      <c r="A314" s="169" t="s">
        <v>946</v>
      </c>
      <c r="B314" s="61" t="s">
        <v>391</v>
      </c>
      <c r="C314" s="61" t="s">
        <v>585</v>
      </c>
      <c r="D314" s="61" t="s">
        <v>586</v>
      </c>
      <c r="E314" s="1" t="s">
        <v>342</v>
      </c>
      <c r="F314" s="62" t="str">
        <f t="shared" si="63"/>
        <v>60573</v>
      </c>
      <c r="G314" s="269">
        <v>10620067</v>
      </c>
      <c r="H314" s="1" t="s">
        <v>382</v>
      </c>
      <c r="I314" s="61">
        <v>68</v>
      </c>
      <c r="J314" s="61">
        <v>3.8</v>
      </c>
      <c r="K314" s="61">
        <v>8.3000000000000007</v>
      </c>
      <c r="L314" s="69">
        <f t="shared" si="64"/>
        <v>2.5839999999999996</v>
      </c>
      <c r="M314" s="69">
        <f t="shared" si="65"/>
        <v>5.644000000000001</v>
      </c>
      <c r="N314" s="56">
        <f>INDEX(Rate_Chart!$A$1:$AK$127,MATCH(Data!J314,Rate_Chart!$A$1:$A$127,0),MATCH(Data!K314,Rate_Chart!$A$1:$AK$1,0))</f>
        <v>38.921153700000005</v>
      </c>
      <c r="O314" s="57">
        <f t="shared" si="66"/>
        <v>2646.6384516000003</v>
      </c>
      <c r="P314" s="58">
        <f t="shared" si="67"/>
        <v>417.01236107142859</v>
      </c>
      <c r="Q314" s="58">
        <f t="shared" si="68"/>
        <v>278.00824071428571</v>
      </c>
      <c r="R314" s="66">
        <f t="shared" si="62"/>
        <v>46.316172903000009</v>
      </c>
      <c r="S314" s="64">
        <f t="shared" si="69"/>
        <v>255</v>
      </c>
      <c r="T314" s="66">
        <f t="shared" si="70"/>
        <v>2947.9546245030001</v>
      </c>
      <c r="U314" s="68">
        <f t="shared" si="71"/>
        <v>43.352273889750002</v>
      </c>
      <c r="V314" s="68">
        <f t="shared" si="72"/>
        <v>464.48864881874999</v>
      </c>
      <c r="W314" s="68">
        <f t="shared" si="73"/>
        <v>309.6590992125</v>
      </c>
    </row>
    <row r="315" spans="1:23" x14ac:dyDescent="0.25">
      <c r="A315" s="169" t="s">
        <v>947</v>
      </c>
      <c r="B315" s="61" t="s">
        <v>390</v>
      </c>
      <c r="C315" s="61" t="s">
        <v>585</v>
      </c>
      <c r="D315" s="61" t="s">
        <v>586</v>
      </c>
      <c r="E315" s="1" t="s">
        <v>342</v>
      </c>
      <c r="F315" s="62" t="str">
        <f t="shared" si="63"/>
        <v>60573</v>
      </c>
      <c r="G315" s="269">
        <v>10620067</v>
      </c>
      <c r="H315" s="1" t="s">
        <v>381</v>
      </c>
      <c r="I315" s="61">
        <v>36</v>
      </c>
      <c r="J315" s="61">
        <v>7</v>
      </c>
      <c r="K315" s="61">
        <v>9</v>
      </c>
      <c r="L315" s="69">
        <f t="shared" si="64"/>
        <v>2.52</v>
      </c>
      <c r="M315" s="69">
        <f t="shared" si="65"/>
        <v>3.24</v>
      </c>
      <c r="N315" s="56">
        <f>INDEX(Rate_Chart!$A$1:$AK$127,MATCH(Data!J315,Rate_Chart!$A$1:$A$127,0),MATCH(Data!K315,Rate_Chart!$A$1:$AK$1,0))</f>
        <v>58.45</v>
      </c>
      <c r="O315" s="57">
        <f t="shared" si="66"/>
        <v>2104.2000000000003</v>
      </c>
      <c r="P315" s="58">
        <f t="shared" si="67"/>
        <v>449.61538461538464</v>
      </c>
      <c r="Q315" s="58">
        <f t="shared" si="68"/>
        <v>299.74358974358978</v>
      </c>
      <c r="R315" s="66">
        <f t="shared" si="62"/>
        <v>36.82350000000001</v>
      </c>
      <c r="S315" s="64">
        <f t="shared" si="69"/>
        <v>135</v>
      </c>
      <c r="T315" s="66">
        <f t="shared" si="70"/>
        <v>2276.0235000000002</v>
      </c>
      <c r="U315" s="68">
        <f t="shared" si="71"/>
        <v>63.222875000000009</v>
      </c>
      <c r="V315" s="68">
        <f t="shared" si="72"/>
        <v>486.32980769230772</v>
      </c>
      <c r="W315" s="68">
        <f t="shared" si="73"/>
        <v>324.21987179487184</v>
      </c>
    </row>
    <row r="316" spans="1:23" x14ac:dyDescent="0.25">
      <c r="A316" s="169" t="s">
        <v>947</v>
      </c>
      <c r="B316" s="61" t="s">
        <v>390</v>
      </c>
      <c r="C316" s="61" t="s">
        <v>585</v>
      </c>
      <c r="D316" s="61" t="s">
        <v>586</v>
      </c>
      <c r="E316" s="1" t="s">
        <v>342</v>
      </c>
      <c r="F316" s="62" t="str">
        <f t="shared" si="63"/>
        <v>60573</v>
      </c>
      <c r="G316" s="269">
        <v>10620067</v>
      </c>
      <c r="H316" s="1" t="s">
        <v>382</v>
      </c>
      <c r="I316" s="61">
        <v>71</v>
      </c>
      <c r="J316" s="61">
        <v>3.6</v>
      </c>
      <c r="K316" s="61">
        <v>8.1</v>
      </c>
      <c r="L316" s="69">
        <f t="shared" si="64"/>
        <v>2.556</v>
      </c>
      <c r="M316" s="69">
        <f t="shared" si="65"/>
        <v>5.7510000000000003</v>
      </c>
      <c r="N316" s="56">
        <f>INDEX(Rate_Chart!$A$1:$AK$127,MATCH(Data!J316,Rate_Chart!$A$1:$A$127,0),MATCH(Data!K316,Rate_Chart!$A$1:$AK$1,0))</f>
        <v>37.531125900000006</v>
      </c>
      <c r="O316" s="57">
        <f t="shared" si="66"/>
        <v>2664.7099389000005</v>
      </c>
      <c r="P316" s="58">
        <f t="shared" si="67"/>
        <v>417.01251000000008</v>
      </c>
      <c r="Q316" s="58">
        <f t="shared" si="68"/>
        <v>278.00834000000003</v>
      </c>
      <c r="R316" s="66">
        <f t="shared" si="62"/>
        <v>46.632423930750015</v>
      </c>
      <c r="S316" s="64">
        <f t="shared" si="69"/>
        <v>266.25</v>
      </c>
      <c r="T316" s="66">
        <f t="shared" si="70"/>
        <v>2977.5923628307505</v>
      </c>
      <c r="U316" s="68">
        <f t="shared" si="71"/>
        <v>41.937920603250006</v>
      </c>
      <c r="V316" s="68">
        <f t="shared" si="72"/>
        <v>465.97689559166673</v>
      </c>
      <c r="W316" s="68">
        <f t="shared" si="73"/>
        <v>310.6512637277778</v>
      </c>
    </row>
    <row r="317" spans="1:23" x14ac:dyDescent="0.25">
      <c r="A317" s="169" t="s">
        <v>947</v>
      </c>
      <c r="B317" s="61" t="s">
        <v>391</v>
      </c>
      <c r="C317" s="61" t="s">
        <v>585</v>
      </c>
      <c r="D317" s="61" t="s">
        <v>586</v>
      </c>
      <c r="E317" s="1" t="s">
        <v>342</v>
      </c>
      <c r="F317" s="62" t="str">
        <f t="shared" si="63"/>
        <v>60573</v>
      </c>
      <c r="G317" s="269">
        <v>10620067</v>
      </c>
      <c r="H317" s="1" t="s">
        <v>381</v>
      </c>
      <c r="I317" s="61">
        <v>14</v>
      </c>
      <c r="J317" s="61">
        <v>6.8</v>
      </c>
      <c r="K317" s="61">
        <v>9</v>
      </c>
      <c r="L317" s="69">
        <f t="shared" si="64"/>
        <v>0.95200000000000007</v>
      </c>
      <c r="M317" s="69">
        <f t="shared" si="65"/>
        <v>1.26</v>
      </c>
      <c r="N317" s="56">
        <f>INDEX(Rate_Chart!$A$1:$AK$127,MATCH(Data!J317,Rate_Chart!$A$1:$A$127,0),MATCH(Data!K317,Rate_Chart!$A$1:$AK$1,0))</f>
        <v>56.78</v>
      </c>
      <c r="O317" s="57">
        <f t="shared" si="66"/>
        <v>794.92000000000007</v>
      </c>
      <c r="P317" s="58">
        <f t="shared" si="67"/>
        <v>443.59375</v>
      </c>
      <c r="Q317" s="58">
        <f t="shared" si="68"/>
        <v>295.72916666666669</v>
      </c>
      <c r="R317" s="66">
        <f t="shared" si="62"/>
        <v>13.911100000000003</v>
      </c>
      <c r="S317" s="64">
        <f t="shared" si="69"/>
        <v>52.5</v>
      </c>
      <c r="T317" s="66">
        <f t="shared" si="70"/>
        <v>861.33110000000011</v>
      </c>
      <c r="U317" s="68">
        <f t="shared" si="71"/>
        <v>61.523650000000011</v>
      </c>
      <c r="V317" s="68">
        <f t="shared" si="72"/>
        <v>480.65351562500007</v>
      </c>
      <c r="W317" s="68">
        <f t="shared" si="73"/>
        <v>320.43567708333336</v>
      </c>
    </row>
    <row r="318" spans="1:23" x14ac:dyDescent="0.25">
      <c r="A318" s="169" t="s">
        <v>947</v>
      </c>
      <c r="B318" s="61" t="s">
        <v>391</v>
      </c>
      <c r="C318" s="61" t="s">
        <v>585</v>
      </c>
      <c r="D318" s="61" t="s">
        <v>586</v>
      </c>
      <c r="E318" s="1" t="s">
        <v>342</v>
      </c>
      <c r="F318" s="62" t="str">
        <f t="shared" si="63"/>
        <v>60573</v>
      </c>
      <c r="G318" s="269">
        <v>10620067</v>
      </c>
      <c r="H318" s="1" t="s">
        <v>382</v>
      </c>
      <c r="I318" s="61">
        <v>59</v>
      </c>
      <c r="J318" s="61">
        <v>3.2</v>
      </c>
      <c r="K318" s="61">
        <v>8</v>
      </c>
      <c r="L318" s="69">
        <f t="shared" si="64"/>
        <v>1.8880000000000001</v>
      </c>
      <c r="M318" s="69">
        <f t="shared" si="65"/>
        <v>4.72</v>
      </c>
      <c r="N318" s="56">
        <f>INDEX(Rate_Chart!$A$1:$AK$127,MATCH(Data!J318,Rate_Chart!$A$1:$A$127,0),MATCH(Data!K318,Rate_Chart!$A$1:$AK$1,0))</f>
        <v>35.585112000000002</v>
      </c>
      <c r="O318" s="57">
        <f t="shared" si="66"/>
        <v>2099.521608</v>
      </c>
      <c r="P318" s="58">
        <f t="shared" si="67"/>
        <v>417.01303124999998</v>
      </c>
      <c r="Q318" s="58">
        <f t="shared" si="68"/>
        <v>278.00868750000001</v>
      </c>
      <c r="R318" s="66">
        <f t="shared" si="62"/>
        <v>36.741628140000003</v>
      </c>
      <c r="S318" s="64">
        <f t="shared" si="69"/>
        <v>221.25</v>
      </c>
      <c r="T318" s="66">
        <f t="shared" si="70"/>
        <v>2357.5132361400001</v>
      </c>
      <c r="U318" s="68">
        <f t="shared" si="71"/>
        <v>39.957851460000001</v>
      </c>
      <c r="V318" s="68">
        <f t="shared" si="72"/>
        <v>468.25607179687495</v>
      </c>
      <c r="W318" s="68">
        <f t="shared" si="73"/>
        <v>312.17071453124998</v>
      </c>
    </row>
    <row r="319" spans="1:23" x14ac:dyDescent="0.25">
      <c r="A319" s="169" t="s">
        <v>941</v>
      </c>
      <c r="B319" s="61" t="s">
        <v>390</v>
      </c>
      <c r="C319" s="61" t="s">
        <v>585</v>
      </c>
      <c r="D319" s="61" t="s">
        <v>586</v>
      </c>
      <c r="E319" s="1" t="s">
        <v>343</v>
      </c>
      <c r="F319" s="62" t="str">
        <f t="shared" si="63"/>
        <v>60604</v>
      </c>
      <c r="G319" s="269">
        <v>10620076</v>
      </c>
      <c r="H319" s="1" t="s">
        <v>382</v>
      </c>
      <c r="I319" s="61">
        <v>7</v>
      </c>
      <c r="J319" s="61">
        <v>3.8</v>
      </c>
      <c r="K319" s="61">
        <v>8.4</v>
      </c>
      <c r="L319" s="69">
        <f t="shared" si="64"/>
        <v>0.26599999999999996</v>
      </c>
      <c r="M319" s="69">
        <f t="shared" si="65"/>
        <v>0.58800000000000008</v>
      </c>
      <c r="N319" s="56">
        <f>INDEX(Rate_Chart!$A$1:$AK$127,MATCH(Data!J319,Rate_Chart!$A$1:$A$127,0),MATCH(Data!K319,Rate_Chart!$A$1:$AK$1,0))</f>
        <v>39.19916760000001</v>
      </c>
      <c r="O319" s="57">
        <f t="shared" si="66"/>
        <v>274.39417320000007</v>
      </c>
      <c r="P319" s="58">
        <f t="shared" si="67"/>
        <v>417.01242127659583</v>
      </c>
      <c r="Q319" s="58">
        <f t="shared" si="68"/>
        <v>278.00828085106389</v>
      </c>
      <c r="R319" s="66">
        <f t="shared" si="62"/>
        <v>4.8018980310000012</v>
      </c>
      <c r="S319" s="64">
        <f t="shared" si="69"/>
        <v>26.25</v>
      </c>
      <c r="T319" s="66">
        <f t="shared" si="70"/>
        <v>305.44607123100008</v>
      </c>
      <c r="U319" s="68">
        <f t="shared" si="71"/>
        <v>43.635153033000009</v>
      </c>
      <c r="V319" s="68">
        <f t="shared" si="72"/>
        <v>464.20375567021284</v>
      </c>
      <c r="W319" s="68">
        <f t="shared" si="73"/>
        <v>309.46917044680856</v>
      </c>
    </row>
    <row r="320" spans="1:23" x14ac:dyDescent="0.25">
      <c r="A320" s="169" t="s">
        <v>941</v>
      </c>
      <c r="B320" s="61" t="s">
        <v>391</v>
      </c>
      <c r="C320" s="61" t="s">
        <v>585</v>
      </c>
      <c r="D320" s="61" t="s">
        <v>586</v>
      </c>
      <c r="E320" s="1" t="s">
        <v>343</v>
      </c>
      <c r="F320" s="62" t="str">
        <f t="shared" si="63"/>
        <v>60604</v>
      </c>
      <c r="G320" s="269">
        <v>10620076</v>
      </c>
      <c r="H320" s="1" t="s">
        <v>382</v>
      </c>
      <c r="I320" s="61">
        <v>18</v>
      </c>
      <c r="J320" s="61">
        <v>4.5999999999999996</v>
      </c>
      <c r="K320" s="61">
        <v>8.5</v>
      </c>
      <c r="L320" s="69">
        <f t="shared" si="64"/>
        <v>0.82799999999999996</v>
      </c>
      <c r="M320" s="69">
        <f t="shared" si="65"/>
        <v>1.53</v>
      </c>
      <c r="N320" s="56">
        <f>INDEX(Rate_Chart!$A$1:$AK$127,MATCH(Data!J320,Rate_Chart!$A$1:$A$127,0),MATCH(Data!K320,Rate_Chart!$A$1:$AK$1,0))</f>
        <v>42.813181499999999</v>
      </c>
      <c r="O320" s="57">
        <f t="shared" si="66"/>
        <v>770.63726699999995</v>
      </c>
      <c r="P320" s="58">
        <f t="shared" si="67"/>
        <v>417.01150811688308</v>
      </c>
      <c r="Q320" s="58">
        <f t="shared" si="68"/>
        <v>278.00767207792205</v>
      </c>
      <c r="R320" s="66">
        <f t="shared" si="62"/>
        <v>13.486152172500001</v>
      </c>
      <c r="S320" s="64">
        <f t="shared" si="69"/>
        <v>67.5</v>
      </c>
      <c r="T320" s="66">
        <f t="shared" si="70"/>
        <v>851.62341917250001</v>
      </c>
      <c r="U320" s="68">
        <f t="shared" si="71"/>
        <v>47.31241217625</v>
      </c>
      <c r="V320" s="68">
        <f t="shared" si="72"/>
        <v>460.83518353490257</v>
      </c>
      <c r="W320" s="68">
        <f t="shared" si="73"/>
        <v>307.22345568993507</v>
      </c>
    </row>
    <row r="321" spans="1:23" x14ac:dyDescent="0.25">
      <c r="A321" s="169" t="s">
        <v>942</v>
      </c>
      <c r="B321" s="61" t="s">
        <v>390</v>
      </c>
      <c r="C321" s="61" t="s">
        <v>585</v>
      </c>
      <c r="D321" s="61" t="s">
        <v>586</v>
      </c>
      <c r="E321" s="1" t="s">
        <v>343</v>
      </c>
      <c r="F321" s="62" t="str">
        <f t="shared" si="63"/>
        <v>60604</v>
      </c>
      <c r="G321" s="269">
        <v>10620076</v>
      </c>
      <c r="H321" s="1" t="s">
        <v>382</v>
      </c>
      <c r="I321" s="61">
        <v>21</v>
      </c>
      <c r="J321" s="61">
        <v>4.8</v>
      </c>
      <c r="K321" s="61">
        <v>8.5</v>
      </c>
      <c r="L321" s="69">
        <f t="shared" si="64"/>
        <v>1.008</v>
      </c>
      <c r="M321" s="69">
        <f t="shared" si="65"/>
        <v>1.7849999999999999</v>
      </c>
      <c r="N321" s="56">
        <f>INDEX(Rate_Chart!$A$1:$AK$127,MATCH(Data!J321,Rate_Chart!$A$1:$A$127,0),MATCH(Data!K321,Rate_Chart!$A$1:$AK$1,0))</f>
        <v>43.647181500000002</v>
      </c>
      <c r="O321" s="57">
        <f t="shared" si="66"/>
        <v>916.59081150000009</v>
      </c>
      <c r="P321" s="58">
        <f t="shared" si="67"/>
        <v>417.0112882165605</v>
      </c>
      <c r="Q321" s="58">
        <f t="shared" si="68"/>
        <v>278.00752547770702</v>
      </c>
      <c r="R321" s="66">
        <f t="shared" si="62"/>
        <v>16.040339201250003</v>
      </c>
      <c r="S321" s="64">
        <f t="shared" si="69"/>
        <v>78.75</v>
      </c>
      <c r="T321" s="66">
        <f t="shared" si="70"/>
        <v>1011.3811507012501</v>
      </c>
      <c r="U321" s="68">
        <f t="shared" si="71"/>
        <v>48.16100717625001</v>
      </c>
      <c r="V321" s="68">
        <f t="shared" si="72"/>
        <v>460.13701123805737</v>
      </c>
      <c r="W321" s="68">
        <f t="shared" si="73"/>
        <v>306.75800749203825</v>
      </c>
    </row>
    <row r="322" spans="1:23" x14ac:dyDescent="0.25">
      <c r="A322" s="169" t="s">
        <v>942</v>
      </c>
      <c r="B322" s="61" t="s">
        <v>391</v>
      </c>
      <c r="C322" s="61" t="s">
        <v>585</v>
      </c>
      <c r="D322" s="61" t="s">
        <v>586</v>
      </c>
      <c r="E322" s="1" t="s">
        <v>343</v>
      </c>
      <c r="F322" s="62" t="str">
        <f t="shared" si="63"/>
        <v>60604</v>
      </c>
      <c r="G322" s="269">
        <v>10620076</v>
      </c>
      <c r="H322" s="1" t="s">
        <v>382</v>
      </c>
      <c r="I322" s="61">
        <v>16</v>
      </c>
      <c r="J322" s="61">
        <v>4.5999999999999996</v>
      </c>
      <c r="K322" s="61">
        <v>8.5</v>
      </c>
      <c r="L322" s="69">
        <f t="shared" si="64"/>
        <v>0.73599999999999999</v>
      </c>
      <c r="M322" s="69">
        <f t="shared" si="65"/>
        <v>1.36</v>
      </c>
      <c r="N322" s="56">
        <f>INDEX(Rate_Chart!$A$1:$AK$127,MATCH(Data!J322,Rate_Chart!$A$1:$A$127,0),MATCH(Data!K322,Rate_Chart!$A$1:$AK$1,0))</f>
        <v>42.813181499999999</v>
      </c>
      <c r="O322" s="57">
        <f t="shared" si="66"/>
        <v>685.01090399999998</v>
      </c>
      <c r="P322" s="58">
        <f t="shared" si="67"/>
        <v>417.01150811688308</v>
      </c>
      <c r="Q322" s="58">
        <f t="shared" si="68"/>
        <v>278.00767207792205</v>
      </c>
      <c r="R322" s="66">
        <f t="shared" si="62"/>
        <v>11.987690820000001</v>
      </c>
      <c r="S322" s="64">
        <f t="shared" si="69"/>
        <v>60</v>
      </c>
      <c r="T322" s="66">
        <f t="shared" si="70"/>
        <v>756.99859481999999</v>
      </c>
      <c r="U322" s="68">
        <f t="shared" si="71"/>
        <v>47.31241217625</v>
      </c>
      <c r="V322" s="68">
        <f t="shared" si="72"/>
        <v>460.83518353490257</v>
      </c>
      <c r="W322" s="68">
        <f t="shared" si="73"/>
        <v>307.22345568993507</v>
      </c>
    </row>
    <row r="323" spans="1:23" x14ac:dyDescent="0.25">
      <c r="A323" s="169" t="s">
        <v>943</v>
      </c>
      <c r="B323" s="61" t="s">
        <v>390</v>
      </c>
      <c r="C323" s="61" t="s">
        <v>585</v>
      </c>
      <c r="D323" s="61" t="s">
        <v>586</v>
      </c>
      <c r="E323" s="1" t="s">
        <v>343</v>
      </c>
      <c r="F323" s="62" t="str">
        <f t="shared" si="63"/>
        <v>60604</v>
      </c>
      <c r="G323" s="269">
        <v>10620076</v>
      </c>
      <c r="H323" s="1" t="s">
        <v>382</v>
      </c>
      <c r="I323" s="61">
        <v>18</v>
      </c>
      <c r="J323" s="61">
        <v>4.5</v>
      </c>
      <c r="K323" s="61">
        <v>8.5</v>
      </c>
      <c r="L323" s="69">
        <f t="shared" si="64"/>
        <v>0.81</v>
      </c>
      <c r="M323" s="69">
        <f t="shared" si="65"/>
        <v>1.53</v>
      </c>
      <c r="N323" s="56">
        <f>INDEX(Rate_Chart!$A$1:$AK$127,MATCH(Data!J323,Rate_Chart!$A$1:$A$127,0),MATCH(Data!K323,Rate_Chart!$A$1:$AK$1,0))</f>
        <v>42.396181500000004</v>
      </c>
      <c r="O323" s="57">
        <f t="shared" si="66"/>
        <v>763.13126700000009</v>
      </c>
      <c r="P323" s="58">
        <f t="shared" si="67"/>
        <v>417.01162131147544</v>
      </c>
      <c r="Q323" s="58">
        <f t="shared" si="68"/>
        <v>278.00774754098364</v>
      </c>
      <c r="R323" s="66">
        <f t="shared" si="62"/>
        <v>13.354797172500003</v>
      </c>
      <c r="S323" s="64">
        <f t="shared" si="69"/>
        <v>67.5</v>
      </c>
      <c r="T323" s="66">
        <f t="shared" si="70"/>
        <v>843.98606417250005</v>
      </c>
      <c r="U323" s="68">
        <f t="shared" si="71"/>
        <v>46.888114676250005</v>
      </c>
      <c r="V323" s="68">
        <f t="shared" si="72"/>
        <v>461.19457058606559</v>
      </c>
      <c r="W323" s="68">
        <f t="shared" si="73"/>
        <v>307.46304705737708</v>
      </c>
    </row>
    <row r="324" spans="1:23" x14ac:dyDescent="0.25">
      <c r="A324" s="169" t="s">
        <v>943</v>
      </c>
      <c r="B324" s="61" t="s">
        <v>391</v>
      </c>
      <c r="C324" s="61" t="s">
        <v>585</v>
      </c>
      <c r="D324" s="61" t="s">
        <v>586</v>
      </c>
      <c r="E324" s="1" t="s">
        <v>343</v>
      </c>
      <c r="F324" s="62" t="str">
        <f t="shared" si="63"/>
        <v>60604</v>
      </c>
      <c r="G324" s="269">
        <v>10620076</v>
      </c>
      <c r="H324" s="1" t="s">
        <v>382</v>
      </c>
      <c r="I324" s="61">
        <v>14</v>
      </c>
      <c r="J324" s="61">
        <v>5.0999999999999996</v>
      </c>
      <c r="K324" s="61">
        <v>8.5</v>
      </c>
      <c r="L324" s="69">
        <f t="shared" si="64"/>
        <v>0.71399999999999997</v>
      </c>
      <c r="M324" s="69">
        <f t="shared" si="65"/>
        <v>1.19</v>
      </c>
      <c r="N324" s="56">
        <f>INDEX(Rate_Chart!$A$1:$AK$127,MATCH(Data!J324,Rate_Chart!$A$1:$A$127,0),MATCH(Data!K324,Rate_Chart!$A$1:$AK$1,0))</f>
        <v>44.898181500000007</v>
      </c>
      <c r="O324" s="57">
        <f t="shared" si="66"/>
        <v>628.57454100000007</v>
      </c>
      <c r="P324" s="58">
        <f t="shared" si="67"/>
        <v>417.01097368421063</v>
      </c>
      <c r="Q324" s="58">
        <f t="shared" si="68"/>
        <v>278.00731578947375</v>
      </c>
      <c r="R324" s="66">
        <f t="shared" ref="R324:R387" si="74">O324*1.75%</f>
        <v>11.000054467500002</v>
      </c>
      <c r="S324" s="64">
        <f t="shared" si="69"/>
        <v>52.5</v>
      </c>
      <c r="T324" s="66">
        <f t="shared" si="70"/>
        <v>692.0745954675001</v>
      </c>
      <c r="U324" s="68">
        <f t="shared" si="71"/>
        <v>49.433899676250007</v>
      </c>
      <c r="V324" s="68">
        <f t="shared" si="72"/>
        <v>459.13838708591339</v>
      </c>
      <c r="W324" s="68">
        <f t="shared" si="73"/>
        <v>306.09225805727561</v>
      </c>
    </row>
    <row r="325" spans="1:23" x14ac:dyDescent="0.25">
      <c r="A325" s="169" t="s">
        <v>944</v>
      </c>
      <c r="B325" s="61" t="s">
        <v>390</v>
      </c>
      <c r="C325" s="61" t="s">
        <v>585</v>
      </c>
      <c r="D325" s="61" t="s">
        <v>586</v>
      </c>
      <c r="E325" s="1" t="s">
        <v>343</v>
      </c>
      <c r="F325" s="62" t="str">
        <f t="shared" ref="F325:F388" si="75">MID(E325,2,5)</f>
        <v>60604</v>
      </c>
      <c r="G325" s="269">
        <v>10620076</v>
      </c>
      <c r="H325" s="1" t="s">
        <v>382</v>
      </c>
      <c r="I325" s="61">
        <v>23</v>
      </c>
      <c r="J325" s="61">
        <v>4.9000000000000004</v>
      </c>
      <c r="K325" s="61">
        <v>8.5</v>
      </c>
      <c r="L325" s="69">
        <f t="shared" si="64"/>
        <v>1.127</v>
      </c>
      <c r="M325" s="69">
        <f t="shared" si="65"/>
        <v>1.9550000000000001</v>
      </c>
      <c r="N325" s="56">
        <f>INDEX(Rate_Chart!$A$1:$AK$127,MATCH(Data!J325,Rate_Chart!$A$1:$A$127,0),MATCH(Data!K325,Rate_Chart!$A$1:$AK$1,0))</f>
        <v>44.064181500000004</v>
      </c>
      <c r="O325" s="57">
        <f t="shared" si="66"/>
        <v>1013.4761745000001</v>
      </c>
      <c r="P325" s="58">
        <f t="shared" si="67"/>
        <v>417.01118138801263</v>
      </c>
      <c r="Q325" s="58">
        <f t="shared" si="68"/>
        <v>278.00745425867507</v>
      </c>
      <c r="R325" s="66">
        <f t="shared" si="74"/>
        <v>17.735833053750003</v>
      </c>
      <c r="S325" s="64">
        <f t="shared" si="69"/>
        <v>86.25</v>
      </c>
      <c r="T325" s="66">
        <f t="shared" si="70"/>
        <v>1117.46200755375</v>
      </c>
      <c r="U325" s="68">
        <f t="shared" si="71"/>
        <v>48.585304676250004</v>
      </c>
      <c r="V325" s="68">
        <f t="shared" si="72"/>
        <v>459.79783605283916</v>
      </c>
      <c r="W325" s="68">
        <f t="shared" si="73"/>
        <v>306.53189070189279</v>
      </c>
    </row>
    <row r="326" spans="1:23" x14ac:dyDescent="0.25">
      <c r="A326" s="169" t="s">
        <v>944</v>
      </c>
      <c r="B326" s="61" t="s">
        <v>391</v>
      </c>
      <c r="C326" s="61" t="s">
        <v>585</v>
      </c>
      <c r="D326" s="61" t="s">
        <v>586</v>
      </c>
      <c r="E326" s="1" t="s">
        <v>343</v>
      </c>
      <c r="F326" s="62" t="str">
        <f t="shared" si="75"/>
        <v>60604</v>
      </c>
      <c r="G326" s="269">
        <v>10620076</v>
      </c>
      <c r="H326" s="1" t="s">
        <v>382</v>
      </c>
      <c r="I326" s="61">
        <v>13</v>
      </c>
      <c r="J326" s="61">
        <v>5</v>
      </c>
      <c r="K326" s="61">
        <v>8.5</v>
      </c>
      <c r="L326" s="69">
        <f t="shared" si="64"/>
        <v>0.65</v>
      </c>
      <c r="M326" s="69">
        <f t="shared" si="65"/>
        <v>1.105</v>
      </c>
      <c r="N326" s="56">
        <f>INDEX(Rate_Chart!$A$1:$AK$127,MATCH(Data!J326,Rate_Chart!$A$1:$A$127,0),MATCH(Data!K326,Rate_Chart!$A$1:$AK$1,0))</f>
        <v>44.481181500000005</v>
      </c>
      <c r="O326" s="57">
        <f t="shared" si="66"/>
        <v>578.25535950000005</v>
      </c>
      <c r="P326" s="58">
        <f t="shared" si="67"/>
        <v>417.01107656250002</v>
      </c>
      <c r="Q326" s="58">
        <f t="shared" si="68"/>
        <v>278.00738437500002</v>
      </c>
      <c r="R326" s="66">
        <f t="shared" si="74"/>
        <v>10.119468791250002</v>
      </c>
      <c r="S326" s="64">
        <f t="shared" si="69"/>
        <v>48.75</v>
      </c>
      <c r="T326" s="66">
        <f t="shared" si="70"/>
        <v>637.12482829125008</v>
      </c>
      <c r="U326" s="68">
        <f t="shared" si="71"/>
        <v>49.009602176250006</v>
      </c>
      <c r="V326" s="68">
        <f t="shared" si="72"/>
        <v>459.46502040234378</v>
      </c>
      <c r="W326" s="68">
        <f t="shared" si="73"/>
        <v>306.3100136015625</v>
      </c>
    </row>
    <row r="327" spans="1:23" x14ac:dyDescent="0.25">
      <c r="A327" s="169" t="s">
        <v>945</v>
      </c>
      <c r="B327" s="61" t="s">
        <v>390</v>
      </c>
      <c r="C327" s="61" t="s">
        <v>585</v>
      </c>
      <c r="D327" s="61" t="s">
        <v>586</v>
      </c>
      <c r="E327" s="1" t="s">
        <v>343</v>
      </c>
      <c r="F327" s="62" t="str">
        <f t="shared" si="75"/>
        <v>60604</v>
      </c>
      <c r="G327" s="269">
        <v>10620076</v>
      </c>
      <c r="H327" s="1" t="s">
        <v>382</v>
      </c>
      <c r="I327" s="61">
        <v>25</v>
      </c>
      <c r="J327" s="61">
        <v>4.4000000000000004</v>
      </c>
      <c r="K327" s="61">
        <v>8.5</v>
      </c>
      <c r="L327" s="69">
        <f t="shared" si="64"/>
        <v>1.1000000000000001</v>
      </c>
      <c r="M327" s="69">
        <f t="shared" si="65"/>
        <v>2.125</v>
      </c>
      <c r="N327" s="56">
        <f>INDEX(Rate_Chart!$A$1:$AK$127,MATCH(Data!J327,Rate_Chart!$A$1:$A$127,0),MATCH(Data!K327,Rate_Chart!$A$1:$AK$1,0))</f>
        <v>41.97918150000001</v>
      </c>
      <c r="O327" s="57">
        <f t="shared" si="66"/>
        <v>1049.4795375000003</v>
      </c>
      <c r="P327" s="58">
        <f t="shared" si="67"/>
        <v>417.01173675496693</v>
      </c>
      <c r="Q327" s="58">
        <f t="shared" si="68"/>
        <v>278.00782450331127</v>
      </c>
      <c r="R327" s="66">
        <f t="shared" si="74"/>
        <v>18.365891906250006</v>
      </c>
      <c r="S327" s="64">
        <f t="shared" si="69"/>
        <v>93.75</v>
      </c>
      <c r="T327" s="66">
        <f t="shared" si="70"/>
        <v>1161.5954294062503</v>
      </c>
      <c r="U327" s="68">
        <f t="shared" si="71"/>
        <v>46.463817176250011</v>
      </c>
      <c r="V327" s="68">
        <f t="shared" si="72"/>
        <v>461.56109777731791</v>
      </c>
      <c r="W327" s="68">
        <f t="shared" si="73"/>
        <v>307.70739851821196</v>
      </c>
    </row>
    <row r="328" spans="1:23" x14ac:dyDescent="0.25">
      <c r="A328" s="169" t="s">
        <v>945</v>
      </c>
      <c r="B328" s="61" t="s">
        <v>391</v>
      </c>
      <c r="C328" s="61" t="s">
        <v>585</v>
      </c>
      <c r="D328" s="61" t="s">
        <v>586</v>
      </c>
      <c r="E328" s="1" t="s">
        <v>343</v>
      </c>
      <c r="F328" s="62" t="str">
        <f t="shared" si="75"/>
        <v>60604</v>
      </c>
      <c r="G328" s="269">
        <v>10620076</v>
      </c>
      <c r="H328" s="1" t="s">
        <v>381</v>
      </c>
      <c r="I328" s="61">
        <v>19</v>
      </c>
      <c r="J328" s="61">
        <v>5.5</v>
      </c>
      <c r="K328" s="61">
        <v>8.5</v>
      </c>
      <c r="L328" s="69">
        <f t="shared" si="64"/>
        <v>1.0449999999999999</v>
      </c>
      <c r="M328" s="69">
        <f t="shared" si="65"/>
        <v>1.615</v>
      </c>
      <c r="N328" s="56">
        <f>INDEX(Rate_Chart!$A$1:$AK$127,MATCH(Data!J328,Rate_Chart!$A$1:$A$127,0),MATCH(Data!K328,Rate_Chart!$A$1:$AK$1,0))</f>
        <v>46.566181499999999</v>
      </c>
      <c r="O328" s="57">
        <f t="shared" si="66"/>
        <v>884.75744850000001</v>
      </c>
      <c r="P328" s="58">
        <f t="shared" si="67"/>
        <v>417.01058059701495</v>
      </c>
      <c r="Q328" s="58">
        <f t="shared" si="68"/>
        <v>278.00705373134332</v>
      </c>
      <c r="R328" s="66">
        <f t="shared" si="74"/>
        <v>15.483255348750001</v>
      </c>
      <c r="S328" s="64">
        <f t="shared" si="69"/>
        <v>71.25</v>
      </c>
      <c r="T328" s="66">
        <f t="shared" si="70"/>
        <v>971.49070384875006</v>
      </c>
      <c r="U328" s="68">
        <f t="shared" si="71"/>
        <v>51.131089676250006</v>
      </c>
      <c r="V328" s="68">
        <f t="shared" si="72"/>
        <v>457.89035530970153</v>
      </c>
      <c r="W328" s="68">
        <f t="shared" si="73"/>
        <v>305.26023687313437</v>
      </c>
    </row>
    <row r="329" spans="1:23" x14ac:dyDescent="0.25">
      <c r="A329" s="169" t="s">
        <v>946</v>
      </c>
      <c r="B329" s="61" t="s">
        <v>390</v>
      </c>
      <c r="C329" s="61" t="s">
        <v>585</v>
      </c>
      <c r="D329" s="61" t="s">
        <v>586</v>
      </c>
      <c r="E329" s="1" t="s">
        <v>343</v>
      </c>
      <c r="F329" s="62" t="str">
        <f t="shared" si="75"/>
        <v>60604</v>
      </c>
      <c r="G329" s="269">
        <v>10620076</v>
      </c>
      <c r="H329" s="1" t="s">
        <v>382</v>
      </c>
      <c r="I329" s="61">
        <v>23</v>
      </c>
      <c r="J329" s="61">
        <v>4.7</v>
      </c>
      <c r="K329" s="61">
        <v>8.5</v>
      </c>
      <c r="L329" s="69">
        <f t="shared" si="64"/>
        <v>1.0810000000000002</v>
      </c>
      <c r="M329" s="69">
        <f t="shared" si="65"/>
        <v>1.9550000000000001</v>
      </c>
      <c r="N329" s="56">
        <f>INDEX(Rate_Chart!$A$1:$AK$127,MATCH(Data!J329,Rate_Chart!$A$1:$A$127,0),MATCH(Data!K329,Rate_Chart!$A$1:$AK$1,0))</f>
        <v>43.2301815</v>
      </c>
      <c r="O329" s="57">
        <f t="shared" si="66"/>
        <v>994.29417450000005</v>
      </c>
      <c r="P329" s="58">
        <f t="shared" si="67"/>
        <v>417.01139710610931</v>
      </c>
      <c r="Q329" s="58">
        <f t="shared" si="68"/>
        <v>278.00759807073956</v>
      </c>
      <c r="R329" s="66">
        <f t="shared" si="74"/>
        <v>17.400148053750002</v>
      </c>
      <c r="S329" s="64">
        <f t="shared" si="69"/>
        <v>86.25</v>
      </c>
      <c r="T329" s="66">
        <f t="shared" si="70"/>
        <v>1097.94432255375</v>
      </c>
      <c r="U329" s="68">
        <f t="shared" si="71"/>
        <v>47.736709676250001</v>
      </c>
      <c r="V329" s="68">
        <f t="shared" si="72"/>
        <v>460.48272999598072</v>
      </c>
      <c r="W329" s="68">
        <f t="shared" si="73"/>
        <v>306.98848666398715</v>
      </c>
    </row>
    <row r="330" spans="1:23" x14ac:dyDescent="0.25">
      <c r="A330" s="169" t="s">
        <v>946</v>
      </c>
      <c r="B330" s="61" t="s">
        <v>391</v>
      </c>
      <c r="C330" s="61" t="s">
        <v>585</v>
      </c>
      <c r="D330" s="61" t="s">
        <v>586</v>
      </c>
      <c r="E330" s="1" t="s">
        <v>343</v>
      </c>
      <c r="F330" s="62" t="str">
        <f t="shared" si="75"/>
        <v>60604</v>
      </c>
      <c r="G330" s="269">
        <v>10620076</v>
      </c>
      <c r="H330" s="1" t="s">
        <v>382</v>
      </c>
      <c r="I330" s="61">
        <v>19</v>
      </c>
      <c r="J330" s="61">
        <v>4.8</v>
      </c>
      <c r="K330" s="61">
        <v>8.5</v>
      </c>
      <c r="L330" s="69">
        <f t="shared" si="64"/>
        <v>0.91200000000000003</v>
      </c>
      <c r="M330" s="69">
        <f t="shared" si="65"/>
        <v>1.615</v>
      </c>
      <c r="N330" s="56">
        <f>INDEX(Rate_Chart!$A$1:$AK$127,MATCH(Data!J330,Rate_Chart!$A$1:$A$127,0),MATCH(Data!K330,Rate_Chart!$A$1:$AK$1,0))</f>
        <v>43.647181500000002</v>
      </c>
      <c r="O330" s="57">
        <f t="shared" si="66"/>
        <v>829.2964485</v>
      </c>
      <c r="P330" s="58">
        <f t="shared" si="67"/>
        <v>417.0112882165605</v>
      </c>
      <c r="Q330" s="58">
        <f t="shared" si="68"/>
        <v>278.00752547770702</v>
      </c>
      <c r="R330" s="66">
        <f t="shared" si="74"/>
        <v>14.512687848750002</v>
      </c>
      <c r="S330" s="64">
        <f t="shared" si="69"/>
        <v>71.25</v>
      </c>
      <c r="T330" s="66">
        <f t="shared" si="70"/>
        <v>915.05913634875003</v>
      </c>
      <c r="U330" s="68">
        <f t="shared" si="71"/>
        <v>48.161007176250003</v>
      </c>
      <c r="V330" s="68">
        <f t="shared" si="72"/>
        <v>460.13701123805731</v>
      </c>
      <c r="W330" s="68">
        <f t="shared" si="73"/>
        <v>306.75800749203819</v>
      </c>
    </row>
    <row r="331" spans="1:23" x14ac:dyDescent="0.25">
      <c r="A331" s="169" t="s">
        <v>947</v>
      </c>
      <c r="B331" s="61" t="s">
        <v>390</v>
      </c>
      <c r="C331" s="61" t="s">
        <v>585</v>
      </c>
      <c r="D331" s="61" t="s">
        <v>586</v>
      </c>
      <c r="E331" s="1" t="s">
        <v>343</v>
      </c>
      <c r="F331" s="62" t="str">
        <f t="shared" si="75"/>
        <v>60604</v>
      </c>
      <c r="G331" s="269">
        <v>10620076</v>
      </c>
      <c r="H331" s="1" t="s">
        <v>382</v>
      </c>
      <c r="I331" s="61">
        <v>24</v>
      </c>
      <c r="J331" s="61">
        <v>4.4000000000000004</v>
      </c>
      <c r="K331" s="61">
        <v>8.5</v>
      </c>
      <c r="L331" s="69">
        <f t="shared" si="64"/>
        <v>1.056</v>
      </c>
      <c r="M331" s="69">
        <f t="shared" si="65"/>
        <v>2.04</v>
      </c>
      <c r="N331" s="56">
        <f>INDEX(Rate_Chart!$A$1:$AK$127,MATCH(Data!J331,Rate_Chart!$A$1:$A$127,0),MATCH(Data!K331,Rate_Chart!$A$1:$AK$1,0))</f>
        <v>41.97918150000001</v>
      </c>
      <c r="O331" s="57">
        <f t="shared" si="66"/>
        <v>1007.5003560000002</v>
      </c>
      <c r="P331" s="58">
        <f t="shared" si="67"/>
        <v>417.01173675496693</v>
      </c>
      <c r="Q331" s="58">
        <f t="shared" si="68"/>
        <v>278.00782450331127</v>
      </c>
      <c r="R331" s="66">
        <f t="shared" si="74"/>
        <v>17.631256230000005</v>
      </c>
      <c r="S331" s="64">
        <f t="shared" si="69"/>
        <v>90</v>
      </c>
      <c r="T331" s="66">
        <f t="shared" si="70"/>
        <v>1115.1316122300002</v>
      </c>
      <c r="U331" s="68">
        <f t="shared" si="71"/>
        <v>46.463817176250011</v>
      </c>
      <c r="V331" s="68">
        <f t="shared" si="72"/>
        <v>461.56109777731791</v>
      </c>
      <c r="W331" s="68">
        <f t="shared" si="73"/>
        <v>307.70739851821196</v>
      </c>
    </row>
    <row r="332" spans="1:23" x14ac:dyDescent="0.25">
      <c r="A332" s="169" t="s">
        <v>947</v>
      </c>
      <c r="B332" s="61" t="s">
        <v>391</v>
      </c>
      <c r="C332" s="61" t="s">
        <v>585</v>
      </c>
      <c r="D332" s="61" t="s">
        <v>586</v>
      </c>
      <c r="E332" s="1" t="s">
        <v>343</v>
      </c>
      <c r="F332" s="62" t="str">
        <f t="shared" si="75"/>
        <v>60604</v>
      </c>
      <c r="G332" s="269">
        <v>10620076</v>
      </c>
      <c r="H332" s="1" t="s">
        <v>382</v>
      </c>
      <c r="I332" s="61">
        <v>18</v>
      </c>
      <c r="J332" s="61">
        <v>4.5</v>
      </c>
      <c r="K332" s="61">
        <v>8.5</v>
      </c>
      <c r="L332" s="69">
        <f t="shared" si="64"/>
        <v>0.81</v>
      </c>
      <c r="M332" s="69">
        <f t="shared" si="65"/>
        <v>1.53</v>
      </c>
      <c r="N332" s="56">
        <f>INDEX(Rate_Chart!$A$1:$AK$127,MATCH(Data!J332,Rate_Chart!$A$1:$A$127,0),MATCH(Data!K332,Rate_Chart!$A$1:$AK$1,0))</f>
        <v>42.396181500000004</v>
      </c>
      <c r="O332" s="57">
        <f t="shared" si="66"/>
        <v>763.13126700000009</v>
      </c>
      <c r="P332" s="58">
        <f t="shared" si="67"/>
        <v>417.01162131147544</v>
      </c>
      <c r="Q332" s="58">
        <f t="shared" si="68"/>
        <v>278.00774754098364</v>
      </c>
      <c r="R332" s="66">
        <f t="shared" si="74"/>
        <v>13.354797172500003</v>
      </c>
      <c r="S332" s="64">
        <f t="shared" si="69"/>
        <v>67.5</v>
      </c>
      <c r="T332" s="66">
        <f t="shared" si="70"/>
        <v>843.98606417250005</v>
      </c>
      <c r="U332" s="68">
        <f t="shared" si="71"/>
        <v>46.888114676250005</v>
      </c>
      <c r="V332" s="68">
        <f t="shared" si="72"/>
        <v>461.19457058606559</v>
      </c>
      <c r="W332" s="68">
        <f t="shared" si="73"/>
        <v>307.46304705737708</v>
      </c>
    </row>
    <row r="333" spans="1:23" x14ac:dyDescent="0.25">
      <c r="A333" s="169" t="s">
        <v>941</v>
      </c>
      <c r="B333" s="61" t="s">
        <v>390</v>
      </c>
      <c r="C333" s="61" t="s">
        <v>585</v>
      </c>
      <c r="D333" s="61" t="s">
        <v>854</v>
      </c>
      <c r="E333" s="1" t="s">
        <v>344</v>
      </c>
      <c r="F333" s="62" t="str">
        <f t="shared" si="75"/>
        <v>60605</v>
      </c>
      <c r="G333" s="269">
        <v>10620061</v>
      </c>
      <c r="H333" s="1" t="s">
        <v>381</v>
      </c>
      <c r="I333" s="61">
        <v>69</v>
      </c>
      <c r="J333" s="61">
        <v>5.6</v>
      </c>
      <c r="K333" s="61">
        <v>8.8000000000000007</v>
      </c>
      <c r="L333" s="69">
        <f t="shared" si="64"/>
        <v>3.8639999999999999</v>
      </c>
      <c r="M333" s="69">
        <f t="shared" si="65"/>
        <v>6.0720000000000001</v>
      </c>
      <c r="N333" s="56">
        <f>INDEX(Rate_Chart!$A$1:$AK$127,MATCH(Data!J333,Rate_Chart!$A$1:$A$127,0),MATCH(Data!K333,Rate_Chart!$A$1:$AK$1,0))</f>
        <v>46.292400000000001</v>
      </c>
      <c r="O333" s="57">
        <f t="shared" si="66"/>
        <v>3194.1756</v>
      </c>
      <c r="P333" s="58">
        <f t="shared" si="67"/>
        <v>403.71279069767445</v>
      </c>
      <c r="Q333" s="58">
        <f t="shared" si="68"/>
        <v>269.14186046511628</v>
      </c>
      <c r="R333" s="66">
        <f t="shared" si="74"/>
        <v>55.898073000000004</v>
      </c>
      <c r="S333" s="64">
        <f t="shared" si="69"/>
        <v>258.75</v>
      </c>
      <c r="T333" s="66">
        <f t="shared" si="70"/>
        <v>3508.8236729999999</v>
      </c>
      <c r="U333" s="68">
        <f t="shared" si="71"/>
        <v>50.852516999999999</v>
      </c>
      <c r="V333" s="68">
        <f t="shared" si="72"/>
        <v>443.48125290697675</v>
      </c>
      <c r="W333" s="68">
        <f t="shared" si="73"/>
        <v>295.65416860465115</v>
      </c>
    </row>
    <row r="334" spans="1:23" x14ac:dyDescent="0.25">
      <c r="A334" s="169" t="s">
        <v>941</v>
      </c>
      <c r="B334" s="61" t="s">
        <v>391</v>
      </c>
      <c r="C334" s="61" t="s">
        <v>585</v>
      </c>
      <c r="D334" s="61" t="s">
        <v>854</v>
      </c>
      <c r="E334" s="1" t="s">
        <v>344</v>
      </c>
      <c r="F334" s="62" t="str">
        <f t="shared" si="75"/>
        <v>60605</v>
      </c>
      <c r="G334" s="269">
        <v>10620061</v>
      </c>
      <c r="H334" s="1" t="s">
        <v>381</v>
      </c>
      <c r="I334" s="61">
        <v>56</v>
      </c>
      <c r="J334" s="61">
        <v>5.6</v>
      </c>
      <c r="K334" s="61">
        <v>9</v>
      </c>
      <c r="L334" s="69">
        <f t="shared" si="64"/>
        <v>3.1359999999999997</v>
      </c>
      <c r="M334" s="69">
        <f t="shared" si="65"/>
        <v>5.04</v>
      </c>
      <c r="N334" s="56">
        <f>INDEX(Rate_Chart!$A$1:$AK$127,MATCH(Data!J334,Rate_Chart!$A$1:$A$127,0),MATCH(Data!K334,Rate_Chart!$A$1:$AK$1,0))</f>
        <v>46.76</v>
      </c>
      <c r="O334" s="57">
        <f t="shared" si="66"/>
        <v>2618.56</v>
      </c>
      <c r="P334" s="58">
        <f t="shared" si="67"/>
        <v>403.10344827586209</v>
      </c>
      <c r="Q334" s="58">
        <f t="shared" si="68"/>
        <v>268.73563218390808</v>
      </c>
      <c r="R334" s="66">
        <f t="shared" si="74"/>
        <v>45.824800000000003</v>
      </c>
      <c r="S334" s="64">
        <f t="shared" si="69"/>
        <v>210</v>
      </c>
      <c r="T334" s="66">
        <f t="shared" si="70"/>
        <v>2874.3847999999998</v>
      </c>
      <c r="U334" s="68">
        <f t="shared" si="71"/>
        <v>51.328299999999999</v>
      </c>
      <c r="V334" s="68">
        <f t="shared" si="72"/>
        <v>442.48534482758623</v>
      </c>
      <c r="W334" s="68">
        <f t="shared" si="73"/>
        <v>294.99022988505749</v>
      </c>
    </row>
    <row r="335" spans="1:23" x14ac:dyDescent="0.25">
      <c r="A335" s="169" t="s">
        <v>941</v>
      </c>
      <c r="B335" s="61" t="s">
        <v>391</v>
      </c>
      <c r="C335" s="61" t="s">
        <v>585</v>
      </c>
      <c r="D335" s="61" t="s">
        <v>854</v>
      </c>
      <c r="E335" s="1" t="s">
        <v>344</v>
      </c>
      <c r="F335" s="62" t="str">
        <f t="shared" si="75"/>
        <v>60605</v>
      </c>
      <c r="G335" s="269">
        <v>10620061</v>
      </c>
      <c r="H335" s="1" t="s">
        <v>382</v>
      </c>
      <c r="I335" s="61">
        <v>41</v>
      </c>
      <c r="J335" s="61">
        <v>3.2</v>
      </c>
      <c r="K335" s="61">
        <v>8.5</v>
      </c>
      <c r="L335" s="69">
        <f t="shared" si="64"/>
        <v>1.3120000000000003</v>
      </c>
      <c r="M335" s="69">
        <f t="shared" si="65"/>
        <v>3.4849999999999999</v>
      </c>
      <c r="N335" s="56">
        <f>INDEX(Rate_Chart!$A$1:$AK$127,MATCH(Data!J335,Rate_Chart!$A$1:$A$127,0),MATCH(Data!K335,Rate_Chart!$A$1:$AK$1,0))</f>
        <v>36.975181500000005</v>
      </c>
      <c r="O335" s="57">
        <f t="shared" si="66"/>
        <v>1515.9824415000003</v>
      </c>
      <c r="P335" s="58">
        <f t="shared" si="67"/>
        <v>417.01332518796994</v>
      </c>
      <c r="Q335" s="58">
        <f t="shared" si="68"/>
        <v>278.00888345864661</v>
      </c>
      <c r="R335" s="66">
        <f t="shared" si="74"/>
        <v>26.529692726250008</v>
      </c>
      <c r="S335" s="64">
        <f t="shared" si="69"/>
        <v>153.75</v>
      </c>
      <c r="T335" s="66">
        <f t="shared" si="70"/>
        <v>1696.2621342262503</v>
      </c>
      <c r="U335" s="68">
        <f t="shared" si="71"/>
        <v>41.372247176250006</v>
      </c>
      <c r="V335" s="68">
        <f t="shared" si="72"/>
        <v>466.60429146146623</v>
      </c>
      <c r="W335" s="68">
        <f t="shared" si="73"/>
        <v>311.06952764097747</v>
      </c>
    </row>
    <row r="336" spans="1:23" x14ac:dyDescent="0.25">
      <c r="A336" s="169" t="s">
        <v>942</v>
      </c>
      <c r="B336" s="61" t="s">
        <v>390</v>
      </c>
      <c r="C336" s="61" t="s">
        <v>585</v>
      </c>
      <c r="D336" s="61" t="s">
        <v>854</v>
      </c>
      <c r="E336" s="1" t="s">
        <v>344</v>
      </c>
      <c r="F336" s="62" t="str">
        <f t="shared" si="75"/>
        <v>60605</v>
      </c>
      <c r="G336" s="269">
        <v>10620061</v>
      </c>
      <c r="H336" s="1" t="s">
        <v>381</v>
      </c>
      <c r="I336" s="61">
        <v>96</v>
      </c>
      <c r="J336" s="61">
        <v>6</v>
      </c>
      <c r="K336" s="61">
        <v>9</v>
      </c>
      <c r="L336" s="69">
        <f t="shared" si="64"/>
        <v>5.76</v>
      </c>
      <c r="M336" s="69">
        <f t="shared" si="65"/>
        <v>8.64</v>
      </c>
      <c r="N336" s="56">
        <f>INDEX(Rate_Chart!$A$1:$AK$127,MATCH(Data!J336,Rate_Chart!$A$1:$A$127,0),MATCH(Data!K336,Rate_Chart!$A$1:$AK$1,0))</f>
        <v>50.1</v>
      </c>
      <c r="O336" s="57">
        <f t="shared" si="66"/>
        <v>4809.6000000000004</v>
      </c>
      <c r="P336" s="58">
        <f t="shared" si="67"/>
        <v>417.5</v>
      </c>
      <c r="Q336" s="58">
        <f t="shared" si="68"/>
        <v>278.33333333333331</v>
      </c>
      <c r="R336" s="66">
        <f t="shared" si="74"/>
        <v>84.168000000000021</v>
      </c>
      <c r="S336" s="64">
        <f t="shared" si="69"/>
        <v>360</v>
      </c>
      <c r="T336" s="66">
        <f t="shared" si="70"/>
        <v>5253.768</v>
      </c>
      <c r="U336" s="68">
        <f t="shared" si="71"/>
        <v>54.726750000000003</v>
      </c>
      <c r="V336" s="68">
        <f t="shared" si="72"/>
        <v>456.05625000000003</v>
      </c>
      <c r="W336" s="68">
        <f t="shared" si="73"/>
        <v>304.03750000000002</v>
      </c>
    </row>
    <row r="337" spans="1:23" x14ac:dyDescent="0.25">
      <c r="A337" s="169" t="s">
        <v>942</v>
      </c>
      <c r="B337" s="61" t="s">
        <v>391</v>
      </c>
      <c r="C337" s="61" t="s">
        <v>585</v>
      </c>
      <c r="D337" s="61" t="s">
        <v>854</v>
      </c>
      <c r="E337" s="1" t="s">
        <v>344</v>
      </c>
      <c r="F337" s="62" t="str">
        <f t="shared" si="75"/>
        <v>60605</v>
      </c>
      <c r="G337" s="269">
        <v>10620061</v>
      </c>
      <c r="H337" s="1" t="s">
        <v>381</v>
      </c>
      <c r="I337" s="61">
        <v>41</v>
      </c>
      <c r="J337" s="61">
        <v>5.8</v>
      </c>
      <c r="K337" s="61">
        <v>8.8000000000000007</v>
      </c>
      <c r="L337" s="69">
        <f t="shared" si="64"/>
        <v>2.3779999999999997</v>
      </c>
      <c r="M337" s="69">
        <f t="shared" si="65"/>
        <v>3.6080000000000001</v>
      </c>
      <c r="N337" s="56">
        <f>INDEX(Rate_Chart!$A$1:$AK$127,MATCH(Data!J337,Rate_Chart!$A$1:$A$127,0),MATCH(Data!K337,Rate_Chart!$A$1:$AK$1,0))</f>
        <v>47.945700000000002</v>
      </c>
      <c r="O337" s="57">
        <f t="shared" si="66"/>
        <v>1965.7737000000002</v>
      </c>
      <c r="P337" s="58">
        <f t="shared" si="67"/>
        <v>410.96314285714288</v>
      </c>
      <c r="Q337" s="58">
        <f t="shared" si="68"/>
        <v>273.97542857142861</v>
      </c>
      <c r="R337" s="66">
        <f t="shared" si="74"/>
        <v>34.40103975000001</v>
      </c>
      <c r="S337" s="64">
        <f t="shared" si="69"/>
        <v>153.75</v>
      </c>
      <c r="T337" s="66">
        <f t="shared" si="70"/>
        <v>2153.9247397500003</v>
      </c>
      <c r="U337" s="68">
        <f t="shared" si="71"/>
        <v>52.53474975000001</v>
      </c>
      <c r="V337" s="68">
        <f t="shared" si="72"/>
        <v>450.29785500000008</v>
      </c>
      <c r="W337" s="68">
        <f t="shared" si="73"/>
        <v>300.19857000000007</v>
      </c>
    </row>
    <row r="338" spans="1:23" x14ac:dyDescent="0.25">
      <c r="A338" s="169" t="s">
        <v>942</v>
      </c>
      <c r="B338" s="61" t="s">
        <v>391</v>
      </c>
      <c r="C338" s="61" t="s">
        <v>585</v>
      </c>
      <c r="D338" s="61" t="s">
        <v>854</v>
      </c>
      <c r="E338" s="1" t="s">
        <v>344</v>
      </c>
      <c r="F338" s="62" t="str">
        <f t="shared" si="75"/>
        <v>60605</v>
      </c>
      <c r="G338" s="269">
        <v>10620061</v>
      </c>
      <c r="H338" s="1" t="s">
        <v>382</v>
      </c>
      <c r="I338" s="61">
        <v>37</v>
      </c>
      <c r="J338" s="61">
        <v>4</v>
      </c>
      <c r="K338" s="61">
        <v>8.5</v>
      </c>
      <c r="L338" s="69">
        <f t="shared" si="64"/>
        <v>1.48</v>
      </c>
      <c r="M338" s="69">
        <f t="shared" si="65"/>
        <v>3.145</v>
      </c>
      <c r="N338" s="56">
        <f>INDEX(Rate_Chart!$A$1:$AK$127,MATCH(Data!J338,Rate_Chart!$A$1:$A$127,0),MATCH(Data!K338,Rate_Chart!$A$1:$AK$1,0))</f>
        <v>40.311181500000004</v>
      </c>
      <c r="O338" s="57">
        <f t="shared" si="66"/>
        <v>1491.5137155000002</v>
      </c>
      <c r="P338" s="58">
        <f t="shared" si="67"/>
        <v>417.0122224137931</v>
      </c>
      <c r="Q338" s="58">
        <f t="shared" si="68"/>
        <v>278.00814827586208</v>
      </c>
      <c r="R338" s="66">
        <f t="shared" si="74"/>
        <v>26.101490021250005</v>
      </c>
      <c r="S338" s="64">
        <f t="shared" si="69"/>
        <v>138.75</v>
      </c>
      <c r="T338" s="66">
        <f t="shared" si="70"/>
        <v>1656.3652055212501</v>
      </c>
      <c r="U338" s="68">
        <f t="shared" si="71"/>
        <v>44.766627176250005</v>
      </c>
      <c r="V338" s="68">
        <f t="shared" si="72"/>
        <v>463.10303975431032</v>
      </c>
      <c r="W338" s="68">
        <f t="shared" si="73"/>
        <v>308.7353598362069</v>
      </c>
    </row>
    <row r="339" spans="1:23" x14ac:dyDescent="0.25">
      <c r="A339" s="169" t="s">
        <v>943</v>
      </c>
      <c r="B339" s="61" t="s">
        <v>390</v>
      </c>
      <c r="C339" s="61" t="s">
        <v>585</v>
      </c>
      <c r="D339" s="61" t="s">
        <v>854</v>
      </c>
      <c r="E339" s="1" t="s">
        <v>344</v>
      </c>
      <c r="F339" s="62" t="str">
        <f t="shared" si="75"/>
        <v>60605</v>
      </c>
      <c r="G339" s="269">
        <v>10620061</v>
      </c>
      <c r="H339" s="1" t="s">
        <v>381</v>
      </c>
      <c r="I339" s="61">
        <v>83</v>
      </c>
      <c r="J339" s="61">
        <v>6</v>
      </c>
      <c r="K339" s="61">
        <v>9</v>
      </c>
      <c r="L339" s="69">
        <f t="shared" si="64"/>
        <v>4.9800000000000004</v>
      </c>
      <c r="M339" s="69">
        <f t="shared" si="65"/>
        <v>7.47</v>
      </c>
      <c r="N339" s="56">
        <f>INDEX(Rate_Chart!$A$1:$AK$127,MATCH(Data!J339,Rate_Chart!$A$1:$A$127,0),MATCH(Data!K339,Rate_Chart!$A$1:$AK$1,0))</f>
        <v>50.1</v>
      </c>
      <c r="O339" s="57">
        <f t="shared" si="66"/>
        <v>4158.3</v>
      </c>
      <c r="P339" s="58">
        <f t="shared" si="67"/>
        <v>417.5</v>
      </c>
      <c r="Q339" s="58">
        <f t="shared" si="68"/>
        <v>278.33333333333331</v>
      </c>
      <c r="R339" s="66">
        <f t="shared" si="74"/>
        <v>72.770250000000004</v>
      </c>
      <c r="S339" s="64">
        <f t="shared" si="69"/>
        <v>311.25</v>
      </c>
      <c r="T339" s="66">
        <f t="shared" si="70"/>
        <v>4542.3202500000007</v>
      </c>
      <c r="U339" s="68">
        <f t="shared" si="71"/>
        <v>54.72675000000001</v>
      </c>
      <c r="V339" s="68">
        <f t="shared" si="72"/>
        <v>456.05625000000009</v>
      </c>
      <c r="W339" s="68">
        <f t="shared" si="73"/>
        <v>304.03750000000008</v>
      </c>
    </row>
    <row r="340" spans="1:23" x14ac:dyDescent="0.25">
      <c r="A340" s="169" t="s">
        <v>943</v>
      </c>
      <c r="B340" s="61" t="s">
        <v>391</v>
      </c>
      <c r="C340" s="61" t="s">
        <v>585</v>
      </c>
      <c r="D340" s="61" t="s">
        <v>854</v>
      </c>
      <c r="E340" s="1" t="s">
        <v>344</v>
      </c>
      <c r="F340" s="62" t="str">
        <f t="shared" si="75"/>
        <v>60605</v>
      </c>
      <c r="G340" s="269">
        <v>10620061</v>
      </c>
      <c r="H340" s="1" t="s">
        <v>381</v>
      </c>
      <c r="I340" s="61">
        <v>41</v>
      </c>
      <c r="J340" s="61">
        <v>5.5</v>
      </c>
      <c r="K340" s="61">
        <v>8.8000000000000007</v>
      </c>
      <c r="L340" s="69">
        <f t="shared" si="64"/>
        <v>2.2549999999999999</v>
      </c>
      <c r="M340" s="69">
        <f t="shared" si="65"/>
        <v>3.6080000000000001</v>
      </c>
      <c r="N340" s="56">
        <f>INDEX(Rate_Chart!$A$1:$AK$127,MATCH(Data!J340,Rate_Chart!$A$1:$A$127,0),MATCH(Data!K340,Rate_Chart!$A$1:$AK$1,0))</f>
        <v>46.566181499999999</v>
      </c>
      <c r="O340" s="57">
        <f t="shared" si="66"/>
        <v>1909.2134415</v>
      </c>
      <c r="P340" s="58">
        <f t="shared" si="67"/>
        <v>409.67315102639293</v>
      </c>
      <c r="Q340" s="58">
        <f t="shared" si="68"/>
        <v>273.11543401759531</v>
      </c>
      <c r="R340" s="66">
        <f t="shared" si="74"/>
        <v>33.411235226250007</v>
      </c>
      <c r="S340" s="64">
        <f t="shared" si="69"/>
        <v>153.75</v>
      </c>
      <c r="T340" s="66">
        <f t="shared" si="70"/>
        <v>2096.3746767262501</v>
      </c>
      <c r="U340" s="68">
        <f t="shared" si="71"/>
        <v>51.131089676249999</v>
      </c>
      <c r="V340" s="68">
        <f t="shared" si="72"/>
        <v>449.83363351539589</v>
      </c>
      <c r="W340" s="68">
        <f t="shared" si="73"/>
        <v>299.88908901026394</v>
      </c>
    </row>
    <row r="341" spans="1:23" x14ac:dyDescent="0.25">
      <c r="A341" s="169" t="s">
        <v>943</v>
      </c>
      <c r="B341" s="61" t="s">
        <v>391</v>
      </c>
      <c r="C341" s="61" t="s">
        <v>585</v>
      </c>
      <c r="D341" s="61" t="s">
        <v>854</v>
      </c>
      <c r="E341" s="1" t="s">
        <v>344</v>
      </c>
      <c r="F341" s="62" t="str">
        <f t="shared" si="75"/>
        <v>60605</v>
      </c>
      <c r="G341" s="269">
        <v>10620061</v>
      </c>
      <c r="H341" s="1" t="s">
        <v>382</v>
      </c>
      <c r="I341" s="61">
        <v>40</v>
      </c>
      <c r="J341" s="61">
        <v>3.4</v>
      </c>
      <c r="K341" s="61">
        <v>8.4</v>
      </c>
      <c r="L341" s="69">
        <f t="shared" si="64"/>
        <v>1.36</v>
      </c>
      <c r="M341" s="69">
        <f t="shared" si="65"/>
        <v>3.36</v>
      </c>
      <c r="N341" s="56">
        <f>INDEX(Rate_Chart!$A$1:$AK$127,MATCH(Data!J341,Rate_Chart!$A$1:$A$127,0),MATCH(Data!K341,Rate_Chart!$A$1:$AK$1,0))</f>
        <v>37.531167600000003</v>
      </c>
      <c r="O341" s="57">
        <f t="shared" si="66"/>
        <v>1501.2467040000001</v>
      </c>
      <c r="P341" s="58">
        <f t="shared" si="67"/>
        <v>417.01297333333338</v>
      </c>
      <c r="Q341" s="58">
        <f t="shared" si="68"/>
        <v>278.0086488888889</v>
      </c>
      <c r="R341" s="66">
        <f t="shared" si="74"/>
        <v>26.271817320000004</v>
      </c>
      <c r="S341" s="64">
        <f t="shared" si="69"/>
        <v>150</v>
      </c>
      <c r="T341" s="66">
        <f t="shared" si="70"/>
        <v>1677.5185213200002</v>
      </c>
      <c r="U341" s="68">
        <f t="shared" si="71"/>
        <v>41.937963033000003</v>
      </c>
      <c r="V341" s="68">
        <f t="shared" si="72"/>
        <v>465.97736703333339</v>
      </c>
      <c r="W341" s="68">
        <f t="shared" si="73"/>
        <v>310.65157802222228</v>
      </c>
    </row>
    <row r="342" spans="1:23" x14ac:dyDescent="0.25">
      <c r="A342" s="169" t="s">
        <v>944</v>
      </c>
      <c r="B342" s="61" t="s">
        <v>390</v>
      </c>
      <c r="C342" s="61" t="s">
        <v>585</v>
      </c>
      <c r="D342" s="61" t="s">
        <v>854</v>
      </c>
      <c r="E342" s="1" t="s">
        <v>344</v>
      </c>
      <c r="F342" s="62" t="str">
        <f t="shared" si="75"/>
        <v>60605</v>
      </c>
      <c r="G342" s="269">
        <v>10620061</v>
      </c>
      <c r="H342" s="1" t="s">
        <v>381</v>
      </c>
      <c r="I342" s="61">
        <v>79</v>
      </c>
      <c r="J342" s="61">
        <v>5.7</v>
      </c>
      <c r="K342" s="61">
        <v>9</v>
      </c>
      <c r="L342" s="69">
        <f t="shared" si="64"/>
        <v>4.5030000000000001</v>
      </c>
      <c r="M342" s="69">
        <f t="shared" si="65"/>
        <v>7.11</v>
      </c>
      <c r="N342" s="56">
        <f>INDEX(Rate_Chart!$A$1:$AK$127,MATCH(Data!J342,Rate_Chart!$A$1:$A$127,0),MATCH(Data!K342,Rate_Chart!$A$1:$AK$1,0))</f>
        <v>47.594999999999999</v>
      </c>
      <c r="O342" s="57">
        <f t="shared" si="66"/>
        <v>3760.0050000000001</v>
      </c>
      <c r="P342" s="58">
        <f t="shared" si="67"/>
        <v>406.79487179487182</v>
      </c>
      <c r="Q342" s="58">
        <f t="shared" si="68"/>
        <v>271.19658119658123</v>
      </c>
      <c r="R342" s="66">
        <f t="shared" si="74"/>
        <v>65.800087500000004</v>
      </c>
      <c r="S342" s="64">
        <f t="shared" si="69"/>
        <v>296.25</v>
      </c>
      <c r="T342" s="66">
        <f t="shared" si="70"/>
        <v>4122.0550874999999</v>
      </c>
      <c r="U342" s="68">
        <f t="shared" si="71"/>
        <v>52.177912499999998</v>
      </c>
      <c r="V342" s="68">
        <f t="shared" si="72"/>
        <v>445.9650641025641</v>
      </c>
      <c r="W342" s="68">
        <f t="shared" si="73"/>
        <v>297.31004273504271</v>
      </c>
    </row>
    <row r="343" spans="1:23" x14ac:dyDescent="0.25">
      <c r="A343" s="169" t="s">
        <v>944</v>
      </c>
      <c r="B343" s="61" t="s">
        <v>391</v>
      </c>
      <c r="C343" s="61" t="s">
        <v>585</v>
      </c>
      <c r="D343" s="61" t="s">
        <v>854</v>
      </c>
      <c r="E343" s="1" t="s">
        <v>344</v>
      </c>
      <c r="F343" s="62" t="str">
        <f t="shared" si="75"/>
        <v>60605</v>
      </c>
      <c r="G343" s="269">
        <v>10620061</v>
      </c>
      <c r="H343" s="1" t="s">
        <v>381</v>
      </c>
      <c r="I343" s="61">
        <v>37</v>
      </c>
      <c r="J343" s="61">
        <v>5.6</v>
      </c>
      <c r="K343" s="61">
        <v>9</v>
      </c>
      <c r="L343" s="69">
        <f t="shared" si="64"/>
        <v>2.0720000000000001</v>
      </c>
      <c r="M343" s="69">
        <f t="shared" si="65"/>
        <v>3.33</v>
      </c>
      <c r="N343" s="56">
        <f>INDEX(Rate_Chart!$A$1:$AK$127,MATCH(Data!J343,Rate_Chart!$A$1:$A$127,0),MATCH(Data!K343,Rate_Chart!$A$1:$AK$1,0))</f>
        <v>46.76</v>
      </c>
      <c r="O343" s="57">
        <f t="shared" si="66"/>
        <v>1730.12</v>
      </c>
      <c r="P343" s="58">
        <f t="shared" si="67"/>
        <v>403.10344827586209</v>
      </c>
      <c r="Q343" s="58">
        <f t="shared" si="68"/>
        <v>268.73563218390808</v>
      </c>
      <c r="R343" s="66">
        <f t="shared" si="74"/>
        <v>30.277100000000001</v>
      </c>
      <c r="S343" s="64">
        <f t="shared" si="69"/>
        <v>138.75</v>
      </c>
      <c r="T343" s="66">
        <f t="shared" si="70"/>
        <v>1899.1470999999999</v>
      </c>
      <c r="U343" s="68">
        <f t="shared" si="71"/>
        <v>51.328299999999999</v>
      </c>
      <c r="V343" s="68">
        <f t="shared" si="72"/>
        <v>442.48534482758623</v>
      </c>
      <c r="W343" s="68">
        <f t="shared" si="73"/>
        <v>294.99022988505749</v>
      </c>
    </row>
    <row r="344" spans="1:23" x14ac:dyDescent="0.25">
      <c r="A344" s="169" t="s">
        <v>944</v>
      </c>
      <c r="B344" s="61" t="s">
        <v>391</v>
      </c>
      <c r="C344" s="61" t="s">
        <v>585</v>
      </c>
      <c r="D344" s="61" t="s">
        <v>854</v>
      </c>
      <c r="E344" s="1" t="s">
        <v>344</v>
      </c>
      <c r="F344" s="62" t="str">
        <f t="shared" si="75"/>
        <v>60605</v>
      </c>
      <c r="G344" s="269">
        <v>10620061</v>
      </c>
      <c r="H344" s="1" t="s">
        <v>382</v>
      </c>
      <c r="I344" s="61">
        <v>30</v>
      </c>
      <c r="J344" s="61">
        <v>4</v>
      </c>
      <c r="K344" s="61">
        <v>8.5</v>
      </c>
      <c r="L344" s="69">
        <f t="shared" si="64"/>
        <v>1.2</v>
      </c>
      <c r="M344" s="69">
        <f t="shared" si="65"/>
        <v>2.5499999999999998</v>
      </c>
      <c r="N344" s="56">
        <f>INDEX(Rate_Chart!$A$1:$AK$127,MATCH(Data!J344,Rate_Chart!$A$1:$A$127,0),MATCH(Data!K344,Rate_Chart!$A$1:$AK$1,0))</f>
        <v>40.311181500000004</v>
      </c>
      <c r="O344" s="57">
        <f t="shared" si="66"/>
        <v>1209.3354450000002</v>
      </c>
      <c r="P344" s="58">
        <f t="shared" si="67"/>
        <v>417.0122224137931</v>
      </c>
      <c r="Q344" s="58">
        <f t="shared" si="68"/>
        <v>278.00814827586208</v>
      </c>
      <c r="R344" s="66">
        <f t="shared" si="74"/>
        <v>21.163370287500005</v>
      </c>
      <c r="S344" s="64">
        <f t="shared" si="69"/>
        <v>112.5</v>
      </c>
      <c r="T344" s="66">
        <f t="shared" si="70"/>
        <v>1342.9988152875003</v>
      </c>
      <c r="U344" s="68">
        <f t="shared" si="71"/>
        <v>44.766627176250012</v>
      </c>
      <c r="V344" s="68">
        <f t="shared" si="72"/>
        <v>463.10303975431043</v>
      </c>
      <c r="W344" s="68">
        <f t="shared" si="73"/>
        <v>308.73535983620695</v>
      </c>
    </row>
    <row r="345" spans="1:23" x14ac:dyDescent="0.25">
      <c r="A345" s="169" t="s">
        <v>945</v>
      </c>
      <c r="B345" s="61" t="s">
        <v>390</v>
      </c>
      <c r="C345" s="61" t="s">
        <v>585</v>
      </c>
      <c r="D345" s="61" t="s">
        <v>854</v>
      </c>
      <c r="E345" s="1" t="s">
        <v>344</v>
      </c>
      <c r="F345" s="62" t="str">
        <f t="shared" si="75"/>
        <v>60605</v>
      </c>
      <c r="G345" s="269">
        <v>10620061</v>
      </c>
      <c r="H345" s="1" t="s">
        <v>381</v>
      </c>
      <c r="I345" s="61">
        <v>91</v>
      </c>
      <c r="J345" s="61">
        <v>5.5</v>
      </c>
      <c r="K345" s="61">
        <v>8.8000000000000007</v>
      </c>
      <c r="L345" s="69">
        <f t="shared" si="64"/>
        <v>5.0049999999999999</v>
      </c>
      <c r="M345" s="69">
        <f t="shared" si="65"/>
        <v>8.0080000000000009</v>
      </c>
      <c r="N345" s="56">
        <f>INDEX(Rate_Chart!$A$1:$AK$127,MATCH(Data!J345,Rate_Chart!$A$1:$A$127,0),MATCH(Data!K345,Rate_Chart!$A$1:$AK$1,0))</f>
        <v>46.566181499999999</v>
      </c>
      <c r="O345" s="57">
        <f t="shared" si="66"/>
        <v>4237.5225165000002</v>
      </c>
      <c r="P345" s="58">
        <f t="shared" si="67"/>
        <v>409.67315102639293</v>
      </c>
      <c r="Q345" s="58">
        <f t="shared" si="68"/>
        <v>273.11543401759531</v>
      </c>
      <c r="R345" s="66">
        <f t="shared" si="74"/>
        <v>74.156644038750017</v>
      </c>
      <c r="S345" s="64">
        <f t="shared" si="69"/>
        <v>341.25</v>
      </c>
      <c r="T345" s="66">
        <f t="shared" si="70"/>
        <v>4652.9291605387498</v>
      </c>
      <c r="U345" s="68">
        <f t="shared" si="71"/>
        <v>51.131089676249999</v>
      </c>
      <c r="V345" s="68">
        <f t="shared" si="72"/>
        <v>449.83363351539589</v>
      </c>
      <c r="W345" s="68">
        <f t="shared" si="73"/>
        <v>299.88908901026394</v>
      </c>
    </row>
    <row r="346" spans="1:23" x14ac:dyDescent="0.25">
      <c r="A346" s="169" t="s">
        <v>945</v>
      </c>
      <c r="B346" s="61" t="s">
        <v>391</v>
      </c>
      <c r="C346" s="61" t="s">
        <v>585</v>
      </c>
      <c r="D346" s="61" t="s">
        <v>854</v>
      </c>
      <c r="E346" s="1" t="s">
        <v>344</v>
      </c>
      <c r="F346" s="62" t="str">
        <f t="shared" si="75"/>
        <v>60605</v>
      </c>
      <c r="G346" s="269">
        <v>10620061</v>
      </c>
      <c r="H346" s="1" t="s">
        <v>381</v>
      </c>
      <c r="I346" s="61">
        <v>38</v>
      </c>
      <c r="J346" s="61">
        <v>5.5</v>
      </c>
      <c r="K346" s="61">
        <v>8.8000000000000007</v>
      </c>
      <c r="L346" s="69">
        <f t="shared" si="64"/>
        <v>2.09</v>
      </c>
      <c r="M346" s="69">
        <f t="shared" si="65"/>
        <v>3.3440000000000003</v>
      </c>
      <c r="N346" s="56">
        <f>INDEX(Rate_Chart!$A$1:$AK$127,MATCH(Data!J346,Rate_Chart!$A$1:$A$127,0),MATCH(Data!K346,Rate_Chart!$A$1:$AK$1,0))</f>
        <v>46.566181499999999</v>
      </c>
      <c r="O346" s="57">
        <f t="shared" si="66"/>
        <v>1769.514897</v>
      </c>
      <c r="P346" s="58">
        <f t="shared" si="67"/>
        <v>409.67315102639293</v>
      </c>
      <c r="Q346" s="58">
        <f t="shared" si="68"/>
        <v>273.11543401759531</v>
      </c>
      <c r="R346" s="66">
        <f t="shared" si="74"/>
        <v>30.966510697500002</v>
      </c>
      <c r="S346" s="64">
        <f t="shared" si="69"/>
        <v>142.5</v>
      </c>
      <c r="T346" s="66">
        <f t="shared" si="70"/>
        <v>1942.9814076975001</v>
      </c>
      <c r="U346" s="68">
        <f t="shared" si="71"/>
        <v>51.131089676250006</v>
      </c>
      <c r="V346" s="68">
        <f t="shared" si="72"/>
        <v>449.83363351539595</v>
      </c>
      <c r="W346" s="68">
        <f t="shared" si="73"/>
        <v>299.88908901026394</v>
      </c>
    </row>
    <row r="347" spans="1:23" x14ac:dyDescent="0.25">
      <c r="A347" s="169" t="s">
        <v>945</v>
      </c>
      <c r="B347" s="61" t="s">
        <v>391</v>
      </c>
      <c r="C347" s="61" t="s">
        <v>585</v>
      </c>
      <c r="D347" s="61" t="s">
        <v>854</v>
      </c>
      <c r="E347" s="1" t="s">
        <v>344</v>
      </c>
      <c r="F347" s="62" t="str">
        <f t="shared" si="75"/>
        <v>60605</v>
      </c>
      <c r="G347" s="269">
        <v>10620061</v>
      </c>
      <c r="H347" s="1" t="s">
        <v>382</v>
      </c>
      <c r="I347" s="61">
        <v>34</v>
      </c>
      <c r="J347" s="61">
        <v>3.5</v>
      </c>
      <c r="K347" s="61">
        <v>8.3000000000000007</v>
      </c>
      <c r="L347" s="69">
        <f t="shared" si="64"/>
        <v>1.19</v>
      </c>
      <c r="M347" s="69">
        <f t="shared" si="65"/>
        <v>2.8220000000000005</v>
      </c>
      <c r="N347" s="56">
        <f>INDEX(Rate_Chart!$A$1:$AK$127,MATCH(Data!J347,Rate_Chart!$A$1:$A$127,0),MATCH(Data!K347,Rate_Chart!$A$1:$AK$1,0))</f>
        <v>37.670153700000007</v>
      </c>
      <c r="O347" s="57">
        <f t="shared" si="66"/>
        <v>1280.7852258000003</v>
      </c>
      <c r="P347" s="58">
        <f t="shared" si="67"/>
        <v>417.01277158671587</v>
      </c>
      <c r="Q347" s="58">
        <f t="shared" si="68"/>
        <v>278.00851439114393</v>
      </c>
      <c r="R347" s="66">
        <f t="shared" si="74"/>
        <v>22.413741451500005</v>
      </c>
      <c r="S347" s="64">
        <f t="shared" si="69"/>
        <v>127.5</v>
      </c>
      <c r="T347" s="66">
        <f t="shared" si="70"/>
        <v>1430.6989672515003</v>
      </c>
      <c r="U347" s="68">
        <f t="shared" si="71"/>
        <v>42.079381389750012</v>
      </c>
      <c r="V347" s="68">
        <f t="shared" si="72"/>
        <v>465.82341021863471</v>
      </c>
      <c r="W347" s="68">
        <f t="shared" si="73"/>
        <v>310.54894014575649</v>
      </c>
    </row>
    <row r="348" spans="1:23" x14ac:dyDescent="0.25">
      <c r="A348" s="169" t="s">
        <v>946</v>
      </c>
      <c r="B348" s="61" t="s">
        <v>390</v>
      </c>
      <c r="C348" s="61" t="s">
        <v>585</v>
      </c>
      <c r="D348" s="61" t="s">
        <v>854</v>
      </c>
      <c r="E348" s="1" t="s">
        <v>344</v>
      </c>
      <c r="F348" s="62" t="str">
        <f t="shared" si="75"/>
        <v>60605</v>
      </c>
      <c r="G348" s="269">
        <v>10620061</v>
      </c>
      <c r="H348" s="1" t="s">
        <v>381</v>
      </c>
      <c r="I348" s="61">
        <v>77</v>
      </c>
      <c r="J348" s="61">
        <v>5.6</v>
      </c>
      <c r="K348" s="61">
        <v>9</v>
      </c>
      <c r="L348" s="69">
        <f t="shared" si="64"/>
        <v>4.3120000000000003</v>
      </c>
      <c r="M348" s="69">
        <f t="shared" si="65"/>
        <v>6.93</v>
      </c>
      <c r="N348" s="56">
        <f>INDEX(Rate_Chart!$A$1:$AK$127,MATCH(Data!J348,Rate_Chart!$A$1:$A$127,0),MATCH(Data!K348,Rate_Chart!$A$1:$AK$1,0))</f>
        <v>46.76</v>
      </c>
      <c r="O348" s="57">
        <f t="shared" si="66"/>
        <v>3600.52</v>
      </c>
      <c r="P348" s="58">
        <f t="shared" si="67"/>
        <v>403.10344827586209</v>
      </c>
      <c r="Q348" s="58">
        <f t="shared" si="68"/>
        <v>268.73563218390808</v>
      </c>
      <c r="R348" s="66">
        <f t="shared" si="74"/>
        <v>63.009100000000004</v>
      </c>
      <c r="S348" s="64">
        <f t="shared" si="69"/>
        <v>288.75</v>
      </c>
      <c r="T348" s="66">
        <f t="shared" si="70"/>
        <v>3952.2790999999997</v>
      </c>
      <c r="U348" s="68">
        <f t="shared" si="71"/>
        <v>51.328299999999999</v>
      </c>
      <c r="V348" s="68">
        <f t="shared" si="72"/>
        <v>442.48534482758623</v>
      </c>
      <c r="W348" s="68">
        <f t="shared" si="73"/>
        <v>294.99022988505749</v>
      </c>
    </row>
    <row r="349" spans="1:23" x14ac:dyDescent="0.25">
      <c r="A349" s="169" t="s">
        <v>946</v>
      </c>
      <c r="B349" s="61" t="s">
        <v>390</v>
      </c>
      <c r="C349" s="61" t="s">
        <v>585</v>
      </c>
      <c r="D349" s="61" t="s">
        <v>854</v>
      </c>
      <c r="E349" s="1" t="s">
        <v>344</v>
      </c>
      <c r="F349" s="62" t="str">
        <f t="shared" si="75"/>
        <v>60605</v>
      </c>
      <c r="G349" s="269">
        <v>10620061</v>
      </c>
      <c r="H349" s="1" t="s">
        <v>382</v>
      </c>
      <c r="I349" s="61">
        <v>82</v>
      </c>
      <c r="J349" s="61">
        <v>3.3</v>
      </c>
      <c r="K349" s="61">
        <v>8.4</v>
      </c>
      <c r="L349" s="69">
        <f t="shared" si="64"/>
        <v>2.7059999999999995</v>
      </c>
      <c r="M349" s="69">
        <f t="shared" si="65"/>
        <v>6.8880000000000008</v>
      </c>
      <c r="N349" s="56">
        <f>INDEX(Rate_Chart!$A$1:$AK$127,MATCH(Data!J349,Rate_Chart!$A$1:$A$127,0),MATCH(Data!K349,Rate_Chart!$A$1:$AK$1,0))</f>
        <v>37.114167600000009</v>
      </c>
      <c r="O349" s="57">
        <f t="shared" si="66"/>
        <v>3043.3617432000005</v>
      </c>
      <c r="P349" s="58">
        <f t="shared" si="67"/>
        <v>417.01311910112372</v>
      </c>
      <c r="Q349" s="58">
        <f t="shared" si="68"/>
        <v>278.00874606741581</v>
      </c>
      <c r="R349" s="66">
        <f t="shared" si="74"/>
        <v>53.258830506000017</v>
      </c>
      <c r="S349" s="64">
        <f t="shared" si="69"/>
        <v>307.5</v>
      </c>
      <c r="T349" s="66">
        <f t="shared" si="70"/>
        <v>3404.1205737060004</v>
      </c>
      <c r="U349" s="68">
        <f t="shared" si="71"/>
        <v>41.513665533000008</v>
      </c>
      <c r="V349" s="68">
        <f t="shared" si="72"/>
        <v>466.4456801460675</v>
      </c>
      <c r="W349" s="68">
        <f t="shared" si="73"/>
        <v>310.96378676404498</v>
      </c>
    </row>
    <row r="350" spans="1:23" x14ac:dyDescent="0.25">
      <c r="A350" s="169" t="s">
        <v>946</v>
      </c>
      <c r="B350" s="61" t="s">
        <v>391</v>
      </c>
      <c r="C350" s="61" t="s">
        <v>585</v>
      </c>
      <c r="D350" s="61" t="s">
        <v>854</v>
      </c>
      <c r="E350" s="1" t="s">
        <v>344</v>
      </c>
      <c r="F350" s="62" t="str">
        <f t="shared" si="75"/>
        <v>60605</v>
      </c>
      <c r="G350" s="269">
        <v>10620061</v>
      </c>
      <c r="H350" s="1" t="s">
        <v>381</v>
      </c>
      <c r="I350" s="61">
        <v>40</v>
      </c>
      <c r="J350" s="61">
        <v>5.5</v>
      </c>
      <c r="K350" s="61">
        <v>8.6</v>
      </c>
      <c r="L350" s="69">
        <f t="shared" si="64"/>
        <v>2.2000000000000002</v>
      </c>
      <c r="M350" s="69">
        <f t="shared" si="65"/>
        <v>3.44</v>
      </c>
      <c r="N350" s="56">
        <f>INDEX(Rate_Chart!$A$1:$AK$127,MATCH(Data!J350,Rate_Chart!$A$1:$A$127,0),MATCH(Data!K350,Rate_Chart!$A$1:$AK$1,0))</f>
        <v>46.566181499999999</v>
      </c>
      <c r="O350" s="57">
        <f t="shared" si="66"/>
        <v>1862.64726</v>
      </c>
      <c r="P350" s="58">
        <f t="shared" si="67"/>
        <v>414.53574035608312</v>
      </c>
      <c r="Q350" s="58">
        <f t="shared" si="68"/>
        <v>276.35716023738877</v>
      </c>
      <c r="R350" s="66">
        <f t="shared" si="74"/>
        <v>32.596327049999999</v>
      </c>
      <c r="S350" s="64">
        <f t="shared" si="69"/>
        <v>150</v>
      </c>
      <c r="T350" s="66">
        <f t="shared" si="70"/>
        <v>2045.2435870499999</v>
      </c>
      <c r="U350" s="68">
        <f t="shared" si="71"/>
        <v>51.131089676249999</v>
      </c>
      <c r="V350" s="68">
        <f t="shared" si="72"/>
        <v>455.17290512982197</v>
      </c>
      <c r="W350" s="68">
        <f t="shared" si="73"/>
        <v>303.44860341988129</v>
      </c>
    </row>
    <row r="351" spans="1:23" x14ac:dyDescent="0.25">
      <c r="A351" s="169" t="s">
        <v>946</v>
      </c>
      <c r="B351" s="61" t="s">
        <v>391</v>
      </c>
      <c r="C351" s="61" t="s">
        <v>585</v>
      </c>
      <c r="D351" s="61" t="s">
        <v>854</v>
      </c>
      <c r="E351" s="1" t="s">
        <v>344</v>
      </c>
      <c r="F351" s="62" t="str">
        <f t="shared" si="75"/>
        <v>60605</v>
      </c>
      <c r="G351" s="269">
        <v>10620061</v>
      </c>
      <c r="H351" s="1" t="s">
        <v>382</v>
      </c>
      <c r="I351" s="61">
        <v>36</v>
      </c>
      <c r="J351" s="61">
        <v>3.5</v>
      </c>
      <c r="K351" s="61">
        <v>8.5</v>
      </c>
      <c r="L351" s="69">
        <f t="shared" si="64"/>
        <v>1.26</v>
      </c>
      <c r="M351" s="69">
        <f t="shared" si="65"/>
        <v>3.06</v>
      </c>
      <c r="N351" s="56">
        <f>INDEX(Rate_Chart!$A$1:$AK$127,MATCH(Data!J351,Rate_Chart!$A$1:$A$127,0),MATCH(Data!K351,Rate_Chart!$A$1:$AK$1,0))</f>
        <v>38.226181500000003</v>
      </c>
      <c r="O351" s="57">
        <f t="shared" si="66"/>
        <v>1376.1425340000001</v>
      </c>
      <c r="P351" s="58">
        <f t="shared" si="67"/>
        <v>417.01288909090908</v>
      </c>
      <c r="Q351" s="58">
        <f t="shared" si="68"/>
        <v>278.00859272727274</v>
      </c>
      <c r="R351" s="66">
        <f t="shared" si="74"/>
        <v>24.082494345000004</v>
      </c>
      <c r="S351" s="64">
        <f t="shared" si="69"/>
        <v>135</v>
      </c>
      <c r="T351" s="66">
        <f t="shared" si="70"/>
        <v>1535.2250283450001</v>
      </c>
      <c r="U351" s="68">
        <f t="shared" si="71"/>
        <v>42.645139676250004</v>
      </c>
      <c r="V351" s="68">
        <f t="shared" si="72"/>
        <v>465.21970555909093</v>
      </c>
      <c r="W351" s="68">
        <f t="shared" si="73"/>
        <v>310.14647037272726</v>
      </c>
    </row>
    <row r="352" spans="1:23" x14ac:dyDescent="0.25">
      <c r="A352" s="169" t="s">
        <v>947</v>
      </c>
      <c r="B352" s="61" t="s">
        <v>390</v>
      </c>
      <c r="C352" s="61" t="s">
        <v>585</v>
      </c>
      <c r="D352" s="61" t="s">
        <v>854</v>
      </c>
      <c r="E352" s="1" t="s">
        <v>344</v>
      </c>
      <c r="F352" s="62" t="str">
        <f t="shared" si="75"/>
        <v>60605</v>
      </c>
      <c r="G352" s="269">
        <v>10620061</v>
      </c>
      <c r="H352" s="1" t="s">
        <v>381</v>
      </c>
      <c r="I352" s="61">
        <v>84</v>
      </c>
      <c r="J352" s="61">
        <v>5.6</v>
      </c>
      <c r="K352" s="61">
        <v>9</v>
      </c>
      <c r="L352" s="69">
        <f t="shared" ref="L352:L412" si="76">J352*I352/100</f>
        <v>4.7039999999999997</v>
      </c>
      <c r="M352" s="69">
        <f t="shared" ref="M352:M412" si="77">K352*I352/100</f>
        <v>7.56</v>
      </c>
      <c r="N352" s="56">
        <f>INDEX(Rate_Chart!$A$1:$AK$127,MATCH(Data!J352,Rate_Chart!$A$1:$A$127,0),MATCH(Data!K352,Rate_Chart!$A$1:$AK$1,0))</f>
        <v>46.76</v>
      </c>
      <c r="O352" s="57">
        <f t="shared" ref="O352:O412" si="78">N352*I352</f>
        <v>3927.8399999999997</v>
      </c>
      <c r="P352" s="58">
        <f t="shared" ref="P352:P412" si="79">N352/(J352%+K352%*2/3)</f>
        <v>403.10344827586209</v>
      </c>
      <c r="Q352" s="58">
        <f t="shared" ref="Q352:Q412" si="80">P352*2/3</f>
        <v>268.73563218390808</v>
      </c>
      <c r="R352" s="66">
        <f t="shared" si="74"/>
        <v>68.737200000000001</v>
      </c>
      <c r="S352" s="64">
        <f t="shared" ref="S352:S412" si="81">I352*3.75</f>
        <v>315</v>
      </c>
      <c r="T352" s="66">
        <f t="shared" ref="T352:T412" si="82">R352+S352+O352</f>
        <v>4311.5771999999997</v>
      </c>
      <c r="U352" s="68">
        <f t="shared" ref="U352:U412" si="83">T352/I352</f>
        <v>51.328299999999999</v>
      </c>
      <c r="V352" s="68">
        <f t="shared" ref="V352:V412" si="84">U352/(J352%+K352%*2/3)</f>
        <v>442.48534482758623</v>
      </c>
      <c r="W352" s="68">
        <f t="shared" ref="W352:W412" si="85">V352*2/3</f>
        <v>294.99022988505749</v>
      </c>
    </row>
    <row r="353" spans="1:23" x14ac:dyDescent="0.25">
      <c r="A353" s="169" t="s">
        <v>947</v>
      </c>
      <c r="B353" s="61" t="s">
        <v>390</v>
      </c>
      <c r="C353" s="61" t="s">
        <v>585</v>
      </c>
      <c r="D353" s="61" t="s">
        <v>854</v>
      </c>
      <c r="E353" s="1" t="s">
        <v>344</v>
      </c>
      <c r="F353" s="62" t="str">
        <f t="shared" si="75"/>
        <v>60605</v>
      </c>
      <c r="G353" s="269">
        <v>10620061</v>
      </c>
      <c r="H353" s="1" t="s">
        <v>382</v>
      </c>
      <c r="I353" s="61">
        <v>83</v>
      </c>
      <c r="J353" s="61">
        <v>3.3</v>
      </c>
      <c r="K353" s="61">
        <v>8.1999999999999993</v>
      </c>
      <c r="L353" s="69">
        <f t="shared" si="76"/>
        <v>2.7389999999999999</v>
      </c>
      <c r="M353" s="69">
        <f t="shared" si="77"/>
        <v>6.8059999999999992</v>
      </c>
      <c r="N353" s="56">
        <f>INDEX(Rate_Chart!$A$1:$AK$127,MATCH(Data!J353,Rate_Chart!$A$1:$A$127,0),MATCH(Data!K353,Rate_Chart!$A$1:$AK$1,0))</f>
        <v>36.558139799999999</v>
      </c>
      <c r="O353" s="57">
        <f t="shared" si="78"/>
        <v>3034.3256034000001</v>
      </c>
      <c r="P353" s="58">
        <f t="shared" si="79"/>
        <v>417.0130015209125</v>
      </c>
      <c r="Q353" s="58">
        <f t="shared" si="80"/>
        <v>278.00866768060831</v>
      </c>
      <c r="R353" s="66">
        <f t="shared" si="74"/>
        <v>53.100698059500004</v>
      </c>
      <c r="S353" s="64">
        <f t="shared" si="81"/>
        <v>311.25</v>
      </c>
      <c r="T353" s="66">
        <f t="shared" si="82"/>
        <v>3398.6763014594999</v>
      </c>
      <c r="U353" s="68">
        <f t="shared" si="83"/>
        <v>40.947907246500002</v>
      </c>
      <c r="V353" s="68">
        <f t="shared" si="84"/>
        <v>467.08639444676805</v>
      </c>
      <c r="W353" s="68">
        <f t="shared" si="85"/>
        <v>311.39092963117872</v>
      </c>
    </row>
    <row r="354" spans="1:23" x14ac:dyDescent="0.25">
      <c r="A354" s="169" t="s">
        <v>947</v>
      </c>
      <c r="B354" s="61" t="s">
        <v>391</v>
      </c>
      <c r="C354" s="61" t="s">
        <v>585</v>
      </c>
      <c r="D354" s="61" t="s">
        <v>854</v>
      </c>
      <c r="E354" s="1" t="s">
        <v>344</v>
      </c>
      <c r="F354" s="62" t="str">
        <f t="shared" si="75"/>
        <v>60605</v>
      </c>
      <c r="G354" s="269">
        <v>10620061</v>
      </c>
      <c r="H354" s="1" t="s">
        <v>381</v>
      </c>
      <c r="I354" s="61">
        <v>34</v>
      </c>
      <c r="J354" s="61">
        <v>5.6</v>
      </c>
      <c r="K354" s="61">
        <v>8.6</v>
      </c>
      <c r="L354" s="69">
        <f t="shared" si="76"/>
        <v>1.9039999999999997</v>
      </c>
      <c r="M354" s="69">
        <f t="shared" si="77"/>
        <v>2.9239999999999999</v>
      </c>
      <c r="N354" s="56">
        <f>INDEX(Rate_Chart!$A$1:$AK$127,MATCH(Data!J354,Rate_Chart!$A$1:$A$127,0),MATCH(Data!K354,Rate_Chart!$A$1:$AK$1,0))</f>
        <v>45.824799999999996</v>
      </c>
      <c r="O354" s="57">
        <f t="shared" si="78"/>
        <v>1558.0431999999998</v>
      </c>
      <c r="P354" s="58">
        <f t="shared" si="79"/>
        <v>404.33647058823533</v>
      </c>
      <c r="Q354" s="58">
        <f t="shared" si="80"/>
        <v>269.55764705882353</v>
      </c>
      <c r="R354" s="66">
        <f t="shared" si="74"/>
        <v>27.265756</v>
      </c>
      <c r="S354" s="64">
        <f t="shared" si="81"/>
        <v>127.5</v>
      </c>
      <c r="T354" s="66">
        <f t="shared" si="82"/>
        <v>1712.8089559999999</v>
      </c>
      <c r="U354" s="68">
        <f t="shared" si="83"/>
        <v>50.376733999999999</v>
      </c>
      <c r="V354" s="68">
        <f t="shared" si="84"/>
        <v>444.50059411764715</v>
      </c>
      <c r="W354" s="68">
        <f t="shared" si="85"/>
        <v>296.33372941176475</v>
      </c>
    </row>
    <row r="355" spans="1:23" x14ac:dyDescent="0.25">
      <c r="A355" s="169" t="s">
        <v>947</v>
      </c>
      <c r="B355" s="61" t="s">
        <v>391</v>
      </c>
      <c r="C355" s="61" t="s">
        <v>585</v>
      </c>
      <c r="D355" s="61" t="s">
        <v>854</v>
      </c>
      <c r="E355" s="1" t="s">
        <v>344</v>
      </c>
      <c r="F355" s="62" t="str">
        <f t="shared" si="75"/>
        <v>60605</v>
      </c>
      <c r="G355" s="269">
        <v>10620061</v>
      </c>
      <c r="H355" s="1" t="s">
        <v>382</v>
      </c>
      <c r="I355" s="61">
        <v>28</v>
      </c>
      <c r="J355" s="61">
        <v>3.8</v>
      </c>
      <c r="K355" s="61">
        <v>8.5</v>
      </c>
      <c r="L355" s="69">
        <f t="shared" si="76"/>
        <v>1.0639999999999998</v>
      </c>
      <c r="M355" s="69">
        <f t="shared" si="77"/>
        <v>2.38</v>
      </c>
      <c r="N355" s="56">
        <f>INDEX(Rate_Chart!$A$1:$AK$127,MATCH(Data!J355,Rate_Chart!$A$1:$A$127,0),MATCH(Data!K355,Rate_Chart!$A$1:$AK$1,0))</f>
        <v>39.4771815</v>
      </c>
      <c r="O355" s="57">
        <f t="shared" si="78"/>
        <v>1105.3610819999999</v>
      </c>
      <c r="P355" s="58">
        <f t="shared" si="79"/>
        <v>417.0124806338028</v>
      </c>
      <c r="Q355" s="58">
        <f t="shared" si="80"/>
        <v>278.00832042253518</v>
      </c>
      <c r="R355" s="66">
        <f t="shared" si="74"/>
        <v>19.343818935000002</v>
      </c>
      <c r="S355" s="64">
        <f t="shared" si="81"/>
        <v>105</v>
      </c>
      <c r="T355" s="66">
        <f t="shared" si="82"/>
        <v>1229.7049009349998</v>
      </c>
      <c r="U355" s="68">
        <f t="shared" si="83"/>
        <v>43.918032176249994</v>
      </c>
      <c r="V355" s="68">
        <f t="shared" si="84"/>
        <v>463.92287510123231</v>
      </c>
      <c r="W355" s="68">
        <f t="shared" si="85"/>
        <v>309.28191673415489</v>
      </c>
    </row>
    <row r="356" spans="1:23" x14ac:dyDescent="0.25">
      <c r="A356" s="169" t="s">
        <v>941</v>
      </c>
      <c r="B356" s="61" t="s">
        <v>391</v>
      </c>
      <c r="C356" s="61" t="s">
        <v>585</v>
      </c>
      <c r="D356" s="61" t="s">
        <v>588</v>
      </c>
      <c r="E356" s="1" t="s">
        <v>345</v>
      </c>
      <c r="F356" s="62" t="str">
        <f t="shared" si="75"/>
        <v>60606</v>
      </c>
      <c r="G356" s="269">
        <v>10620023</v>
      </c>
      <c r="H356" s="1" t="s">
        <v>381</v>
      </c>
      <c r="I356" s="61">
        <v>5</v>
      </c>
      <c r="J356" s="61">
        <v>5.6</v>
      </c>
      <c r="K356" s="61">
        <v>8.8000000000000007</v>
      </c>
      <c r="L356" s="69">
        <f t="shared" si="76"/>
        <v>0.28000000000000003</v>
      </c>
      <c r="M356" s="69">
        <f t="shared" si="77"/>
        <v>0.44</v>
      </c>
      <c r="N356" s="56">
        <f>INDEX(Rate_Chart!$A$1:$AK$127,MATCH(Data!J356,Rate_Chart!$A$1:$A$127,0),MATCH(Data!K356,Rate_Chart!$A$1:$AK$1,0))</f>
        <v>46.292400000000001</v>
      </c>
      <c r="O356" s="57">
        <f t="shared" si="78"/>
        <v>231.46199999999999</v>
      </c>
      <c r="P356" s="58">
        <f t="shared" si="79"/>
        <v>403.71279069767445</v>
      </c>
      <c r="Q356" s="58">
        <f t="shared" si="80"/>
        <v>269.14186046511628</v>
      </c>
      <c r="R356" s="66">
        <f t="shared" si="74"/>
        <v>4.0505849999999999</v>
      </c>
      <c r="S356" s="64">
        <f t="shared" si="81"/>
        <v>18.75</v>
      </c>
      <c r="T356" s="66">
        <f t="shared" si="82"/>
        <v>254.262585</v>
      </c>
      <c r="U356" s="68">
        <f t="shared" si="83"/>
        <v>50.852516999999999</v>
      </c>
      <c r="V356" s="68">
        <f t="shared" si="84"/>
        <v>443.48125290697675</v>
      </c>
      <c r="W356" s="68">
        <f t="shared" si="85"/>
        <v>295.65416860465115</v>
      </c>
    </row>
    <row r="357" spans="1:23" x14ac:dyDescent="0.25">
      <c r="A357" s="169" t="s">
        <v>942</v>
      </c>
      <c r="B357" s="61" t="s">
        <v>390</v>
      </c>
      <c r="C357" s="61" t="s">
        <v>585</v>
      </c>
      <c r="D357" s="61" t="s">
        <v>588</v>
      </c>
      <c r="E357" s="1" t="s">
        <v>345</v>
      </c>
      <c r="F357" s="62" t="str">
        <f t="shared" si="75"/>
        <v>60606</v>
      </c>
      <c r="G357" s="269">
        <v>10620023</v>
      </c>
      <c r="H357" s="1" t="s">
        <v>381</v>
      </c>
      <c r="I357" s="61">
        <v>17</v>
      </c>
      <c r="J357" s="61">
        <v>6.8</v>
      </c>
      <c r="K357" s="61">
        <v>8.5</v>
      </c>
      <c r="L357" s="69">
        <f t="shared" si="76"/>
        <v>1.1559999999999999</v>
      </c>
      <c r="M357" s="69">
        <f t="shared" si="77"/>
        <v>1.4450000000000001</v>
      </c>
      <c r="N357" s="56">
        <f>INDEX(Rate_Chart!$A$1:$AK$127,MATCH(Data!J357,Rate_Chart!$A$1:$A$127,0),MATCH(Data!K357,Rate_Chart!$A$1:$AK$1,0))</f>
        <v>55.076599999999999</v>
      </c>
      <c r="O357" s="57">
        <f t="shared" si="78"/>
        <v>936.30219999999997</v>
      </c>
      <c r="P357" s="58">
        <f t="shared" si="79"/>
        <v>441.79090909090905</v>
      </c>
      <c r="Q357" s="58">
        <f t="shared" si="80"/>
        <v>294.5272727272727</v>
      </c>
      <c r="R357" s="66">
        <f t="shared" si="74"/>
        <v>16.385288500000001</v>
      </c>
      <c r="S357" s="64">
        <f t="shared" si="81"/>
        <v>63.75</v>
      </c>
      <c r="T357" s="66">
        <f t="shared" si="82"/>
        <v>1016.4374885</v>
      </c>
      <c r="U357" s="68">
        <f t="shared" si="83"/>
        <v>59.790440499999995</v>
      </c>
      <c r="V357" s="68">
        <f t="shared" si="84"/>
        <v>479.60246390374323</v>
      </c>
      <c r="W357" s="68">
        <f t="shared" si="85"/>
        <v>319.7349759358288</v>
      </c>
    </row>
    <row r="358" spans="1:23" x14ac:dyDescent="0.25">
      <c r="A358" s="169" t="s">
        <v>943</v>
      </c>
      <c r="B358" s="61" t="s">
        <v>390</v>
      </c>
      <c r="C358" s="61" t="s">
        <v>585</v>
      </c>
      <c r="D358" s="61" t="s">
        <v>588</v>
      </c>
      <c r="E358" s="1" t="s">
        <v>345</v>
      </c>
      <c r="F358" s="62" t="str">
        <f t="shared" si="75"/>
        <v>60606</v>
      </c>
      <c r="G358" s="269">
        <v>10620023</v>
      </c>
      <c r="H358" s="1" t="s">
        <v>381</v>
      </c>
      <c r="I358" s="61">
        <v>8</v>
      </c>
      <c r="J358" s="61">
        <v>6.2</v>
      </c>
      <c r="K358" s="61">
        <v>8.5</v>
      </c>
      <c r="L358" s="69">
        <f t="shared" si="76"/>
        <v>0.496</v>
      </c>
      <c r="M358" s="69">
        <f t="shared" si="77"/>
        <v>0.68</v>
      </c>
      <c r="N358" s="56">
        <f>INDEX(Rate_Chart!$A$1:$AK$127,MATCH(Data!J358,Rate_Chart!$A$1:$A$127,0),MATCH(Data!K358,Rate_Chart!$A$1:$AK$1,0))</f>
        <v>50.216900000000003</v>
      </c>
      <c r="O358" s="57">
        <f t="shared" si="78"/>
        <v>401.73520000000002</v>
      </c>
      <c r="P358" s="58">
        <f t="shared" si="79"/>
        <v>423.1761235955056</v>
      </c>
      <c r="Q358" s="58">
        <f t="shared" si="80"/>
        <v>282.11741573033709</v>
      </c>
      <c r="R358" s="66">
        <f t="shared" si="74"/>
        <v>7.0303660000000008</v>
      </c>
      <c r="S358" s="64">
        <f t="shared" si="81"/>
        <v>30</v>
      </c>
      <c r="T358" s="66">
        <f t="shared" si="82"/>
        <v>438.76556600000004</v>
      </c>
      <c r="U358" s="68">
        <f t="shared" si="83"/>
        <v>54.845695750000004</v>
      </c>
      <c r="V358" s="68">
        <f t="shared" si="84"/>
        <v>462.18282935393262</v>
      </c>
      <c r="W358" s="68">
        <f t="shared" si="85"/>
        <v>308.12188623595506</v>
      </c>
    </row>
    <row r="359" spans="1:23" x14ac:dyDescent="0.25">
      <c r="A359" s="169" t="s">
        <v>943</v>
      </c>
      <c r="B359" s="61" t="s">
        <v>391</v>
      </c>
      <c r="C359" s="61" t="s">
        <v>585</v>
      </c>
      <c r="D359" s="61" t="s">
        <v>588</v>
      </c>
      <c r="E359" s="1" t="s">
        <v>345</v>
      </c>
      <c r="F359" s="62" t="str">
        <f t="shared" si="75"/>
        <v>60606</v>
      </c>
      <c r="G359" s="269">
        <v>10620023</v>
      </c>
      <c r="H359" s="1" t="s">
        <v>381</v>
      </c>
      <c r="I359" s="61">
        <v>10</v>
      </c>
      <c r="J359" s="61">
        <v>5.8</v>
      </c>
      <c r="K359" s="61">
        <v>8.5</v>
      </c>
      <c r="L359" s="69">
        <f t="shared" si="76"/>
        <v>0.57999999999999996</v>
      </c>
      <c r="M359" s="69">
        <f t="shared" si="77"/>
        <v>0.85</v>
      </c>
      <c r="N359" s="56">
        <f>INDEX(Rate_Chart!$A$1:$AK$127,MATCH(Data!J359,Rate_Chart!$A$1:$A$127,0),MATCH(Data!K359,Rate_Chart!$A$1:$AK$1,0))</f>
        <v>46.9771</v>
      </c>
      <c r="O359" s="57">
        <f t="shared" si="78"/>
        <v>469.77100000000002</v>
      </c>
      <c r="P359" s="58">
        <f t="shared" si="79"/>
        <v>409.68401162790695</v>
      </c>
      <c r="Q359" s="58">
        <f t="shared" si="80"/>
        <v>273.12267441860462</v>
      </c>
      <c r="R359" s="66">
        <f t="shared" si="74"/>
        <v>8.2209925000000013</v>
      </c>
      <c r="S359" s="64">
        <f t="shared" si="81"/>
        <v>37.5</v>
      </c>
      <c r="T359" s="66">
        <f t="shared" si="82"/>
        <v>515.49199250000004</v>
      </c>
      <c r="U359" s="68">
        <f t="shared" si="83"/>
        <v>51.549199250000001</v>
      </c>
      <c r="V359" s="68">
        <f t="shared" si="84"/>
        <v>449.55697020348839</v>
      </c>
      <c r="W359" s="68">
        <f t="shared" si="85"/>
        <v>299.70464680232561</v>
      </c>
    </row>
    <row r="360" spans="1:23" x14ac:dyDescent="0.25">
      <c r="A360" s="169" t="s">
        <v>944</v>
      </c>
      <c r="B360" s="61" t="s">
        <v>390</v>
      </c>
      <c r="C360" s="61" t="s">
        <v>585</v>
      </c>
      <c r="D360" s="61" t="s">
        <v>588</v>
      </c>
      <c r="E360" s="1" t="s">
        <v>345</v>
      </c>
      <c r="F360" s="62" t="str">
        <f t="shared" si="75"/>
        <v>60606</v>
      </c>
      <c r="G360" s="269">
        <v>10620023</v>
      </c>
      <c r="H360" s="1" t="s">
        <v>381</v>
      </c>
      <c r="I360" s="61">
        <v>8</v>
      </c>
      <c r="J360" s="61">
        <v>6.2</v>
      </c>
      <c r="K360" s="61">
        <v>9</v>
      </c>
      <c r="L360" s="69">
        <f t="shared" si="76"/>
        <v>0.496</v>
      </c>
      <c r="M360" s="69">
        <f t="shared" si="77"/>
        <v>0.72</v>
      </c>
      <c r="N360" s="56">
        <f>INDEX(Rate_Chart!$A$1:$AK$127,MATCH(Data!J360,Rate_Chart!$A$1:$A$127,0),MATCH(Data!K360,Rate_Chart!$A$1:$AK$1,0))</f>
        <v>51.77</v>
      </c>
      <c r="O360" s="57">
        <f t="shared" si="78"/>
        <v>414.16</v>
      </c>
      <c r="P360" s="58">
        <f t="shared" si="79"/>
        <v>424.34426229508199</v>
      </c>
      <c r="Q360" s="58">
        <f t="shared" si="80"/>
        <v>282.89617486338801</v>
      </c>
      <c r="R360" s="66">
        <f t="shared" si="74"/>
        <v>7.2478000000000007</v>
      </c>
      <c r="S360" s="64">
        <f t="shared" si="81"/>
        <v>30</v>
      </c>
      <c r="T360" s="66">
        <f t="shared" si="82"/>
        <v>451.40780000000001</v>
      </c>
      <c r="U360" s="68">
        <f t="shared" si="83"/>
        <v>56.425975000000001</v>
      </c>
      <c r="V360" s="68">
        <f t="shared" si="84"/>
        <v>462.50799180327868</v>
      </c>
      <c r="W360" s="68">
        <f t="shared" si="85"/>
        <v>308.33866120218579</v>
      </c>
    </row>
    <row r="361" spans="1:23" x14ac:dyDescent="0.25">
      <c r="A361" s="169" t="s">
        <v>944</v>
      </c>
      <c r="B361" s="61" t="s">
        <v>391</v>
      </c>
      <c r="C361" s="61" t="s">
        <v>585</v>
      </c>
      <c r="D361" s="61" t="s">
        <v>588</v>
      </c>
      <c r="E361" s="1" t="s">
        <v>345</v>
      </c>
      <c r="F361" s="62" t="str">
        <f t="shared" si="75"/>
        <v>60606</v>
      </c>
      <c r="G361" s="269">
        <v>10620023</v>
      </c>
      <c r="H361" s="1" t="s">
        <v>381</v>
      </c>
      <c r="I361" s="61">
        <v>9</v>
      </c>
      <c r="J361" s="61">
        <v>6.4</v>
      </c>
      <c r="K361" s="61">
        <v>8.5</v>
      </c>
      <c r="L361" s="69">
        <f t="shared" si="76"/>
        <v>0.57600000000000007</v>
      </c>
      <c r="M361" s="69">
        <f t="shared" si="77"/>
        <v>0.76500000000000001</v>
      </c>
      <c r="N361" s="56">
        <f>INDEX(Rate_Chart!$A$1:$AK$127,MATCH(Data!J361,Rate_Chart!$A$1:$A$127,0),MATCH(Data!K361,Rate_Chart!$A$1:$AK$1,0))</f>
        <v>51.836799999999997</v>
      </c>
      <c r="O361" s="57">
        <f t="shared" si="78"/>
        <v>466.53119999999996</v>
      </c>
      <c r="P361" s="58">
        <f t="shared" si="79"/>
        <v>429.58674033149168</v>
      </c>
      <c r="Q361" s="58">
        <f t="shared" si="80"/>
        <v>286.39116022099444</v>
      </c>
      <c r="R361" s="66">
        <f t="shared" si="74"/>
        <v>8.1642960000000002</v>
      </c>
      <c r="S361" s="64">
        <f t="shared" si="81"/>
        <v>33.75</v>
      </c>
      <c r="T361" s="66">
        <f t="shared" si="82"/>
        <v>508.44549599999993</v>
      </c>
      <c r="U361" s="68">
        <f t="shared" si="83"/>
        <v>56.493943999999992</v>
      </c>
      <c r="V361" s="68">
        <f t="shared" si="84"/>
        <v>468.18185635359106</v>
      </c>
      <c r="W361" s="68">
        <f t="shared" si="85"/>
        <v>312.12123756906072</v>
      </c>
    </row>
    <row r="362" spans="1:23" x14ac:dyDescent="0.25">
      <c r="A362" s="169" t="s">
        <v>945</v>
      </c>
      <c r="B362" s="61" t="s">
        <v>390</v>
      </c>
      <c r="C362" s="61" t="s">
        <v>585</v>
      </c>
      <c r="D362" s="61" t="s">
        <v>588</v>
      </c>
      <c r="E362" s="1" t="s">
        <v>345</v>
      </c>
      <c r="F362" s="62" t="str">
        <f t="shared" si="75"/>
        <v>60606</v>
      </c>
      <c r="G362" s="269">
        <v>10620023</v>
      </c>
      <c r="H362" s="1" t="s">
        <v>381</v>
      </c>
      <c r="I362" s="61">
        <v>10</v>
      </c>
      <c r="J362" s="61">
        <v>6.8</v>
      </c>
      <c r="K362" s="61">
        <v>8.8000000000000007</v>
      </c>
      <c r="L362" s="69">
        <f t="shared" si="76"/>
        <v>0.68</v>
      </c>
      <c r="M362" s="69">
        <f t="shared" si="77"/>
        <v>0.88</v>
      </c>
      <c r="N362" s="56">
        <f>INDEX(Rate_Chart!$A$1:$AK$127,MATCH(Data!J362,Rate_Chart!$A$1:$A$127,0),MATCH(Data!K362,Rate_Chart!$A$1:$AK$1,0))</f>
        <v>56.212200000000003</v>
      </c>
      <c r="O362" s="57">
        <f t="shared" si="78"/>
        <v>562.12200000000007</v>
      </c>
      <c r="P362" s="58">
        <f t="shared" si="79"/>
        <v>443.78052631578947</v>
      </c>
      <c r="Q362" s="58">
        <f t="shared" si="80"/>
        <v>295.8536842105263</v>
      </c>
      <c r="R362" s="66">
        <f t="shared" si="74"/>
        <v>9.8371350000000017</v>
      </c>
      <c r="S362" s="64">
        <f t="shared" si="81"/>
        <v>37.5</v>
      </c>
      <c r="T362" s="66">
        <f t="shared" si="82"/>
        <v>609.45913500000006</v>
      </c>
      <c r="U362" s="68">
        <f t="shared" si="83"/>
        <v>60.945913500000003</v>
      </c>
      <c r="V362" s="68">
        <f t="shared" si="84"/>
        <v>481.15194868421054</v>
      </c>
      <c r="W362" s="68">
        <f t="shared" si="85"/>
        <v>320.76796578947369</v>
      </c>
    </row>
    <row r="363" spans="1:23" x14ac:dyDescent="0.25">
      <c r="A363" s="169" t="s">
        <v>946</v>
      </c>
      <c r="B363" s="61" t="s">
        <v>390</v>
      </c>
      <c r="C363" s="61" t="s">
        <v>585</v>
      </c>
      <c r="D363" s="61" t="s">
        <v>588</v>
      </c>
      <c r="E363" s="1" t="s">
        <v>345</v>
      </c>
      <c r="F363" s="62" t="str">
        <f t="shared" si="75"/>
        <v>60606</v>
      </c>
      <c r="G363" s="269">
        <v>10620023</v>
      </c>
      <c r="H363" s="1" t="s">
        <v>381</v>
      </c>
      <c r="I363" s="61">
        <v>13</v>
      </c>
      <c r="J363" s="61">
        <v>6.4</v>
      </c>
      <c r="K363" s="61">
        <v>8.6</v>
      </c>
      <c r="L363" s="69">
        <f t="shared" si="76"/>
        <v>0.83200000000000007</v>
      </c>
      <c r="M363" s="69">
        <f t="shared" si="77"/>
        <v>1.1179999999999999</v>
      </c>
      <c r="N363" s="56">
        <f>INDEX(Rate_Chart!$A$1:$AK$127,MATCH(Data!J363,Rate_Chart!$A$1:$A$127,0),MATCH(Data!K363,Rate_Chart!$A$1:$AK$1,0))</f>
        <v>52.371199999999995</v>
      </c>
      <c r="O363" s="57">
        <f t="shared" si="78"/>
        <v>680.82559999999989</v>
      </c>
      <c r="P363" s="58">
        <f t="shared" si="79"/>
        <v>431.6307692307692</v>
      </c>
      <c r="Q363" s="58">
        <f t="shared" si="80"/>
        <v>287.75384615384615</v>
      </c>
      <c r="R363" s="66">
        <f t="shared" si="74"/>
        <v>11.914448</v>
      </c>
      <c r="S363" s="64">
        <f t="shared" si="81"/>
        <v>48.75</v>
      </c>
      <c r="T363" s="66">
        <f t="shared" si="82"/>
        <v>741.49004799999989</v>
      </c>
      <c r="U363" s="68">
        <f t="shared" si="83"/>
        <v>57.03769599999999</v>
      </c>
      <c r="V363" s="68">
        <f t="shared" si="84"/>
        <v>470.09090109890104</v>
      </c>
      <c r="W363" s="68">
        <f t="shared" si="85"/>
        <v>313.39393406593405</v>
      </c>
    </row>
    <row r="364" spans="1:23" x14ac:dyDescent="0.25">
      <c r="A364" s="169" t="s">
        <v>946</v>
      </c>
      <c r="B364" s="61" t="s">
        <v>391</v>
      </c>
      <c r="C364" s="61" t="s">
        <v>585</v>
      </c>
      <c r="D364" s="61" t="s">
        <v>588</v>
      </c>
      <c r="E364" s="1" t="s">
        <v>345</v>
      </c>
      <c r="F364" s="62" t="str">
        <f t="shared" si="75"/>
        <v>60606</v>
      </c>
      <c r="G364" s="269">
        <v>10620023</v>
      </c>
      <c r="H364" s="1" t="s">
        <v>382</v>
      </c>
      <c r="I364" s="61">
        <v>7</v>
      </c>
      <c r="J364" s="61">
        <v>5</v>
      </c>
      <c r="K364" s="61">
        <v>8.1</v>
      </c>
      <c r="L364" s="69">
        <f t="shared" si="76"/>
        <v>0.35</v>
      </c>
      <c r="M364" s="69">
        <f t="shared" si="77"/>
        <v>0.56699999999999995</v>
      </c>
      <c r="N364" s="56">
        <f>INDEX(Rate_Chart!$A$1:$AK$127,MATCH(Data!J364,Rate_Chart!$A$1:$A$127,0),MATCH(Data!K364,Rate_Chart!$A$1:$AK$1,0))</f>
        <v>43.3691259</v>
      </c>
      <c r="O364" s="57">
        <f t="shared" si="78"/>
        <v>303.58388130000003</v>
      </c>
      <c r="P364" s="58">
        <f t="shared" si="79"/>
        <v>417.01082596153844</v>
      </c>
      <c r="Q364" s="58">
        <f t="shared" si="80"/>
        <v>278.00721730769231</v>
      </c>
      <c r="R364" s="66">
        <f t="shared" si="74"/>
        <v>5.312717922750001</v>
      </c>
      <c r="S364" s="64">
        <f t="shared" si="81"/>
        <v>26.25</v>
      </c>
      <c r="T364" s="66">
        <f t="shared" si="82"/>
        <v>335.14659922275001</v>
      </c>
      <c r="U364" s="68">
        <f t="shared" si="83"/>
        <v>47.87808560325</v>
      </c>
      <c r="V364" s="68">
        <f t="shared" si="84"/>
        <v>460.36620772355764</v>
      </c>
      <c r="W364" s="68">
        <f t="shared" si="85"/>
        <v>306.91080514903842</v>
      </c>
    </row>
    <row r="365" spans="1:23" x14ac:dyDescent="0.25">
      <c r="A365" s="169" t="s">
        <v>947</v>
      </c>
      <c r="B365" s="61" t="s">
        <v>390</v>
      </c>
      <c r="C365" s="61" t="s">
        <v>585</v>
      </c>
      <c r="D365" s="61" t="s">
        <v>588</v>
      </c>
      <c r="E365" s="1" t="s">
        <v>345</v>
      </c>
      <c r="F365" s="62" t="str">
        <f t="shared" si="75"/>
        <v>60606</v>
      </c>
      <c r="G365" s="269">
        <v>10620023</v>
      </c>
      <c r="H365" s="1" t="s">
        <v>381</v>
      </c>
      <c r="I365" s="61">
        <v>14</v>
      </c>
      <c r="J365" s="61">
        <v>8</v>
      </c>
      <c r="K365" s="61">
        <v>8.6</v>
      </c>
      <c r="L365" s="69">
        <f t="shared" si="76"/>
        <v>1.1200000000000001</v>
      </c>
      <c r="M365" s="69">
        <f t="shared" si="77"/>
        <v>1.204</v>
      </c>
      <c r="N365" s="56">
        <f>INDEX(Rate_Chart!$A$1:$AK$127,MATCH(Data!J365,Rate_Chart!$A$1:$A$127,0),MATCH(Data!K365,Rate_Chart!$A$1:$AK$1,0))</f>
        <v>65.463999999999999</v>
      </c>
      <c r="O365" s="57">
        <f t="shared" si="78"/>
        <v>916.49599999999998</v>
      </c>
      <c r="P365" s="58">
        <f t="shared" si="79"/>
        <v>476.67961165048541</v>
      </c>
      <c r="Q365" s="58">
        <f t="shared" si="80"/>
        <v>317.78640776699029</v>
      </c>
      <c r="R365" s="66">
        <f t="shared" si="74"/>
        <v>16.038680000000003</v>
      </c>
      <c r="S365" s="64">
        <f t="shared" si="81"/>
        <v>52.5</v>
      </c>
      <c r="T365" s="66">
        <f t="shared" si="82"/>
        <v>985.03467999999998</v>
      </c>
      <c r="U365" s="68">
        <f t="shared" si="83"/>
        <v>70.359619999999993</v>
      </c>
      <c r="V365" s="68">
        <f t="shared" si="84"/>
        <v>512.32733009708727</v>
      </c>
      <c r="W365" s="68">
        <f t="shared" si="85"/>
        <v>341.55155339805816</v>
      </c>
    </row>
    <row r="366" spans="1:23" x14ac:dyDescent="0.25">
      <c r="A366" s="169" t="s">
        <v>942</v>
      </c>
      <c r="B366" s="61" t="s">
        <v>390</v>
      </c>
      <c r="C366" s="61" t="s">
        <v>585</v>
      </c>
      <c r="D366" s="61" t="s">
        <v>588</v>
      </c>
      <c r="E366" s="1" t="s">
        <v>346</v>
      </c>
      <c r="F366" s="62" t="str">
        <f t="shared" si="75"/>
        <v>60610</v>
      </c>
      <c r="G366" s="269">
        <v>10620024</v>
      </c>
      <c r="H366" s="1" t="s">
        <v>382</v>
      </c>
      <c r="I366" s="61">
        <v>15</v>
      </c>
      <c r="J366" s="61">
        <v>3.2</v>
      </c>
      <c r="K366" s="61">
        <v>8.1</v>
      </c>
      <c r="L366" s="69">
        <f t="shared" si="76"/>
        <v>0.48</v>
      </c>
      <c r="M366" s="69">
        <f t="shared" si="77"/>
        <v>1.2150000000000001</v>
      </c>
      <c r="N366" s="56">
        <f>INDEX(Rate_Chart!$A$1:$AK$127,MATCH(Data!J366,Rate_Chart!$A$1:$A$127,0),MATCH(Data!K366,Rate_Chart!$A$1:$AK$1,0))</f>
        <v>35.8631259</v>
      </c>
      <c r="O366" s="57">
        <f t="shared" si="78"/>
        <v>537.9468885</v>
      </c>
      <c r="P366" s="58">
        <f t="shared" si="79"/>
        <v>417.01309186046512</v>
      </c>
      <c r="Q366" s="58">
        <f t="shared" si="80"/>
        <v>278.00872790697673</v>
      </c>
      <c r="R366" s="66">
        <f t="shared" si="74"/>
        <v>9.4140705487500007</v>
      </c>
      <c r="S366" s="64">
        <f t="shared" si="81"/>
        <v>56.25</v>
      </c>
      <c r="T366" s="66">
        <f t="shared" si="82"/>
        <v>603.61095904875003</v>
      </c>
      <c r="U366" s="68">
        <f t="shared" si="83"/>
        <v>40.24073060325</v>
      </c>
      <c r="V366" s="68">
        <f t="shared" si="84"/>
        <v>467.91547213081401</v>
      </c>
      <c r="W366" s="68">
        <f t="shared" si="85"/>
        <v>311.94364808720934</v>
      </c>
    </row>
    <row r="367" spans="1:23" x14ac:dyDescent="0.25">
      <c r="A367" s="169" t="s">
        <v>942</v>
      </c>
      <c r="B367" s="61" t="s">
        <v>391</v>
      </c>
      <c r="C367" s="61" t="s">
        <v>585</v>
      </c>
      <c r="D367" s="61" t="s">
        <v>588</v>
      </c>
      <c r="E367" s="1" t="s">
        <v>346</v>
      </c>
      <c r="F367" s="62" t="str">
        <f t="shared" si="75"/>
        <v>60610</v>
      </c>
      <c r="G367" s="269">
        <v>10620024</v>
      </c>
      <c r="H367" s="1" t="s">
        <v>382</v>
      </c>
      <c r="I367" s="61">
        <v>17</v>
      </c>
      <c r="J367" s="61">
        <v>3.6</v>
      </c>
      <c r="K367" s="61">
        <v>8</v>
      </c>
      <c r="L367" s="69">
        <f t="shared" si="76"/>
        <v>0.61199999999999999</v>
      </c>
      <c r="M367" s="69">
        <f t="shared" si="77"/>
        <v>1.36</v>
      </c>
      <c r="N367" s="56">
        <f>INDEX(Rate_Chart!$A$1:$AK$127,MATCH(Data!J367,Rate_Chart!$A$1:$A$127,0),MATCH(Data!K367,Rate_Chart!$A$1:$AK$1,0))</f>
        <v>37.253112000000009</v>
      </c>
      <c r="O367" s="57">
        <f t="shared" si="78"/>
        <v>633.30290400000013</v>
      </c>
      <c r="P367" s="58">
        <f t="shared" si="79"/>
        <v>417.01244776119404</v>
      </c>
      <c r="Q367" s="58">
        <f t="shared" si="80"/>
        <v>278.00829850746271</v>
      </c>
      <c r="R367" s="66">
        <f t="shared" si="74"/>
        <v>11.082800820000003</v>
      </c>
      <c r="S367" s="64">
        <f t="shared" si="81"/>
        <v>63.75</v>
      </c>
      <c r="T367" s="66">
        <f t="shared" si="82"/>
        <v>708.13570482000011</v>
      </c>
      <c r="U367" s="68">
        <f t="shared" si="83"/>
        <v>41.655041460000007</v>
      </c>
      <c r="V367" s="68">
        <f t="shared" si="84"/>
        <v>466.28777753731345</v>
      </c>
      <c r="W367" s="68">
        <f t="shared" si="85"/>
        <v>310.85851835820898</v>
      </c>
    </row>
    <row r="368" spans="1:23" x14ac:dyDescent="0.25">
      <c r="A368" s="169" t="s">
        <v>943</v>
      </c>
      <c r="B368" s="61" t="s">
        <v>390</v>
      </c>
      <c r="C368" s="61" t="s">
        <v>585</v>
      </c>
      <c r="D368" s="61" t="s">
        <v>588</v>
      </c>
      <c r="E368" s="1" t="s">
        <v>346</v>
      </c>
      <c r="F368" s="62" t="str">
        <f t="shared" si="75"/>
        <v>60610</v>
      </c>
      <c r="G368" s="269">
        <v>10620024</v>
      </c>
      <c r="H368" s="1" t="s">
        <v>382</v>
      </c>
      <c r="I368" s="61">
        <v>15</v>
      </c>
      <c r="J368" s="61">
        <v>4</v>
      </c>
      <c r="K368" s="61">
        <v>8.1</v>
      </c>
      <c r="L368" s="69">
        <f t="shared" si="76"/>
        <v>0.6</v>
      </c>
      <c r="M368" s="69">
        <f t="shared" si="77"/>
        <v>1.2150000000000001</v>
      </c>
      <c r="N368" s="56">
        <f>INDEX(Rate_Chart!$A$1:$AK$127,MATCH(Data!J368,Rate_Chart!$A$1:$A$127,0),MATCH(Data!K368,Rate_Chart!$A$1:$AK$1,0))</f>
        <v>39.199125899999999</v>
      </c>
      <c r="O368" s="57">
        <f t="shared" si="78"/>
        <v>587.98688849999996</v>
      </c>
      <c r="P368" s="58">
        <f t="shared" si="79"/>
        <v>417.01197765957443</v>
      </c>
      <c r="Q368" s="58">
        <f t="shared" si="80"/>
        <v>278.00798510638293</v>
      </c>
      <c r="R368" s="66">
        <f t="shared" si="74"/>
        <v>10.289770548750001</v>
      </c>
      <c r="S368" s="64">
        <f t="shared" si="81"/>
        <v>56.25</v>
      </c>
      <c r="T368" s="66">
        <f t="shared" si="82"/>
        <v>654.52665904874993</v>
      </c>
      <c r="U368" s="68">
        <f t="shared" si="83"/>
        <v>43.635110603249998</v>
      </c>
      <c r="V368" s="68">
        <f t="shared" si="84"/>
        <v>464.20330428989359</v>
      </c>
      <c r="W368" s="68">
        <f t="shared" si="85"/>
        <v>309.46886952659571</v>
      </c>
    </row>
    <row r="369" spans="1:23" x14ac:dyDescent="0.25">
      <c r="A369" s="169" t="s">
        <v>944</v>
      </c>
      <c r="B369" s="61" t="s">
        <v>390</v>
      </c>
      <c r="C369" s="61" t="s">
        <v>585</v>
      </c>
      <c r="D369" s="61" t="s">
        <v>588</v>
      </c>
      <c r="E369" s="1" t="s">
        <v>346</v>
      </c>
      <c r="F369" s="62" t="str">
        <f t="shared" si="75"/>
        <v>60610</v>
      </c>
      <c r="G369" s="269">
        <v>10620024</v>
      </c>
      <c r="H369" s="1" t="s">
        <v>382</v>
      </c>
      <c r="I369" s="61">
        <v>21</v>
      </c>
      <c r="J369" s="61">
        <v>4</v>
      </c>
      <c r="K369" s="61">
        <v>9</v>
      </c>
      <c r="L369" s="69">
        <f t="shared" si="76"/>
        <v>0.84</v>
      </c>
      <c r="M369" s="69">
        <f t="shared" si="77"/>
        <v>1.89</v>
      </c>
      <c r="N369" s="56">
        <f>INDEX(Rate_Chart!$A$1:$AK$127,MATCH(Data!J369,Rate_Chart!$A$1:$A$127,0),MATCH(Data!K369,Rate_Chart!$A$1:$AK$1,0))</f>
        <v>40.311181500000004</v>
      </c>
      <c r="O369" s="57">
        <f t="shared" si="78"/>
        <v>846.53481150000005</v>
      </c>
      <c r="P369" s="58">
        <f t="shared" si="79"/>
        <v>403.11181500000004</v>
      </c>
      <c r="Q369" s="58">
        <f t="shared" si="80"/>
        <v>268.74121000000002</v>
      </c>
      <c r="R369" s="66">
        <f t="shared" si="74"/>
        <v>14.814359201250003</v>
      </c>
      <c r="S369" s="64">
        <f t="shared" si="81"/>
        <v>78.75</v>
      </c>
      <c r="T369" s="66">
        <f t="shared" si="82"/>
        <v>940.09917070125005</v>
      </c>
      <c r="U369" s="68">
        <f t="shared" si="83"/>
        <v>44.766627176250005</v>
      </c>
      <c r="V369" s="68">
        <f t="shared" si="84"/>
        <v>447.6662717625</v>
      </c>
      <c r="W369" s="68">
        <f t="shared" si="85"/>
        <v>298.44418117499998</v>
      </c>
    </row>
    <row r="370" spans="1:23" x14ac:dyDescent="0.25">
      <c r="A370" s="169" t="s">
        <v>944</v>
      </c>
      <c r="B370" s="61" t="s">
        <v>391</v>
      </c>
      <c r="C370" s="61" t="s">
        <v>585</v>
      </c>
      <c r="D370" s="61" t="s">
        <v>588</v>
      </c>
      <c r="E370" s="1" t="s">
        <v>346</v>
      </c>
      <c r="F370" s="62" t="str">
        <f t="shared" si="75"/>
        <v>60610</v>
      </c>
      <c r="G370" s="269">
        <v>10620024</v>
      </c>
      <c r="H370" s="1" t="s">
        <v>382</v>
      </c>
      <c r="I370" s="61">
        <v>18</v>
      </c>
      <c r="J370" s="61">
        <v>3.6</v>
      </c>
      <c r="K370" s="61">
        <v>8</v>
      </c>
      <c r="L370" s="69">
        <f t="shared" si="76"/>
        <v>0.64800000000000002</v>
      </c>
      <c r="M370" s="69">
        <f t="shared" si="77"/>
        <v>1.44</v>
      </c>
      <c r="N370" s="56">
        <f>INDEX(Rate_Chart!$A$1:$AK$127,MATCH(Data!J370,Rate_Chart!$A$1:$A$127,0),MATCH(Data!K370,Rate_Chart!$A$1:$AK$1,0))</f>
        <v>37.253112000000009</v>
      </c>
      <c r="O370" s="57">
        <f t="shared" si="78"/>
        <v>670.55601600000011</v>
      </c>
      <c r="P370" s="58">
        <f t="shared" si="79"/>
        <v>417.01244776119404</v>
      </c>
      <c r="Q370" s="58">
        <f t="shared" si="80"/>
        <v>278.00829850746271</v>
      </c>
      <c r="R370" s="66">
        <f t="shared" si="74"/>
        <v>11.734730280000003</v>
      </c>
      <c r="S370" s="64">
        <f t="shared" si="81"/>
        <v>67.5</v>
      </c>
      <c r="T370" s="66">
        <f t="shared" si="82"/>
        <v>749.79074628000012</v>
      </c>
      <c r="U370" s="68">
        <f t="shared" si="83"/>
        <v>41.655041460000007</v>
      </c>
      <c r="V370" s="68">
        <f t="shared" si="84"/>
        <v>466.28777753731345</v>
      </c>
      <c r="W370" s="68">
        <f t="shared" si="85"/>
        <v>310.85851835820898</v>
      </c>
    </row>
    <row r="371" spans="1:23" x14ac:dyDescent="0.25">
      <c r="A371" s="169" t="s">
        <v>945</v>
      </c>
      <c r="B371" s="61" t="s">
        <v>390</v>
      </c>
      <c r="C371" s="61" t="s">
        <v>585</v>
      </c>
      <c r="D371" s="61" t="s">
        <v>588</v>
      </c>
      <c r="E371" s="1" t="s">
        <v>346</v>
      </c>
      <c r="F371" s="62" t="str">
        <f t="shared" si="75"/>
        <v>60610</v>
      </c>
      <c r="G371" s="269">
        <v>10620024</v>
      </c>
      <c r="H371" s="1" t="s">
        <v>382</v>
      </c>
      <c r="I371" s="61">
        <v>9</v>
      </c>
      <c r="J371" s="61">
        <v>4.3</v>
      </c>
      <c r="K371" s="61">
        <v>8</v>
      </c>
      <c r="L371" s="69">
        <f t="shared" si="76"/>
        <v>0.38699999999999996</v>
      </c>
      <c r="M371" s="69">
        <f t="shared" si="77"/>
        <v>0.72</v>
      </c>
      <c r="N371" s="56">
        <f>INDEX(Rate_Chart!$A$1:$AK$127,MATCH(Data!J371,Rate_Chart!$A$1:$A$127,0),MATCH(Data!K371,Rate_Chart!$A$1:$AK$1,0))</f>
        <v>40.172111999999998</v>
      </c>
      <c r="O371" s="57">
        <f t="shared" si="78"/>
        <v>361.54900799999996</v>
      </c>
      <c r="P371" s="58">
        <f t="shared" si="79"/>
        <v>417.01154325259517</v>
      </c>
      <c r="Q371" s="58">
        <f t="shared" si="80"/>
        <v>278.0076955017301</v>
      </c>
      <c r="R371" s="66">
        <f t="shared" si="74"/>
        <v>6.3271076399999995</v>
      </c>
      <c r="S371" s="64">
        <f t="shared" si="81"/>
        <v>33.75</v>
      </c>
      <c r="T371" s="66">
        <f t="shared" si="82"/>
        <v>401.62611563999997</v>
      </c>
      <c r="U371" s="68">
        <f t="shared" si="83"/>
        <v>44.625123959999996</v>
      </c>
      <c r="V371" s="68">
        <f t="shared" si="84"/>
        <v>463.23658089965397</v>
      </c>
      <c r="W371" s="68">
        <f t="shared" si="85"/>
        <v>308.82438726643596</v>
      </c>
    </row>
    <row r="372" spans="1:23" x14ac:dyDescent="0.25">
      <c r="A372" s="169" t="s">
        <v>946</v>
      </c>
      <c r="B372" s="61" t="s">
        <v>390</v>
      </c>
      <c r="C372" s="61" t="s">
        <v>585</v>
      </c>
      <c r="D372" s="61" t="s">
        <v>588</v>
      </c>
      <c r="E372" s="1" t="s">
        <v>346</v>
      </c>
      <c r="F372" s="62" t="str">
        <f t="shared" si="75"/>
        <v>60610</v>
      </c>
      <c r="G372" s="269">
        <v>10620024</v>
      </c>
      <c r="H372" s="1" t="s">
        <v>382</v>
      </c>
      <c r="I372" s="61">
        <v>17</v>
      </c>
      <c r="J372" s="61">
        <v>3.3</v>
      </c>
      <c r="K372" s="61">
        <v>8.1</v>
      </c>
      <c r="L372" s="69">
        <f t="shared" si="76"/>
        <v>0.56099999999999994</v>
      </c>
      <c r="M372" s="69">
        <f t="shared" si="77"/>
        <v>1.3769999999999998</v>
      </c>
      <c r="N372" s="56">
        <f>INDEX(Rate_Chart!$A$1:$AK$127,MATCH(Data!J372,Rate_Chart!$A$1:$A$127,0),MATCH(Data!K372,Rate_Chart!$A$1:$AK$1,0))</f>
        <v>36.280125900000002</v>
      </c>
      <c r="O372" s="57">
        <f t="shared" si="78"/>
        <v>616.76214030000006</v>
      </c>
      <c r="P372" s="58">
        <f t="shared" si="79"/>
        <v>417.0129413793104</v>
      </c>
      <c r="Q372" s="58">
        <f t="shared" si="80"/>
        <v>278.00862758620696</v>
      </c>
      <c r="R372" s="66">
        <f t="shared" si="74"/>
        <v>10.793337455250002</v>
      </c>
      <c r="S372" s="64">
        <f t="shared" si="81"/>
        <v>63.75</v>
      </c>
      <c r="T372" s="66">
        <f t="shared" si="82"/>
        <v>691.30547775525008</v>
      </c>
      <c r="U372" s="68">
        <f t="shared" si="83"/>
        <v>40.665028103250002</v>
      </c>
      <c r="V372" s="68">
        <f t="shared" si="84"/>
        <v>467.4141161293104</v>
      </c>
      <c r="W372" s="68">
        <f t="shared" si="85"/>
        <v>311.6094107528736</v>
      </c>
    </row>
    <row r="373" spans="1:23" x14ac:dyDescent="0.25">
      <c r="A373" s="169" t="s">
        <v>946</v>
      </c>
      <c r="B373" s="61" t="s">
        <v>391</v>
      </c>
      <c r="C373" s="61" t="s">
        <v>585</v>
      </c>
      <c r="D373" s="61" t="s">
        <v>588</v>
      </c>
      <c r="E373" s="1" t="s">
        <v>346</v>
      </c>
      <c r="F373" s="62" t="str">
        <f t="shared" si="75"/>
        <v>60610</v>
      </c>
      <c r="G373" s="269">
        <v>10620024</v>
      </c>
      <c r="H373" s="1" t="s">
        <v>382</v>
      </c>
      <c r="I373" s="61">
        <v>10</v>
      </c>
      <c r="J373" s="61">
        <v>4.5</v>
      </c>
      <c r="K373" s="61">
        <v>8</v>
      </c>
      <c r="L373" s="69">
        <f t="shared" si="76"/>
        <v>0.45</v>
      </c>
      <c r="M373" s="69">
        <f t="shared" si="77"/>
        <v>0.8</v>
      </c>
      <c r="N373" s="56">
        <f>INDEX(Rate_Chart!$A$1:$AK$127,MATCH(Data!J373,Rate_Chart!$A$1:$A$127,0),MATCH(Data!K373,Rate_Chart!$A$1:$AK$1,0))</f>
        <v>41.006112000000002</v>
      </c>
      <c r="O373" s="57">
        <f t="shared" si="78"/>
        <v>410.06112000000002</v>
      </c>
      <c r="P373" s="58">
        <f t="shared" si="79"/>
        <v>417.01130847457631</v>
      </c>
      <c r="Q373" s="58">
        <f t="shared" si="80"/>
        <v>278.00753898305089</v>
      </c>
      <c r="R373" s="66">
        <f t="shared" si="74"/>
        <v>7.1760696000000008</v>
      </c>
      <c r="S373" s="64">
        <f t="shared" si="81"/>
        <v>37.5</v>
      </c>
      <c r="T373" s="66">
        <f t="shared" si="82"/>
        <v>454.73718960000002</v>
      </c>
      <c r="U373" s="68">
        <f t="shared" si="83"/>
        <v>45.473718959999999</v>
      </c>
      <c r="V373" s="68">
        <f t="shared" si="84"/>
        <v>462.44459959322035</v>
      </c>
      <c r="W373" s="68">
        <f t="shared" si="85"/>
        <v>308.29639972881358</v>
      </c>
    </row>
    <row r="374" spans="1:23" x14ac:dyDescent="0.25">
      <c r="A374" s="169" t="s">
        <v>947</v>
      </c>
      <c r="B374" s="61" t="s">
        <v>390</v>
      </c>
      <c r="C374" s="61" t="s">
        <v>585</v>
      </c>
      <c r="D374" s="61" t="s">
        <v>588</v>
      </c>
      <c r="E374" s="1" t="s">
        <v>346</v>
      </c>
      <c r="F374" s="62" t="str">
        <f t="shared" si="75"/>
        <v>60610</v>
      </c>
      <c r="G374" s="269">
        <v>10620024</v>
      </c>
      <c r="H374" s="1" t="s">
        <v>382</v>
      </c>
      <c r="I374" s="61">
        <v>17</v>
      </c>
      <c r="J374" s="61">
        <v>3.7</v>
      </c>
      <c r="K374" s="61">
        <v>8</v>
      </c>
      <c r="L374" s="69">
        <f t="shared" si="76"/>
        <v>0.629</v>
      </c>
      <c r="M374" s="69">
        <f t="shared" si="77"/>
        <v>1.36</v>
      </c>
      <c r="N374" s="56">
        <f>INDEX(Rate_Chart!$A$1:$AK$127,MATCH(Data!J374,Rate_Chart!$A$1:$A$127,0),MATCH(Data!K374,Rate_Chart!$A$1:$AK$1,0))</f>
        <v>37.670112000000003</v>
      </c>
      <c r="O374" s="57">
        <f t="shared" si="78"/>
        <v>640.39190400000007</v>
      </c>
      <c r="P374" s="58">
        <f t="shared" si="79"/>
        <v>417.0123099630996</v>
      </c>
      <c r="Q374" s="58">
        <f t="shared" si="80"/>
        <v>278.0082066420664</v>
      </c>
      <c r="R374" s="66">
        <f t="shared" si="74"/>
        <v>11.206858320000002</v>
      </c>
      <c r="S374" s="64">
        <f t="shared" si="81"/>
        <v>63.75</v>
      </c>
      <c r="T374" s="66">
        <f t="shared" si="82"/>
        <v>715.34876232000011</v>
      </c>
      <c r="U374" s="68">
        <f t="shared" si="83"/>
        <v>42.079338960000008</v>
      </c>
      <c r="V374" s="68">
        <f t="shared" si="84"/>
        <v>465.82294051660517</v>
      </c>
      <c r="W374" s="68">
        <f t="shared" si="85"/>
        <v>310.5486270110701</v>
      </c>
    </row>
    <row r="375" spans="1:23" x14ac:dyDescent="0.25">
      <c r="A375" s="169" t="s">
        <v>947</v>
      </c>
      <c r="B375" s="61" t="s">
        <v>391</v>
      </c>
      <c r="C375" s="61" t="s">
        <v>585</v>
      </c>
      <c r="D375" s="61" t="s">
        <v>588</v>
      </c>
      <c r="E375" s="1" t="s">
        <v>346</v>
      </c>
      <c r="F375" s="62" t="str">
        <f t="shared" si="75"/>
        <v>60610</v>
      </c>
      <c r="G375" s="269">
        <v>10620024</v>
      </c>
      <c r="H375" s="1" t="s">
        <v>382</v>
      </c>
      <c r="I375" s="61">
        <v>16</v>
      </c>
      <c r="J375" s="61">
        <v>3.8</v>
      </c>
      <c r="K375" s="61">
        <v>8.1</v>
      </c>
      <c r="L375" s="69">
        <f t="shared" si="76"/>
        <v>0.60799999999999998</v>
      </c>
      <c r="M375" s="69">
        <f t="shared" si="77"/>
        <v>1.296</v>
      </c>
      <c r="N375" s="56">
        <f>INDEX(Rate_Chart!$A$1:$AK$127,MATCH(Data!J375,Rate_Chart!$A$1:$A$127,0),MATCH(Data!K375,Rate_Chart!$A$1:$AK$1,0))</f>
        <v>38.365125900000002</v>
      </c>
      <c r="O375" s="57">
        <f t="shared" si="78"/>
        <v>613.84201440000004</v>
      </c>
      <c r="P375" s="58">
        <f t="shared" si="79"/>
        <v>417.01223804347831</v>
      </c>
      <c r="Q375" s="58">
        <f t="shared" si="80"/>
        <v>278.00815869565218</v>
      </c>
      <c r="R375" s="66">
        <f t="shared" si="74"/>
        <v>10.742235252000002</v>
      </c>
      <c r="S375" s="64">
        <f t="shared" si="81"/>
        <v>60</v>
      </c>
      <c r="T375" s="66">
        <f t="shared" si="82"/>
        <v>684.58424965200004</v>
      </c>
      <c r="U375" s="68">
        <f t="shared" si="83"/>
        <v>42.786515603250002</v>
      </c>
      <c r="V375" s="68">
        <f t="shared" si="84"/>
        <v>465.07082177445653</v>
      </c>
      <c r="W375" s="68">
        <f t="shared" si="85"/>
        <v>310.04721451630434</v>
      </c>
    </row>
    <row r="376" spans="1:23" x14ac:dyDescent="0.25">
      <c r="A376" s="169" t="s">
        <v>942</v>
      </c>
      <c r="B376" s="61" t="s">
        <v>391</v>
      </c>
      <c r="C376" s="61" t="s">
        <v>585</v>
      </c>
      <c r="D376" s="61" t="s">
        <v>588</v>
      </c>
      <c r="E376" s="1" t="s">
        <v>949</v>
      </c>
      <c r="F376" s="62" t="str">
        <f t="shared" si="75"/>
        <v>60611</v>
      </c>
      <c r="G376" s="269">
        <v>10620028</v>
      </c>
      <c r="H376" s="1" t="s">
        <v>381</v>
      </c>
      <c r="I376" s="61">
        <v>20</v>
      </c>
      <c r="J376" s="61">
        <v>5.5</v>
      </c>
      <c r="K376" s="61">
        <v>8.4</v>
      </c>
      <c r="L376" s="69">
        <f t="shared" si="76"/>
        <v>1.1000000000000001</v>
      </c>
      <c r="M376" s="69">
        <f t="shared" si="77"/>
        <v>1.68</v>
      </c>
      <c r="N376" s="56">
        <f>INDEX(Rate_Chart!$A$1:$AK$127,MATCH(Data!J376,Rate_Chart!$A$1:$A$127,0),MATCH(Data!K376,Rate_Chart!$A$1:$AK$1,0))</f>
        <v>46.288167600000008</v>
      </c>
      <c r="O376" s="57">
        <f t="shared" si="78"/>
        <v>925.76335200000017</v>
      </c>
      <c r="P376" s="58">
        <f t="shared" si="79"/>
        <v>417.01051891891899</v>
      </c>
      <c r="Q376" s="58">
        <f t="shared" si="80"/>
        <v>278.00701261261264</v>
      </c>
      <c r="R376" s="66">
        <f t="shared" si="74"/>
        <v>16.200858660000005</v>
      </c>
      <c r="S376" s="64">
        <f t="shared" si="81"/>
        <v>75</v>
      </c>
      <c r="T376" s="66">
        <f t="shared" si="82"/>
        <v>1016.9642106600002</v>
      </c>
      <c r="U376" s="68">
        <f t="shared" si="83"/>
        <v>50.848210533000007</v>
      </c>
      <c r="V376" s="68">
        <f t="shared" si="84"/>
        <v>458.09198678378385</v>
      </c>
      <c r="W376" s="68">
        <f t="shared" si="85"/>
        <v>305.39465785585588</v>
      </c>
    </row>
    <row r="377" spans="1:23" x14ac:dyDescent="0.25">
      <c r="A377" s="169" t="s">
        <v>944</v>
      </c>
      <c r="B377" s="61" t="s">
        <v>391</v>
      </c>
      <c r="C377" s="61" t="s">
        <v>585</v>
      </c>
      <c r="D377" s="61" t="s">
        <v>588</v>
      </c>
      <c r="E377" s="1" t="s">
        <v>949</v>
      </c>
      <c r="F377" s="62" t="str">
        <f t="shared" si="75"/>
        <v>60611</v>
      </c>
      <c r="G377" s="269">
        <v>10620028</v>
      </c>
      <c r="H377" s="1" t="s">
        <v>382</v>
      </c>
      <c r="I377" s="61">
        <v>16</v>
      </c>
      <c r="J377" s="61">
        <v>4.8</v>
      </c>
      <c r="K377" s="61">
        <v>8.5</v>
      </c>
      <c r="L377" s="69">
        <f t="shared" si="76"/>
        <v>0.76800000000000002</v>
      </c>
      <c r="M377" s="69">
        <f t="shared" si="77"/>
        <v>1.36</v>
      </c>
      <c r="N377" s="56">
        <f>INDEX(Rate_Chart!$A$1:$AK$127,MATCH(Data!J377,Rate_Chart!$A$1:$A$127,0),MATCH(Data!K377,Rate_Chart!$A$1:$AK$1,0))</f>
        <v>43.647181500000002</v>
      </c>
      <c r="O377" s="57">
        <f t="shared" si="78"/>
        <v>698.35490400000003</v>
      </c>
      <c r="P377" s="58">
        <f t="shared" si="79"/>
        <v>417.0112882165605</v>
      </c>
      <c r="Q377" s="58">
        <f t="shared" si="80"/>
        <v>278.00752547770702</v>
      </c>
      <c r="R377" s="66">
        <f t="shared" si="74"/>
        <v>12.221210820000001</v>
      </c>
      <c r="S377" s="64">
        <f t="shared" si="81"/>
        <v>60</v>
      </c>
      <c r="T377" s="66">
        <f t="shared" si="82"/>
        <v>770.57611482000004</v>
      </c>
      <c r="U377" s="68">
        <f t="shared" si="83"/>
        <v>48.161007176250003</v>
      </c>
      <c r="V377" s="68">
        <f t="shared" si="84"/>
        <v>460.13701123805731</v>
      </c>
      <c r="W377" s="68">
        <f t="shared" si="85"/>
        <v>306.75800749203819</v>
      </c>
    </row>
    <row r="378" spans="1:23" x14ac:dyDescent="0.25">
      <c r="A378" s="169" t="s">
        <v>946</v>
      </c>
      <c r="B378" s="61" t="s">
        <v>391</v>
      </c>
      <c r="C378" s="61" t="s">
        <v>585</v>
      </c>
      <c r="D378" s="61" t="s">
        <v>588</v>
      </c>
      <c r="E378" s="1" t="s">
        <v>949</v>
      </c>
      <c r="F378" s="62" t="str">
        <f t="shared" si="75"/>
        <v>60611</v>
      </c>
      <c r="G378" s="269">
        <v>10620028</v>
      </c>
      <c r="H378" s="1" t="s">
        <v>382</v>
      </c>
      <c r="I378" s="61">
        <v>19</v>
      </c>
      <c r="J378" s="61">
        <v>4.2</v>
      </c>
      <c r="K378" s="61">
        <v>8.1999999999999993</v>
      </c>
      <c r="L378" s="69">
        <f t="shared" si="76"/>
        <v>0.79799999999999993</v>
      </c>
      <c r="M378" s="69">
        <f t="shared" si="77"/>
        <v>1.5579999999999998</v>
      </c>
      <c r="N378" s="56">
        <f>INDEX(Rate_Chart!$A$1:$AK$127,MATCH(Data!J378,Rate_Chart!$A$1:$A$127,0),MATCH(Data!K378,Rate_Chart!$A$1:$AK$1,0))</f>
        <v>40.311139799999999</v>
      </c>
      <c r="O378" s="57">
        <f t="shared" si="78"/>
        <v>765.91165620000004</v>
      </c>
      <c r="P378" s="58">
        <f t="shared" si="79"/>
        <v>417.01179103448277</v>
      </c>
      <c r="Q378" s="58">
        <f t="shared" si="80"/>
        <v>278.00786068965516</v>
      </c>
      <c r="R378" s="66">
        <f t="shared" si="74"/>
        <v>13.403453983500002</v>
      </c>
      <c r="S378" s="64">
        <f t="shared" si="81"/>
        <v>71.25</v>
      </c>
      <c r="T378" s="66">
        <f t="shared" si="82"/>
        <v>850.5651101835</v>
      </c>
      <c r="U378" s="68">
        <f t="shared" si="83"/>
        <v>44.766584746500001</v>
      </c>
      <c r="V378" s="68">
        <f t="shared" si="84"/>
        <v>463.10260082586211</v>
      </c>
      <c r="W378" s="68">
        <f t="shared" si="85"/>
        <v>308.73506721724141</v>
      </c>
    </row>
    <row r="379" spans="1:23" x14ac:dyDescent="0.25">
      <c r="A379" s="169" t="s">
        <v>947</v>
      </c>
      <c r="B379" s="61" t="s">
        <v>391</v>
      </c>
      <c r="C379" s="61" t="s">
        <v>585</v>
      </c>
      <c r="D379" s="61" t="s">
        <v>588</v>
      </c>
      <c r="E379" s="1" t="s">
        <v>949</v>
      </c>
      <c r="F379" s="62" t="str">
        <f t="shared" si="75"/>
        <v>60611</v>
      </c>
      <c r="G379" s="269">
        <v>10620028</v>
      </c>
      <c r="H379" s="1" t="s">
        <v>382</v>
      </c>
      <c r="I379" s="61">
        <v>17</v>
      </c>
      <c r="J379" s="61">
        <v>4.7</v>
      </c>
      <c r="K379" s="61">
        <v>8.5</v>
      </c>
      <c r="L379" s="69">
        <f t="shared" si="76"/>
        <v>0.79900000000000004</v>
      </c>
      <c r="M379" s="69">
        <f t="shared" si="77"/>
        <v>1.4450000000000001</v>
      </c>
      <c r="N379" s="56">
        <f>INDEX(Rate_Chart!$A$1:$AK$127,MATCH(Data!J379,Rate_Chart!$A$1:$A$127,0),MATCH(Data!K379,Rate_Chart!$A$1:$AK$1,0))</f>
        <v>43.2301815</v>
      </c>
      <c r="O379" s="57">
        <f t="shared" si="78"/>
        <v>734.91308549999997</v>
      </c>
      <c r="P379" s="58">
        <f t="shared" si="79"/>
        <v>417.01139710610931</v>
      </c>
      <c r="Q379" s="58">
        <f t="shared" si="80"/>
        <v>278.00759807073956</v>
      </c>
      <c r="R379" s="66">
        <f t="shared" si="74"/>
        <v>12.860978996250001</v>
      </c>
      <c r="S379" s="64">
        <f t="shared" si="81"/>
        <v>63.75</v>
      </c>
      <c r="T379" s="66">
        <f t="shared" si="82"/>
        <v>811.52406449624993</v>
      </c>
      <c r="U379" s="68">
        <f t="shared" si="83"/>
        <v>47.736709676249994</v>
      </c>
      <c r="V379" s="68">
        <f t="shared" si="84"/>
        <v>460.48272999598061</v>
      </c>
      <c r="W379" s="68">
        <f t="shared" si="85"/>
        <v>306.98848666398709</v>
      </c>
    </row>
    <row r="380" spans="1:23" x14ac:dyDescent="0.25">
      <c r="A380" s="169" t="s">
        <v>941</v>
      </c>
      <c r="B380" s="61" t="s">
        <v>390</v>
      </c>
      <c r="C380" s="61" t="s">
        <v>585</v>
      </c>
      <c r="D380" s="61" t="s">
        <v>588</v>
      </c>
      <c r="E380" s="1" t="s">
        <v>347</v>
      </c>
      <c r="F380" s="62" t="str">
        <f t="shared" si="75"/>
        <v>60612</v>
      </c>
      <c r="G380" s="269">
        <v>10620025</v>
      </c>
      <c r="H380" s="1" t="s">
        <v>381</v>
      </c>
      <c r="I380" s="61">
        <v>15</v>
      </c>
      <c r="J380" s="61">
        <v>6.6</v>
      </c>
      <c r="K380" s="61">
        <v>9</v>
      </c>
      <c r="L380" s="69">
        <f t="shared" si="76"/>
        <v>0.99</v>
      </c>
      <c r="M380" s="69">
        <f t="shared" si="77"/>
        <v>1.35</v>
      </c>
      <c r="N380" s="56">
        <f>INDEX(Rate_Chart!$A$1:$AK$127,MATCH(Data!J380,Rate_Chart!$A$1:$A$127,0),MATCH(Data!K380,Rate_Chart!$A$1:$AK$1,0))</f>
        <v>55.11</v>
      </c>
      <c r="O380" s="57">
        <f t="shared" si="78"/>
        <v>826.65</v>
      </c>
      <c r="P380" s="58">
        <f t="shared" si="79"/>
        <v>437.38095238095235</v>
      </c>
      <c r="Q380" s="58">
        <f t="shared" si="80"/>
        <v>291.58730158730157</v>
      </c>
      <c r="R380" s="66">
        <f t="shared" si="74"/>
        <v>14.466375000000001</v>
      </c>
      <c r="S380" s="64">
        <f t="shared" si="81"/>
        <v>56.25</v>
      </c>
      <c r="T380" s="66">
        <f t="shared" si="82"/>
        <v>897.36637499999995</v>
      </c>
      <c r="U380" s="68">
        <f t="shared" si="83"/>
        <v>59.824424999999998</v>
      </c>
      <c r="V380" s="68">
        <f t="shared" si="84"/>
        <v>474.79702380952381</v>
      </c>
      <c r="W380" s="68">
        <f t="shared" si="85"/>
        <v>316.5313492063492</v>
      </c>
    </row>
    <row r="381" spans="1:23" x14ac:dyDescent="0.25">
      <c r="A381" s="169" t="s">
        <v>941</v>
      </c>
      <c r="B381" s="61" t="s">
        <v>391</v>
      </c>
      <c r="C381" s="61" t="s">
        <v>585</v>
      </c>
      <c r="D381" s="61" t="s">
        <v>588</v>
      </c>
      <c r="E381" s="1" t="s">
        <v>347</v>
      </c>
      <c r="F381" s="62" t="str">
        <f t="shared" si="75"/>
        <v>60612</v>
      </c>
      <c r="G381" s="269">
        <v>10620025</v>
      </c>
      <c r="H381" s="1" t="s">
        <v>382</v>
      </c>
      <c r="I381" s="61">
        <v>15</v>
      </c>
      <c r="J381" s="61">
        <v>4.0999999999999996</v>
      </c>
      <c r="K381" s="61">
        <v>8.5</v>
      </c>
      <c r="L381" s="69">
        <f t="shared" si="76"/>
        <v>0.61499999999999988</v>
      </c>
      <c r="M381" s="69">
        <f t="shared" si="77"/>
        <v>1.2749999999999999</v>
      </c>
      <c r="N381" s="56">
        <f>INDEX(Rate_Chart!$A$1:$AK$127,MATCH(Data!J381,Rate_Chart!$A$1:$A$127,0),MATCH(Data!K381,Rate_Chart!$A$1:$AK$1,0))</f>
        <v>40.728181500000005</v>
      </c>
      <c r="O381" s="57">
        <f t="shared" si="78"/>
        <v>610.92272250000008</v>
      </c>
      <c r="P381" s="58">
        <f t="shared" si="79"/>
        <v>417.01209726962463</v>
      </c>
      <c r="Q381" s="58">
        <f t="shared" si="80"/>
        <v>278.0080648464164</v>
      </c>
      <c r="R381" s="66">
        <f t="shared" si="74"/>
        <v>10.691147643750002</v>
      </c>
      <c r="S381" s="64">
        <f t="shared" si="81"/>
        <v>56.25</v>
      </c>
      <c r="T381" s="66">
        <f t="shared" si="82"/>
        <v>677.86387014375009</v>
      </c>
      <c r="U381" s="68">
        <f t="shared" si="83"/>
        <v>45.190924676250006</v>
      </c>
      <c r="V381" s="68">
        <f t="shared" si="84"/>
        <v>462.70571340870316</v>
      </c>
      <c r="W381" s="68">
        <f t="shared" si="85"/>
        <v>308.47047560580211</v>
      </c>
    </row>
    <row r="382" spans="1:23" x14ac:dyDescent="0.25">
      <c r="A382" s="169" t="s">
        <v>942</v>
      </c>
      <c r="B382" s="61" t="s">
        <v>390</v>
      </c>
      <c r="C382" s="61" t="s">
        <v>585</v>
      </c>
      <c r="D382" s="61" t="s">
        <v>588</v>
      </c>
      <c r="E382" s="1" t="s">
        <v>347</v>
      </c>
      <c r="F382" s="62" t="str">
        <f t="shared" si="75"/>
        <v>60612</v>
      </c>
      <c r="G382" s="269">
        <v>10620025</v>
      </c>
      <c r="H382" s="1" t="s">
        <v>381</v>
      </c>
      <c r="I382" s="61">
        <v>29</v>
      </c>
      <c r="J382" s="61">
        <v>6</v>
      </c>
      <c r="K382" s="61">
        <v>9</v>
      </c>
      <c r="L382" s="69">
        <f t="shared" si="76"/>
        <v>1.74</v>
      </c>
      <c r="M382" s="69">
        <f t="shared" si="77"/>
        <v>2.61</v>
      </c>
      <c r="N382" s="56">
        <f>INDEX(Rate_Chart!$A$1:$AK$127,MATCH(Data!J382,Rate_Chart!$A$1:$A$127,0),MATCH(Data!K382,Rate_Chart!$A$1:$AK$1,0))</f>
        <v>50.1</v>
      </c>
      <c r="O382" s="57">
        <f t="shared" si="78"/>
        <v>1452.9</v>
      </c>
      <c r="P382" s="58">
        <f t="shared" si="79"/>
        <v>417.5</v>
      </c>
      <c r="Q382" s="58">
        <f t="shared" si="80"/>
        <v>278.33333333333331</v>
      </c>
      <c r="R382" s="66">
        <f t="shared" si="74"/>
        <v>25.425750000000004</v>
      </c>
      <c r="S382" s="64">
        <f t="shared" si="81"/>
        <v>108.75</v>
      </c>
      <c r="T382" s="66">
        <f t="shared" si="82"/>
        <v>1587.07575</v>
      </c>
      <c r="U382" s="68">
        <f t="shared" si="83"/>
        <v>54.726749999999996</v>
      </c>
      <c r="V382" s="68">
        <f t="shared" si="84"/>
        <v>456.05624999999998</v>
      </c>
      <c r="W382" s="68">
        <f t="shared" si="85"/>
        <v>304.03749999999997</v>
      </c>
    </row>
    <row r="383" spans="1:23" x14ac:dyDescent="0.25">
      <c r="A383" s="169" t="s">
        <v>942</v>
      </c>
      <c r="B383" s="61" t="s">
        <v>391</v>
      </c>
      <c r="C383" s="61" t="s">
        <v>585</v>
      </c>
      <c r="D383" s="61" t="s">
        <v>588</v>
      </c>
      <c r="E383" s="1" t="s">
        <v>347</v>
      </c>
      <c r="F383" s="62" t="str">
        <f t="shared" si="75"/>
        <v>60612</v>
      </c>
      <c r="G383" s="269">
        <v>10620025</v>
      </c>
      <c r="H383" s="1" t="s">
        <v>381</v>
      </c>
      <c r="I383" s="61">
        <v>12</v>
      </c>
      <c r="J383" s="61">
        <v>5.7</v>
      </c>
      <c r="K383" s="61">
        <v>8.8000000000000007</v>
      </c>
      <c r="L383" s="69">
        <f t="shared" si="76"/>
        <v>0.68400000000000005</v>
      </c>
      <c r="M383" s="69">
        <f t="shared" si="77"/>
        <v>1.056</v>
      </c>
      <c r="N383" s="56">
        <f>INDEX(Rate_Chart!$A$1:$AK$127,MATCH(Data!J383,Rate_Chart!$A$1:$A$127,0),MATCH(Data!K383,Rate_Chart!$A$1:$AK$1,0))</f>
        <v>47.119050000000001</v>
      </c>
      <c r="O383" s="57">
        <f t="shared" si="78"/>
        <v>565.42859999999996</v>
      </c>
      <c r="P383" s="58">
        <f t="shared" si="79"/>
        <v>407.3693083573487</v>
      </c>
      <c r="Q383" s="58">
        <f t="shared" si="80"/>
        <v>271.57953890489915</v>
      </c>
      <c r="R383" s="66">
        <f t="shared" si="74"/>
        <v>9.8950005000000001</v>
      </c>
      <c r="S383" s="64">
        <f t="shared" si="81"/>
        <v>45</v>
      </c>
      <c r="T383" s="66">
        <f t="shared" si="82"/>
        <v>620.3236005</v>
      </c>
      <c r="U383" s="68">
        <f t="shared" si="83"/>
        <v>51.693633374999997</v>
      </c>
      <c r="V383" s="68">
        <f t="shared" si="84"/>
        <v>446.91902053314118</v>
      </c>
      <c r="W383" s="68">
        <f t="shared" si="85"/>
        <v>297.94601368876079</v>
      </c>
    </row>
    <row r="384" spans="1:23" x14ac:dyDescent="0.25">
      <c r="A384" s="169" t="s">
        <v>943</v>
      </c>
      <c r="B384" s="61" t="s">
        <v>390</v>
      </c>
      <c r="C384" s="61" t="s">
        <v>585</v>
      </c>
      <c r="D384" s="61" t="s">
        <v>588</v>
      </c>
      <c r="E384" s="1" t="s">
        <v>347</v>
      </c>
      <c r="F384" s="62" t="str">
        <f t="shared" si="75"/>
        <v>60612</v>
      </c>
      <c r="G384" s="269">
        <v>10620025</v>
      </c>
      <c r="H384" s="1" t="s">
        <v>381</v>
      </c>
      <c r="I384" s="61">
        <v>28</v>
      </c>
      <c r="J384" s="61">
        <v>5.7</v>
      </c>
      <c r="K384" s="61">
        <v>9</v>
      </c>
      <c r="L384" s="69">
        <f t="shared" si="76"/>
        <v>1.5959999999999999</v>
      </c>
      <c r="M384" s="69">
        <f t="shared" si="77"/>
        <v>2.52</v>
      </c>
      <c r="N384" s="56">
        <f>INDEX(Rate_Chart!$A$1:$AK$127,MATCH(Data!J384,Rate_Chart!$A$1:$A$127,0),MATCH(Data!K384,Rate_Chart!$A$1:$AK$1,0))</f>
        <v>47.594999999999999</v>
      </c>
      <c r="O384" s="57">
        <f t="shared" si="78"/>
        <v>1332.6599999999999</v>
      </c>
      <c r="P384" s="58">
        <f t="shared" si="79"/>
        <v>406.79487179487182</v>
      </c>
      <c r="Q384" s="58">
        <f t="shared" si="80"/>
        <v>271.19658119658123</v>
      </c>
      <c r="R384" s="66">
        <f t="shared" si="74"/>
        <v>23.321549999999998</v>
      </c>
      <c r="S384" s="64">
        <f t="shared" si="81"/>
        <v>105</v>
      </c>
      <c r="T384" s="66">
        <f t="shared" si="82"/>
        <v>1460.98155</v>
      </c>
      <c r="U384" s="68">
        <f t="shared" si="83"/>
        <v>52.177912499999998</v>
      </c>
      <c r="V384" s="68">
        <f t="shared" si="84"/>
        <v>445.9650641025641</v>
      </c>
      <c r="W384" s="68">
        <f t="shared" si="85"/>
        <v>297.31004273504271</v>
      </c>
    </row>
    <row r="385" spans="1:23" x14ac:dyDescent="0.25">
      <c r="A385" s="169" t="s">
        <v>943</v>
      </c>
      <c r="B385" s="61" t="s">
        <v>391</v>
      </c>
      <c r="C385" s="61" t="s">
        <v>585</v>
      </c>
      <c r="D385" s="61" t="s">
        <v>588</v>
      </c>
      <c r="E385" s="1" t="s">
        <v>347</v>
      </c>
      <c r="F385" s="62" t="str">
        <f t="shared" si="75"/>
        <v>60612</v>
      </c>
      <c r="G385" s="269">
        <v>10620025</v>
      </c>
      <c r="H385" s="1" t="s">
        <v>381</v>
      </c>
      <c r="I385" s="61">
        <v>12</v>
      </c>
      <c r="J385" s="61">
        <v>5.7</v>
      </c>
      <c r="K385" s="61">
        <v>9</v>
      </c>
      <c r="L385" s="69">
        <f t="shared" si="76"/>
        <v>0.68400000000000005</v>
      </c>
      <c r="M385" s="69">
        <f t="shared" si="77"/>
        <v>1.08</v>
      </c>
      <c r="N385" s="56">
        <f>INDEX(Rate_Chart!$A$1:$AK$127,MATCH(Data!J385,Rate_Chart!$A$1:$A$127,0),MATCH(Data!K385,Rate_Chart!$A$1:$AK$1,0))</f>
        <v>47.594999999999999</v>
      </c>
      <c r="O385" s="57">
        <f t="shared" si="78"/>
        <v>571.14</v>
      </c>
      <c r="P385" s="58">
        <f t="shared" si="79"/>
        <v>406.79487179487182</v>
      </c>
      <c r="Q385" s="58">
        <f t="shared" si="80"/>
        <v>271.19658119658123</v>
      </c>
      <c r="R385" s="66">
        <f t="shared" si="74"/>
        <v>9.9949500000000011</v>
      </c>
      <c r="S385" s="64">
        <f t="shared" si="81"/>
        <v>45</v>
      </c>
      <c r="T385" s="66">
        <f t="shared" si="82"/>
        <v>626.13495</v>
      </c>
      <c r="U385" s="68">
        <f t="shared" si="83"/>
        <v>52.177912499999998</v>
      </c>
      <c r="V385" s="68">
        <f t="shared" si="84"/>
        <v>445.9650641025641</v>
      </c>
      <c r="W385" s="68">
        <f t="shared" si="85"/>
        <v>297.31004273504271</v>
      </c>
    </row>
    <row r="386" spans="1:23" x14ac:dyDescent="0.25">
      <c r="A386" s="169" t="s">
        <v>944</v>
      </c>
      <c r="B386" s="61" t="s">
        <v>390</v>
      </c>
      <c r="C386" s="61" t="s">
        <v>585</v>
      </c>
      <c r="D386" s="61" t="s">
        <v>588</v>
      </c>
      <c r="E386" s="1" t="s">
        <v>347</v>
      </c>
      <c r="F386" s="62" t="str">
        <f t="shared" si="75"/>
        <v>60612</v>
      </c>
      <c r="G386" s="269">
        <v>10620025</v>
      </c>
      <c r="H386" s="1" t="s">
        <v>381</v>
      </c>
      <c r="I386" s="61">
        <v>31</v>
      </c>
      <c r="J386" s="61">
        <v>5.9</v>
      </c>
      <c r="K386" s="61">
        <v>9</v>
      </c>
      <c r="L386" s="69">
        <f t="shared" si="76"/>
        <v>1.829</v>
      </c>
      <c r="M386" s="69">
        <f t="shared" si="77"/>
        <v>2.79</v>
      </c>
      <c r="N386" s="56">
        <f>INDEX(Rate_Chart!$A$1:$AK$127,MATCH(Data!J386,Rate_Chart!$A$1:$A$127,0),MATCH(Data!K386,Rate_Chart!$A$1:$AK$1,0))</f>
        <v>49.265000000000001</v>
      </c>
      <c r="O386" s="57">
        <f t="shared" si="78"/>
        <v>1527.2149999999999</v>
      </c>
      <c r="P386" s="58">
        <f t="shared" si="79"/>
        <v>413.99159663865549</v>
      </c>
      <c r="Q386" s="58">
        <f t="shared" si="80"/>
        <v>275.99439775910366</v>
      </c>
      <c r="R386" s="66">
        <f t="shared" si="74"/>
        <v>26.726262500000001</v>
      </c>
      <c r="S386" s="64">
        <f t="shared" si="81"/>
        <v>116.25</v>
      </c>
      <c r="T386" s="66">
        <f t="shared" si="82"/>
        <v>1670.1912625</v>
      </c>
      <c r="U386" s="68">
        <f t="shared" si="83"/>
        <v>53.877137499999996</v>
      </c>
      <c r="V386" s="68">
        <f t="shared" si="84"/>
        <v>452.74905462184876</v>
      </c>
      <c r="W386" s="68">
        <f t="shared" si="85"/>
        <v>301.83270308123252</v>
      </c>
    </row>
    <row r="387" spans="1:23" x14ac:dyDescent="0.25">
      <c r="A387" s="169" t="s">
        <v>944</v>
      </c>
      <c r="B387" s="61" t="s">
        <v>391</v>
      </c>
      <c r="C387" s="61" t="s">
        <v>585</v>
      </c>
      <c r="D387" s="61" t="s">
        <v>588</v>
      </c>
      <c r="E387" s="1" t="s">
        <v>347</v>
      </c>
      <c r="F387" s="62" t="str">
        <f t="shared" si="75"/>
        <v>60612</v>
      </c>
      <c r="G387" s="269">
        <v>10620025</v>
      </c>
      <c r="H387" s="1" t="s">
        <v>381</v>
      </c>
      <c r="I387" s="61">
        <v>16</v>
      </c>
      <c r="J387" s="61">
        <v>5.5</v>
      </c>
      <c r="K387" s="61">
        <v>8.8000000000000007</v>
      </c>
      <c r="L387" s="69">
        <f t="shared" si="76"/>
        <v>0.88</v>
      </c>
      <c r="M387" s="69">
        <f t="shared" si="77"/>
        <v>1.4080000000000001</v>
      </c>
      <c r="N387" s="56">
        <f>INDEX(Rate_Chart!$A$1:$AK$127,MATCH(Data!J387,Rate_Chart!$A$1:$A$127,0),MATCH(Data!K387,Rate_Chart!$A$1:$AK$1,0))</f>
        <v>46.566181499999999</v>
      </c>
      <c r="O387" s="57">
        <f t="shared" si="78"/>
        <v>745.05890399999998</v>
      </c>
      <c r="P387" s="58">
        <f t="shared" si="79"/>
        <v>409.67315102639293</v>
      </c>
      <c r="Q387" s="58">
        <f t="shared" si="80"/>
        <v>273.11543401759531</v>
      </c>
      <c r="R387" s="66">
        <f t="shared" si="74"/>
        <v>13.03853082</v>
      </c>
      <c r="S387" s="64">
        <f t="shared" si="81"/>
        <v>60</v>
      </c>
      <c r="T387" s="66">
        <f t="shared" si="82"/>
        <v>818.09743481999999</v>
      </c>
      <c r="U387" s="68">
        <f t="shared" si="83"/>
        <v>51.131089676249999</v>
      </c>
      <c r="V387" s="68">
        <f t="shared" si="84"/>
        <v>449.83363351539589</v>
      </c>
      <c r="W387" s="68">
        <f t="shared" si="85"/>
        <v>299.88908901026394</v>
      </c>
    </row>
    <row r="388" spans="1:23" x14ac:dyDescent="0.25">
      <c r="A388" s="169" t="s">
        <v>945</v>
      </c>
      <c r="B388" s="61" t="s">
        <v>390</v>
      </c>
      <c r="C388" s="61" t="s">
        <v>585</v>
      </c>
      <c r="D388" s="61" t="s">
        <v>588</v>
      </c>
      <c r="E388" s="1" t="s">
        <v>347</v>
      </c>
      <c r="F388" s="62" t="str">
        <f t="shared" si="75"/>
        <v>60612</v>
      </c>
      <c r="G388" s="269">
        <v>10620025</v>
      </c>
      <c r="H388" s="1" t="s">
        <v>381</v>
      </c>
      <c r="I388" s="61">
        <v>29</v>
      </c>
      <c r="J388" s="61">
        <v>5.8</v>
      </c>
      <c r="K388" s="61">
        <v>9</v>
      </c>
      <c r="L388" s="69">
        <f t="shared" si="76"/>
        <v>1.6819999999999999</v>
      </c>
      <c r="M388" s="69">
        <f t="shared" si="77"/>
        <v>2.61</v>
      </c>
      <c r="N388" s="56">
        <f>INDEX(Rate_Chart!$A$1:$AK$127,MATCH(Data!J388,Rate_Chart!$A$1:$A$127,0),MATCH(Data!K388,Rate_Chart!$A$1:$AK$1,0))</f>
        <v>48.43</v>
      </c>
      <c r="O388" s="57">
        <f t="shared" si="78"/>
        <v>1404.47</v>
      </c>
      <c r="P388" s="58">
        <f t="shared" si="79"/>
        <v>410.42372881355936</v>
      </c>
      <c r="Q388" s="58">
        <f t="shared" si="80"/>
        <v>273.61581920903956</v>
      </c>
      <c r="R388" s="66">
        <f t="shared" ref="R388:R412" si="86">O388*1.75%</f>
        <v>24.578225000000003</v>
      </c>
      <c r="S388" s="64">
        <f t="shared" si="81"/>
        <v>108.75</v>
      </c>
      <c r="T388" s="66">
        <f t="shared" si="82"/>
        <v>1537.798225</v>
      </c>
      <c r="U388" s="68">
        <f t="shared" si="83"/>
        <v>53.027524999999997</v>
      </c>
      <c r="V388" s="68">
        <f t="shared" si="84"/>
        <v>449.38580508474575</v>
      </c>
      <c r="W388" s="68">
        <f t="shared" si="85"/>
        <v>299.59053672316384</v>
      </c>
    </row>
    <row r="389" spans="1:23" x14ac:dyDescent="0.25">
      <c r="A389" s="169" t="s">
        <v>945</v>
      </c>
      <c r="B389" s="61" t="s">
        <v>391</v>
      </c>
      <c r="C389" s="61" t="s">
        <v>585</v>
      </c>
      <c r="D389" s="61" t="s">
        <v>588</v>
      </c>
      <c r="E389" s="1" t="s">
        <v>347</v>
      </c>
      <c r="F389" s="62" t="str">
        <f t="shared" ref="F389:F452" si="87">MID(E389,2,5)</f>
        <v>60612</v>
      </c>
      <c r="G389" s="269">
        <v>10620025</v>
      </c>
      <c r="H389" s="1" t="s">
        <v>381</v>
      </c>
      <c r="I389" s="61">
        <v>14</v>
      </c>
      <c r="J389" s="61">
        <v>6.3</v>
      </c>
      <c r="K389" s="61">
        <v>9</v>
      </c>
      <c r="L389" s="69">
        <f t="shared" si="76"/>
        <v>0.88200000000000001</v>
      </c>
      <c r="M389" s="69">
        <f t="shared" si="77"/>
        <v>1.26</v>
      </c>
      <c r="N389" s="56">
        <f>INDEX(Rate_Chart!$A$1:$AK$127,MATCH(Data!J389,Rate_Chart!$A$1:$A$127,0),MATCH(Data!K389,Rate_Chart!$A$1:$AK$1,0))</f>
        <v>52.604999999999997</v>
      </c>
      <c r="O389" s="57">
        <f t="shared" si="78"/>
        <v>736.46999999999991</v>
      </c>
      <c r="P389" s="58">
        <f t="shared" si="79"/>
        <v>427.6829268292683</v>
      </c>
      <c r="Q389" s="58">
        <f t="shared" si="80"/>
        <v>285.1219512195122</v>
      </c>
      <c r="R389" s="66">
        <f t="shared" si="86"/>
        <v>12.888225</v>
      </c>
      <c r="S389" s="64">
        <f t="shared" si="81"/>
        <v>52.5</v>
      </c>
      <c r="T389" s="66">
        <f t="shared" si="82"/>
        <v>801.85822499999995</v>
      </c>
      <c r="U389" s="68">
        <f t="shared" si="83"/>
        <v>57.275587499999993</v>
      </c>
      <c r="V389" s="68">
        <f t="shared" si="84"/>
        <v>465.65518292682924</v>
      </c>
      <c r="W389" s="68">
        <f t="shared" si="85"/>
        <v>310.43678861788618</v>
      </c>
    </row>
    <row r="390" spans="1:23" x14ac:dyDescent="0.25">
      <c r="A390" s="169" t="s">
        <v>946</v>
      </c>
      <c r="B390" s="61" t="s">
        <v>390</v>
      </c>
      <c r="C390" s="61" t="s">
        <v>585</v>
      </c>
      <c r="D390" s="61" t="s">
        <v>588</v>
      </c>
      <c r="E390" s="1" t="s">
        <v>347</v>
      </c>
      <c r="F390" s="62" t="str">
        <f t="shared" si="87"/>
        <v>60612</v>
      </c>
      <c r="G390" s="269">
        <v>10620025</v>
      </c>
      <c r="H390" s="1" t="s">
        <v>381</v>
      </c>
      <c r="I390" s="61">
        <v>25</v>
      </c>
      <c r="J390" s="61">
        <v>5.9</v>
      </c>
      <c r="K390" s="61">
        <v>9</v>
      </c>
      <c r="L390" s="69">
        <f t="shared" si="76"/>
        <v>1.4750000000000001</v>
      </c>
      <c r="M390" s="69">
        <f t="shared" si="77"/>
        <v>2.25</v>
      </c>
      <c r="N390" s="56">
        <f>INDEX(Rate_Chart!$A$1:$AK$127,MATCH(Data!J390,Rate_Chart!$A$1:$A$127,0),MATCH(Data!K390,Rate_Chart!$A$1:$AK$1,0))</f>
        <v>49.265000000000001</v>
      </c>
      <c r="O390" s="57">
        <f t="shared" si="78"/>
        <v>1231.625</v>
      </c>
      <c r="P390" s="58">
        <f t="shared" si="79"/>
        <v>413.99159663865549</v>
      </c>
      <c r="Q390" s="58">
        <f t="shared" si="80"/>
        <v>275.99439775910366</v>
      </c>
      <c r="R390" s="66">
        <f t="shared" si="86"/>
        <v>21.553437500000001</v>
      </c>
      <c r="S390" s="64">
        <f t="shared" si="81"/>
        <v>93.75</v>
      </c>
      <c r="T390" s="66">
        <f t="shared" si="82"/>
        <v>1346.9284375</v>
      </c>
      <c r="U390" s="68">
        <f t="shared" si="83"/>
        <v>53.877137499999996</v>
      </c>
      <c r="V390" s="68">
        <f t="shared" si="84"/>
        <v>452.74905462184876</v>
      </c>
      <c r="W390" s="68">
        <f t="shared" si="85"/>
        <v>301.83270308123252</v>
      </c>
    </row>
    <row r="391" spans="1:23" x14ac:dyDescent="0.25">
      <c r="A391" s="169" t="s">
        <v>946</v>
      </c>
      <c r="B391" s="61" t="s">
        <v>391</v>
      </c>
      <c r="C391" s="61" t="s">
        <v>585</v>
      </c>
      <c r="D391" s="61" t="s">
        <v>588</v>
      </c>
      <c r="E391" s="1" t="s">
        <v>347</v>
      </c>
      <c r="F391" s="62" t="str">
        <f t="shared" si="87"/>
        <v>60612</v>
      </c>
      <c r="G391" s="269">
        <v>10620025</v>
      </c>
      <c r="H391" s="1" t="s">
        <v>381</v>
      </c>
      <c r="I391" s="61">
        <v>13</v>
      </c>
      <c r="J391" s="61">
        <v>5.8</v>
      </c>
      <c r="K391" s="61">
        <v>9</v>
      </c>
      <c r="L391" s="69">
        <f t="shared" si="76"/>
        <v>0.75399999999999989</v>
      </c>
      <c r="M391" s="69">
        <f t="shared" si="77"/>
        <v>1.17</v>
      </c>
      <c r="N391" s="56">
        <f>INDEX(Rate_Chart!$A$1:$AK$127,MATCH(Data!J391,Rate_Chart!$A$1:$A$127,0),MATCH(Data!K391,Rate_Chart!$A$1:$AK$1,0))</f>
        <v>48.43</v>
      </c>
      <c r="O391" s="57">
        <f t="shared" si="78"/>
        <v>629.59</v>
      </c>
      <c r="P391" s="58">
        <f t="shared" si="79"/>
        <v>410.42372881355936</v>
      </c>
      <c r="Q391" s="58">
        <f t="shared" si="80"/>
        <v>273.61581920903956</v>
      </c>
      <c r="R391" s="66">
        <f t="shared" si="86"/>
        <v>11.017825000000002</v>
      </c>
      <c r="S391" s="64">
        <f t="shared" si="81"/>
        <v>48.75</v>
      </c>
      <c r="T391" s="66">
        <f t="shared" si="82"/>
        <v>689.35782500000005</v>
      </c>
      <c r="U391" s="68">
        <f t="shared" si="83"/>
        <v>53.027525000000004</v>
      </c>
      <c r="V391" s="68">
        <f t="shared" si="84"/>
        <v>449.38580508474581</v>
      </c>
      <c r="W391" s="68">
        <f t="shared" si="85"/>
        <v>299.59053672316389</v>
      </c>
    </row>
    <row r="392" spans="1:23" x14ac:dyDescent="0.25">
      <c r="A392" s="169" t="s">
        <v>947</v>
      </c>
      <c r="B392" s="61" t="s">
        <v>390</v>
      </c>
      <c r="C392" s="61" t="s">
        <v>585</v>
      </c>
      <c r="D392" s="61" t="s">
        <v>588</v>
      </c>
      <c r="E392" s="1" t="s">
        <v>347</v>
      </c>
      <c r="F392" s="62" t="str">
        <f t="shared" si="87"/>
        <v>60612</v>
      </c>
      <c r="G392" s="269">
        <v>10620025</v>
      </c>
      <c r="H392" s="1" t="s">
        <v>381</v>
      </c>
      <c r="I392" s="61">
        <v>32</v>
      </c>
      <c r="J392" s="61">
        <v>5.6</v>
      </c>
      <c r="K392" s="61">
        <v>9</v>
      </c>
      <c r="L392" s="69">
        <f t="shared" si="76"/>
        <v>1.7919999999999998</v>
      </c>
      <c r="M392" s="69">
        <f t="shared" si="77"/>
        <v>2.88</v>
      </c>
      <c r="N392" s="56">
        <f>INDEX(Rate_Chart!$A$1:$AK$127,MATCH(Data!J392,Rate_Chart!$A$1:$A$127,0),MATCH(Data!K392,Rate_Chart!$A$1:$AK$1,0))</f>
        <v>46.76</v>
      </c>
      <c r="O392" s="57">
        <f t="shared" si="78"/>
        <v>1496.32</v>
      </c>
      <c r="P392" s="58">
        <f t="shared" si="79"/>
        <v>403.10344827586209</v>
      </c>
      <c r="Q392" s="58">
        <f t="shared" si="80"/>
        <v>268.73563218390808</v>
      </c>
      <c r="R392" s="66">
        <f t="shared" si="86"/>
        <v>26.185600000000001</v>
      </c>
      <c r="S392" s="64">
        <f t="shared" si="81"/>
        <v>120</v>
      </c>
      <c r="T392" s="66">
        <f t="shared" si="82"/>
        <v>1642.5056</v>
      </c>
      <c r="U392" s="68">
        <f t="shared" si="83"/>
        <v>51.328299999999999</v>
      </c>
      <c r="V392" s="68">
        <f t="shared" si="84"/>
        <v>442.48534482758623</v>
      </c>
      <c r="W392" s="68">
        <f t="shared" si="85"/>
        <v>294.99022988505749</v>
      </c>
    </row>
    <row r="393" spans="1:23" x14ac:dyDescent="0.25">
      <c r="A393" s="169" t="s">
        <v>947</v>
      </c>
      <c r="B393" s="61" t="s">
        <v>391</v>
      </c>
      <c r="C393" s="61" t="s">
        <v>585</v>
      </c>
      <c r="D393" s="61" t="s">
        <v>588</v>
      </c>
      <c r="E393" s="1" t="s">
        <v>347</v>
      </c>
      <c r="F393" s="62" t="str">
        <f t="shared" si="87"/>
        <v>60612</v>
      </c>
      <c r="G393" s="269">
        <v>10620025</v>
      </c>
      <c r="H393" s="1" t="s">
        <v>381</v>
      </c>
      <c r="I393" s="61">
        <v>14</v>
      </c>
      <c r="J393" s="61">
        <v>5.8</v>
      </c>
      <c r="K393" s="61">
        <v>8.8000000000000007</v>
      </c>
      <c r="L393" s="69">
        <f t="shared" si="76"/>
        <v>0.81200000000000006</v>
      </c>
      <c r="M393" s="69">
        <f t="shared" si="77"/>
        <v>1.2320000000000002</v>
      </c>
      <c r="N393" s="56">
        <f>INDEX(Rate_Chart!$A$1:$AK$127,MATCH(Data!J393,Rate_Chart!$A$1:$A$127,0),MATCH(Data!K393,Rate_Chart!$A$1:$AK$1,0))</f>
        <v>47.945700000000002</v>
      </c>
      <c r="O393" s="57">
        <f t="shared" si="78"/>
        <v>671.23980000000006</v>
      </c>
      <c r="P393" s="58">
        <f t="shared" si="79"/>
        <v>410.96314285714288</v>
      </c>
      <c r="Q393" s="58">
        <f t="shared" si="80"/>
        <v>273.97542857142861</v>
      </c>
      <c r="R393" s="66">
        <f t="shared" si="86"/>
        <v>11.746696500000002</v>
      </c>
      <c r="S393" s="64">
        <f t="shared" si="81"/>
        <v>52.5</v>
      </c>
      <c r="T393" s="66">
        <f t="shared" si="82"/>
        <v>735.48649650000004</v>
      </c>
      <c r="U393" s="68">
        <f t="shared" si="83"/>
        <v>52.534749750000003</v>
      </c>
      <c r="V393" s="68">
        <f t="shared" si="84"/>
        <v>450.29785500000003</v>
      </c>
      <c r="W393" s="68">
        <f t="shared" si="85"/>
        <v>300.19857000000002</v>
      </c>
    </row>
    <row r="394" spans="1:23" x14ac:dyDescent="0.25">
      <c r="A394" s="169" t="s">
        <v>941</v>
      </c>
      <c r="B394" s="61" t="s">
        <v>391</v>
      </c>
      <c r="C394" s="61" t="s">
        <v>585</v>
      </c>
      <c r="D394" s="61" t="s">
        <v>586</v>
      </c>
      <c r="E394" s="1" t="s">
        <v>907</v>
      </c>
      <c r="F394" s="62" t="str">
        <f t="shared" si="87"/>
        <v>60614</v>
      </c>
      <c r="G394" s="269">
        <v>10620052</v>
      </c>
      <c r="H394" s="1" t="s">
        <v>382</v>
      </c>
      <c r="I394" s="61">
        <v>14</v>
      </c>
      <c r="J394" s="61">
        <v>4.5999999999999996</v>
      </c>
      <c r="K394" s="61">
        <v>8.5</v>
      </c>
      <c r="L394" s="69">
        <f t="shared" si="76"/>
        <v>0.64399999999999991</v>
      </c>
      <c r="M394" s="69">
        <f t="shared" si="77"/>
        <v>1.19</v>
      </c>
      <c r="N394" s="56">
        <f>INDEX(Rate_Chart!$A$1:$AK$127,MATCH(Data!J394,Rate_Chart!$A$1:$A$127,0),MATCH(Data!K394,Rate_Chart!$A$1:$AK$1,0))</f>
        <v>42.813181499999999</v>
      </c>
      <c r="O394" s="57">
        <f t="shared" si="78"/>
        <v>599.38454100000001</v>
      </c>
      <c r="P394" s="58">
        <f t="shared" si="79"/>
        <v>417.01150811688308</v>
      </c>
      <c r="Q394" s="58">
        <f t="shared" si="80"/>
        <v>278.00767207792205</v>
      </c>
      <c r="R394" s="66">
        <f t="shared" si="86"/>
        <v>10.489229467500001</v>
      </c>
      <c r="S394" s="64">
        <f t="shared" si="81"/>
        <v>52.5</v>
      </c>
      <c r="T394" s="66">
        <f t="shared" si="82"/>
        <v>662.37377046749998</v>
      </c>
      <c r="U394" s="68">
        <f t="shared" si="83"/>
        <v>47.31241217625</v>
      </c>
      <c r="V394" s="68">
        <f t="shared" si="84"/>
        <v>460.83518353490257</v>
      </c>
      <c r="W394" s="68">
        <f t="shared" si="85"/>
        <v>307.22345568993507</v>
      </c>
    </row>
    <row r="395" spans="1:23" x14ac:dyDescent="0.25">
      <c r="A395" s="169" t="s">
        <v>942</v>
      </c>
      <c r="B395" s="61" t="s">
        <v>390</v>
      </c>
      <c r="C395" s="61" t="s">
        <v>585</v>
      </c>
      <c r="D395" s="61" t="s">
        <v>586</v>
      </c>
      <c r="E395" s="1" t="s">
        <v>907</v>
      </c>
      <c r="F395" s="62" t="str">
        <f t="shared" si="87"/>
        <v>60614</v>
      </c>
      <c r="G395" s="269">
        <v>10620052</v>
      </c>
      <c r="H395" s="1" t="s">
        <v>381</v>
      </c>
      <c r="I395" s="61">
        <v>58</v>
      </c>
      <c r="J395" s="61">
        <v>6.7</v>
      </c>
      <c r="K395" s="61">
        <v>9</v>
      </c>
      <c r="L395" s="69">
        <f t="shared" si="76"/>
        <v>3.8860000000000001</v>
      </c>
      <c r="M395" s="69">
        <f t="shared" si="77"/>
        <v>5.22</v>
      </c>
      <c r="N395" s="56">
        <f>INDEX(Rate_Chart!$A$1:$AK$127,MATCH(Data!J395,Rate_Chart!$A$1:$A$127,0),MATCH(Data!K395,Rate_Chart!$A$1:$AK$1,0))</f>
        <v>55.945</v>
      </c>
      <c r="O395" s="57">
        <f t="shared" si="78"/>
        <v>3244.81</v>
      </c>
      <c r="P395" s="58">
        <f t="shared" si="79"/>
        <v>440.51181102362204</v>
      </c>
      <c r="Q395" s="58">
        <f t="shared" si="80"/>
        <v>293.67454068241472</v>
      </c>
      <c r="R395" s="66">
        <f t="shared" si="86"/>
        <v>56.784175000000005</v>
      </c>
      <c r="S395" s="64">
        <f t="shared" si="81"/>
        <v>217.5</v>
      </c>
      <c r="T395" s="66">
        <f t="shared" si="82"/>
        <v>3519.0941750000002</v>
      </c>
      <c r="U395" s="68">
        <f t="shared" si="83"/>
        <v>60.674037500000004</v>
      </c>
      <c r="V395" s="68">
        <f t="shared" si="84"/>
        <v>477.74832677165358</v>
      </c>
      <c r="W395" s="68">
        <f t="shared" si="85"/>
        <v>318.4988845144357</v>
      </c>
    </row>
    <row r="396" spans="1:23" x14ac:dyDescent="0.25">
      <c r="A396" s="169" t="s">
        <v>942</v>
      </c>
      <c r="B396" s="61" t="s">
        <v>390</v>
      </c>
      <c r="C396" s="61" t="s">
        <v>585</v>
      </c>
      <c r="D396" s="61" t="s">
        <v>586</v>
      </c>
      <c r="E396" s="1" t="s">
        <v>907</v>
      </c>
      <c r="F396" s="62" t="str">
        <f t="shared" si="87"/>
        <v>60614</v>
      </c>
      <c r="G396" s="269">
        <v>10620052</v>
      </c>
      <c r="H396" s="1" t="s">
        <v>382</v>
      </c>
      <c r="I396" s="61">
        <v>32</v>
      </c>
      <c r="J396" s="61">
        <v>4.2</v>
      </c>
      <c r="K396" s="61">
        <v>8.5</v>
      </c>
      <c r="L396" s="69">
        <f t="shared" si="76"/>
        <v>1.3440000000000001</v>
      </c>
      <c r="M396" s="69">
        <f t="shared" si="77"/>
        <v>2.72</v>
      </c>
      <c r="N396" s="56">
        <f>INDEX(Rate_Chart!$A$1:$AK$127,MATCH(Data!J396,Rate_Chart!$A$1:$A$127,0),MATCH(Data!K396,Rate_Chart!$A$1:$AK$1,0))</f>
        <v>41.145181500000007</v>
      </c>
      <c r="O396" s="57">
        <f t="shared" si="78"/>
        <v>1316.6458080000002</v>
      </c>
      <c r="P396" s="58">
        <f t="shared" si="79"/>
        <v>417.01197466216217</v>
      </c>
      <c r="Q396" s="58">
        <f t="shared" si="80"/>
        <v>278.00798310810814</v>
      </c>
      <c r="R396" s="66">
        <f t="shared" si="86"/>
        <v>23.041301640000007</v>
      </c>
      <c r="S396" s="64">
        <f t="shared" si="81"/>
        <v>120</v>
      </c>
      <c r="T396" s="66">
        <f t="shared" si="82"/>
        <v>1459.6871096400002</v>
      </c>
      <c r="U396" s="68">
        <f t="shared" si="83"/>
        <v>45.615222176250008</v>
      </c>
      <c r="V396" s="68">
        <f t="shared" si="84"/>
        <v>462.31644097550679</v>
      </c>
      <c r="W396" s="68">
        <f t="shared" si="85"/>
        <v>308.21096065033788</v>
      </c>
    </row>
    <row r="397" spans="1:23" x14ac:dyDescent="0.25">
      <c r="A397" s="169" t="s">
        <v>942</v>
      </c>
      <c r="B397" s="61" t="s">
        <v>391</v>
      </c>
      <c r="C397" s="61" t="s">
        <v>585</v>
      </c>
      <c r="D397" s="61" t="s">
        <v>586</v>
      </c>
      <c r="E397" s="1" t="s">
        <v>907</v>
      </c>
      <c r="F397" s="62" t="str">
        <f t="shared" si="87"/>
        <v>60614</v>
      </c>
      <c r="G397" s="269">
        <v>10620052</v>
      </c>
      <c r="H397" s="1" t="s">
        <v>381</v>
      </c>
      <c r="I397" s="61">
        <v>15</v>
      </c>
      <c r="J397" s="61">
        <v>5.6</v>
      </c>
      <c r="K397" s="61">
        <v>8.8000000000000007</v>
      </c>
      <c r="L397" s="69">
        <f t="shared" si="76"/>
        <v>0.84</v>
      </c>
      <c r="M397" s="69">
        <f t="shared" si="77"/>
        <v>1.32</v>
      </c>
      <c r="N397" s="56">
        <f>INDEX(Rate_Chart!$A$1:$AK$127,MATCH(Data!J397,Rate_Chart!$A$1:$A$127,0),MATCH(Data!K397,Rate_Chart!$A$1:$AK$1,0))</f>
        <v>46.292400000000001</v>
      </c>
      <c r="O397" s="57">
        <f t="shared" si="78"/>
        <v>694.38599999999997</v>
      </c>
      <c r="P397" s="58">
        <f t="shared" si="79"/>
        <v>403.71279069767445</v>
      </c>
      <c r="Q397" s="58">
        <f t="shared" si="80"/>
        <v>269.14186046511628</v>
      </c>
      <c r="R397" s="66">
        <f t="shared" si="86"/>
        <v>12.151755000000001</v>
      </c>
      <c r="S397" s="64">
        <f t="shared" si="81"/>
        <v>56.25</v>
      </c>
      <c r="T397" s="66">
        <f t="shared" si="82"/>
        <v>762.78775499999995</v>
      </c>
      <c r="U397" s="68">
        <f t="shared" si="83"/>
        <v>50.852516999999999</v>
      </c>
      <c r="V397" s="68">
        <f t="shared" si="84"/>
        <v>443.48125290697675</v>
      </c>
      <c r="W397" s="68">
        <f t="shared" si="85"/>
        <v>295.65416860465115</v>
      </c>
    </row>
    <row r="398" spans="1:23" x14ac:dyDescent="0.25">
      <c r="A398" s="169" t="s">
        <v>943</v>
      </c>
      <c r="B398" s="61" t="s">
        <v>390</v>
      </c>
      <c r="C398" s="61" t="s">
        <v>585</v>
      </c>
      <c r="D398" s="61" t="s">
        <v>586</v>
      </c>
      <c r="E398" s="1" t="s">
        <v>907</v>
      </c>
      <c r="F398" s="62" t="str">
        <f t="shared" si="87"/>
        <v>60614</v>
      </c>
      <c r="G398" s="269">
        <v>10620052</v>
      </c>
      <c r="H398" s="1" t="s">
        <v>381</v>
      </c>
      <c r="I398" s="61">
        <v>59</v>
      </c>
      <c r="J398" s="61">
        <v>6.4</v>
      </c>
      <c r="K398" s="61">
        <v>9</v>
      </c>
      <c r="L398" s="69">
        <f t="shared" si="76"/>
        <v>3.7760000000000002</v>
      </c>
      <c r="M398" s="69">
        <f t="shared" si="77"/>
        <v>5.31</v>
      </c>
      <c r="N398" s="56">
        <f>INDEX(Rate_Chart!$A$1:$AK$127,MATCH(Data!J398,Rate_Chart!$A$1:$A$127,0),MATCH(Data!K398,Rate_Chart!$A$1:$AK$1,0))</f>
        <v>53.44</v>
      </c>
      <c r="O398" s="57">
        <f t="shared" si="78"/>
        <v>3152.96</v>
      </c>
      <c r="P398" s="58">
        <f t="shared" si="79"/>
        <v>430.96774193548384</v>
      </c>
      <c r="Q398" s="58">
        <f t="shared" si="80"/>
        <v>287.31182795698925</v>
      </c>
      <c r="R398" s="66">
        <f t="shared" si="86"/>
        <v>55.176800000000007</v>
      </c>
      <c r="S398" s="64">
        <f t="shared" si="81"/>
        <v>221.25</v>
      </c>
      <c r="T398" s="66">
        <f t="shared" si="82"/>
        <v>3429.3868000000002</v>
      </c>
      <c r="U398" s="68">
        <f t="shared" si="83"/>
        <v>58.125200000000007</v>
      </c>
      <c r="V398" s="68">
        <f t="shared" si="84"/>
        <v>468.75161290322586</v>
      </c>
      <c r="W398" s="68">
        <f t="shared" si="85"/>
        <v>312.50107526881726</v>
      </c>
    </row>
    <row r="399" spans="1:23" x14ac:dyDescent="0.25">
      <c r="A399" s="169" t="s">
        <v>943</v>
      </c>
      <c r="B399" s="61" t="s">
        <v>390</v>
      </c>
      <c r="C399" s="61" t="s">
        <v>585</v>
      </c>
      <c r="D399" s="61" t="s">
        <v>586</v>
      </c>
      <c r="E399" s="1" t="s">
        <v>907</v>
      </c>
      <c r="F399" s="62" t="str">
        <f t="shared" si="87"/>
        <v>60614</v>
      </c>
      <c r="G399" s="269">
        <v>10620052</v>
      </c>
      <c r="H399" s="1" t="s">
        <v>382</v>
      </c>
      <c r="I399" s="61">
        <v>62</v>
      </c>
      <c r="J399" s="61">
        <v>3.6</v>
      </c>
      <c r="K399" s="61">
        <v>8</v>
      </c>
      <c r="L399" s="69">
        <f t="shared" si="76"/>
        <v>2.2320000000000002</v>
      </c>
      <c r="M399" s="69">
        <f t="shared" si="77"/>
        <v>4.96</v>
      </c>
      <c r="N399" s="56">
        <f>INDEX(Rate_Chart!$A$1:$AK$127,MATCH(Data!J399,Rate_Chart!$A$1:$A$127,0),MATCH(Data!K399,Rate_Chart!$A$1:$AK$1,0))</f>
        <v>37.253112000000009</v>
      </c>
      <c r="O399" s="57">
        <f t="shared" si="78"/>
        <v>2309.6929440000004</v>
      </c>
      <c r="P399" s="58">
        <f t="shared" si="79"/>
        <v>417.01244776119404</v>
      </c>
      <c r="Q399" s="58">
        <f t="shared" si="80"/>
        <v>278.00829850746271</v>
      </c>
      <c r="R399" s="66">
        <f t="shared" si="86"/>
        <v>40.419626520000008</v>
      </c>
      <c r="S399" s="64">
        <f t="shared" si="81"/>
        <v>232.5</v>
      </c>
      <c r="T399" s="66">
        <f t="shared" si="82"/>
        <v>2582.6125705200002</v>
      </c>
      <c r="U399" s="68">
        <f t="shared" si="83"/>
        <v>41.65504146</v>
      </c>
      <c r="V399" s="68">
        <f t="shared" si="84"/>
        <v>466.28777753731333</v>
      </c>
      <c r="W399" s="68">
        <f t="shared" si="85"/>
        <v>310.85851835820887</v>
      </c>
    </row>
    <row r="400" spans="1:23" x14ac:dyDescent="0.25">
      <c r="A400" s="169" t="s">
        <v>944</v>
      </c>
      <c r="B400" s="61" t="s">
        <v>390</v>
      </c>
      <c r="C400" s="61" t="s">
        <v>585</v>
      </c>
      <c r="D400" s="61" t="s">
        <v>586</v>
      </c>
      <c r="E400" s="1" t="s">
        <v>907</v>
      </c>
      <c r="F400" s="62" t="str">
        <f t="shared" si="87"/>
        <v>60614</v>
      </c>
      <c r="G400" s="269">
        <v>10620052</v>
      </c>
      <c r="H400" s="1" t="s">
        <v>381</v>
      </c>
      <c r="I400" s="61">
        <v>61</v>
      </c>
      <c r="J400" s="61">
        <v>5.9</v>
      </c>
      <c r="K400" s="61">
        <v>9</v>
      </c>
      <c r="L400" s="69">
        <f t="shared" si="76"/>
        <v>3.5990000000000002</v>
      </c>
      <c r="M400" s="69">
        <f t="shared" si="77"/>
        <v>5.49</v>
      </c>
      <c r="N400" s="56">
        <f>INDEX(Rate_Chart!$A$1:$AK$127,MATCH(Data!J400,Rate_Chart!$A$1:$A$127,0),MATCH(Data!K400,Rate_Chart!$A$1:$AK$1,0))</f>
        <v>49.265000000000001</v>
      </c>
      <c r="O400" s="57">
        <f t="shared" si="78"/>
        <v>3005.165</v>
      </c>
      <c r="P400" s="58">
        <f t="shared" si="79"/>
        <v>413.99159663865549</v>
      </c>
      <c r="Q400" s="58">
        <f t="shared" si="80"/>
        <v>275.99439775910366</v>
      </c>
      <c r="R400" s="66">
        <f t="shared" si="86"/>
        <v>52.590387500000006</v>
      </c>
      <c r="S400" s="64">
        <f t="shared" si="81"/>
        <v>228.75</v>
      </c>
      <c r="T400" s="66">
        <f t="shared" si="82"/>
        <v>3286.5053874999999</v>
      </c>
      <c r="U400" s="68">
        <f t="shared" si="83"/>
        <v>53.877137499999996</v>
      </c>
      <c r="V400" s="68">
        <f t="shared" si="84"/>
        <v>452.74905462184876</v>
      </c>
      <c r="W400" s="68">
        <f t="shared" si="85"/>
        <v>301.83270308123252</v>
      </c>
    </row>
    <row r="401" spans="1:23" x14ac:dyDescent="0.25">
      <c r="A401" s="169" t="s">
        <v>944</v>
      </c>
      <c r="B401" s="61" t="s">
        <v>390</v>
      </c>
      <c r="C401" s="61" t="s">
        <v>585</v>
      </c>
      <c r="D401" s="61" t="s">
        <v>586</v>
      </c>
      <c r="E401" s="1" t="s">
        <v>907</v>
      </c>
      <c r="F401" s="62" t="str">
        <f t="shared" si="87"/>
        <v>60614</v>
      </c>
      <c r="G401" s="269">
        <v>10620052</v>
      </c>
      <c r="H401" s="1" t="s">
        <v>382</v>
      </c>
      <c r="I401" s="61">
        <v>41</v>
      </c>
      <c r="J401" s="61">
        <v>3.4</v>
      </c>
      <c r="K401" s="61">
        <v>8</v>
      </c>
      <c r="L401" s="69">
        <f t="shared" si="76"/>
        <v>1.3940000000000001</v>
      </c>
      <c r="M401" s="69">
        <f t="shared" si="77"/>
        <v>3.28</v>
      </c>
      <c r="N401" s="56">
        <f>INDEX(Rate_Chart!$A$1:$AK$127,MATCH(Data!J401,Rate_Chart!$A$1:$A$127,0),MATCH(Data!K401,Rate_Chart!$A$1:$AK$1,0))</f>
        <v>36.419112000000005</v>
      </c>
      <c r="O401" s="57">
        <f t="shared" si="78"/>
        <v>1493.1835920000003</v>
      </c>
      <c r="P401" s="58">
        <f t="shared" si="79"/>
        <v>417.01273282442747</v>
      </c>
      <c r="Q401" s="58">
        <f t="shared" si="80"/>
        <v>278.00848854961833</v>
      </c>
      <c r="R401" s="66">
        <f t="shared" si="86"/>
        <v>26.13071286000001</v>
      </c>
      <c r="S401" s="64">
        <f t="shared" si="81"/>
        <v>153.75</v>
      </c>
      <c r="T401" s="66">
        <f t="shared" si="82"/>
        <v>1673.0643048600004</v>
      </c>
      <c r="U401" s="68">
        <f t="shared" si="83"/>
        <v>40.806446460000011</v>
      </c>
      <c r="V401" s="68">
        <f t="shared" si="84"/>
        <v>467.24938694656493</v>
      </c>
      <c r="W401" s="68">
        <f t="shared" si="85"/>
        <v>311.49959129770997</v>
      </c>
    </row>
    <row r="402" spans="1:23" x14ac:dyDescent="0.25">
      <c r="A402" s="169" t="s">
        <v>945</v>
      </c>
      <c r="B402" s="61" t="s">
        <v>390</v>
      </c>
      <c r="C402" s="61" t="s">
        <v>585</v>
      </c>
      <c r="D402" s="61" t="s">
        <v>586</v>
      </c>
      <c r="E402" s="1" t="s">
        <v>907</v>
      </c>
      <c r="F402" s="62" t="str">
        <f t="shared" si="87"/>
        <v>60614</v>
      </c>
      <c r="G402" s="269">
        <v>10620052</v>
      </c>
      <c r="H402" s="1" t="s">
        <v>381</v>
      </c>
      <c r="I402" s="61">
        <v>28</v>
      </c>
      <c r="J402" s="61">
        <v>6.4</v>
      </c>
      <c r="K402" s="61">
        <v>9</v>
      </c>
      <c r="L402" s="69">
        <f t="shared" si="76"/>
        <v>1.7920000000000003</v>
      </c>
      <c r="M402" s="69">
        <f t="shared" si="77"/>
        <v>2.52</v>
      </c>
      <c r="N402" s="56">
        <f>INDEX(Rate_Chart!$A$1:$AK$127,MATCH(Data!J402,Rate_Chart!$A$1:$A$127,0),MATCH(Data!K402,Rate_Chart!$A$1:$AK$1,0))</f>
        <v>53.44</v>
      </c>
      <c r="O402" s="57">
        <f t="shared" si="78"/>
        <v>1496.32</v>
      </c>
      <c r="P402" s="58">
        <f t="shared" si="79"/>
        <v>430.96774193548384</v>
      </c>
      <c r="Q402" s="58">
        <f t="shared" si="80"/>
        <v>287.31182795698925</v>
      </c>
      <c r="R402" s="66">
        <f t="shared" si="86"/>
        <v>26.185600000000001</v>
      </c>
      <c r="S402" s="64">
        <f t="shared" si="81"/>
        <v>105</v>
      </c>
      <c r="T402" s="66">
        <f t="shared" si="82"/>
        <v>1627.5056</v>
      </c>
      <c r="U402" s="68">
        <f t="shared" si="83"/>
        <v>58.1252</v>
      </c>
      <c r="V402" s="68">
        <f t="shared" si="84"/>
        <v>468.7516129032258</v>
      </c>
      <c r="W402" s="68">
        <f t="shared" si="85"/>
        <v>312.5010752688172</v>
      </c>
    </row>
    <row r="403" spans="1:23" x14ac:dyDescent="0.25">
      <c r="A403" s="169" t="s">
        <v>945</v>
      </c>
      <c r="B403" s="61" t="s">
        <v>390</v>
      </c>
      <c r="C403" s="61" t="s">
        <v>585</v>
      </c>
      <c r="D403" s="61" t="s">
        <v>586</v>
      </c>
      <c r="E403" s="1" t="s">
        <v>907</v>
      </c>
      <c r="F403" s="62" t="str">
        <f t="shared" si="87"/>
        <v>60614</v>
      </c>
      <c r="G403" s="269">
        <v>10620052</v>
      </c>
      <c r="H403" s="1" t="s">
        <v>382</v>
      </c>
      <c r="I403" s="61">
        <v>33</v>
      </c>
      <c r="J403" s="61">
        <v>3.4</v>
      </c>
      <c r="K403" s="61">
        <v>8</v>
      </c>
      <c r="L403" s="69">
        <f t="shared" si="76"/>
        <v>1.1220000000000001</v>
      </c>
      <c r="M403" s="69">
        <f t="shared" si="77"/>
        <v>2.64</v>
      </c>
      <c r="N403" s="56">
        <f>INDEX(Rate_Chart!$A$1:$AK$127,MATCH(Data!J403,Rate_Chart!$A$1:$A$127,0),MATCH(Data!K403,Rate_Chart!$A$1:$AK$1,0))</f>
        <v>36.419112000000005</v>
      </c>
      <c r="O403" s="57">
        <f t="shared" si="78"/>
        <v>1201.8306960000002</v>
      </c>
      <c r="P403" s="58">
        <f t="shared" si="79"/>
        <v>417.01273282442747</v>
      </c>
      <c r="Q403" s="58">
        <f t="shared" si="80"/>
        <v>278.00848854961833</v>
      </c>
      <c r="R403" s="66">
        <f t="shared" si="86"/>
        <v>21.032037180000007</v>
      </c>
      <c r="S403" s="64">
        <f t="shared" si="81"/>
        <v>123.75</v>
      </c>
      <c r="T403" s="66">
        <f t="shared" si="82"/>
        <v>1346.6127331800003</v>
      </c>
      <c r="U403" s="68">
        <f t="shared" si="83"/>
        <v>40.806446460000011</v>
      </c>
      <c r="V403" s="68">
        <f t="shared" si="84"/>
        <v>467.24938694656493</v>
      </c>
      <c r="W403" s="68">
        <f t="shared" si="85"/>
        <v>311.49959129770997</v>
      </c>
    </row>
    <row r="404" spans="1:23" x14ac:dyDescent="0.25">
      <c r="A404" s="169" t="s">
        <v>946</v>
      </c>
      <c r="B404" s="61" t="s">
        <v>390</v>
      </c>
      <c r="C404" s="61" t="s">
        <v>585</v>
      </c>
      <c r="D404" s="61" t="s">
        <v>586</v>
      </c>
      <c r="E404" s="1" t="s">
        <v>907</v>
      </c>
      <c r="F404" s="62" t="str">
        <f t="shared" si="87"/>
        <v>60614</v>
      </c>
      <c r="G404" s="269">
        <v>10620052</v>
      </c>
      <c r="H404" s="1" t="s">
        <v>381</v>
      </c>
      <c r="I404" s="61">
        <v>66</v>
      </c>
      <c r="J404" s="61">
        <v>7</v>
      </c>
      <c r="K404" s="61">
        <v>9</v>
      </c>
      <c r="L404" s="69">
        <f t="shared" si="76"/>
        <v>4.62</v>
      </c>
      <c r="M404" s="69">
        <f t="shared" si="77"/>
        <v>5.94</v>
      </c>
      <c r="N404" s="56">
        <f>INDEX(Rate_Chart!$A$1:$AK$127,MATCH(Data!J404,Rate_Chart!$A$1:$A$127,0),MATCH(Data!K404,Rate_Chart!$A$1:$AK$1,0))</f>
        <v>58.45</v>
      </c>
      <c r="O404" s="57">
        <f t="shared" si="78"/>
        <v>3857.7000000000003</v>
      </c>
      <c r="P404" s="58">
        <f t="shared" si="79"/>
        <v>449.61538461538464</v>
      </c>
      <c r="Q404" s="58">
        <f t="shared" si="80"/>
        <v>299.74358974358978</v>
      </c>
      <c r="R404" s="66">
        <f t="shared" si="86"/>
        <v>67.509750000000011</v>
      </c>
      <c r="S404" s="64">
        <f t="shared" si="81"/>
        <v>247.5</v>
      </c>
      <c r="T404" s="66">
        <f t="shared" si="82"/>
        <v>4172.70975</v>
      </c>
      <c r="U404" s="68">
        <f t="shared" si="83"/>
        <v>63.222875000000002</v>
      </c>
      <c r="V404" s="68">
        <f t="shared" si="84"/>
        <v>486.32980769230767</v>
      </c>
      <c r="W404" s="68">
        <f t="shared" si="85"/>
        <v>324.21987179487178</v>
      </c>
    </row>
    <row r="405" spans="1:23" x14ac:dyDescent="0.25">
      <c r="A405" s="169" t="s">
        <v>946</v>
      </c>
      <c r="B405" s="61" t="s">
        <v>390</v>
      </c>
      <c r="C405" s="61" t="s">
        <v>585</v>
      </c>
      <c r="D405" s="61" t="s">
        <v>586</v>
      </c>
      <c r="E405" s="1" t="s">
        <v>907</v>
      </c>
      <c r="F405" s="62" t="str">
        <f t="shared" si="87"/>
        <v>60614</v>
      </c>
      <c r="G405" s="269">
        <v>10620052</v>
      </c>
      <c r="H405" s="1" t="s">
        <v>382</v>
      </c>
      <c r="I405" s="61">
        <v>60</v>
      </c>
      <c r="J405" s="61">
        <v>3.2</v>
      </c>
      <c r="K405" s="61">
        <v>8.1</v>
      </c>
      <c r="L405" s="69">
        <f t="shared" si="76"/>
        <v>1.92</v>
      </c>
      <c r="M405" s="69">
        <f t="shared" si="77"/>
        <v>4.8600000000000003</v>
      </c>
      <c r="N405" s="56">
        <f>INDEX(Rate_Chart!$A$1:$AK$127,MATCH(Data!J405,Rate_Chart!$A$1:$A$127,0),MATCH(Data!K405,Rate_Chart!$A$1:$AK$1,0))</f>
        <v>35.8631259</v>
      </c>
      <c r="O405" s="57">
        <f t="shared" si="78"/>
        <v>2151.787554</v>
      </c>
      <c r="P405" s="58">
        <f t="shared" si="79"/>
        <v>417.01309186046512</v>
      </c>
      <c r="Q405" s="58">
        <f t="shared" si="80"/>
        <v>278.00872790697673</v>
      </c>
      <c r="R405" s="66">
        <f t="shared" si="86"/>
        <v>37.656282195000003</v>
      </c>
      <c r="S405" s="64">
        <f t="shared" si="81"/>
        <v>225</v>
      </c>
      <c r="T405" s="66">
        <f t="shared" si="82"/>
        <v>2414.4438361950001</v>
      </c>
      <c r="U405" s="68">
        <f t="shared" si="83"/>
        <v>40.24073060325</v>
      </c>
      <c r="V405" s="68">
        <f t="shared" si="84"/>
        <v>467.91547213081401</v>
      </c>
      <c r="W405" s="68">
        <f t="shared" si="85"/>
        <v>311.94364808720934</v>
      </c>
    </row>
    <row r="406" spans="1:23" x14ac:dyDescent="0.25">
      <c r="A406" s="169" t="s">
        <v>946</v>
      </c>
      <c r="B406" s="61" t="s">
        <v>391</v>
      </c>
      <c r="C406" s="61" t="s">
        <v>585</v>
      </c>
      <c r="D406" s="61" t="s">
        <v>586</v>
      </c>
      <c r="E406" s="1" t="s">
        <v>907</v>
      </c>
      <c r="F406" s="62" t="str">
        <f t="shared" si="87"/>
        <v>60614</v>
      </c>
      <c r="G406" s="269">
        <v>10620052</v>
      </c>
      <c r="H406" s="1" t="s">
        <v>381</v>
      </c>
      <c r="I406" s="61">
        <v>13</v>
      </c>
      <c r="J406" s="61">
        <v>6</v>
      </c>
      <c r="K406" s="61">
        <v>9</v>
      </c>
      <c r="L406" s="69">
        <f t="shared" si="76"/>
        <v>0.78</v>
      </c>
      <c r="M406" s="69">
        <f t="shared" si="77"/>
        <v>1.17</v>
      </c>
      <c r="N406" s="56">
        <f>INDEX(Rate_Chart!$A$1:$AK$127,MATCH(Data!J406,Rate_Chart!$A$1:$A$127,0),MATCH(Data!K406,Rate_Chart!$A$1:$AK$1,0))</f>
        <v>50.1</v>
      </c>
      <c r="O406" s="57">
        <f t="shared" si="78"/>
        <v>651.30000000000007</v>
      </c>
      <c r="P406" s="58">
        <f t="shared" si="79"/>
        <v>417.5</v>
      </c>
      <c r="Q406" s="58">
        <f t="shared" si="80"/>
        <v>278.33333333333331</v>
      </c>
      <c r="R406" s="66">
        <f t="shared" si="86"/>
        <v>11.397750000000002</v>
      </c>
      <c r="S406" s="64">
        <f t="shared" si="81"/>
        <v>48.75</v>
      </c>
      <c r="T406" s="66">
        <f t="shared" si="82"/>
        <v>711.44775000000004</v>
      </c>
      <c r="U406" s="68">
        <f t="shared" si="83"/>
        <v>54.726750000000003</v>
      </c>
      <c r="V406" s="68">
        <f t="shared" si="84"/>
        <v>456.05625000000003</v>
      </c>
      <c r="W406" s="68">
        <f t="shared" si="85"/>
        <v>304.03750000000002</v>
      </c>
    </row>
    <row r="407" spans="1:23" x14ac:dyDescent="0.25">
      <c r="A407" s="169" t="s">
        <v>947</v>
      </c>
      <c r="B407" s="61" t="s">
        <v>390</v>
      </c>
      <c r="C407" s="61" t="s">
        <v>585</v>
      </c>
      <c r="D407" s="61" t="s">
        <v>586</v>
      </c>
      <c r="E407" s="1" t="s">
        <v>907</v>
      </c>
      <c r="F407" s="62" t="str">
        <f t="shared" si="87"/>
        <v>60614</v>
      </c>
      <c r="G407" s="269">
        <v>10620052</v>
      </c>
      <c r="H407" s="1" t="s">
        <v>381</v>
      </c>
      <c r="I407" s="61">
        <v>69</v>
      </c>
      <c r="J407" s="61">
        <v>5.9</v>
      </c>
      <c r="K407" s="61">
        <v>9</v>
      </c>
      <c r="L407" s="69">
        <f t="shared" si="76"/>
        <v>4.0710000000000006</v>
      </c>
      <c r="M407" s="69">
        <f t="shared" si="77"/>
        <v>6.21</v>
      </c>
      <c r="N407" s="56">
        <f>INDEX(Rate_Chart!$A$1:$AK$127,MATCH(Data!J407,Rate_Chart!$A$1:$A$127,0),MATCH(Data!K407,Rate_Chart!$A$1:$AK$1,0))</f>
        <v>49.265000000000001</v>
      </c>
      <c r="O407" s="57">
        <f t="shared" si="78"/>
        <v>3399.2849999999999</v>
      </c>
      <c r="P407" s="58">
        <f t="shared" si="79"/>
        <v>413.99159663865549</v>
      </c>
      <c r="Q407" s="58">
        <f t="shared" si="80"/>
        <v>275.99439775910366</v>
      </c>
      <c r="R407" s="66">
        <f t="shared" si="86"/>
        <v>59.4874875</v>
      </c>
      <c r="S407" s="64">
        <f t="shared" si="81"/>
        <v>258.75</v>
      </c>
      <c r="T407" s="66">
        <f t="shared" si="82"/>
        <v>3717.5224874999999</v>
      </c>
      <c r="U407" s="68">
        <f t="shared" si="83"/>
        <v>53.877137499999996</v>
      </c>
      <c r="V407" s="68">
        <f t="shared" si="84"/>
        <v>452.74905462184876</v>
      </c>
      <c r="W407" s="68">
        <f t="shared" si="85"/>
        <v>301.83270308123252</v>
      </c>
    </row>
    <row r="408" spans="1:23" x14ac:dyDescent="0.25">
      <c r="A408" s="169" t="s">
        <v>947</v>
      </c>
      <c r="B408" s="61" t="s">
        <v>390</v>
      </c>
      <c r="C408" s="61" t="s">
        <v>585</v>
      </c>
      <c r="D408" s="61" t="s">
        <v>586</v>
      </c>
      <c r="E408" s="1" t="s">
        <v>907</v>
      </c>
      <c r="F408" s="62" t="str">
        <f t="shared" si="87"/>
        <v>60614</v>
      </c>
      <c r="G408" s="269">
        <v>10620052</v>
      </c>
      <c r="H408" s="1" t="s">
        <v>382</v>
      </c>
      <c r="I408" s="61">
        <v>70</v>
      </c>
      <c r="J408" s="61">
        <v>3.4</v>
      </c>
      <c r="K408" s="61">
        <v>8.1</v>
      </c>
      <c r="L408" s="69">
        <f t="shared" si="76"/>
        <v>2.38</v>
      </c>
      <c r="M408" s="69">
        <f t="shared" si="77"/>
        <v>5.67</v>
      </c>
      <c r="N408" s="56">
        <f>INDEX(Rate_Chart!$A$1:$AK$127,MATCH(Data!J408,Rate_Chart!$A$1:$A$127,0),MATCH(Data!K408,Rate_Chart!$A$1:$AK$1,0))</f>
        <v>36.697125900000003</v>
      </c>
      <c r="O408" s="57">
        <f t="shared" si="78"/>
        <v>2568.7988130000003</v>
      </c>
      <c r="P408" s="58">
        <f t="shared" si="79"/>
        <v>417.01279431818188</v>
      </c>
      <c r="Q408" s="58">
        <f t="shared" si="80"/>
        <v>278.00852954545456</v>
      </c>
      <c r="R408" s="66">
        <f t="shared" si="86"/>
        <v>44.953979227500007</v>
      </c>
      <c r="S408" s="64">
        <f t="shared" si="81"/>
        <v>262.5</v>
      </c>
      <c r="T408" s="66">
        <f t="shared" si="82"/>
        <v>2876.2527922275003</v>
      </c>
      <c r="U408" s="68">
        <f t="shared" si="83"/>
        <v>41.089325603250003</v>
      </c>
      <c r="V408" s="68">
        <f t="shared" si="84"/>
        <v>466.92415458238645</v>
      </c>
      <c r="W408" s="68">
        <f t="shared" si="85"/>
        <v>311.28276972159097</v>
      </c>
    </row>
    <row r="409" spans="1:23" x14ac:dyDescent="0.25">
      <c r="A409" s="169" t="s">
        <v>947</v>
      </c>
      <c r="B409" s="61" t="s">
        <v>391</v>
      </c>
      <c r="C409" s="61" t="s">
        <v>585</v>
      </c>
      <c r="D409" s="61" t="s">
        <v>586</v>
      </c>
      <c r="E409" s="1" t="s">
        <v>907</v>
      </c>
      <c r="F409" s="62" t="str">
        <f t="shared" si="87"/>
        <v>60614</v>
      </c>
      <c r="G409" s="269">
        <v>10620052</v>
      </c>
      <c r="H409" s="1" t="s">
        <v>381</v>
      </c>
      <c r="I409" s="61">
        <v>11</v>
      </c>
      <c r="J409" s="61">
        <v>6</v>
      </c>
      <c r="K409" s="61">
        <v>9</v>
      </c>
      <c r="L409" s="69">
        <f t="shared" si="76"/>
        <v>0.66</v>
      </c>
      <c r="M409" s="69">
        <f t="shared" si="77"/>
        <v>0.99</v>
      </c>
      <c r="N409" s="56">
        <f>INDEX(Rate_Chart!$A$1:$AK$127,MATCH(Data!J409,Rate_Chart!$A$1:$A$127,0),MATCH(Data!K409,Rate_Chart!$A$1:$AK$1,0))</f>
        <v>50.1</v>
      </c>
      <c r="O409" s="57">
        <f t="shared" si="78"/>
        <v>551.1</v>
      </c>
      <c r="P409" s="58">
        <f t="shared" si="79"/>
        <v>417.5</v>
      </c>
      <c r="Q409" s="58">
        <f t="shared" si="80"/>
        <v>278.33333333333331</v>
      </c>
      <c r="R409" s="66">
        <f t="shared" si="86"/>
        <v>9.6442500000000013</v>
      </c>
      <c r="S409" s="64">
        <f t="shared" si="81"/>
        <v>41.25</v>
      </c>
      <c r="T409" s="66">
        <f t="shared" si="82"/>
        <v>601.99424999999997</v>
      </c>
      <c r="U409" s="68">
        <f t="shared" si="83"/>
        <v>54.726749999999996</v>
      </c>
      <c r="V409" s="68">
        <f t="shared" si="84"/>
        <v>456.05624999999998</v>
      </c>
      <c r="W409" s="68">
        <f t="shared" si="85"/>
        <v>304.03749999999997</v>
      </c>
    </row>
    <row r="410" spans="1:23" x14ac:dyDescent="0.25">
      <c r="A410" s="169" t="s">
        <v>941</v>
      </c>
      <c r="B410" s="61" t="s">
        <v>390</v>
      </c>
      <c r="C410" s="61" t="s">
        <v>585</v>
      </c>
      <c r="D410" s="61" t="s">
        <v>854</v>
      </c>
      <c r="E410" s="1" t="s">
        <v>348</v>
      </c>
      <c r="F410" s="62" t="str">
        <f t="shared" si="87"/>
        <v>60616</v>
      </c>
      <c r="G410" s="269">
        <v>10620070</v>
      </c>
      <c r="H410" s="1" t="s">
        <v>381</v>
      </c>
      <c r="I410" s="61">
        <v>11</v>
      </c>
      <c r="J410" s="61">
        <v>8</v>
      </c>
      <c r="K410" s="61">
        <v>9</v>
      </c>
      <c r="L410" s="69">
        <f t="shared" si="76"/>
        <v>0.88</v>
      </c>
      <c r="M410" s="69">
        <f t="shared" si="77"/>
        <v>0.99</v>
      </c>
      <c r="N410" s="56">
        <f>INDEX(Rate_Chart!$A$1:$AK$127,MATCH(Data!J410,Rate_Chart!$A$1:$A$127,0),MATCH(Data!K410,Rate_Chart!$A$1:$AK$1,0))</f>
        <v>66.8</v>
      </c>
      <c r="O410" s="57">
        <f t="shared" si="78"/>
        <v>734.8</v>
      </c>
      <c r="P410" s="58">
        <f t="shared" si="79"/>
        <v>477.14285714285705</v>
      </c>
      <c r="Q410" s="58">
        <f t="shared" si="80"/>
        <v>318.09523809523802</v>
      </c>
      <c r="R410" s="66">
        <f t="shared" si="86"/>
        <v>12.859</v>
      </c>
      <c r="S410" s="64">
        <f t="shared" si="81"/>
        <v>41.25</v>
      </c>
      <c r="T410" s="66">
        <f t="shared" si="82"/>
        <v>788.90899999999999</v>
      </c>
      <c r="U410" s="68">
        <f t="shared" si="83"/>
        <v>71.718999999999994</v>
      </c>
      <c r="V410" s="68">
        <f t="shared" si="84"/>
        <v>512.27857142857135</v>
      </c>
      <c r="W410" s="68">
        <f t="shared" si="85"/>
        <v>341.51904761904757</v>
      </c>
    </row>
    <row r="411" spans="1:23" x14ac:dyDescent="0.25">
      <c r="A411" s="169" t="s">
        <v>941</v>
      </c>
      <c r="B411" s="61" t="s">
        <v>390</v>
      </c>
      <c r="C411" s="61" t="s">
        <v>585</v>
      </c>
      <c r="D411" s="61" t="s">
        <v>854</v>
      </c>
      <c r="E411" s="1" t="s">
        <v>348</v>
      </c>
      <c r="F411" s="62" t="str">
        <f t="shared" si="87"/>
        <v>60616</v>
      </c>
      <c r="G411" s="269">
        <v>10620070</v>
      </c>
      <c r="H411" s="1" t="s">
        <v>382</v>
      </c>
      <c r="I411" s="61">
        <v>16</v>
      </c>
      <c r="J411" s="61">
        <v>4.3</v>
      </c>
      <c r="K411" s="61">
        <v>8.5</v>
      </c>
      <c r="L411" s="69">
        <f t="shared" si="76"/>
        <v>0.68799999999999994</v>
      </c>
      <c r="M411" s="69">
        <f t="shared" si="77"/>
        <v>1.36</v>
      </c>
      <c r="N411" s="56">
        <f>INDEX(Rate_Chart!$A$1:$AK$127,MATCH(Data!J411,Rate_Chart!$A$1:$A$127,0),MATCH(Data!K411,Rate_Chart!$A$1:$AK$1,0))</f>
        <v>41.562181500000001</v>
      </c>
      <c r="O411" s="57">
        <f t="shared" si="78"/>
        <v>664.99490400000002</v>
      </c>
      <c r="P411" s="58">
        <f t="shared" si="79"/>
        <v>417.01185451505017</v>
      </c>
      <c r="Q411" s="58">
        <f t="shared" si="80"/>
        <v>278.00790301003343</v>
      </c>
      <c r="R411" s="66">
        <f t="shared" si="86"/>
        <v>11.637410820000001</v>
      </c>
      <c r="S411" s="64">
        <f t="shared" si="81"/>
        <v>60</v>
      </c>
      <c r="T411" s="66">
        <f t="shared" si="82"/>
        <v>736.63231482000003</v>
      </c>
      <c r="U411" s="68">
        <f t="shared" si="83"/>
        <v>46.039519676250002</v>
      </c>
      <c r="V411" s="68">
        <f t="shared" si="84"/>
        <v>461.93498002926424</v>
      </c>
      <c r="W411" s="68">
        <f t="shared" si="85"/>
        <v>307.95665335284281</v>
      </c>
    </row>
    <row r="412" spans="1:23" x14ac:dyDescent="0.25">
      <c r="A412" s="169" t="s">
        <v>941</v>
      </c>
      <c r="B412" s="61" t="s">
        <v>391</v>
      </c>
      <c r="C412" s="61" t="s">
        <v>585</v>
      </c>
      <c r="D412" s="61" t="s">
        <v>854</v>
      </c>
      <c r="E412" s="1" t="s">
        <v>348</v>
      </c>
      <c r="F412" s="62" t="str">
        <f t="shared" si="87"/>
        <v>60616</v>
      </c>
      <c r="G412" s="269">
        <v>10620070</v>
      </c>
      <c r="H412" s="1" t="s">
        <v>381</v>
      </c>
      <c r="I412" s="61">
        <v>13</v>
      </c>
      <c r="J412" s="61">
        <v>7</v>
      </c>
      <c r="K412" s="61">
        <v>9</v>
      </c>
      <c r="L412" s="69">
        <f t="shared" si="76"/>
        <v>0.91</v>
      </c>
      <c r="M412" s="69">
        <f t="shared" si="77"/>
        <v>1.17</v>
      </c>
      <c r="N412" s="56">
        <f>INDEX(Rate_Chart!$A$1:$AK$127,MATCH(Data!J412,Rate_Chart!$A$1:$A$127,0),MATCH(Data!K412,Rate_Chart!$A$1:$AK$1,0))</f>
        <v>58.45</v>
      </c>
      <c r="O412" s="57">
        <f t="shared" si="78"/>
        <v>759.85</v>
      </c>
      <c r="P412" s="58">
        <f t="shared" si="79"/>
        <v>449.61538461538464</v>
      </c>
      <c r="Q412" s="58">
        <f t="shared" si="80"/>
        <v>299.74358974358978</v>
      </c>
      <c r="R412" s="66">
        <f t="shared" si="86"/>
        <v>13.297375000000002</v>
      </c>
      <c r="S412" s="64">
        <f t="shared" si="81"/>
        <v>48.75</v>
      </c>
      <c r="T412" s="66">
        <f t="shared" si="82"/>
        <v>821.89737500000001</v>
      </c>
      <c r="U412" s="68">
        <f t="shared" si="83"/>
        <v>63.222875000000002</v>
      </c>
      <c r="V412" s="68">
        <f t="shared" si="84"/>
        <v>486.32980769230767</v>
      </c>
      <c r="W412" s="68">
        <f t="shared" si="85"/>
        <v>324.21987179487178</v>
      </c>
    </row>
    <row r="413" spans="1:23" x14ac:dyDescent="0.25">
      <c r="A413" s="169" t="s">
        <v>941</v>
      </c>
      <c r="B413" s="61" t="s">
        <v>391</v>
      </c>
      <c r="C413" s="61" t="s">
        <v>585</v>
      </c>
      <c r="D413" s="61" t="s">
        <v>854</v>
      </c>
      <c r="E413" s="1" t="s">
        <v>348</v>
      </c>
      <c r="F413" s="62" t="str">
        <f t="shared" si="87"/>
        <v>60616</v>
      </c>
      <c r="G413" s="269">
        <v>10620070</v>
      </c>
      <c r="H413" s="1" t="s">
        <v>382</v>
      </c>
      <c r="I413" s="61">
        <v>33</v>
      </c>
      <c r="J413" s="61">
        <v>4.2</v>
      </c>
      <c r="K413" s="61">
        <v>8.4</v>
      </c>
      <c r="L413" s="69">
        <f t="shared" ref="L413:L476" si="88">J413*I413/100</f>
        <v>1.3859999999999999</v>
      </c>
      <c r="M413" s="69">
        <f t="shared" ref="M413:M476" si="89">K413*I413/100</f>
        <v>2.7719999999999998</v>
      </c>
      <c r="N413" s="56">
        <f>INDEX(Rate_Chart!$A$1:$AK$127,MATCH(Data!J413,Rate_Chart!$A$1:$A$127,0),MATCH(Data!K413,Rate_Chart!$A$1:$AK$1,0))</f>
        <v>40.867167600000002</v>
      </c>
      <c r="O413" s="57">
        <f t="shared" ref="O413:O476" si="90">N413*I413</f>
        <v>1348.6165308</v>
      </c>
      <c r="P413" s="58">
        <f t="shared" ref="P413:P476" si="91">N413/(J413%+K413%*2/3)</f>
        <v>417.01191428571428</v>
      </c>
      <c r="Q413" s="58">
        <f t="shared" ref="Q413:Q476" si="92">P413*2/3</f>
        <v>278.00794285714284</v>
      </c>
      <c r="R413" s="66">
        <f t="shared" ref="R413:R476" si="93">O413*1.75%</f>
        <v>23.600789289000002</v>
      </c>
      <c r="S413" s="64">
        <f t="shared" ref="S413:S476" si="94">I413*3.75</f>
        <v>123.75</v>
      </c>
      <c r="T413" s="66">
        <f t="shared" ref="T413:T476" si="95">R413+S413+O413</f>
        <v>1495.9673200889999</v>
      </c>
      <c r="U413" s="68">
        <f t="shared" ref="U413:U476" si="96">T413/I413</f>
        <v>45.332343033000001</v>
      </c>
      <c r="V413" s="68">
        <f t="shared" ref="V413:V476" si="97">U413/(J413%+K413%*2/3)</f>
        <v>462.57492890816326</v>
      </c>
      <c r="W413" s="68">
        <f t="shared" ref="W413:W476" si="98">V413*2/3</f>
        <v>308.38328593877549</v>
      </c>
    </row>
    <row r="414" spans="1:23" x14ac:dyDescent="0.25">
      <c r="A414" s="169" t="s">
        <v>942</v>
      </c>
      <c r="B414" s="61" t="s">
        <v>390</v>
      </c>
      <c r="C414" s="61" t="s">
        <v>585</v>
      </c>
      <c r="D414" s="61" t="s">
        <v>854</v>
      </c>
      <c r="E414" s="1" t="s">
        <v>348</v>
      </c>
      <c r="F414" s="62" t="str">
        <f t="shared" si="87"/>
        <v>60616</v>
      </c>
      <c r="G414" s="269">
        <v>10620070</v>
      </c>
      <c r="H414" s="1" t="s">
        <v>381</v>
      </c>
      <c r="I414" s="61">
        <v>19</v>
      </c>
      <c r="J414" s="61">
        <v>7.2</v>
      </c>
      <c r="K414" s="61">
        <v>9</v>
      </c>
      <c r="L414" s="69">
        <f t="shared" si="88"/>
        <v>1.3680000000000001</v>
      </c>
      <c r="M414" s="69">
        <f t="shared" si="89"/>
        <v>1.71</v>
      </c>
      <c r="N414" s="56">
        <f>INDEX(Rate_Chart!$A$1:$AK$127,MATCH(Data!J414,Rate_Chart!$A$1:$A$127,0),MATCH(Data!K414,Rate_Chart!$A$1:$AK$1,0))</f>
        <v>60.120000000000005</v>
      </c>
      <c r="O414" s="57">
        <f t="shared" si="90"/>
        <v>1142.2800000000002</v>
      </c>
      <c r="P414" s="58">
        <f t="shared" si="91"/>
        <v>455.4545454545455</v>
      </c>
      <c r="Q414" s="58">
        <f t="shared" si="92"/>
        <v>303.63636363636368</v>
      </c>
      <c r="R414" s="66">
        <f t="shared" si="93"/>
        <v>19.989900000000006</v>
      </c>
      <c r="S414" s="64">
        <f t="shared" si="94"/>
        <v>71.25</v>
      </c>
      <c r="T414" s="66">
        <f t="shared" si="95"/>
        <v>1233.5199000000002</v>
      </c>
      <c r="U414" s="68">
        <f t="shared" si="96"/>
        <v>64.922100000000015</v>
      </c>
      <c r="V414" s="68">
        <f t="shared" si="97"/>
        <v>491.834090909091</v>
      </c>
      <c r="W414" s="68">
        <f t="shared" si="98"/>
        <v>327.88939393939398</v>
      </c>
    </row>
    <row r="415" spans="1:23" x14ac:dyDescent="0.25">
      <c r="A415" s="169" t="s">
        <v>942</v>
      </c>
      <c r="B415" s="61" t="s">
        <v>390</v>
      </c>
      <c r="C415" s="61" t="s">
        <v>585</v>
      </c>
      <c r="D415" s="61" t="s">
        <v>854</v>
      </c>
      <c r="E415" s="1" t="s">
        <v>348</v>
      </c>
      <c r="F415" s="62" t="str">
        <f t="shared" si="87"/>
        <v>60616</v>
      </c>
      <c r="G415" s="269">
        <v>10620070</v>
      </c>
      <c r="H415" s="1" t="s">
        <v>382</v>
      </c>
      <c r="I415" s="61">
        <v>30</v>
      </c>
      <c r="J415" s="61">
        <v>4</v>
      </c>
      <c r="K415" s="61">
        <v>8.4</v>
      </c>
      <c r="L415" s="69">
        <f t="shared" si="88"/>
        <v>1.2</v>
      </c>
      <c r="M415" s="69">
        <f t="shared" si="89"/>
        <v>2.52</v>
      </c>
      <c r="N415" s="56">
        <f>INDEX(Rate_Chart!$A$1:$AK$127,MATCH(Data!J415,Rate_Chart!$A$1:$A$127,0),MATCH(Data!K415,Rate_Chart!$A$1:$AK$1,0))</f>
        <v>40.033167600000006</v>
      </c>
      <c r="O415" s="57">
        <f t="shared" si="90"/>
        <v>1200.9950280000003</v>
      </c>
      <c r="P415" s="58">
        <f t="shared" si="91"/>
        <v>417.01216250000004</v>
      </c>
      <c r="Q415" s="58">
        <f t="shared" si="92"/>
        <v>278.00810833333338</v>
      </c>
      <c r="R415" s="66">
        <f t="shared" si="93"/>
        <v>21.017412990000008</v>
      </c>
      <c r="S415" s="64">
        <f t="shared" si="94"/>
        <v>112.5</v>
      </c>
      <c r="T415" s="66">
        <f t="shared" si="95"/>
        <v>1334.5124409900002</v>
      </c>
      <c r="U415" s="68">
        <f t="shared" si="96"/>
        <v>44.483748033000005</v>
      </c>
      <c r="V415" s="68">
        <f t="shared" si="97"/>
        <v>463.37237534375004</v>
      </c>
      <c r="W415" s="68">
        <f t="shared" si="98"/>
        <v>308.91491689583336</v>
      </c>
    </row>
    <row r="416" spans="1:23" x14ac:dyDescent="0.25">
      <c r="A416" s="169" t="s">
        <v>942</v>
      </c>
      <c r="B416" s="61" t="s">
        <v>391</v>
      </c>
      <c r="C416" s="61" t="s">
        <v>585</v>
      </c>
      <c r="D416" s="61" t="s">
        <v>854</v>
      </c>
      <c r="E416" s="1" t="s">
        <v>348</v>
      </c>
      <c r="F416" s="62" t="str">
        <f t="shared" si="87"/>
        <v>60616</v>
      </c>
      <c r="G416" s="269">
        <v>10620070</v>
      </c>
      <c r="H416" s="1" t="s">
        <v>381</v>
      </c>
      <c r="I416" s="61">
        <v>18</v>
      </c>
      <c r="J416" s="61">
        <v>6.8</v>
      </c>
      <c r="K416" s="61">
        <v>9</v>
      </c>
      <c r="L416" s="69">
        <f t="shared" si="88"/>
        <v>1.224</v>
      </c>
      <c r="M416" s="69">
        <f t="shared" si="89"/>
        <v>1.62</v>
      </c>
      <c r="N416" s="56">
        <f>INDEX(Rate_Chart!$A$1:$AK$127,MATCH(Data!J416,Rate_Chart!$A$1:$A$127,0),MATCH(Data!K416,Rate_Chart!$A$1:$AK$1,0))</f>
        <v>56.78</v>
      </c>
      <c r="O416" s="57">
        <f t="shared" si="90"/>
        <v>1022.04</v>
      </c>
      <c r="P416" s="58">
        <f t="shared" si="91"/>
        <v>443.59375</v>
      </c>
      <c r="Q416" s="58">
        <f t="shared" si="92"/>
        <v>295.72916666666669</v>
      </c>
      <c r="R416" s="66">
        <f t="shared" si="93"/>
        <v>17.8857</v>
      </c>
      <c r="S416" s="64">
        <f t="shared" si="94"/>
        <v>67.5</v>
      </c>
      <c r="T416" s="66">
        <f t="shared" si="95"/>
        <v>1107.4257</v>
      </c>
      <c r="U416" s="68">
        <f t="shared" si="96"/>
        <v>61.523650000000004</v>
      </c>
      <c r="V416" s="68">
        <f t="shared" si="97"/>
        <v>480.65351562500001</v>
      </c>
      <c r="W416" s="68">
        <f t="shared" si="98"/>
        <v>320.43567708333336</v>
      </c>
    </row>
    <row r="417" spans="1:23" x14ac:dyDescent="0.25">
      <c r="A417" s="169" t="s">
        <v>942</v>
      </c>
      <c r="B417" s="61" t="s">
        <v>391</v>
      </c>
      <c r="C417" s="61" t="s">
        <v>585</v>
      </c>
      <c r="D417" s="61" t="s">
        <v>854</v>
      </c>
      <c r="E417" s="1" t="s">
        <v>348</v>
      </c>
      <c r="F417" s="62" t="str">
        <f t="shared" si="87"/>
        <v>60616</v>
      </c>
      <c r="G417" s="269">
        <v>10620070</v>
      </c>
      <c r="H417" s="1" t="s">
        <v>382</v>
      </c>
      <c r="I417" s="61">
        <v>13</v>
      </c>
      <c r="J417" s="61">
        <v>4</v>
      </c>
      <c r="K417" s="61">
        <v>8.1999999999999993</v>
      </c>
      <c r="L417" s="69">
        <f t="shared" si="88"/>
        <v>0.52</v>
      </c>
      <c r="M417" s="69">
        <f t="shared" si="89"/>
        <v>1.0659999999999998</v>
      </c>
      <c r="N417" s="56">
        <f>INDEX(Rate_Chart!$A$1:$AK$127,MATCH(Data!J417,Rate_Chart!$A$1:$A$127,0),MATCH(Data!K417,Rate_Chart!$A$1:$AK$1,0))</f>
        <v>39.477139800000003</v>
      </c>
      <c r="O417" s="57">
        <f t="shared" si="90"/>
        <v>513.20281740000007</v>
      </c>
      <c r="P417" s="58">
        <f t="shared" si="91"/>
        <v>417.0120401408451</v>
      </c>
      <c r="Q417" s="58">
        <f t="shared" si="92"/>
        <v>278.00802676056338</v>
      </c>
      <c r="R417" s="66">
        <f t="shared" si="93"/>
        <v>8.9810493045000026</v>
      </c>
      <c r="S417" s="64">
        <f t="shared" si="94"/>
        <v>48.75</v>
      </c>
      <c r="T417" s="66">
        <f t="shared" si="95"/>
        <v>570.93386670450013</v>
      </c>
      <c r="U417" s="68">
        <f t="shared" si="96"/>
        <v>43.917989746500012</v>
      </c>
      <c r="V417" s="68">
        <f t="shared" si="97"/>
        <v>463.92242689964803</v>
      </c>
      <c r="W417" s="68">
        <f t="shared" si="98"/>
        <v>309.28161793309869</v>
      </c>
    </row>
    <row r="418" spans="1:23" x14ac:dyDescent="0.25">
      <c r="A418" s="169" t="s">
        <v>943</v>
      </c>
      <c r="B418" s="61" t="s">
        <v>390</v>
      </c>
      <c r="C418" s="61" t="s">
        <v>585</v>
      </c>
      <c r="D418" s="61" t="s">
        <v>854</v>
      </c>
      <c r="E418" s="1" t="s">
        <v>348</v>
      </c>
      <c r="F418" s="62" t="str">
        <f t="shared" si="87"/>
        <v>60616</v>
      </c>
      <c r="G418" s="269">
        <v>10620070</v>
      </c>
      <c r="H418" s="1" t="s">
        <v>381</v>
      </c>
      <c r="I418" s="61">
        <v>18</v>
      </c>
      <c r="J418" s="61">
        <v>7.6</v>
      </c>
      <c r="K418" s="61">
        <v>9</v>
      </c>
      <c r="L418" s="69">
        <f t="shared" si="88"/>
        <v>1.3679999999999999</v>
      </c>
      <c r="M418" s="69">
        <f t="shared" si="89"/>
        <v>1.62</v>
      </c>
      <c r="N418" s="56">
        <f>INDEX(Rate_Chart!$A$1:$AK$127,MATCH(Data!J418,Rate_Chart!$A$1:$A$127,0),MATCH(Data!K418,Rate_Chart!$A$1:$AK$1,0))</f>
        <v>63.46</v>
      </c>
      <c r="O418" s="57">
        <f t="shared" si="90"/>
        <v>1142.28</v>
      </c>
      <c r="P418" s="58">
        <f t="shared" si="91"/>
        <v>466.61764705882348</v>
      </c>
      <c r="Q418" s="58">
        <f t="shared" si="92"/>
        <v>311.07843137254901</v>
      </c>
      <c r="R418" s="66">
        <f t="shared" si="93"/>
        <v>19.989900000000002</v>
      </c>
      <c r="S418" s="64">
        <f t="shared" si="94"/>
        <v>67.5</v>
      </c>
      <c r="T418" s="66">
        <f t="shared" si="95"/>
        <v>1229.7699</v>
      </c>
      <c r="U418" s="68">
        <f t="shared" si="96"/>
        <v>68.320549999999997</v>
      </c>
      <c r="V418" s="68">
        <f t="shared" si="97"/>
        <v>502.35698529411758</v>
      </c>
      <c r="W418" s="68">
        <f t="shared" si="98"/>
        <v>334.90465686274507</v>
      </c>
    </row>
    <row r="419" spans="1:23" x14ac:dyDescent="0.25">
      <c r="A419" s="169" t="s">
        <v>943</v>
      </c>
      <c r="B419" s="61" t="s">
        <v>390</v>
      </c>
      <c r="C419" s="61" t="s">
        <v>585</v>
      </c>
      <c r="D419" s="61" t="s">
        <v>854</v>
      </c>
      <c r="E419" s="1" t="s">
        <v>348</v>
      </c>
      <c r="F419" s="62" t="str">
        <f t="shared" si="87"/>
        <v>60616</v>
      </c>
      <c r="G419" s="269">
        <v>10620070</v>
      </c>
      <c r="H419" s="1" t="s">
        <v>382</v>
      </c>
      <c r="I419" s="61">
        <v>33</v>
      </c>
      <c r="J419" s="61">
        <v>3.1</v>
      </c>
      <c r="K419" s="61">
        <v>8.1</v>
      </c>
      <c r="L419" s="69">
        <f t="shared" si="88"/>
        <v>1.0229999999999999</v>
      </c>
      <c r="M419" s="69">
        <f t="shared" si="89"/>
        <v>2.673</v>
      </c>
      <c r="N419" s="56">
        <f>INDEX(Rate_Chart!$A$1:$AK$127,MATCH(Data!J419,Rate_Chart!$A$1:$A$127,0),MATCH(Data!K419,Rate_Chart!$A$1:$AK$1,0))</f>
        <v>35.446125899999998</v>
      </c>
      <c r="O419" s="57">
        <f t="shared" si="90"/>
        <v>1169.7221546999999</v>
      </c>
      <c r="P419" s="58">
        <f t="shared" si="91"/>
        <v>417.01324588235298</v>
      </c>
      <c r="Q419" s="58">
        <f t="shared" si="92"/>
        <v>278.0088305882353</v>
      </c>
      <c r="R419" s="66">
        <f t="shared" si="93"/>
        <v>20.47013770725</v>
      </c>
      <c r="S419" s="64">
        <f t="shared" si="94"/>
        <v>123.75</v>
      </c>
      <c r="T419" s="66">
        <f t="shared" si="95"/>
        <v>1313.9422924072499</v>
      </c>
      <c r="U419" s="68">
        <f t="shared" si="96"/>
        <v>39.816433103249999</v>
      </c>
      <c r="V419" s="68">
        <f t="shared" si="97"/>
        <v>468.42862474411766</v>
      </c>
      <c r="W419" s="68">
        <f t="shared" si="98"/>
        <v>312.28574982941177</v>
      </c>
    </row>
    <row r="420" spans="1:23" x14ac:dyDescent="0.25">
      <c r="A420" s="169" t="s">
        <v>943</v>
      </c>
      <c r="B420" s="61" t="s">
        <v>391</v>
      </c>
      <c r="C420" s="61" t="s">
        <v>585</v>
      </c>
      <c r="D420" s="61" t="s">
        <v>854</v>
      </c>
      <c r="E420" s="1" t="s">
        <v>348</v>
      </c>
      <c r="F420" s="62" t="str">
        <f t="shared" si="87"/>
        <v>60616</v>
      </c>
      <c r="G420" s="269">
        <v>10620070</v>
      </c>
      <c r="H420" s="1" t="s">
        <v>381</v>
      </c>
      <c r="I420" s="61">
        <v>15</v>
      </c>
      <c r="J420" s="61">
        <v>7.1</v>
      </c>
      <c r="K420" s="61">
        <v>9</v>
      </c>
      <c r="L420" s="69">
        <f t="shared" si="88"/>
        <v>1.0649999999999999</v>
      </c>
      <c r="M420" s="69">
        <f t="shared" si="89"/>
        <v>1.35</v>
      </c>
      <c r="N420" s="56">
        <f>INDEX(Rate_Chart!$A$1:$AK$127,MATCH(Data!J420,Rate_Chart!$A$1:$A$127,0),MATCH(Data!K420,Rate_Chart!$A$1:$AK$1,0))</f>
        <v>59.284999999999997</v>
      </c>
      <c r="O420" s="57">
        <f t="shared" si="90"/>
        <v>889.27499999999998</v>
      </c>
      <c r="P420" s="58">
        <f t="shared" si="91"/>
        <v>452.55725190839689</v>
      </c>
      <c r="Q420" s="58">
        <f t="shared" si="92"/>
        <v>301.70483460559791</v>
      </c>
      <c r="R420" s="66">
        <f t="shared" si="93"/>
        <v>15.562312500000001</v>
      </c>
      <c r="S420" s="64">
        <f t="shared" si="94"/>
        <v>56.25</v>
      </c>
      <c r="T420" s="66">
        <f t="shared" si="95"/>
        <v>961.08731249999994</v>
      </c>
      <c r="U420" s="68">
        <f t="shared" si="96"/>
        <v>64.072487499999994</v>
      </c>
      <c r="V420" s="68">
        <f t="shared" si="97"/>
        <v>489.10295801526712</v>
      </c>
      <c r="W420" s="68">
        <f t="shared" si="98"/>
        <v>326.06863867684473</v>
      </c>
    </row>
    <row r="421" spans="1:23" x14ac:dyDescent="0.25">
      <c r="A421" s="169" t="s">
        <v>943</v>
      </c>
      <c r="B421" s="61" t="s">
        <v>391</v>
      </c>
      <c r="C421" s="61" t="s">
        <v>585</v>
      </c>
      <c r="D421" s="61" t="s">
        <v>854</v>
      </c>
      <c r="E421" s="1" t="s">
        <v>348</v>
      </c>
      <c r="F421" s="62" t="str">
        <f t="shared" si="87"/>
        <v>60616</v>
      </c>
      <c r="G421" s="269">
        <v>10620070</v>
      </c>
      <c r="H421" s="1" t="s">
        <v>382</v>
      </c>
      <c r="I421" s="61">
        <v>17</v>
      </c>
      <c r="J421" s="61">
        <v>3.9</v>
      </c>
      <c r="K421" s="61">
        <v>8.5</v>
      </c>
      <c r="L421" s="69">
        <f t="shared" si="88"/>
        <v>0.66299999999999992</v>
      </c>
      <c r="M421" s="69">
        <f t="shared" si="89"/>
        <v>1.4450000000000001</v>
      </c>
      <c r="N421" s="56">
        <f>INDEX(Rate_Chart!$A$1:$AK$127,MATCH(Data!J421,Rate_Chart!$A$1:$A$127,0),MATCH(Data!K421,Rate_Chart!$A$1:$AK$1,0))</f>
        <v>39.894181500000002</v>
      </c>
      <c r="O421" s="57">
        <f t="shared" si="90"/>
        <v>678.20108550000009</v>
      </c>
      <c r="P421" s="58">
        <f t="shared" si="91"/>
        <v>417.01235017421601</v>
      </c>
      <c r="Q421" s="58">
        <f t="shared" si="92"/>
        <v>278.00823344947736</v>
      </c>
      <c r="R421" s="66">
        <f t="shared" si="93"/>
        <v>11.868518996250003</v>
      </c>
      <c r="S421" s="64">
        <f t="shared" si="94"/>
        <v>63.75</v>
      </c>
      <c r="T421" s="66">
        <f t="shared" si="95"/>
        <v>753.81960449625012</v>
      </c>
      <c r="U421" s="68">
        <f t="shared" si="96"/>
        <v>44.34232967625001</v>
      </c>
      <c r="V421" s="68">
        <f t="shared" si="97"/>
        <v>463.50867257404184</v>
      </c>
      <c r="W421" s="68">
        <f t="shared" si="98"/>
        <v>309.00578171602791</v>
      </c>
    </row>
    <row r="422" spans="1:23" x14ac:dyDescent="0.25">
      <c r="A422" s="169" t="s">
        <v>944</v>
      </c>
      <c r="B422" s="61" t="s">
        <v>390</v>
      </c>
      <c r="C422" s="61" t="s">
        <v>585</v>
      </c>
      <c r="D422" s="61" t="s">
        <v>854</v>
      </c>
      <c r="E422" s="1" t="s">
        <v>348</v>
      </c>
      <c r="F422" s="62" t="str">
        <f t="shared" si="87"/>
        <v>60616</v>
      </c>
      <c r="G422" s="269">
        <v>10620070</v>
      </c>
      <c r="H422" s="1" t="s">
        <v>381</v>
      </c>
      <c r="I422" s="61">
        <v>13</v>
      </c>
      <c r="J422" s="61">
        <v>8</v>
      </c>
      <c r="K422" s="61">
        <v>9</v>
      </c>
      <c r="L422" s="69">
        <f t="shared" si="88"/>
        <v>1.04</v>
      </c>
      <c r="M422" s="69">
        <f t="shared" si="89"/>
        <v>1.17</v>
      </c>
      <c r="N422" s="56">
        <f>INDEX(Rate_Chart!$A$1:$AK$127,MATCH(Data!J422,Rate_Chart!$A$1:$A$127,0),MATCH(Data!K422,Rate_Chart!$A$1:$AK$1,0))</f>
        <v>66.8</v>
      </c>
      <c r="O422" s="57">
        <f t="shared" si="90"/>
        <v>868.4</v>
      </c>
      <c r="P422" s="58">
        <f t="shared" si="91"/>
        <v>477.14285714285705</v>
      </c>
      <c r="Q422" s="58">
        <f t="shared" si="92"/>
        <v>318.09523809523802</v>
      </c>
      <c r="R422" s="66">
        <f t="shared" si="93"/>
        <v>15.197000000000001</v>
      </c>
      <c r="S422" s="64">
        <f t="shared" si="94"/>
        <v>48.75</v>
      </c>
      <c r="T422" s="66">
        <f t="shared" si="95"/>
        <v>932.34699999999998</v>
      </c>
      <c r="U422" s="68">
        <f t="shared" si="96"/>
        <v>71.718999999999994</v>
      </c>
      <c r="V422" s="68">
        <f t="shared" si="97"/>
        <v>512.27857142857135</v>
      </c>
      <c r="W422" s="68">
        <f t="shared" si="98"/>
        <v>341.51904761904757</v>
      </c>
    </row>
    <row r="423" spans="1:23" x14ac:dyDescent="0.25">
      <c r="A423" s="169" t="s">
        <v>944</v>
      </c>
      <c r="B423" s="61" t="s">
        <v>390</v>
      </c>
      <c r="C423" s="61" t="s">
        <v>585</v>
      </c>
      <c r="D423" s="61" t="s">
        <v>854</v>
      </c>
      <c r="E423" s="1" t="s">
        <v>348</v>
      </c>
      <c r="F423" s="62" t="str">
        <f t="shared" si="87"/>
        <v>60616</v>
      </c>
      <c r="G423" s="269">
        <v>10620070</v>
      </c>
      <c r="H423" s="1" t="s">
        <v>382</v>
      </c>
      <c r="I423" s="61">
        <v>38</v>
      </c>
      <c r="J423" s="61">
        <v>4.3</v>
      </c>
      <c r="K423" s="61">
        <v>8.1999999999999993</v>
      </c>
      <c r="L423" s="69">
        <f t="shared" si="88"/>
        <v>1.6340000000000001</v>
      </c>
      <c r="M423" s="69">
        <f t="shared" si="89"/>
        <v>3.1159999999999997</v>
      </c>
      <c r="N423" s="56">
        <f>INDEX(Rate_Chart!$A$1:$AK$127,MATCH(Data!J423,Rate_Chart!$A$1:$A$127,0),MATCH(Data!K423,Rate_Chart!$A$1:$AK$1,0))</f>
        <v>40.728139799999994</v>
      </c>
      <c r="O423" s="57">
        <f t="shared" si="90"/>
        <v>1547.6693123999999</v>
      </c>
      <c r="P423" s="58">
        <f t="shared" si="91"/>
        <v>417.01167030716726</v>
      </c>
      <c r="Q423" s="58">
        <f t="shared" si="92"/>
        <v>278.00778020477816</v>
      </c>
      <c r="R423" s="66">
        <f t="shared" si="93"/>
        <v>27.084212966999999</v>
      </c>
      <c r="S423" s="64">
        <f t="shared" si="94"/>
        <v>142.5</v>
      </c>
      <c r="T423" s="66">
        <f t="shared" si="95"/>
        <v>1717.2535253669998</v>
      </c>
      <c r="U423" s="68">
        <f t="shared" si="96"/>
        <v>45.190882246499996</v>
      </c>
      <c r="V423" s="68">
        <f t="shared" si="97"/>
        <v>462.70527897440275</v>
      </c>
      <c r="W423" s="68">
        <f t="shared" si="98"/>
        <v>308.47018598293516</v>
      </c>
    </row>
    <row r="424" spans="1:23" x14ac:dyDescent="0.25">
      <c r="A424" s="169" t="s">
        <v>944</v>
      </c>
      <c r="B424" s="61" t="s">
        <v>391</v>
      </c>
      <c r="C424" s="61" t="s">
        <v>585</v>
      </c>
      <c r="D424" s="61" t="s">
        <v>854</v>
      </c>
      <c r="E424" s="1" t="s">
        <v>348</v>
      </c>
      <c r="F424" s="62" t="str">
        <f t="shared" si="87"/>
        <v>60616</v>
      </c>
      <c r="G424" s="269">
        <v>10620070</v>
      </c>
      <c r="H424" s="1" t="s">
        <v>381</v>
      </c>
      <c r="I424" s="61">
        <v>13</v>
      </c>
      <c r="J424" s="61">
        <v>7.3</v>
      </c>
      <c r="K424" s="61">
        <v>9</v>
      </c>
      <c r="L424" s="69">
        <f t="shared" si="88"/>
        <v>0.94899999999999995</v>
      </c>
      <c r="M424" s="69">
        <f t="shared" si="89"/>
        <v>1.17</v>
      </c>
      <c r="N424" s="56">
        <f>INDEX(Rate_Chart!$A$1:$AK$127,MATCH(Data!J424,Rate_Chart!$A$1:$A$127,0),MATCH(Data!K424,Rate_Chart!$A$1:$AK$1,0))</f>
        <v>60.954999999999998</v>
      </c>
      <c r="O424" s="57">
        <f t="shared" si="90"/>
        <v>792.41499999999996</v>
      </c>
      <c r="P424" s="58">
        <f t="shared" si="91"/>
        <v>458.30827067669168</v>
      </c>
      <c r="Q424" s="58">
        <f t="shared" si="92"/>
        <v>305.53884711779443</v>
      </c>
      <c r="R424" s="66">
        <f t="shared" si="93"/>
        <v>13.867262500000001</v>
      </c>
      <c r="S424" s="64">
        <f t="shared" si="94"/>
        <v>48.75</v>
      </c>
      <c r="T424" s="66">
        <f t="shared" si="95"/>
        <v>855.0322625</v>
      </c>
      <c r="U424" s="68">
        <f t="shared" si="96"/>
        <v>65.771712500000007</v>
      </c>
      <c r="V424" s="68">
        <f t="shared" si="97"/>
        <v>494.52415413533839</v>
      </c>
      <c r="W424" s="68">
        <f t="shared" si="98"/>
        <v>329.68276942355891</v>
      </c>
    </row>
    <row r="425" spans="1:23" x14ac:dyDescent="0.25">
      <c r="A425" s="169" t="s">
        <v>944</v>
      </c>
      <c r="B425" s="61" t="s">
        <v>391</v>
      </c>
      <c r="C425" s="61" t="s">
        <v>585</v>
      </c>
      <c r="D425" s="61" t="s">
        <v>854</v>
      </c>
      <c r="E425" s="1" t="s">
        <v>348</v>
      </c>
      <c r="F425" s="62" t="str">
        <f t="shared" si="87"/>
        <v>60616</v>
      </c>
      <c r="G425" s="269">
        <v>10620070</v>
      </c>
      <c r="H425" s="1" t="s">
        <v>382</v>
      </c>
      <c r="I425" s="61">
        <v>16</v>
      </c>
      <c r="J425" s="61">
        <v>4.3</v>
      </c>
      <c r="K425" s="61">
        <v>8.3000000000000007</v>
      </c>
      <c r="L425" s="69">
        <f t="shared" si="88"/>
        <v>0.68799999999999994</v>
      </c>
      <c r="M425" s="69">
        <f t="shared" si="89"/>
        <v>1.3280000000000001</v>
      </c>
      <c r="N425" s="56">
        <f>INDEX(Rate_Chart!$A$1:$AK$127,MATCH(Data!J425,Rate_Chart!$A$1:$A$127,0),MATCH(Data!K425,Rate_Chart!$A$1:$AK$1,0))</f>
        <v>41.006153699999999</v>
      </c>
      <c r="O425" s="57">
        <f t="shared" si="90"/>
        <v>656.09845919999998</v>
      </c>
      <c r="P425" s="58">
        <f t="shared" si="91"/>
        <v>417.0117325423729</v>
      </c>
      <c r="Q425" s="58">
        <f t="shared" si="92"/>
        <v>278.00782169491526</v>
      </c>
      <c r="R425" s="66">
        <f t="shared" si="93"/>
        <v>11.481723036</v>
      </c>
      <c r="S425" s="64">
        <f t="shared" si="94"/>
        <v>60</v>
      </c>
      <c r="T425" s="66">
        <f t="shared" si="95"/>
        <v>727.58018223599993</v>
      </c>
      <c r="U425" s="68">
        <f t="shared" si="96"/>
        <v>45.473761389749995</v>
      </c>
      <c r="V425" s="68">
        <f t="shared" si="97"/>
        <v>462.44503108220334</v>
      </c>
      <c r="W425" s="68">
        <f t="shared" si="98"/>
        <v>308.29668738813558</v>
      </c>
    </row>
    <row r="426" spans="1:23" x14ac:dyDescent="0.25">
      <c r="A426" s="169" t="s">
        <v>945</v>
      </c>
      <c r="B426" s="61" t="s">
        <v>390</v>
      </c>
      <c r="C426" s="61" t="s">
        <v>585</v>
      </c>
      <c r="D426" s="61" t="s">
        <v>854</v>
      </c>
      <c r="E426" s="1" t="s">
        <v>348</v>
      </c>
      <c r="F426" s="62" t="str">
        <f t="shared" si="87"/>
        <v>60616</v>
      </c>
      <c r="G426" s="269">
        <v>10620070</v>
      </c>
      <c r="H426" s="1" t="s">
        <v>381</v>
      </c>
      <c r="I426" s="61">
        <v>5</v>
      </c>
      <c r="J426" s="61">
        <v>6.8</v>
      </c>
      <c r="K426" s="61">
        <v>9</v>
      </c>
      <c r="L426" s="69">
        <f t="shared" si="88"/>
        <v>0.34</v>
      </c>
      <c r="M426" s="69">
        <f t="shared" si="89"/>
        <v>0.45</v>
      </c>
      <c r="N426" s="56">
        <f>INDEX(Rate_Chart!$A$1:$AK$127,MATCH(Data!J426,Rate_Chart!$A$1:$A$127,0),MATCH(Data!K426,Rate_Chart!$A$1:$AK$1,0))</f>
        <v>56.78</v>
      </c>
      <c r="O426" s="57">
        <f t="shared" si="90"/>
        <v>283.89999999999998</v>
      </c>
      <c r="P426" s="58">
        <f t="shared" si="91"/>
        <v>443.59375</v>
      </c>
      <c r="Q426" s="58">
        <f t="shared" si="92"/>
        <v>295.72916666666669</v>
      </c>
      <c r="R426" s="66">
        <f t="shared" si="93"/>
        <v>4.9682500000000003</v>
      </c>
      <c r="S426" s="64">
        <f t="shared" si="94"/>
        <v>18.75</v>
      </c>
      <c r="T426" s="66">
        <f t="shared" si="95"/>
        <v>307.61824999999999</v>
      </c>
      <c r="U426" s="68">
        <f t="shared" si="96"/>
        <v>61.523649999999996</v>
      </c>
      <c r="V426" s="68">
        <f t="shared" si="97"/>
        <v>480.65351562499995</v>
      </c>
      <c r="W426" s="68">
        <f t="shared" si="98"/>
        <v>320.4356770833333</v>
      </c>
    </row>
    <row r="427" spans="1:23" x14ac:dyDescent="0.25">
      <c r="A427" s="169" t="s">
        <v>945</v>
      </c>
      <c r="B427" s="61" t="s">
        <v>390</v>
      </c>
      <c r="C427" s="61" t="s">
        <v>585</v>
      </c>
      <c r="D427" s="61" t="s">
        <v>854</v>
      </c>
      <c r="E427" s="1" t="s">
        <v>348</v>
      </c>
      <c r="F427" s="62" t="str">
        <f t="shared" si="87"/>
        <v>60616</v>
      </c>
      <c r="G427" s="269">
        <v>10620070</v>
      </c>
      <c r="H427" s="1" t="s">
        <v>382</v>
      </c>
      <c r="I427" s="61">
        <v>52</v>
      </c>
      <c r="J427" s="61">
        <v>3.9</v>
      </c>
      <c r="K427" s="61">
        <v>8.1999999999999993</v>
      </c>
      <c r="L427" s="69">
        <f t="shared" si="88"/>
        <v>2.028</v>
      </c>
      <c r="M427" s="69">
        <f t="shared" si="89"/>
        <v>4.2639999999999993</v>
      </c>
      <c r="N427" s="56">
        <f>INDEX(Rate_Chart!$A$1:$AK$127,MATCH(Data!J427,Rate_Chart!$A$1:$A$127,0),MATCH(Data!K427,Rate_Chart!$A$1:$AK$1,0))</f>
        <v>39.060139800000002</v>
      </c>
      <c r="O427" s="57">
        <f t="shared" si="90"/>
        <v>2031.1272696000001</v>
      </c>
      <c r="P427" s="58">
        <f t="shared" si="91"/>
        <v>417.01216868327407</v>
      </c>
      <c r="Q427" s="58">
        <f t="shared" si="92"/>
        <v>278.00811245551603</v>
      </c>
      <c r="R427" s="66">
        <f t="shared" si="93"/>
        <v>35.544727218000006</v>
      </c>
      <c r="S427" s="64">
        <f t="shared" si="94"/>
        <v>195</v>
      </c>
      <c r="T427" s="66">
        <f t="shared" si="95"/>
        <v>2261.671996818</v>
      </c>
      <c r="U427" s="68">
        <f t="shared" si="96"/>
        <v>43.493692246500004</v>
      </c>
      <c r="V427" s="68">
        <f t="shared" si="97"/>
        <v>464.34546882384348</v>
      </c>
      <c r="W427" s="68">
        <f t="shared" si="98"/>
        <v>309.5636458825623</v>
      </c>
    </row>
    <row r="428" spans="1:23" x14ac:dyDescent="0.25">
      <c r="A428" s="169" t="s">
        <v>945</v>
      </c>
      <c r="B428" s="61" t="s">
        <v>391</v>
      </c>
      <c r="C428" s="61" t="s">
        <v>585</v>
      </c>
      <c r="D428" s="61" t="s">
        <v>854</v>
      </c>
      <c r="E428" s="1" t="s">
        <v>348</v>
      </c>
      <c r="F428" s="62" t="str">
        <f t="shared" si="87"/>
        <v>60616</v>
      </c>
      <c r="G428" s="269">
        <v>10620070</v>
      </c>
      <c r="H428" s="1" t="s">
        <v>381</v>
      </c>
      <c r="I428" s="61">
        <v>11</v>
      </c>
      <c r="J428" s="61">
        <v>7.5</v>
      </c>
      <c r="K428" s="61">
        <v>9</v>
      </c>
      <c r="L428" s="69">
        <f t="shared" si="88"/>
        <v>0.82499999999999996</v>
      </c>
      <c r="M428" s="69">
        <f t="shared" si="89"/>
        <v>0.99</v>
      </c>
      <c r="N428" s="56">
        <f>INDEX(Rate_Chart!$A$1:$AK$127,MATCH(Data!J428,Rate_Chart!$A$1:$A$127,0),MATCH(Data!K428,Rate_Chart!$A$1:$AK$1,0))</f>
        <v>62.625</v>
      </c>
      <c r="O428" s="57">
        <f t="shared" si="90"/>
        <v>688.875</v>
      </c>
      <c r="P428" s="58">
        <f t="shared" si="91"/>
        <v>463.88888888888886</v>
      </c>
      <c r="Q428" s="58">
        <f t="shared" si="92"/>
        <v>309.25925925925924</v>
      </c>
      <c r="R428" s="66">
        <f t="shared" si="93"/>
        <v>12.055312500000001</v>
      </c>
      <c r="S428" s="64">
        <f t="shared" si="94"/>
        <v>41.25</v>
      </c>
      <c r="T428" s="66">
        <f t="shared" si="95"/>
        <v>742.18031250000001</v>
      </c>
      <c r="U428" s="68">
        <f t="shared" si="96"/>
        <v>67.470937500000005</v>
      </c>
      <c r="V428" s="68">
        <f t="shared" si="97"/>
        <v>499.78472222222223</v>
      </c>
      <c r="W428" s="68">
        <f t="shared" si="98"/>
        <v>333.18981481481484</v>
      </c>
    </row>
    <row r="429" spans="1:23" x14ac:dyDescent="0.25">
      <c r="A429" s="169" t="s">
        <v>945</v>
      </c>
      <c r="B429" s="61" t="s">
        <v>391</v>
      </c>
      <c r="C429" s="61" t="s">
        <v>585</v>
      </c>
      <c r="D429" s="61" t="s">
        <v>854</v>
      </c>
      <c r="E429" s="1" t="s">
        <v>348</v>
      </c>
      <c r="F429" s="62" t="str">
        <f t="shared" si="87"/>
        <v>60616</v>
      </c>
      <c r="G429" s="269">
        <v>10620070</v>
      </c>
      <c r="H429" s="1" t="s">
        <v>382</v>
      </c>
      <c r="I429" s="61">
        <v>23</v>
      </c>
      <c r="J429" s="61">
        <v>3.9</v>
      </c>
      <c r="K429" s="61">
        <v>8.4</v>
      </c>
      <c r="L429" s="69">
        <f t="shared" si="88"/>
        <v>0.89700000000000002</v>
      </c>
      <c r="M429" s="69">
        <f t="shared" si="89"/>
        <v>1.9320000000000002</v>
      </c>
      <c r="N429" s="56">
        <f>INDEX(Rate_Chart!$A$1:$AK$127,MATCH(Data!J429,Rate_Chart!$A$1:$A$127,0),MATCH(Data!K429,Rate_Chart!$A$1:$AK$1,0))</f>
        <v>39.616167600000011</v>
      </c>
      <c r="O429" s="57">
        <f t="shared" si="90"/>
        <v>911.17185480000023</v>
      </c>
      <c r="P429" s="58">
        <f t="shared" si="91"/>
        <v>417.01229052631589</v>
      </c>
      <c r="Q429" s="58">
        <f t="shared" si="92"/>
        <v>278.0081936842106</v>
      </c>
      <c r="R429" s="66">
        <f t="shared" si="93"/>
        <v>15.945507459000005</v>
      </c>
      <c r="S429" s="64">
        <f t="shared" si="94"/>
        <v>86.25</v>
      </c>
      <c r="T429" s="66">
        <f t="shared" si="95"/>
        <v>1013.3673622590002</v>
      </c>
      <c r="U429" s="68">
        <f t="shared" si="96"/>
        <v>44.05945053300001</v>
      </c>
      <c r="V429" s="68">
        <f t="shared" si="97"/>
        <v>463.78368982105275</v>
      </c>
      <c r="W429" s="68">
        <f t="shared" si="98"/>
        <v>309.18912654736852</v>
      </c>
    </row>
    <row r="430" spans="1:23" x14ac:dyDescent="0.25">
      <c r="A430" s="169" t="s">
        <v>946</v>
      </c>
      <c r="B430" s="61" t="s">
        <v>390</v>
      </c>
      <c r="C430" s="61" t="s">
        <v>585</v>
      </c>
      <c r="D430" s="61" t="s">
        <v>854</v>
      </c>
      <c r="E430" s="1" t="s">
        <v>348</v>
      </c>
      <c r="F430" s="62" t="str">
        <f t="shared" si="87"/>
        <v>60616</v>
      </c>
      <c r="G430" s="269">
        <v>10620070</v>
      </c>
      <c r="H430" s="1" t="s">
        <v>381</v>
      </c>
      <c r="I430" s="61">
        <v>11</v>
      </c>
      <c r="J430" s="61">
        <v>8.1999999999999993</v>
      </c>
      <c r="K430" s="61">
        <v>9</v>
      </c>
      <c r="L430" s="69">
        <f t="shared" si="88"/>
        <v>0.90199999999999991</v>
      </c>
      <c r="M430" s="69">
        <f t="shared" si="89"/>
        <v>0.99</v>
      </c>
      <c r="N430" s="56">
        <f>INDEX(Rate_Chart!$A$1:$AK$127,MATCH(Data!J430,Rate_Chart!$A$1:$A$127,0),MATCH(Data!K430,Rate_Chart!$A$1:$AK$1,0))</f>
        <v>68.469999999999985</v>
      </c>
      <c r="O430" s="57">
        <f t="shared" si="90"/>
        <v>753.16999999999985</v>
      </c>
      <c r="P430" s="58">
        <f t="shared" si="91"/>
        <v>482.18309859154925</v>
      </c>
      <c r="Q430" s="58">
        <f t="shared" si="92"/>
        <v>321.45539906103284</v>
      </c>
      <c r="R430" s="66">
        <f t="shared" si="93"/>
        <v>13.180474999999998</v>
      </c>
      <c r="S430" s="64">
        <f t="shared" si="94"/>
        <v>41.25</v>
      </c>
      <c r="T430" s="66">
        <f t="shared" si="95"/>
        <v>807.60047499999985</v>
      </c>
      <c r="U430" s="68">
        <f t="shared" si="96"/>
        <v>73.418224999999993</v>
      </c>
      <c r="V430" s="68">
        <f t="shared" si="97"/>
        <v>517.02975352112674</v>
      </c>
      <c r="W430" s="68">
        <f t="shared" si="98"/>
        <v>344.68650234741784</v>
      </c>
    </row>
    <row r="431" spans="1:23" x14ac:dyDescent="0.25">
      <c r="A431" s="169" t="s">
        <v>946</v>
      </c>
      <c r="B431" s="61" t="s">
        <v>390</v>
      </c>
      <c r="C431" s="61" t="s">
        <v>585</v>
      </c>
      <c r="D431" s="61" t="s">
        <v>854</v>
      </c>
      <c r="E431" s="1" t="s">
        <v>348</v>
      </c>
      <c r="F431" s="62" t="str">
        <f t="shared" si="87"/>
        <v>60616</v>
      </c>
      <c r="G431" s="269">
        <v>10620070</v>
      </c>
      <c r="H431" s="1" t="s">
        <v>382</v>
      </c>
      <c r="I431" s="61">
        <v>44</v>
      </c>
      <c r="J431" s="61">
        <v>4.0999999999999996</v>
      </c>
      <c r="K431" s="61">
        <v>8.5</v>
      </c>
      <c r="L431" s="69">
        <f t="shared" si="88"/>
        <v>1.8039999999999998</v>
      </c>
      <c r="M431" s="69">
        <f t="shared" si="89"/>
        <v>3.74</v>
      </c>
      <c r="N431" s="56">
        <f>INDEX(Rate_Chart!$A$1:$AK$127,MATCH(Data!J431,Rate_Chart!$A$1:$A$127,0),MATCH(Data!K431,Rate_Chart!$A$1:$AK$1,0))</f>
        <v>40.728181500000005</v>
      </c>
      <c r="O431" s="57">
        <f t="shared" si="90"/>
        <v>1792.0399860000002</v>
      </c>
      <c r="P431" s="58">
        <f t="shared" si="91"/>
        <v>417.01209726962463</v>
      </c>
      <c r="Q431" s="58">
        <f t="shared" si="92"/>
        <v>278.0080648464164</v>
      </c>
      <c r="R431" s="66">
        <f t="shared" si="93"/>
        <v>31.360699755000006</v>
      </c>
      <c r="S431" s="64">
        <f t="shared" si="94"/>
        <v>165</v>
      </c>
      <c r="T431" s="66">
        <f t="shared" si="95"/>
        <v>1988.4006857550003</v>
      </c>
      <c r="U431" s="68">
        <f t="shared" si="96"/>
        <v>45.190924676250006</v>
      </c>
      <c r="V431" s="68">
        <f t="shared" si="97"/>
        <v>462.70571340870316</v>
      </c>
      <c r="W431" s="68">
        <f t="shared" si="98"/>
        <v>308.47047560580211</v>
      </c>
    </row>
    <row r="432" spans="1:23" x14ac:dyDescent="0.25">
      <c r="A432" s="169" t="s">
        <v>946</v>
      </c>
      <c r="B432" s="61" t="s">
        <v>391</v>
      </c>
      <c r="C432" s="61" t="s">
        <v>585</v>
      </c>
      <c r="D432" s="61" t="s">
        <v>854</v>
      </c>
      <c r="E432" s="1" t="s">
        <v>348</v>
      </c>
      <c r="F432" s="62" t="str">
        <f t="shared" si="87"/>
        <v>60616</v>
      </c>
      <c r="G432" s="269">
        <v>10620070</v>
      </c>
      <c r="H432" s="1" t="s">
        <v>381</v>
      </c>
      <c r="I432" s="61">
        <v>18</v>
      </c>
      <c r="J432" s="61">
        <v>7</v>
      </c>
      <c r="K432" s="61">
        <v>9</v>
      </c>
      <c r="L432" s="69">
        <f t="shared" si="88"/>
        <v>1.26</v>
      </c>
      <c r="M432" s="69">
        <f t="shared" si="89"/>
        <v>1.62</v>
      </c>
      <c r="N432" s="56">
        <f>INDEX(Rate_Chart!$A$1:$AK$127,MATCH(Data!J432,Rate_Chart!$A$1:$A$127,0),MATCH(Data!K432,Rate_Chart!$A$1:$AK$1,0))</f>
        <v>58.45</v>
      </c>
      <c r="O432" s="57">
        <f t="shared" si="90"/>
        <v>1052.1000000000001</v>
      </c>
      <c r="P432" s="58">
        <f t="shared" si="91"/>
        <v>449.61538461538464</v>
      </c>
      <c r="Q432" s="58">
        <f t="shared" si="92"/>
        <v>299.74358974358978</v>
      </c>
      <c r="R432" s="66">
        <f t="shared" si="93"/>
        <v>18.411750000000005</v>
      </c>
      <c r="S432" s="64">
        <f t="shared" si="94"/>
        <v>67.5</v>
      </c>
      <c r="T432" s="66">
        <f t="shared" si="95"/>
        <v>1138.0117500000001</v>
      </c>
      <c r="U432" s="68">
        <f t="shared" si="96"/>
        <v>63.222875000000009</v>
      </c>
      <c r="V432" s="68">
        <f t="shared" si="97"/>
        <v>486.32980769230772</v>
      </c>
      <c r="W432" s="68">
        <f t="shared" si="98"/>
        <v>324.21987179487184</v>
      </c>
    </row>
    <row r="433" spans="1:23" x14ac:dyDescent="0.25">
      <c r="A433" s="169" t="s">
        <v>946</v>
      </c>
      <c r="B433" s="61" t="s">
        <v>391</v>
      </c>
      <c r="C433" s="61" t="s">
        <v>585</v>
      </c>
      <c r="D433" s="61" t="s">
        <v>854</v>
      </c>
      <c r="E433" s="1" t="s">
        <v>348</v>
      </c>
      <c r="F433" s="62" t="str">
        <f t="shared" si="87"/>
        <v>60616</v>
      </c>
      <c r="G433" s="269">
        <v>10620070</v>
      </c>
      <c r="H433" s="1" t="s">
        <v>382</v>
      </c>
      <c r="I433" s="61">
        <v>14</v>
      </c>
      <c r="J433" s="61">
        <v>3.6</v>
      </c>
      <c r="K433" s="61">
        <v>8.1999999999999993</v>
      </c>
      <c r="L433" s="69">
        <f t="shared" si="88"/>
        <v>0.504</v>
      </c>
      <c r="M433" s="69">
        <f t="shared" si="89"/>
        <v>1.1479999999999999</v>
      </c>
      <c r="N433" s="56">
        <f>INDEX(Rate_Chart!$A$1:$AK$127,MATCH(Data!J433,Rate_Chart!$A$1:$A$127,0),MATCH(Data!K433,Rate_Chart!$A$1:$AK$1,0))</f>
        <v>37.809139800000004</v>
      </c>
      <c r="O433" s="57">
        <f t="shared" si="90"/>
        <v>529.32795720000001</v>
      </c>
      <c r="P433" s="58">
        <f t="shared" si="91"/>
        <v>417.01257132352941</v>
      </c>
      <c r="Q433" s="58">
        <f t="shared" si="92"/>
        <v>278.00838088235292</v>
      </c>
      <c r="R433" s="66">
        <f t="shared" si="93"/>
        <v>9.2632392510000017</v>
      </c>
      <c r="S433" s="64">
        <f t="shared" si="94"/>
        <v>52.5</v>
      </c>
      <c r="T433" s="66">
        <f t="shared" si="95"/>
        <v>591.09119645099997</v>
      </c>
      <c r="U433" s="68">
        <f t="shared" si="96"/>
        <v>42.220799746499999</v>
      </c>
      <c r="V433" s="68">
        <f t="shared" si="97"/>
        <v>465.6705854393382</v>
      </c>
      <c r="W433" s="68">
        <f t="shared" si="98"/>
        <v>310.44705695955878</v>
      </c>
    </row>
    <row r="434" spans="1:23" x14ac:dyDescent="0.25">
      <c r="A434" s="169" t="s">
        <v>947</v>
      </c>
      <c r="B434" s="61" t="s">
        <v>390</v>
      </c>
      <c r="C434" s="61" t="s">
        <v>585</v>
      </c>
      <c r="D434" s="61" t="s">
        <v>854</v>
      </c>
      <c r="E434" s="1" t="s">
        <v>348</v>
      </c>
      <c r="F434" s="62" t="str">
        <f t="shared" si="87"/>
        <v>60616</v>
      </c>
      <c r="G434" s="269">
        <v>10620070</v>
      </c>
      <c r="H434" s="1" t="s">
        <v>381</v>
      </c>
      <c r="I434" s="61">
        <v>18</v>
      </c>
      <c r="J434" s="61">
        <v>6.5</v>
      </c>
      <c r="K434" s="61">
        <v>9</v>
      </c>
      <c r="L434" s="69">
        <f t="shared" si="88"/>
        <v>1.17</v>
      </c>
      <c r="M434" s="69">
        <f t="shared" si="89"/>
        <v>1.62</v>
      </c>
      <c r="N434" s="56">
        <f>INDEX(Rate_Chart!$A$1:$AK$127,MATCH(Data!J434,Rate_Chart!$A$1:$A$127,0),MATCH(Data!K434,Rate_Chart!$A$1:$AK$1,0))</f>
        <v>54.274999999999999</v>
      </c>
      <c r="O434" s="57">
        <f t="shared" si="90"/>
        <v>976.94999999999993</v>
      </c>
      <c r="P434" s="58">
        <f t="shared" si="91"/>
        <v>434.2</v>
      </c>
      <c r="Q434" s="58">
        <f t="shared" si="92"/>
        <v>289.46666666666664</v>
      </c>
      <c r="R434" s="66">
        <f t="shared" si="93"/>
        <v>17.096625</v>
      </c>
      <c r="S434" s="64">
        <f t="shared" si="94"/>
        <v>67.5</v>
      </c>
      <c r="T434" s="66">
        <f t="shared" si="95"/>
        <v>1061.5466249999999</v>
      </c>
      <c r="U434" s="68">
        <f t="shared" si="96"/>
        <v>58.974812499999999</v>
      </c>
      <c r="V434" s="68">
        <f t="shared" si="97"/>
        <v>471.79849999999999</v>
      </c>
      <c r="W434" s="68">
        <f t="shared" si="98"/>
        <v>314.53233333333333</v>
      </c>
    </row>
    <row r="435" spans="1:23" x14ac:dyDescent="0.25">
      <c r="A435" s="169" t="s">
        <v>947</v>
      </c>
      <c r="B435" s="61" t="s">
        <v>390</v>
      </c>
      <c r="C435" s="61" t="s">
        <v>585</v>
      </c>
      <c r="D435" s="61" t="s">
        <v>854</v>
      </c>
      <c r="E435" s="1" t="s">
        <v>348</v>
      </c>
      <c r="F435" s="62" t="str">
        <f t="shared" si="87"/>
        <v>60616</v>
      </c>
      <c r="G435" s="269">
        <v>10620070</v>
      </c>
      <c r="H435" s="1" t="s">
        <v>382</v>
      </c>
      <c r="I435" s="61">
        <v>40</v>
      </c>
      <c r="J435" s="61">
        <v>3</v>
      </c>
      <c r="K435" s="61">
        <v>8</v>
      </c>
      <c r="L435" s="69">
        <f t="shared" si="88"/>
        <v>1.2</v>
      </c>
      <c r="M435" s="69">
        <f t="shared" si="89"/>
        <v>3.2</v>
      </c>
      <c r="N435" s="56">
        <f>INDEX(Rate_Chart!$A$1:$AK$127,MATCH(Data!J435,Rate_Chart!$A$1:$A$127,0),MATCH(Data!K435,Rate_Chart!$A$1:$AK$1,0))</f>
        <v>34.751112000000006</v>
      </c>
      <c r="O435" s="57">
        <f t="shared" si="90"/>
        <v>1390.0444800000002</v>
      </c>
      <c r="P435" s="58">
        <f t="shared" si="91"/>
        <v>417.01334400000002</v>
      </c>
      <c r="Q435" s="58">
        <f t="shared" si="92"/>
        <v>278.00889599999999</v>
      </c>
      <c r="R435" s="66">
        <f t="shared" si="93"/>
        <v>24.325778400000008</v>
      </c>
      <c r="S435" s="64">
        <f t="shared" si="94"/>
        <v>150</v>
      </c>
      <c r="T435" s="66">
        <f t="shared" si="95"/>
        <v>1564.3702584000002</v>
      </c>
      <c r="U435" s="68">
        <f t="shared" si="96"/>
        <v>39.109256460000005</v>
      </c>
      <c r="V435" s="68">
        <f t="shared" si="97"/>
        <v>469.31107752000003</v>
      </c>
      <c r="W435" s="68">
        <f t="shared" si="98"/>
        <v>312.87405168000004</v>
      </c>
    </row>
    <row r="436" spans="1:23" x14ac:dyDescent="0.25">
      <c r="A436" s="169" t="s">
        <v>947</v>
      </c>
      <c r="B436" s="61" t="s">
        <v>391</v>
      </c>
      <c r="C436" s="61" t="s">
        <v>585</v>
      </c>
      <c r="D436" s="61" t="s">
        <v>854</v>
      </c>
      <c r="E436" s="1" t="s">
        <v>348</v>
      </c>
      <c r="F436" s="62" t="str">
        <f t="shared" si="87"/>
        <v>60616</v>
      </c>
      <c r="G436" s="269">
        <v>10620070</v>
      </c>
      <c r="H436" s="1" t="s">
        <v>381</v>
      </c>
      <c r="I436" s="61">
        <v>6</v>
      </c>
      <c r="J436" s="61">
        <v>7.3</v>
      </c>
      <c r="K436" s="61">
        <v>9</v>
      </c>
      <c r="L436" s="69">
        <f t="shared" si="88"/>
        <v>0.43799999999999994</v>
      </c>
      <c r="M436" s="69">
        <f t="shared" si="89"/>
        <v>0.54</v>
      </c>
      <c r="N436" s="56">
        <f>INDEX(Rate_Chart!$A$1:$AK$127,MATCH(Data!J436,Rate_Chart!$A$1:$A$127,0),MATCH(Data!K436,Rate_Chart!$A$1:$AK$1,0))</f>
        <v>60.954999999999998</v>
      </c>
      <c r="O436" s="57">
        <f t="shared" si="90"/>
        <v>365.73</v>
      </c>
      <c r="P436" s="58">
        <f t="shared" si="91"/>
        <v>458.30827067669168</v>
      </c>
      <c r="Q436" s="58">
        <f t="shared" si="92"/>
        <v>305.53884711779443</v>
      </c>
      <c r="R436" s="66">
        <f t="shared" si="93"/>
        <v>6.4002750000000006</v>
      </c>
      <c r="S436" s="64">
        <f t="shared" si="94"/>
        <v>22.5</v>
      </c>
      <c r="T436" s="66">
        <f t="shared" si="95"/>
        <v>394.63027500000004</v>
      </c>
      <c r="U436" s="68">
        <f t="shared" si="96"/>
        <v>65.771712500000007</v>
      </c>
      <c r="V436" s="68">
        <f t="shared" si="97"/>
        <v>494.52415413533839</v>
      </c>
      <c r="W436" s="68">
        <f t="shared" si="98"/>
        <v>329.68276942355891</v>
      </c>
    </row>
    <row r="437" spans="1:23" x14ac:dyDescent="0.25">
      <c r="A437" s="169" t="s">
        <v>947</v>
      </c>
      <c r="B437" s="61" t="s">
        <v>391</v>
      </c>
      <c r="C437" s="61" t="s">
        <v>585</v>
      </c>
      <c r="D437" s="61" t="s">
        <v>854</v>
      </c>
      <c r="E437" s="1" t="s">
        <v>348</v>
      </c>
      <c r="F437" s="62" t="str">
        <f t="shared" si="87"/>
        <v>60616</v>
      </c>
      <c r="G437" s="269">
        <v>10620070</v>
      </c>
      <c r="H437" s="1" t="s">
        <v>382</v>
      </c>
      <c r="I437" s="61">
        <v>22</v>
      </c>
      <c r="J437" s="61">
        <v>3.8</v>
      </c>
      <c r="K437" s="61">
        <v>8.4</v>
      </c>
      <c r="L437" s="69">
        <f t="shared" si="88"/>
        <v>0.83599999999999997</v>
      </c>
      <c r="M437" s="69">
        <f t="shared" si="89"/>
        <v>1.8480000000000001</v>
      </c>
      <c r="N437" s="56">
        <f>INDEX(Rate_Chart!$A$1:$AK$127,MATCH(Data!J437,Rate_Chart!$A$1:$A$127,0),MATCH(Data!K437,Rate_Chart!$A$1:$AK$1,0))</f>
        <v>39.19916760000001</v>
      </c>
      <c r="O437" s="57">
        <f t="shared" si="90"/>
        <v>862.38168720000021</v>
      </c>
      <c r="P437" s="58">
        <f t="shared" si="91"/>
        <v>417.01242127659583</v>
      </c>
      <c r="Q437" s="58">
        <f t="shared" si="92"/>
        <v>278.00828085106389</v>
      </c>
      <c r="R437" s="66">
        <f t="shared" si="93"/>
        <v>15.091679526000005</v>
      </c>
      <c r="S437" s="64">
        <f t="shared" si="94"/>
        <v>82.5</v>
      </c>
      <c r="T437" s="66">
        <f t="shared" si="95"/>
        <v>959.97336672600022</v>
      </c>
      <c r="U437" s="68">
        <f t="shared" si="96"/>
        <v>43.635153033000009</v>
      </c>
      <c r="V437" s="68">
        <f t="shared" si="97"/>
        <v>464.20375567021284</v>
      </c>
      <c r="W437" s="68">
        <f t="shared" si="98"/>
        <v>309.46917044680856</v>
      </c>
    </row>
    <row r="438" spans="1:23" x14ac:dyDescent="0.25">
      <c r="A438" s="169" t="s">
        <v>941</v>
      </c>
      <c r="B438" s="61" t="s">
        <v>390</v>
      </c>
      <c r="C438" s="61" t="s">
        <v>585</v>
      </c>
      <c r="D438" s="61" t="s">
        <v>854</v>
      </c>
      <c r="E438" s="1" t="s">
        <v>349</v>
      </c>
      <c r="F438" s="62" t="str">
        <f t="shared" si="87"/>
        <v>60617</v>
      </c>
      <c r="G438" s="269">
        <v>10620064</v>
      </c>
      <c r="H438" s="1" t="s">
        <v>381</v>
      </c>
      <c r="I438" s="61">
        <v>43</v>
      </c>
      <c r="J438" s="61">
        <v>6.2</v>
      </c>
      <c r="K438" s="61">
        <v>9</v>
      </c>
      <c r="L438" s="69">
        <f t="shared" si="88"/>
        <v>2.6660000000000004</v>
      </c>
      <c r="M438" s="69">
        <f t="shared" si="89"/>
        <v>3.87</v>
      </c>
      <c r="N438" s="56">
        <f>INDEX(Rate_Chart!$A$1:$AK$127,MATCH(Data!J438,Rate_Chart!$A$1:$A$127,0),MATCH(Data!K438,Rate_Chart!$A$1:$AK$1,0))</f>
        <v>51.77</v>
      </c>
      <c r="O438" s="57">
        <f t="shared" si="90"/>
        <v>2226.11</v>
      </c>
      <c r="P438" s="58">
        <f t="shared" si="91"/>
        <v>424.34426229508199</v>
      </c>
      <c r="Q438" s="58">
        <f t="shared" si="92"/>
        <v>282.89617486338801</v>
      </c>
      <c r="R438" s="66">
        <f t="shared" si="93"/>
        <v>38.956925000000005</v>
      </c>
      <c r="S438" s="64">
        <f t="shared" si="94"/>
        <v>161.25</v>
      </c>
      <c r="T438" s="66">
        <f t="shared" si="95"/>
        <v>2426.3169250000001</v>
      </c>
      <c r="U438" s="68">
        <f t="shared" si="96"/>
        <v>56.425975000000001</v>
      </c>
      <c r="V438" s="68">
        <f t="shared" si="97"/>
        <v>462.50799180327868</v>
      </c>
      <c r="W438" s="68">
        <f t="shared" si="98"/>
        <v>308.33866120218579</v>
      </c>
    </row>
    <row r="439" spans="1:23" x14ac:dyDescent="0.25">
      <c r="A439" s="169" t="s">
        <v>941</v>
      </c>
      <c r="B439" s="61" t="s">
        <v>390</v>
      </c>
      <c r="C439" s="61" t="s">
        <v>585</v>
      </c>
      <c r="D439" s="61" t="s">
        <v>854</v>
      </c>
      <c r="E439" s="1" t="s">
        <v>349</v>
      </c>
      <c r="F439" s="62" t="str">
        <f t="shared" si="87"/>
        <v>60617</v>
      </c>
      <c r="G439" s="269">
        <v>10620064</v>
      </c>
      <c r="H439" s="1" t="s">
        <v>382</v>
      </c>
      <c r="I439" s="61">
        <v>17</v>
      </c>
      <c r="J439" s="61">
        <v>4</v>
      </c>
      <c r="K439" s="61">
        <v>8.5</v>
      </c>
      <c r="L439" s="69">
        <f t="shared" si="88"/>
        <v>0.68</v>
      </c>
      <c r="M439" s="69">
        <f t="shared" si="89"/>
        <v>1.4450000000000001</v>
      </c>
      <c r="N439" s="56">
        <f>INDEX(Rate_Chart!$A$1:$AK$127,MATCH(Data!J439,Rate_Chart!$A$1:$A$127,0),MATCH(Data!K439,Rate_Chart!$A$1:$AK$1,0))</f>
        <v>40.311181500000004</v>
      </c>
      <c r="O439" s="57">
        <f t="shared" si="90"/>
        <v>685.29008550000003</v>
      </c>
      <c r="P439" s="58">
        <f t="shared" si="91"/>
        <v>417.0122224137931</v>
      </c>
      <c r="Q439" s="58">
        <f t="shared" si="92"/>
        <v>278.00814827586208</v>
      </c>
      <c r="R439" s="66">
        <f t="shared" si="93"/>
        <v>11.992576496250003</v>
      </c>
      <c r="S439" s="64">
        <f t="shared" si="94"/>
        <v>63.75</v>
      </c>
      <c r="T439" s="66">
        <f t="shared" si="95"/>
        <v>761.03266199625</v>
      </c>
      <c r="U439" s="68">
        <f t="shared" si="96"/>
        <v>44.766627176249997</v>
      </c>
      <c r="V439" s="68">
        <f t="shared" si="97"/>
        <v>463.10303975431026</v>
      </c>
      <c r="W439" s="68">
        <f t="shared" si="98"/>
        <v>308.73535983620684</v>
      </c>
    </row>
    <row r="440" spans="1:23" x14ac:dyDescent="0.25">
      <c r="A440" s="169" t="s">
        <v>941</v>
      </c>
      <c r="B440" s="61" t="s">
        <v>391</v>
      </c>
      <c r="C440" s="61" t="s">
        <v>585</v>
      </c>
      <c r="D440" s="61" t="s">
        <v>854</v>
      </c>
      <c r="E440" s="1" t="s">
        <v>349</v>
      </c>
      <c r="F440" s="62" t="str">
        <f t="shared" si="87"/>
        <v>60617</v>
      </c>
      <c r="G440" s="269">
        <v>10620064</v>
      </c>
      <c r="H440" s="1" t="s">
        <v>381</v>
      </c>
      <c r="I440" s="61">
        <v>41</v>
      </c>
      <c r="J440" s="61">
        <v>6.5</v>
      </c>
      <c r="K440" s="61">
        <v>9</v>
      </c>
      <c r="L440" s="69">
        <f t="shared" si="88"/>
        <v>2.665</v>
      </c>
      <c r="M440" s="69">
        <f t="shared" si="89"/>
        <v>3.69</v>
      </c>
      <c r="N440" s="56">
        <f>INDEX(Rate_Chart!$A$1:$AK$127,MATCH(Data!J440,Rate_Chart!$A$1:$A$127,0),MATCH(Data!K440,Rate_Chart!$A$1:$AK$1,0))</f>
        <v>54.274999999999999</v>
      </c>
      <c r="O440" s="57">
        <f t="shared" si="90"/>
        <v>2225.2750000000001</v>
      </c>
      <c r="P440" s="58">
        <f t="shared" si="91"/>
        <v>434.2</v>
      </c>
      <c r="Q440" s="58">
        <f t="shared" si="92"/>
        <v>289.46666666666664</v>
      </c>
      <c r="R440" s="66">
        <f t="shared" si="93"/>
        <v>38.942312500000007</v>
      </c>
      <c r="S440" s="64">
        <f t="shared" si="94"/>
        <v>153.75</v>
      </c>
      <c r="T440" s="66">
        <f t="shared" si="95"/>
        <v>2417.9673124999999</v>
      </c>
      <c r="U440" s="68">
        <f t="shared" si="96"/>
        <v>58.974812499999999</v>
      </c>
      <c r="V440" s="68">
        <f t="shared" si="97"/>
        <v>471.79849999999999</v>
      </c>
      <c r="W440" s="68">
        <f t="shared" si="98"/>
        <v>314.53233333333333</v>
      </c>
    </row>
    <row r="441" spans="1:23" x14ac:dyDescent="0.25">
      <c r="A441" s="169" t="s">
        <v>941</v>
      </c>
      <c r="B441" s="61" t="s">
        <v>391</v>
      </c>
      <c r="C441" s="61" t="s">
        <v>585</v>
      </c>
      <c r="D441" s="61" t="s">
        <v>854</v>
      </c>
      <c r="E441" s="1" t="s">
        <v>349</v>
      </c>
      <c r="F441" s="62" t="str">
        <f t="shared" si="87"/>
        <v>60617</v>
      </c>
      <c r="G441" s="269">
        <v>10620064</v>
      </c>
      <c r="H441" s="1" t="s">
        <v>382</v>
      </c>
      <c r="I441" s="61">
        <v>30</v>
      </c>
      <c r="J441" s="61">
        <v>3.6</v>
      </c>
      <c r="K441" s="61">
        <v>8.5</v>
      </c>
      <c r="L441" s="69">
        <f t="shared" si="88"/>
        <v>1.08</v>
      </c>
      <c r="M441" s="69">
        <f t="shared" si="89"/>
        <v>2.5499999999999998</v>
      </c>
      <c r="N441" s="56">
        <f>INDEX(Rate_Chart!$A$1:$AK$127,MATCH(Data!J441,Rate_Chart!$A$1:$A$127,0),MATCH(Data!K441,Rate_Chart!$A$1:$AK$1,0))</f>
        <v>38.643181500000004</v>
      </c>
      <c r="O441" s="57">
        <f t="shared" si="90"/>
        <v>1159.2954450000002</v>
      </c>
      <c r="P441" s="58">
        <f t="shared" si="91"/>
        <v>417.01274999999998</v>
      </c>
      <c r="Q441" s="58">
        <f t="shared" si="92"/>
        <v>278.00849999999997</v>
      </c>
      <c r="R441" s="66">
        <f t="shared" si="93"/>
        <v>20.287670287500006</v>
      </c>
      <c r="S441" s="64">
        <f t="shared" si="94"/>
        <v>112.5</v>
      </c>
      <c r="T441" s="66">
        <f t="shared" si="95"/>
        <v>1292.0831152875003</v>
      </c>
      <c r="U441" s="68">
        <f t="shared" si="96"/>
        <v>43.069437176250013</v>
      </c>
      <c r="V441" s="68">
        <f t="shared" si="97"/>
        <v>464.77809902428066</v>
      </c>
      <c r="W441" s="68">
        <f t="shared" si="98"/>
        <v>309.85206601618711</v>
      </c>
    </row>
    <row r="442" spans="1:23" x14ac:dyDescent="0.25">
      <c r="A442" s="169" t="s">
        <v>942</v>
      </c>
      <c r="B442" s="61" t="s">
        <v>390</v>
      </c>
      <c r="C442" s="61" t="s">
        <v>585</v>
      </c>
      <c r="D442" s="61" t="s">
        <v>854</v>
      </c>
      <c r="E442" s="1" t="s">
        <v>349</v>
      </c>
      <c r="F442" s="62" t="str">
        <f t="shared" si="87"/>
        <v>60617</v>
      </c>
      <c r="G442" s="269">
        <v>10620064</v>
      </c>
      <c r="H442" s="1" t="s">
        <v>381</v>
      </c>
      <c r="I442" s="61">
        <v>58</v>
      </c>
      <c r="J442" s="61">
        <v>6.8</v>
      </c>
      <c r="K442" s="61">
        <v>9</v>
      </c>
      <c r="L442" s="69">
        <f t="shared" si="88"/>
        <v>3.944</v>
      </c>
      <c r="M442" s="69">
        <f t="shared" si="89"/>
        <v>5.22</v>
      </c>
      <c r="N442" s="56">
        <f>INDEX(Rate_Chart!$A$1:$AK$127,MATCH(Data!J442,Rate_Chart!$A$1:$A$127,0),MATCH(Data!K442,Rate_Chart!$A$1:$AK$1,0))</f>
        <v>56.78</v>
      </c>
      <c r="O442" s="57">
        <f t="shared" si="90"/>
        <v>3293.2400000000002</v>
      </c>
      <c r="P442" s="58">
        <f t="shared" si="91"/>
        <v>443.59375</v>
      </c>
      <c r="Q442" s="58">
        <f t="shared" si="92"/>
        <v>295.72916666666669</v>
      </c>
      <c r="R442" s="66">
        <f t="shared" si="93"/>
        <v>57.631700000000009</v>
      </c>
      <c r="S442" s="64">
        <f t="shared" si="94"/>
        <v>217.5</v>
      </c>
      <c r="T442" s="66">
        <f t="shared" si="95"/>
        <v>3568.3717000000001</v>
      </c>
      <c r="U442" s="68">
        <f t="shared" si="96"/>
        <v>61.523650000000004</v>
      </c>
      <c r="V442" s="68">
        <f t="shared" si="97"/>
        <v>480.65351562500001</v>
      </c>
      <c r="W442" s="68">
        <f t="shared" si="98"/>
        <v>320.43567708333336</v>
      </c>
    </row>
    <row r="443" spans="1:23" x14ac:dyDescent="0.25">
      <c r="A443" s="169" t="s">
        <v>942</v>
      </c>
      <c r="B443" s="61" t="s">
        <v>390</v>
      </c>
      <c r="C443" s="61" t="s">
        <v>585</v>
      </c>
      <c r="D443" s="61" t="s">
        <v>854</v>
      </c>
      <c r="E443" s="1" t="s">
        <v>349</v>
      </c>
      <c r="F443" s="62" t="str">
        <f t="shared" si="87"/>
        <v>60617</v>
      </c>
      <c r="G443" s="269">
        <v>10620064</v>
      </c>
      <c r="H443" s="1" t="s">
        <v>382</v>
      </c>
      <c r="I443" s="61">
        <v>29</v>
      </c>
      <c r="J443" s="61">
        <v>4.5</v>
      </c>
      <c r="K443" s="61">
        <v>8.5</v>
      </c>
      <c r="L443" s="69">
        <f t="shared" si="88"/>
        <v>1.3049999999999999</v>
      </c>
      <c r="M443" s="69">
        <f t="shared" si="89"/>
        <v>2.4649999999999999</v>
      </c>
      <c r="N443" s="56">
        <f>INDEX(Rate_Chart!$A$1:$AK$127,MATCH(Data!J443,Rate_Chart!$A$1:$A$127,0),MATCH(Data!K443,Rate_Chart!$A$1:$AK$1,0))</f>
        <v>42.396181500000004</v>
      </c>
      <c r="O443" s="57">
        <f t="shared" si="90"/>
        <v>1229.4892635000001</v>
      </c>
      <c r="P443" s="58">
        <f t="shared" si="91"/>
        <v>417.01162131147544</v>
      </c>
      <c r="Q443" s="58">
        <f t="shared" si="92"/>
        <v>278.00774754098364</v>
      </c>
      <c r="R443" s="66">
        <f t="shared" si="93"/>
        <v>21.516062111250005</v>
      </c>
      <c r="S443" s="64">
        <f t="shared" si="94"/>
        <v>108.75</v>
      </c>
      <c r="T443" s="66">
        <f t="shared" si="95"/>
        <v>1359.7553256112501</v>
      </c>
      <c r="U443" s="68">
        <f t="shared" si="96"/>
        <v>46.888114676250005</v>
      </c>
      <c r="V443" s="68">
        <f t="shared" si="97"/>
        <v>461.19457058606559</v>
      </c>
      <c r="W443" s="68">
        <f t="shared" si="98"/>
        <v>307.46304705737708</v>
      </c>
    </row>
    <row r="444" spans="1:23" x14ac:dyDescent="0.25">
      <c r="A444" s="169" t="s">
        <v>942</v>
      </c>
      <c r="B444" s="61" t="s">
        <v>391</v>
      </c>
      <c r="C444" s="61" t="s">
        <v>585</v>
      </c>
      <c r="D444" s="61" t="s">
        <v>854</v>
      </c>
      <c r="E444" s="1" t="s">
        <v>349</v>
      </c>
      <c r="F444" s="62" t="str">
        <f t="shared" si="87"/>
        <v>60617</v>
      </c>
      <c r="G444" s="269">
        <v>10620064</v>
      </c>
      <c r="H444" s="1" t="s">
        <v>381</v>
      </c>
      <c r="I444" s="61">
        <v>39</v>
      </c>
      <c r="J444" s="61">
        <v>6.3</v>
      </c>
      <c r="K444" s="61">
        <v>9</v>
      </c>
      <c r="L444" s="69">
        <f t="shared" si="88"/>
        <v>2.4569999999999999</v>
      </c>
      <c r="M444" s="69">
        <f t="shared" si="89"/>
        <v>3.51</v>
      </c>
      <c r="N444" s="56">
        <f>INDEX(Rate_Chart!$A$1:$AK$127,MATCH(Data!J444,Rate_Chart!$A$1:$A$127,0),MATCH(Data!K444,Rate_Chart!$A$1:$AK$1,0))</f>
        <v>52.604999999999997</v>
      </c>
      <c r="O444" s="57">
        <f t="shared" si="90"/>
        <v>2051.5949999999998</v>
      </c>
      <c r="P444" s="58">
        <f t="shared" si="91"/>
        <v>427.6829268292683</v>
      </c>
      <c r="Q444" s="58">
        <f t="shared" si="92"/>
        <v>285.1219512195122</v>
      </c>
      <c r="R444" s="66">
        <f t="shared" si="93"/>
        <v>35.902912499999999</v>
      </c>
      <c r="S444" s="64">
        <f t="shared" si="94"/>
        <v>146.25</v>
      </c>
      <c r="T444" s="66">
        <f t="shared" si="95"/>
        <v>2233.7479125</v>
      </c>
      <c r="U444" s="68">
        <f t="shared" si="96"/>
        <v>57.2755875</v>
      </c>
      <c r="V444" s="68">
        <f t="shared" si="97"/>
        <v>465.6551829268293</v>
      </c>
      <c r="W444" s="68">
        <f t="shared" si="98"/>
        <v>310.43678861788618</v>
      </c>
    </row>
    <row r="445" spans="1:23" x14ac:dyDescent="0.25">
      <c r="A445" s="169" t="s">
        <v>942</v>
      </c>
      <c r="B445" s="61" t="s">
        <v>391</v>
      </c>
      <c r="C445" s="61" t="s">
        <v>585</v>
      </c>
      <c r="D445" s="61" t="s">
        <v>854</v>
      </c>
      <c r="E445" s="1" t="s">
        <v>349</v>
      </c>
      <c r="F445" s="62" t="str">
        <f t="shared" si="87"/>
        <v>60617</v>
      </c>
      <c r="G445" s="269">
        <v>10620064</v>
      </c>
      <c r="H445" s="1" t="s">
        <v>382</v>
      </c>
      <c r="I445" s="61">
        <v>14</v>
      </c>
      <c r="J445" s="61">
        <v>3.3</v>
      </c>
      <c r="K445" s="61">
        <v>8.1999999999999993</v>
      </c>
      <c r="L445" s="69">
        <f t="shared" si="88"/>
        <v>0.46199999999999997</v>
      </c>
      <c r="M445" s="69">
        <f t="shared" si="89"/>
        <v>1.1479999999999999</v>
      </c>
      <c r="N445" s="56">
        <f>INDEX(Rate_Chart!$A$1:$AK$127,MATCH(Data!J445,Rate_Chart!$A$1:$A$127,0),MATCH(Data!K445,Rate_Chart!$A$1:$AK$1,0))</f>
        <v>36.558139799999999</v>
      </c>
      <c r="O445" s="57">
        <f t="shared" si="90"/>
        <v>511.8139572</v>
      </c>
      <c r="P445" s="58">
        <f t="shared" si="91"/>
        <v>417.0130015209125</v>
      </c>
      <c r="Q445" s="58">
        <f t="shared" si="92"/>
        <v>278.00866768060831</v>
      </c>
      <c r="R445" s="66">
        <f t="shared" si="93"/>
        <v>8.9567442510000017</v>
      </c>
      <c r="S445" s="64">
        <f t="shared" si="94"/>
        <v>52.5</v>
      </c>
      <c r="T445" s="66">
        <f t="shared" si="95"/>
        <v>573.27070145100004</v>
      </c>
      <c r="U445" s="68">
        <f t="shared" si="96"/>
        <v>40.947907246500002</v>
      </c>
      <c r="V445" s="68">
        <f t="shared" si="97"/>
        <v>467.08639444676805</v>
      </c>
      <c r="W445" s="68">
        <f t="shared" si="98"/>
        <v>311.39092963117872</v>
      </c>
    </row>
    <row r="446" spans="1:23" x14ac:dyDescent="0.25">
      <c r="A446" s="169" t="s">
        <v>943</v>
      </c>
      <c r="B446" s="61" t="s">
        <v>390</v>
      </c>
      <c r="C446" s="61" t="s">
        <v>585</v>
      </c>
      <c r="D446" s="61" t="s">
        <v>854</v>
      </c>
      <c r="E446" s="1" t="s">
        <v>349</v>
      </c>
      <c r="F446" s="62" t="str">
        <f t="shared" si="87"/>
        <v>60617</v>
      </c>
      <c r="G446" s="269">
        <v>10620064</v>
      </c>
      <c r="H446" s="1" t="s">
        <v>381</v>
      </c>
      <c r="I446" s="61">
        <v>22</v>
      </c>
      <c r="J446" s="61">
        <v>6</v>
      </c>
      <c r="K446" s="61">
        <v>9</v>
      </c>
      <c r="L446" s="69">
        <f t="shared" si="88"/>
        <v>1.32</v>
      </c>
      <c r="M446" s="69">
        <f t="shared" si="89"/>
        <v>1.98</v>
      </c>
      <c r="N446" s="56">
        <f>INDEX(Rate_Chart!$A$1:$AK$127,MATCH(Data!J446,Rate_Chart!$A$1:$A$127,0),MATCH(Data!K446,Rate_Chart!$A$1:$AK$1,0))</f>
        <v>50.1</v>
      </c>
      <c r="O446" s="57">
        <f t="shared" si="90"/>
        <v>1102.2</v>
      </c>
      <c r="P446" s="58">
        <f t="shared" si="91"/>
        <v>417.5</v>
      </c>
      <c r="Q446" s="58">
        <f t="shared" si="92"/>
        <v>278.33333333333331</v>
      </c>
      <c r="R446" s="66">
        <f t="shared" si="93"/>
        <v>19.288500000000003</v>
      </c>
      <c r="S446" s="64">
        <f t="shared" si="94"/>
        <v>82.5</v>
      </c>
      <c r="T446" s="66">
        <f t="shared" si="95"/>
        <v>1203.9884999999999</v>
      </c>
      <c r="U446" s="68">
        <f t="shared" si="96"/>
        <v>54.726749999999996</v>
      </c>
      <c r="V446" s="68">
        <f t="shared" si="97"/>
        <v>456.05624999999998</v>
      </c>
      <c r="W446" s="68">
        <f t="shared" si="98"/>
        <v>304.03749999999997</v>
      </c>
    </row>
    <row r="447" spans="1:23" x14ac:dyDescent="0.25">
      <c r="A447" s="169" t="s">
        <v>943</v>
      </c>
      <c r="B447" s="61" t="s">
        <v>390</v>
      </c>
      <c r="C447" s="61" t="s">
        <v>585</v>
      </c>
      <c r="D447" s="61" t="s">
        <v>854</v>
      </c>
      <c r="E447" s="1" t="s">
        <v>349</v>
      </c>
      <c r="F447" s="62" t="str">
        <f t="shared" si="87"/>
        <v>60617</v>
      </c>
      <c r="G447" s="269">
        <v>10620064</v>
      </c>
      <c r="H447" s="1" t="s">
        <v>382</v>
      </c>
      <c r="I447" s="61">
        <v>28</v>
      </c>
      <c r="J447" s="61">
        <v>4.2</v>
      </c>
      <c r="K447" s="61">
        <v>8.5</v>
      </c>
      <c r="L447" s="69">
        <f t="shared" si="88"/>
        <v>1.1760000000000002</v>
      </c>
      <c r="M447" s="69">
        <f t="shared" si="89"/>
        <v>2.38</v>
      </c>
      <c r="N447" s="56">
        <f>INDEX(Rate_Chart!$A$1:$AK$127,MATCH(Data!J447,Rate_Chart!$A$1:$A$127,0),MATCH(Data!K447,Rate_Chart!$A$1:$AK$1,0))</f>
        <v>41.145181500000007</v>
      </c>
      <c r="O447" s="57">
        <f t="shared" si="90"/>
        <v>1152.0650820000001</v>
      </c>
      <c r="P447" s="58">
        <f t="shared" si="91"/>
        <v>417.01197466216217</v>
      </c>
      <c r="Q447" s="58">
        <f t="shared" si="92"/>
        <v>278.00798310810814</v>
      </c>
      <c r="R447" s="66">
        <f t="shared" si="93"/>
        <v>20.161138935000004</v>
      </c>
      <c r="S447" s="64">
        <f t="shared" si="94"/>
        <v>105</v>
      </c>
      <c r="T447" s="66">
        <f t="shared" si="95"/>
        <v>1277.2262209350001</v>
      </c>
      <c r="U447" s="68">
        <f t="shared" si="96"/>
        <v>45.615222176250008</v>
      </c>
      <c r="V447" s="68">
        <f t="shared" si="97"/>
        <v>462.31644097550679</v>
      </c>
      <c r="W447" s="68">
        <f t="shared" si="98"/>
        <v>308.21096065033788</v>
      </c>
    </row>
    <row r="448" spans="1:23" x14ac:dyDescent="0.25">
      <c r="A448" s="169" t="s">
        <v>943</v>
      </c>
      <c r="B448" s="61" t="s">
        <v>391</v>
      </c>
      <c r="C448" s="61" t="s">
        <v>585</v>
      </c>
      <c r="D448" s="61" t="s">
        <v>854</v>
      </c>
      <c r="E448" s="1" t="s">
        <v>349</v>
      </c>
      <c r="F448" s="62" t="str">
        <f t="shared" si="87"/>
        <v>60617</v>
      </c>
      <c r="G448" s="269">
        <v>10620064</v>
      </c>
      <c r="H448" s="1" t="s">
        <v>381</v>
      </c>
      <c r="I448" s="61">
        <v>41</v>
      </c>
      <c r="J448" s="61">
        <v>6.4</v>
      </c>
      <c r="K448" s="61">
        <v>9</v>
      </c>
      <c r="L448" s="69">
        <f t="shared" si="88"/>
        <v>2.6240000000000006</v>
      </c>
      <c r="M448" s="69">
        <f t="shared" si="89"/>
        <v>3.69</v>
      </c>
      <c r="N448" s="56">
        <f>INDEX(Rate_Chart!$A$1:$AK$127,MATCH(Data!J448,Rate_Chart!$A$1:$A$127,0),MATCH(Data!K448,Rate_Chart!$A$1:$AK$1,0))</f>
        <v>53.44</v>
      </c>
      <c r="O448" s="57">
        <f t="shared" si="90"/>
        <v>2191.04</v>
      </c>
      <c r="P448" s="58">
        <f t="shared" si="91"/>
        <v>430.96774193548384</v>
      </c>
      <c r="Q448" s="58">
        <f t="shared" si="92"/>
        <v>287.31182795698925</v>
      </c>
      <c r="R448" s="66">
        <f t="shared" si="93"/>
        <v>38.343200000000003</v>
      </c>
      <c r="S448" s="64">
        <f t="shared" si="94"/>
        <v>153.75</v>
      </c>
      <c r="T448" s="66">
        <f t="shared" si="95"/>
        <v>2383.1331999999998</v>
      </c>
      <c r="U448" s="68">
        <f t="shared" si="96"/>
        <v>58.125199999999992</v>
      </c>
      <c r="V448" s="68">
        <f t="shared" si="97"/>
        <v>468.75161290322575</v>
      </c>
      <c r="W448" s="68">
        <f t="shared" si="98"/>
        <v>312.50107526881715</v>
      </c>
    </row>
    <row r="449" spans="1:23" x14ac:dyDescent="0.25">
      <c r="A449" s="169" t="s">
        <v>943</v>
      </c>
      <c r="B449" s="61" t="s">
        <v>391</v>
      </c>
      <c r="C449" s="61" t="s">
        <v>585</v>
      </c>
      <c r="D449" s="61" t="s">
        <v>854</v>
      </c>
      <c r="E449" s="1" t="s">
        <v>349</v>
      </c>
      <c r="F449" s="62" t="str">
        <f t="shared" si="87"/>
        <v>60617</v>
      </c>
      <c r="G449" s="269">
        <v>10620064</v>
      </c>
      <c r="H449" s="1" t="s">
        <v>382</v>
      </c>
      <c r="I449" s="61">
        <v>17</v>
      </c>
      <c r="J449" s="61">
        <v>3.7</v>
      </c>
      <c r="K449" s="61">
        <v>8.4</v>
      </c>
      <c r="L449" s="69">
        <f t="shared" si="88"/>
        <v>0.629</v>
      </c>
      <c r="M449" s="69">
        <f t="shared" si="89"/>
        <v>1.4280000000000002</v>
      </c>
      <c r="N449" s="56">
        <f>INDEX(Rate_Chart!$A$1:$AK$127,MATCH(Data!J449,Rate_Chart!$A$1:$A$127,0),MATCH(Data!K449,Rate_Chart!$A$1:$AK$1,0))</f>
        <v>38.782167600000008</v>
      </c>
      <c r="O449" s="57">
        <f t="shared" si="90"/>
        <v>659.29684920000011</v>
      </c>
      <c r="P449" s="58">
        <f t="shared" si="91"/>
        <v>417.01255483870978</v>
      </c>
      <c r="Q449" s="58">
        <f t="shared" si="92"/>
        <v>278.00836989247318</v>
      </c>
      <c r="R449" s="66">
        <f t="shared" si="93"/>
        <v>11.537694861000004</v>
      </c>
      <c r="S449" s="64">
        <f t="shared" si="94"/>
        <v>63.75</v>
      </c>
      <c r="T449" s="66">
        <f t="shared" si="95"/>
        <v>734.58454406100009</v>
      </c>
      <c r="U449" s="68">
        <f t="shared" si="96"/>
        <v>43.210855533000007</v>
      </c>
      <c r="V449" s="68">
        <f t="shared" si="97"/>
        <v>464.63285519354849</v>
      </c>
      <c r="W449" s="68">
        <f t="shared" si="98"/>
        <v>309.75523679569898</v>
      </c>
    </row>
    <row r="450" spans="1:23" x14ac:dyDescent="0.25">
      <c r="A450" s="169" t="s">
        <v>944</v>
      </c>
      <c r="B450" s="61" t="s">
        <v>390</v>
      </c>
      <c r="C450" s="61" t="s">
        <v>585</v>
      </c>
      <c r="D450" s="61" t="s">
        <v>854</v>
      </c>
      <c r="E450" s="1" t="s">
        <v>349</v>
      </c>
      <c r="F450" s="62" t="str">
        <f t="shared" si="87"/>
        <v>60617</v>
      </c>
      <c r="G450" s="269">
        <v>10620064</v>
      </c>
      <c r="H450" s="1" t="s">
        <v>381</v>
      </c>
      <c r="I450" s="61">
        <v>30</v>
      </c>
      <c r="J450" s="61">
        <v>7</v>
      </c>
      <c r="K450" s="61">
        <v>9</v>
      </c>
      <c r="L450" s="69">
        <f t="shared" si="88"/>
        <v>2.1</v>
      </c>
      <c r="M450" s="69">
        <f t="shared" si="89"/>
        <v>2.7</v>
      </c>
      <c r="N450" s="56">
        <f>INDEX(Rate_Chart!$A$1:$AK$127,MATCH(Data!J450,Rate_Chart!$A$1:$A$127,0),MATCH(Data!K450,Rate_Chart!$A$1:$AK$1,0))</f>
        <v>58.45</v>
      </c>
      <c r="O450" s="57">
        <f t="shared" si="90"/>
        <v>1753.5</v>
      </c>
      <c r="P450" s="58">
        <f t="shared" si="91"/>
        <v>449.61538461538464</v>
      </c>
      <c r="Q450" s="58">
        <f t="shared" si="92"/>
        <v>299.74358974358978</v>
      </c>
      <c r="R450" s="66">
        <f t="shared" si="93"/>
        <v>30.686250000000005</v>
      </c>
      <c r="S450" s="64">
        <f t="shared" si="94"/>
        <v>112.5</v>
      </c>
      <c r="T450" s="66">
        <f t="shared" si="95"/>
        <v>1896.68625</v>
      </c>
      <c r="U450" s="68">
        <f t="shared" si="96"/>
        <v>63.222875000000002</v>
      </c>
      <c r="V450" s="68">
        <f t="shared" si="97"/>
        <v>486.32980769230767</v>
      </c>
      <c r="W450" s="68">
        <f t="shared" si="98"/>
        <v>324.21987179487178</v>
      </c>
    </row>
    <row r="451" spans="1:23" x14ac:dyDescent="0.25">
      <c r="A451" s="169" t="s">
        <v>944</v>
      </c>
      <c r="B451" s="61" t="s">
        <v>390</v>
      </c>
      <c r="C451" s="61" t="s">
        <v>585</v>
      </c>
      <c r="D451" s="61" t="s">
        <v>854</v>
      </c>
      <c r="E451" s="1" t="s">
        <v>349</v>
      </c>
      <c r="F451" s="62" t="str">
        <f t="shared" si="87"/>
        <v>60617</v>
      </c>
      <c r="G451" s="269">
        <v>10620064</v>
      </c>
      <c r="H451" s="1" t="s">
        <v>382</v>
      </c>
      <c r="I451" s="61">
        <v>25</v>
      </c>
      <c r="J451" s="61">
        <v>4.0999999999999996</v>
      </c>
      <c r="K451" s="61">
        <v>8.5</v>
      </c>
      <c r="L451" s="69">
        <f t="shared" si="88"/>
        <v>1.0249999999999999</v>
      </c>
      <c r="M451" s="69">
        <f t="shared" si="89"/>
        <v>2.125</v>
      </c>
      <c r="N451" s="56">
        <f>INDEX(Rate_Chart!$A$1:$AK$127,MATCH(Data!J451,Rate_Chart!$A$1:$A$127,0),MATCH(Data!K451,Rate_Chart!$A$1:$AK$1,0))</f>
        <v>40.728181500000005</v>
      </c>
      <c r="O451" s="57">
        <f t="shared" si="90"/>
        <v>1018.2045375000001</v>
      </c>
      <c r="P451" s="58">
        <f t="shared" si="91"/>
        <v>417.01209726962463</v>
      </c>
      <c r="Q451" s="58">
        <f t="shared" si="92"/>
        <v>278.0080648464164</v>
      </c>
      <c r="R451" s="66">
        <f t="shared" si="93"/>
        <v>17.818579406250002</v>
      </c>
      <c r="S451" s="64">
        <f t="shared" si="94"/>
        <v>93.75</v>
      </c>
      <c r="T451" s="66">
        <f t="shared" si="95"/>
        <v>1129.7731169062502</v>
      </c>
      <c r="U451" s="68">
        <f t="shared" si="96"/>
        <v>45.190924676250006</v>
      </c>
      <c r="V451" s="68">
        <f t="shared" si="97"/>
        <v>462.70571340870316</v>
      </c>
      <c r="W451" s="68">
        <f t="shared" si="98"/>
        <v>308.47047560580211</v>
      </c>
    </row>
    <row r="452" spans="1:23" x14ac:dyDescent="0.25">
      <c r="A452" s="169" t="s">
        <v>944</v>
      </c>
      <c r="B452" s="61" t="s">
        <v>391</v>
      </c>
      <c r="C452" s="61" t="s">
        <v>585</v>
      </c>
      <c r="D452" s="61" t="s">
        <v>854</v>
      </c>
      <c r="E452" s="1" t="s">
        <v>349</v>
      </c>
      <c r="F452" s="62" t="str">
        <f t="shared" si="87"/>
        <v>60617</v>
      </c>
      <c r="G452" s="269">
        <v>10620064</v>
      </c>
      <c r="H452" s="1" t="s">
        <v>381</v>
      </c>
      <c r="I452" s="61">
        <v>33</v>
      </c>
      <c r="J452" s="61">
        <v>8</v>
      </c>
      <c r="K452" s="61">
        <v>9</v>
      </c>
      <c r="L452" s="69">
        <f t="shared" si="88"/>
        <v>2.64</v>
      </c>
      <c r="M452" s="69">
        <f t="shared" si="89"/>
        <v>2.97</v>
      </c>
      <c r="N452" s="56">
        <f>INDEX(Rate_Chart!$A$1:$AK$127,MATCH(Data!J452,Rate_Chart!$A$1:$A$127,0),MATCH(Data!K452,Rate_Chart!$A$1:$AK$1,0))</f>
        <v>66.8</v>
      </c>
      <c r="O452" s="57">
        <f t="shared" si="90"/>
        <v>2204.4</v>
      </c>
      <c r="P452" s="58">
        <f t="shared" si="91"/>
        <v>477.14285714285705</v>
      </c>
      <c r="Q452" s="58">
        <f t="shared" si="92"/>
        <v>318.09523809523802</v>
      </c>
      <c r="R452" s="66">
        <f t="shared" si="93"/>
        <v>38.577000000000005</v>
      </c>
      <c r="S452" s="64">
        <f t="shared" si="94"/>
        <v>123.75</v>
      </c>
      <c r="T452" s="66">
        <f t="shared" si="95"/>
        <v>2366.7269999999999</v>
      </c>
      <c r="U452" s="68">
        <f t="shared" si="96"/>
        <v>71.718999999999994</v>
      </c>
      <c r="V452" s="68">
        <f t="shared" si="97"/>
        <v>512.27857142857135</v>
      </c>
      <c r="W452" s="68">
        <f t="shared" si="98"/>
        <v>341.51904761904757</v>
      </c>
    </row>
    <row r="453" spans="1:23" x14ac:dyDescent="0.25">
      <c r="A453" s="169" t="s">
        <v>944</v>
      </c>
      <c r="B453" s="61" t="s">
        <v>391</v>
      </c>
      <c r="C453" s="61" t="s">
        <v>585</v>
      </c>
      <c r="D453" s="61" t="s">
        <v>854</v>
      </c>
      <c r="E453" s="1" t="s">
        <v>349</v>
      </c>
      <c r="F453" s="62" t="str">
        <f t="shared" ref="F453:F516" si="99">MID(E453,2,5)</f>
        <v>60617</v>
      </c>
      <c r="G453" s="269">
        <v>10620064</v>
      </c>
      <c r="H453" s="1" t="s">
        <v>382</v>
      </c>
      <c r="I453" s="61">
        <v>12</v>
      </c>
      <c r="J453" s="61">
        <v>4</v>
      </c>
      <c r="K453" s="61">
        <v>8.5</v>
      </c>
      <c r="L453" s="69">
        <f t="shared" si="88"/>
        <v>0.48</v>
      </c>
      <c r="M453" s="69">
        <f t="shared" si="89"/>
        <v>1.02</v>
      </c>
      <c r="N453" s="56">
        <f>INDEX(Rate_Chart!$A$1:$AK$127,MATCH(Data!J453,Rate_Chart!$A$1:$A$127,0),MATCH(Data!K453,Rate_Chart!$A$1:$AK$1,0))</f>
        <v>40.311181500000004</v>
      </c>
      <c r="O453" s="57">
        <f t="shared" si="90"/>
        <v>483.73417800000004</v>
      </c>
      <c r="P453" s="58">
        <f t="shared" si="91"/>
        <v>417.0122224137931</v>
      </c>
      <c r="Q453" s="58">
        <f t="shared" si="92"/>
        <v>278.00814827586208</v>
      </c>
      <c r="R453" s="66">
        <f t="shared" si="93"/>
        <v>8.4653481150000012</v>
      </c>
      <c r="S453" s="64">
        <f t="shared" si="94"/>
        <v>45</v>
      </c>
      <c r="T453" s="66">
        <f t="shared" si="95"/>
        <v>537.19952611500003</v>
      </c>
      <c r="U453" s="68">
        <f t="shared" si="96"/>
        <v>44.766627176250005</v>
      </c>
      <c r="V453" s="68">
        <f t="shared" si="97"/>
        <v>463.10303975431032</v>
      </c>
      <c r="W453" s="68">
        <f t="shared" si="98"/>
        <v>308.7353598362069</v>
      </c>
    </row>
    <row r="454" spans="1:23" x14ac:dyDescent="0.25">
      <c r="A454" s="169" t="s">
        <v>945</v>
      </c>
      <c r="B454" s="61" t="s">
        <v>390</v>
      </c>
      <c r="C454" s="61" t="s">
        <v>585</v>
      </c>
      <c r="D454" s="61" t="s">
        <v>854</v>
      </c>
      <c r="E454" s="1" t="s">
        <v>349</v>
      </c>
      <c r="F454" s="62" t="str">
        <f t="shared" si="99"/>
        <v>60617</v>
      </c>
      <c r="G454" s="269">
        <v>10620064</v>
      </c>
      <c r="H454" s="1" t="s">
        <v>381</v>
      </c>
      <c r="I454" s="61">
        <v>27</v>
      </c>
      <c r="J454" s="61">
        <v>6.3</v>
      </c>
      <c r="K454" s="61">
        <v>9</v>
      </c>
      <c r="L454" s="69">
        <f t="shared" si="88"/>
        <v>1.7009999999999998</v>
      </c>
      <c r="M454" s="69">
        <f t="shared" si="89"/>
        <v>2.4300000000000002</v>
      </c>
      <c r="N454" s="56">
        <f>INDEX(Rate_Chart!$A$1:$AK$127,MATCH(Data!J454,Rate_Chart!$A$1:$A$127,0),MATCH(Data!K454,Rate_Chart!$A$1:$AK$1,0))</f>
        <v>52.604999999999997</v>
      </c>
      <c r="O454" s="57">
        <f t="shared" si="90"/>
        <v>1420.3349999999998</v>
      </c>
      <c r="P454" s="58">
        <f t="shared" si="91"/>
        <v>427.6829268292683</v>
      </c>
      <c r="Q454" s="58">
        <f t="shared" si="92"/>
        <v>285.1219512195122</v>
      </c>
      <c r="R454" s="66">
        <f t="shared" si="93"/>
        <v>24.855862500000001</v>
      </c>
      <c r="S454" s="64">
        <f t="shared" si="94"/>
        <v>101.25</v>
      </c>
      <c r="T454" s="66">
        <f t="shared" si="95"/>
        <v>1546.4408624999999</v>
      </c>
      <c r="U454" s="68">
        <f t="shared" si="96"/>
        <v>57.275587499999993</v>
      </c>
      <c r="V454" s="68">
        <f t="shared" si="97"/>
        <v>465.65518292682924</v>
      </c>
      <c r="W454" s="68">
        <f t="shared" si="98"/>
        <v>310.43678861788618</v>
      </c>
    </row>
    <row r="455" spans="1:23" x14ac:dyDescent="0.25">
      <c r="A455" s="169" t="s">
        <v>945</v>
      </c>
      <c r="B455" s="61" t="s">
        <v>390</v>
      </c>
      <c r="C455" s="61" t="s">
        <v>585</v>
      </c>
      <c r="D455" s="61" t="s">
        <v>854</v>
      </c>
      <c r="E455" s="1" t="s">
        <v>349</v>
      </c>
      <c r="F455" s="62" t="str">
        <f t="shared" si="99"/>
        <v>60617</v>
      </c>
      <c r="G455" s="269">
        <v>10620064</v>
      </c>
      <c r="H455" s="1" t="s">
        <v>382</v>
      </c>
      <c r="I455" s="61">
        <v>17</v>
      </c>
      <c r="J455" s="61">
        <v>4.3</v>
      </c>
      <c r="K455" s="61">
        <v>8.1999999999999993</v>
      </c>
      <c r="L455" s="69">
        <f t="shared" si="88"/>
        <v>0.73099999999999998</v>
      </c>
      <c r="M455" s="69">
        <f t="shared" si="89"/>
        <v>1.3939999999999997</v>
      </c>
      <c r="N455" s="56">
        <f>INDEX(Rate_Chart!$A$1:$AK$127,MATCH(Data!J455,Rate_Chart!$A$1:$A$127,0),MATCH(Data!K455,Rate_Chart!$A$1:$AK$1,0))</f>
        <v>40.728139799999994</v>
      </c>
      <c r="O455" s="57">
        <f t="shared" si="90"/>
        <v>692.37837659999991</v>
      </c>
      <c r="P455" s="58">
        <f t="shared" si="91"/>
        <v>417.01167030716726</v>
      </c>
      <c r="Q455" s="58">
        <f t="shared" si="92"/>
        <v>278.00778020477816</v>
      </c>
      <c r="R455" s="66">
        <f t="shared" si="93"/>
        <v>12.116621590499999</v>
      </c>
      <c r="S455" s="64">
        <f t="shared" si="94"/>
        <v>63.75</v>
      </c>
      <c r="T455" s="66">
        <f t="shared" si="95"/>
        <v>768.24499819049993</v>
      </c>
      <c r="U455" s="68">
        <f t="shared" si="96"/>
        <v>45.190882246499996</v>
      </c>
      <c r="V455" s="68">
        <f t="shared" si="97"/>
        <v>462.70527897440275</v>
      </c>
      <c r="W455" s="68">
        <f t="shared" si="98"/>
        <v>308.47018598293516</v>
      </c>
    </row>
    <row r="456" spans="1:23" x14ac:dyDescent="0.25">
      <c r="A456" s="169" t="s">
        <v>945</v>
      </c>
      <c r="B456" s="61" t="s">
        <v>391</v>
      </c>
      <c r="C456" s="61" t="s">
        <v>585</v>
      </c>
      <c r="D456" s="61" t="s">
        <v>854</v>
      </c>
      <c r="E456" s="1" t="s">
        <v>349</v>
      </c>
      <c r="F456" s="62" t="str">
        <f t="shared" si="99"/>
        <v>60617</v>
      </c>
      <c r="G456" s="269">
        <v>10620064</v>
      </c>
      <c r="H456" s="1" t="s">
        <v>381</v>
      </c>
      <c r="I456" s="61">
        <v>33</v>
      </c>
      <c r="J456" s="61">
        <v>7.4</v>
      </c>
      <c r="K456" s="61">
        <v>9</v>
      </c>
      <c r="L456" s="69">
        <f t="shared" si="88"/>
        <v>2.4420000000000002</v>
      </c>
      <c r="M456" s="69">
        <f t="shared" si="89"/>
        <v>2.97</v>
      </c>
      <c r="N456" s="56">
        <f>INDEX(Rate_Chart!$A$1:$AK$127,MATCH(Data!J456,Rate_Chart!$A$1:$A$127,0),MATCH(Data!K456,Rate_Chart!$A$1:$AK$1,0))</f>
        <v>61.790000000000006</v>
      </c>
      <c r="O456" s="57">
        <f t="shared" si="90"/>
        <v>2039.0700000000002</v>
      </c>
      <c r="P456" s="58">
        <f t="shared" si="91"/>
        <v>461.11940298507466</v>
      </c>
      <c r="Q456" s="58">
        <f t="shared" si="92"/>
        <v>307.41293532338312</v>
      </c>
      <c r="R456" s="66">
        <f t="shared" si="93"/>
        <v>35.68372500000001</v>
      </c>
      <c r="S456" s="64">
        <f t="shared" si="94"/>
        <v>123.75</v>
      </c>
      <c r="T456" s="66">
        <f t="shared" si="95"/>
        <v>2198.503725</v>
      </c>
      <c r="U456" s="68">
        <f t="shared" si="96"/>
        <v>66.621324999999999</v>
      </c>
      <c r="V456" s="68">
        <f t="shared" si="97"/>
        <v>497.17406716417906</v>
      </c>
      <c r="W456" s="68">
        <f t="shared" si="98"/>
        <v>331.44937810945271</v>
      </c>
    </row>
    <row r="457" spans="1:23" x14ac:dyDescent="0.25">
      <c r="A457" s="169" t="s">
        <v>945</v>
      </c>
      <c r="B457" s="61" t="s">
        <v>391</v>
      </c>
      <c r="C457" s="61" t="s">
        <v>585</v>
      </c>
      <c r="D457" s="61" t="s">
        <v>854</v>
      </c>
      <c r="E457" s="1" t="s">
        <v>349</v>
      </c>
      <c r="F457" s="62" t="str">
        <f t="shared" si="99"/>
        <v>60617</v>
      </c>
      <c r="G457" s="269">
        <v>10620064</v>
      </c>
      <c r="H457" s="1" t="s">
        <v>382</v>
      </c>
      <c r="I457" s="61">
        <v>9</v>
      </c>
      <c r="J457" s="61">
        <v>3.8</v>
      </c>
      <c r="K457" s="61">
        <v>8.1999999999999993</v>
      </c>
      <c r="L457" s="69">
        <f t="shared" si="88"/>
        <v>0.34199999999999997</v>
      </c>
      <c r="M457" s="69">
        <f t="shared" si="89"/>
        <v>0.73799999999999999</v>
      </c>
      <c r="N457" s="56">
        <f>INDEX(Rate_Chart!$A$1:$AK$127,MATCH(Data!J457,Rate_Chart!$A$1:$A$127,0),MATCH(Data!K457,Rate_Chart!$A$1:$AK$1,0))</f>
        <v>38.6431398</v>
      </c>
      <c r="O457" s="57">
        <f t="shared" si="90"/>
        <v>347.78825819999997</v>
      </c>
      <c r="P457" s="58">
        <f t="shared" si="91"/>
        <v>417.01230000000004</v>
      </c>
      <c r="Q457" s="58">
        <f t="shared" si="92"/>
        <v>278.00820000000004</v>
      </c>
      <c r="R457" s="66">
        <f t="shared" si="93"/>
        <v>6.0862945184999999</v>
      </c>
      <c r="S457" s="64">
        <f t="shared" si="94"/>
        <v>33.75</v>
      </c>
      <c r="T457" s="66">
        <f t="shared" si="95"/>
        <v>387.62455271849996</v>
      </c>
      <c r="U457" s="68">
        <f t="shared" si="96"/>
        <v>43.069394746499995</v>
      </c>
      <c r="V457" s="68">
        <f t="shared" si="97"/>
        <v>464.77764114928056</v>
      </c>
      <c r="W457" s="68">
        <f t="shared" si="98"/>
        <v>309.85176076618706</v>
      </c>
    </row>
    <row r="458" spans="1:23" x14ac:dyDescent="0.25">
      <c r="A458" s="169" t="s">
        <v>946</v>
      </c>
      <c r="B458" s="61" t="s">
        <v>390</v>
      </c>
      <c r="C458" s="61" t="s">
        <v>585</v>
      </c>
      <c r="D458" s="61" t="s">
        <v>854</v>
      </c>
      <c r="E458" s="1" t="s">
        <v>349</v>
      </c>
      <c r="F458" s="62" t="str">
        <f t="shared" si="99"/>
        <v>60617</v>
      </c>
      <c r="G458" s="269">
        <v>10620064</v>
      </c>
      <c r="H458" s="1" t="s">
        <v>381</v>
      </c>
      <c r="I458" s="61">
        <v>54</v>
      </c>
      <c r="J458" s="61">
        <v>6.2</v>
      </c>
      <c r="K458" s="61">
        <v>9</v>
      </c>
      <c r="L458" s="69">
        <f t="shared" si="88"/>
        <v>3.3480000000000003</v>
      </c>
      <c r="M458" s="69">
        <f t="shared" si="89"/>
        <v>4.8600000000000003</v>
      </c>
      <c r="N458" s="56">
        <f>INDEX(Rate_Chart!$A$1:$AK$127,MATCH(Data!J458,Rate_Chart!$A$1:$A$127,0),MATCH(Data!K458,Rate_Chart!$A$1:$AK$1,0))</f>
        <v>51.77</v>
      </c>
      <c r="O458" s="57">
        <f t="shared" si="90"/>
        <v>2795.5800000000004</v>
      </c>
      <c r="P458" s="58">
        <f t="shared" si="91"/>
        <v>424.34426229508199</v>
      </c>
      <c r="Q458" s="58">
        <f t="shared" si="92"/>
        <v>282.89617486338801</v>
      </c>
      <c r="R458" s="66">
        <f t="shared" si="93"/>
        <v>48.922650000000012</v>
      </c>
      <c r="S458" s="64">
        <f t="shared" si="94"/>
        <v>202.5</v>
      </c>
      <c r="T458" s="66">
        <f t="shared" si="95"/>
        <v>3047.0026500000004</v>
      </c>
      <c r="U458" s="68">
        <f t="shared" si="96"/>
        <v>56.425975000000008</v>
      </c>
      <c r="V458" s="68">
        <f t="shared" si="97"/>
        <v>462.50799180327874</v>
      </c>
      <c r="W458" s="68">
        <f t="shared" si="98"/>
        <v>308.33866120218585</v>
      </c>
    </row>
    <row r="459" spans="1:23" x14ac:dyDescent="0.25">
      <c r="A459" s="169" t="s">
        <v>946</v>
      </c>
      <c r="B459" s="61" t="s">
        <v>390</v>
      </c>
      <c r="C459" s="61" t="s">
        <v>585</v>
      </c>
      <c r="D459" s="61" t="s">
        <v>854</v>
      </c>
      <c r="E459" s="1" t="s">
        <v>349</v>
      </c>
      <c r="F459" s="62" t="str">
        <f t="shared" si="99"/>
        <v>60617</v>
      </c>
      <c r="G459" s="269">
        <v>10620064</v>
      </c>
      <c r="H459" s="1" t="s">
        <v>382</v>
      </c>
      <c r="I459" s="61">
        <v>16</v>
      </c>
      <c r="J459" s="61">
        <v>4</v>
      </c>
      <c r="K459" s="61">
        <v>8.5</v>
      </c>
      <c r="L459" s="69">
        <f t="shared" si="88"/>
        <v>0.64</v>
      </c>
      <c r="M459" s="69">
        <f t="shared" si="89"/>
        <v>1.36</v>
      </c>
      <c r="N459" s="56">
        <f>INDEX(Rate_Chart!$A$1:$AK$127,MATCH(Data!J459,Rate_Chart!$A$1:$A$127,0),MATCH(Data!K459,Rate_Chart!$A$1:$AK$1,0))</f>
        <v>40.311181500000004</v>
      </c>
      <c r="O459" s="57">
        <f t="shared" si="90"/>
        <v>644.97890400000006</v>
      </c>
      <c r="P459" s="58">
        <f t="shared" si="91"/>
        <v>417.0122224137931</v>
      </c>
      <c r="Q459" s="58">
        <f t="shared" si="92"/>
        <v>278.00814827586208</v>
      </c>
      <c r="R459" s="66">
        <f t="shared" si="93"/>
        <v>11.287130820000002</v>
      </c>
      <c r="S459" s="64">
        <f t="shared" si="94"/>
        <v>60</v>
      </c>
      <c r="T459" s="66">
        <f t="shared" si="95"/>
        <v>716.26603482000007</v>
      </c>
      <c r="U459" s="68">
        <f t="shared" si="96"/>
        <v>44.766627176250005</v>
      </c>
      <c r="V459" s="68">
        <f t="shared" si="97"/>
        <v>463.10303975431032</v>
      </c>
      <c r="W459" s="68">
        <f t="shared" si="98"/>
        <v>308.7353598362069</v>
      </c>
    </row>
    <row r="460" spans="1:23" x14ac:dyDescent="0.25">
      <c r="A460" s="169" t="s">
        <v>946</v>
      </c>
      <c r="B460" s="61" t="s">
        <v>391</v>
      </c>
      <c r="C460" s="61" t="s">
        <v>585</v>
      </c>
      <c r="D460" s="61" t="s">
        <v>854</v>
      </c>
      <c r="E460" s="1" t="s">
        <v>349</v>
      </c>
      <c r="F460" s="62" t="str">
        <f t="shared" si="99"/>
        <v>60617</v>
      </c>
      <c r="G460" s="269">
        <v>10620064</v>
      </c>
      <c r="H460" s="1" t="s">
        <v>381</v>
      </c>
      <c r="I460" s="61">
        <v>40</v>
      </c>
      <c r="J460" s="61">
        <v>7</v>
      </c>
      <c r="K460" s="61">
        <v>9</v>
      </c>
      <c r="L460" s="69">
        <f t="shared" si="88"/>
        <v>2.8</v>
      </c>
      <c r="M460" s="69">
        <f t="shared" si="89"/>
        <v>3.6</v>
      </c>
      <c r="N460" s="56">
        <f>INDEX(Rate_Chart!$A$1:$AK$127,MATCH(Data!J460,Rate_Chart!$A$1:$A$127,0),MATCH(Data!K460,Rate_Chart!$A$1:$AK$1,0))</f>
        <v>58.45</v>
      </c>
      <c r="O460" s="57">
        <f t="shared" si="90"/>
        <v>2338</v>
      </c>
      <c r="P460" s="58">
        <f t="shared" si="91"/>
        <v>449.61538461538464</v>
      </c>
      <c r="Q460" s="58">
        <f t="shared" si="92"/>
        <v>299.74358974358978</v>
      </c>
      <c r="R460" s="66">
        <f t="shared" si="93"/>
        <v>40.915000000000006</v>
      </c>
      <c r="S460" s="64">
        <f t="shared" si="94"/>
        <v>150</v>
      </c>
      <c r="T460" s="66">
        <f t="shared" si="95"/>
        <v>2528.915</v>
      </c>
      <c r="U460" s="68">
        <f t="shared" si="96"/>
        <v>63.222875000000002</v>
      </c>
      <c r="V460" s="68">
        <f t="shared" si="97"/>
        <v>486.32980769230767</v>
      </c>
      <c r="W460" s="68">
        <f t="shared" si="98"/>
        <v>324.21987179487178</v>
      </c>
    </row>
    <row r="461" spans="1:23" x14ac:dyDescent="0.25">
      <c r="A461" s="169" t="s">
        <v>946</v>
      </c>
      <c r="B461" s="61" t="s">
        <v>391</v>
      </c>
      <c r="C461" s="61" t="s">
        <v>585</v>
      </c>
      <c r="D461" s="61" t="s">
        <v>854</v>
      </c>
      <c r="E461" s="1" t="s">
        <v>349</v>
      </c>
      <c r="F461" s="62" t="str">
        <f t="shared" si="99"/>
        <v>60617</v>
      </c>
      <c r="G461" s="269">
        <v>10620064</v>
      </c>
      <c r="H461" s="1" t="s">
        <v>382</v>
      </c>
      <c r="I461" s="61">
        <v>24</v>
      </c>
      <c r="J461" s="61">
        <v>4.8</v>
      </c>
      <c r="K461" s="61">
        <v>8.5</v>
      </c>
      <c r="L461" s="69">
        <f t="shared" si="88"/>
        <v>1.1519999999999999</v>
      </c>
      <c r="M461" s="69">
        <f t="shared" si="89"/>
        <v>2.04</v>
      </c>
      <c r="N461" s="56">
        <f>INDEX(Rate_Chart!$A$1:$AK$127,MATCH(Data!J461,Rate_Chart!$A$1:$A$127,0),MATCH(Data!K461,Rate_Chart!$A$1:$AK$1,0))</f>
        <v>43.647181500000002</v>
      </c>
      <c r="O461" s="57">
        <f t="shared" si="90"/>
        <v>1047.5323560000002</v>
      </c>
      <c r="P461" s="58">
        <f t="shared" si="91"/>
        <v>417.0112882165605</v>
      </c>
      <c r="Q461" s="58">
        <f t="shared" si="92"/>
        <v>278.00752547770702</v>
      </c>
      <c r="R461" s="66">
        <f t="shared" si="93"/>
        <v>18.331816230000005</v>
      </c>
      <c r="S461" s="64">
        <f t="shared" si="94"/>
        <v>90</v>
      </c>
      <c r="T461" s="66">
        <f t="shared" si="95"/>
        <v>1155.8641722300001</v>
      </c>
      <c r="U461" s="68">
        <f t="shared" si="96"/>
        <v>48.161007176250003</v>
      </c>
      <c r="V461" s="68">
        <f t="shared" si="97"/>
        <v>460.13701123805731</v>
      </c>
      <c r="W461" s="68">
        <f t="shared" si="98"/>
        <v>306.75800749203819</v>
      </c>
    </row>
    <row r="462" spans="1:23" x14ac:dyDescent="0.25">
      <c r="A462" s="169" t="s">
        <v>947</v>
      </c>
      <c r="B462" s="61" t="s">
        <v>390</v>
      </c>
      <c r="C462" s="61" t="s">
        <v>585</v>
      </c>
      <c r="D462" s="61" t="s">
        <v>854</v>
      </c>
      <c r="E462" s="1" t="s">
        <v>349</v>
      </c>
      <c r="F462" s="62" t="str">
        <f t="shared" si="99"/>
        <v>60617</v>
      </c>
      <c r="G462" s="269">
        <v>10620064</v>
      </c>
      <c r="H462" s="1" t="s">
        <v>381</v>
      </c>
      <c r="I462" s="61">
        <v>51</v>
      </c>
      <c r="J462" s="61">
        <v>6.8</v>
      </c>
      <c r="K462" s="61">
        <v>9</v>
      </c>
      <c r="L462" s="69">
        <f t="shared" si="88"/>
        <v>3.468</v>
      </c>
      <c r="M462" s="69">
        <f t="shared" si="89"/>
        <v>4.59</v>
      </c>
      <c r="N462" s="56">
        <f>INDEX(Rate_Chart!$A$1:$AK$127,MATCH(Data!J462,Rate_Chart!$A$1:$A$127,0),MATCH(Data!K462,Rate_Chart!$A$1:$AK$1,0))</f>
        <v>56.78</v>
      </c>
      <c r="O462" s="57">
        <f t="shared" si="90"/>
        <v>2895.78</v>
      </c>
      <c r="P462" s="58">
        <f t="shared" si="91"/>
        <v>443.59375</v>
      </c>
      <c r="Q462" s="58">
        <f t="shared" si="92"/>
        <v>295.72916666666669</v>
      </c>
      <c r="R462" s="66">
        <f t="shared" si="93"/>
        <v>50.676150000000007</v>
      </c>
      <c r="S462" s="64">
        <f t="shared" si="94"/>
        <v>191.25</v>
      </c>
      <c r="T462" s="66">
        <f t="shared" si="95"/>
        <v>3137.70615</v>
      </c>
      <c r="U462" s="68">
        <f t="shared" si="96"/>
        <v>61.523649999999996</v>
      </c>
      <c r="V462" s="68">
        <f t="shared" si="97"/>
        <v>480.65351562499995</v>
      </c>
      <c r="W462" s="68">
        <f t="shared" si="98"/>
        <v>320.4356770833333</v>
      </c>
    </row>
    <row r="463" spans="1:23" x14ac:dyDescent="0.25">
      <c r="A463" s="169" t="s">
        <v>947</v>
      </c>
      <c r="B463" s="61" t="s">
        <v>390</v>
      </c>
      <c r="C463" s="61" t="s">
        <v>585</v>
      </c>
      <c r="D463" s="61" t="s">
        <v>854</v>
      </c>
      <c r="E463" s="1" t="s">
        <v>349</v>
      </c>
      <c r="F463" s="62" t="str">
        <f t="shared" si="99"/>
        <v>60617</v>
      </c>
      <c r="G463" s="269">
        <v>10620064</v>
      </c>
      <c r="H463" s="1" t="s">
        <v>382</v>
      </c>
      <c r="I463" s="61">
        <v>27</v>
      </c>
      <c r="J463" s="61">
        <v>4.5999999999999996</v>
      </c>
      <c r="K463" s="61">
        <v>8.5</v>
      </c>
      <c r="L463" s="69">
        <f t="shared" si="88"/>
        <v>1.242</v>
      </c>
      <c r="M463" s="69">
        <f t="shared" si="89"/>
        <v>2.2949999999999999</v>
      </c>
      <c r="N463" s="56">
        <f>INDEX(Rate_Chart!$A$1:$AK$127,MATCH(Data!J463,Rate_Chart!$A$1:$A$127,0),MATCH(Data!K463,Rate_Chart!$A$1:$AK$1,0))</f>
        <v>42.813181499999999</v>
      </c>
      <c r="O463" s="57">
        <f t="shared" si="90"/>
        <v>1155.9559004999999</v>
      </c>
      <c r="P463" s="58">
        <f t="shared" si="91"/>
        <v>417.01150811688308</v>
      </c>
      <c r="Q463" s="58">
        <f t="shared" si="92"/>
        <v>278.00767207792205</v>
      </c>
      <c r="R463" s="66">
        <f t="shared" si="93"/>
        <v>20.229228258749998</v>
      </c>
      <c r="S463" s="64">
        <f t="shared" si="94"/>
        <v>101.25</v>
      </c>
      <c r="T463" s="66">
        <f t="shared" si="95"/>
        <v>1277.4351287587499</v>
      </c>
      <c r="U463" s="68">
        <f t="shared" si="96"/>
        <v>47.31241217625</v>
      </c>
      <c r="V463" s="68">
        <f t="shared" si="97"/>
        <v>460.83518353490257</v>
      </c>
      <c r="W463" s="68">
        <f t="shared" si="98"/>
        <v>307.22345568993507</v>
      </c>
    </row>
    <row r="464" spans="1:23" x14ac:dyDescent="0.25">
      <c r="A464" s="169" t="s">
        <v>947</v>
      </c>
      <c r="B464" s="61" t="s">
        <v>391</v>
      </c>
      <c r="C464" s="61" t="s">
        <v>585</v>
      </c>
      <c r="D464" s="61" t="s">
        <v>854</v>
      </c>
      <c r="E464" s="1" t="s">
        <v>349</v>
      </c>
      <c r="F464" s="62" t="str">
        <f t="shared" si="99"/>
        <v>60617</v>
      </c>
      <c r="G464" s="269">
        <v>10620064</v>
      </c>
      <c r="H464" s="1" t="s">
        <v>381</v>
      </c>
      <c r="I464" s="61">
        <v>52</v>
      </c>
      <c r="J464" s="61">
        <v>6.7</v>
      </c>
      <c r="K464" s="61">
        <v>9</v>
      </c>
      <c r="L464" s="69">
        <f t="shared" si="88"/>
        <v>3.4840000000000004</v>
      </c>
      <c r="M464" s="69">
        <f t="shared" si="89"/>
        <v>4.68</v>
      </c>
      <c r="N464" s="56">
        <f>INDEX(Rate_Chart!$A$1:$AK$127,MATCH(Data!J464,Rate_Chart!$A$1:$A$127,0),MATCH(Data!K464,Rate_Chart!$A$1:$AK$1,0))</f>
        <v>55.945</v>
      </c>
      <c r="O464" s="57">
        <f t="shared" si="90"/>
        <v>2909.14</v>
      </c>
      <c r="P464" s="58">
        <f t="shared" si="91"/>
        <v>440.51181102362204</v>
      </c>
      <c r="Q464" s="58">
        <f t="shared" si="92"/>
        <v>293.67454068241472</v>
      </c>
      <c r="R464" s="66">
        <f t="shared" si="93"/>
        <v>50.909950000000002</v>
      </c>
      <c r="S464" s="64">
        <f t="shared" si="94"/>
        <v>195</v>
      </c>
      <c r="T464" s="66">
        <f t="shared" si="95"/>
        <v>3155.0499500000001</v>
      </c>
      <c r="U464" s="68">
        <f t="shared" si="96"/>
        <v>60.674037500000004</v>
      </c>
      <c r="V464" s="68">
        <f t="shared" si="97"/>
        <v>477.74832677165358</v>
      </c>
      <c r="W464" s="68">
        <f t="shared" si="98"/>
        <v>318.4988845144357</v>
      </c>
    </row>
    <row r="465" spans="1:23" x14ac:dyDescent="0.25">
      <c r="A465" s="169" t="s">
        <v>947</v>
      </c>
      <c r="B465" s="61" t="s">
        <v>391</v>
      </c>
      <c r="C465" s="61" t="s">
        <v>585</v>
      </c>
      <c r="D465" s="61" t="s">
        <v>854</v>
      </c>
      <c r="E465" s="1" t="s">
        <v>349</v>
      </c>
      <c r="F465" s="62" t="str">
        <f t="shared" si="99"/>
        <v>60617</v>
      </c>
      <c r="G465" s="269">
        <v>10620064</v>
      </c>
      <c r="H465" s="1" t="s">
        <v>382</v>
      </c>
      <c r="I465" s="61">
        <v>16</v>
      </c>
      <c r="J465" s="61">
        <v>3.8</v>
      </c>
      <c r="K465" s="61">
        <v>8.5</v>
      </c>
      <c r="L465" s="69">
        <f t="shared" si="88"/>
        <v>0.60799999999999998</v>
      </c>
      <c r="M465" s="69">
        <f t="shared" si="89"/>
        <v>1.36</v>
      </c>
      <c r="N465" s="56">
        <f>INDEX(Rate_Chart!$A$1:$AK$127,MATCH(Data!J465,Rate_Chart!$A$1:$A$127,0),MATCH(Data!K465,Rate_Chart!$A$1:$AK$1,0))</f>
        <v>39.4771815</v>
      </c>
      <c r="O465" s="57">
        <f t="shared" si="90"/>
        <v>631.63490400000001</v>
      </c>
      <c r="P465" s="58">
        <f t="shared" si="91"/>
        <v>417.0124806338028</v>
      </c>
      <c r="Q465" s="58">
        <f t="shared" si="92"/>
        <v>278.00832042253518</v>
      </c>
      <c r="R465" s="66">
        <f t="shared" si="93"/>
        <v>11.053610820000001</v>
      </c>
      <c r="S465" s="64">
        <f t="shared" si="94"/>
        <v>60</v>
      </c>
      <c r="T465" s="66">
        <f t="shared" si="95"/>
        <v>702.68851482000002</v>
      </c>
      <c r="U465" s="68">
        <f t="shared" si="96"/>
        <v>43.918032176250001</v>
      </c>
      <c r="V465" s="68">
        <f t="shared" si="97"/>
        <v>463.92287510123236</v>
      </c>
      <c r="W465" s="68">
        <f t="shared" si="98"/>
        <v>309.28191673415489</v>
      </c>
    </row>
    <row r="466" spans="1:23" x14ac:dyDescent="0.25">
      <c r="A466" s="169" t="s">
        <v>941</v>
      </c>
      <c r="B466" s="61" t="s">
        <v>390</v>
      </c>
      <c r="C466" s="61" t="s">
        <v>585</v>
      </c>
      <c r="D466" s="61" t="s">
        <v>854</v>
      </c>
      <c r="E466" s="1" t="s">
        <v>350</v>
      </c>
      <c r="F466" s="62" t="str">
        <f t="shared" si="99"/>
        <v>60627</v>
      </c>
      <c r="G466" s="269">
        <v>10620077</v>
      </c>
      <c r="H466" s="1" t="s">
        <v>381</v>
      </c>
      <c r="I466" s="61">
        <v>19</v>
      </c>
      <c r="J466" s="61">
        <v>6.3</v>
      </c>
      <c r="K466" s="61">
        <v>9</v>
      </c>
      <c r="L466" s="69">
        <f t="shared" si="88"/>
        <v>1.1970000000000001</v>
      </c>
      <c r="M466" s="69">
        <f t="shared" si="89"/>
        <v>1.71</v>
      </c>
      <c r="N466" s="56">
        <f>INDEX(Rate_Chart!$A$1:$AK$127,MATCH(Data!J466,Rate_Chart!$A$1:$A$127,0),MATCH(Data!K466,Rate_Chart!$A$1:$AK$1,0))</f>
        <v>52.604999999999997</v>
      </c>
      <c r="O466" s="57">
        <f t="shared" si="90"/>
        <v>999.49499999999989</v>
      </c>
      <c r="P466" s="58">
        <f t="shared" si="91"/>
        <v>427.6829268292683</v>
      </c>
      <c r="Q466" s="58">
        <f t="shared" si="92"/>
        <v>285.1219512195122</v>
      </c>
      <c r="R466" s="66">
        <f t="shared" si="93"/>
        <v>17.491162500000002</v>
      </c>
      <c r="S466" s="64">
        <f t="shared" si="94"/>
        <v>71.25</v>
      </c>
      <c r="T466" s="66">
        <f t="shared" si="95"/>
        <v>1088.2361624999999</v>
      </c>
      <c r="U466" s="68">
        <f t="shared" si="96"/>
        <v>57.275587499999993</v>
      </c>
      <c r="V466" s="68">
        <f t="shared" si="97"/>
        <v>465.65518292682924</v>
      </c>
      <c r="W466" s="68">
        <f t="shared" si="98"/>
        <v>310.43678861788618</v>
      </c>
    </row>
    <row r="467" spans="1:23" x14ac:dyDescent="0.25">
      <c r="A467" s="169" t="s">
        <v>941</v>
      </c>
      <c r="B467" s="61" t="s">
        <v>391</v>
      </c>
      <c r="C467" s="61" t="s">
        <v>585</v>
      </c>
      <c r="D467" s="61" t="s">
        <v>854</v>
      </c>
      <c r="E467" s="1" t="s">
        <v>350</v>
      </c>
      <c r="F467" s="62" t="str">
        <f t="shared" si="99"/>
        <v>60627</v>
      </c>
      <c r="G467" s="269">
        <v>10620077</v>
      </c>
      <c r="H467" s="1" t="s">
        <v>382</v>
      </c>
      <c r="I467" s="61">
        <v>13</v>
      </c>
      <c r="J467" s="61">
        <v>3.5</v>
      </c>
      <c r="K467" s="61">
        <v>8.5</v>
      </c>
      <c r="L467" s="69">
        <f t="shared" si="88"/>
        <v>0.45500000000000002</v>
      </c>
      <c r="M467" s="69">
        <f t="shared" si="89"/>
        <v>1.105</v>
      </c>
      <c r="N467" s="56">
        <f>INDEX(Rate_Chart!$A$1:$AK$127,MATCH(Data!J467,Rate_Chart!$A$1:$A$127,0),MATCH(Data!K467,Rate_Chart!$A$1:$AK$1,0))</f>
        <v>38.226181500000003</v>
      </c>
      <c r="O467" s="57">
        <f t="shared" si="90"/>
        <v>496.94035950000006</v>
      </c>
      <c r="P467" s="58">
        <f t="shared" si="91"/>
        <v>417.01288909090908</v>
      </c>
      <c r="Q467" s="58">
        <f t="shared" si="92"/>
        <v>278.00859272727274</v>
      </c>
      <c r="R467" s="66">
        <f t="shared" si="93"/>
        <v>8.6964562912500014</v>
      </c>
      <c r="S467" s="64">
        <f t="shared" si="94"/>
        <v>48.75</v>
      </c>
      <c r="T467" s="66">
        <f t="shared" si="95"/>
        <v>554.38681579125</v>
      </c>
      <c r="U467" s="68">
        <f t="shared" si="96"/>
        <v>42.645139676249997</v>
      </c>
      <c r="V467" s="68">
        <f t="shared" si="97"/>
        <v>465.21970555909081</v>
      </c>
      <c r="W467" s="68">
        <f t="shared" si="98"/>
        <v>310.14647037272721</v>
      </c>
    </row>
    <row r="468" spans="1:23" x14ac:dyDescent="0.25">
      <c r="A468" s="169" t="s">
        <v>942</v>
      </c>
      <c r="B468" s="61" t="s">
        <v>390</v>
      </c>
      <c r="C468" s="61" t="s">
        <v>585</v>
      </c>
      <c r="D468" s="61" t="s">
        <v>854</v>
      </c>
      <c r="E468" s="1" t="s">
        <v>350</v>
      </c>
      <c r="F468" s="62" t="str">
        <f t="shared" si="99"/>
        <v>60627</v>
      </c>
      <c r="G468" s="269">
        <v>10620077</v>
      </c>
      <c r="H468" s="1" t="s">
        <v>381</v>
      </c>
      <c r="I468" s="61">
        <v>40</v>
      </c>
      <c r="J468" s="61">
        <v>6.3</v>
      </c>
      <c r="K468" s="61">
        <v>9</v>
      </c>
      <c r="L468" s="69">
        <f t="shared" si="88"/>
        <v>2.52</v>
      </c>
      <c r="M468" s="69">
        <f t="shared" si="89"/>
        <v>3.6</v>
      </c>
      <c r="N468" s="56">
        <f>INDEX(Rate_Chart!$A$1:$AK$127,MATCH(Data!J468,Rate_Chart!$A$1:$A$127,0),MATCH(Data!K468,Rate_Chart!$A$1:$AK$1,0))</f>
        <v>52.604999999999997</v>
      </c>
      <c r="O468" s="57">
        <f t="shared" si="90"/>
        <v>2104.1999999999998</v>
      </c>
      <c r="P468" s="58">
        <f t="shared" si="91"/>
        <v>427.6829268292683</v>
      </c>
      <c r="Q468" s="58">
        <f t="shared" si="92"/>
        <v>285.1219512195122</v>
      </c>
      <c r="R468" s="66">
        <f t="shared" si="93"/>
        <v>36.823500000000003</v>
      </c>
      <c r="S468" s="64">
        <f t="shared" si="94"/>
        <v>150</v>
      </c>
      <c r="T468" s="66">
        <f t="shared" si="95"/>
        <v>2291.0234999999998</v>
      </c>
      <c r="U468" s="68">
        <f t="shared" si="96"/>
        <v>57.275587499999993</v>
      </c>
      <c r="V468" s="68">
        <f t="shared" si="97"/>
        <v>465.65518292682924</v>
      </c>
      <c r="W468" s="68">
        <f t="shared" si="98"/>
        <v>310.43678861788618</v>
      </c>
    </row>
    <row r="469" spans="1:23" x14ac:dyDescent="0.25">
      <c r="A469" s="169" t="s">
        <v>942</v>
      </c>
      <c r="B469" s="61" t="s">
        <v>390</v>
      </c>
      <c r="C469" s="61" t="s">
        <v>585</v>
      </c>
      <c r="D469" s="61" t="s">
        <v>854</v>
      </c>
      <c r="E469" s="1" t="s">
        <v>350</v>
      </c>
      <c r="F469" s="62" t="str">
        <f t="shared" si="99"/>
        <v>60627</v>
      </c>
      <c r="G469" s="269">
        <v>10620077</v>
      </c>
      <c r="H469" s="1" t="s">
        <v>382</v>
      </c>
      <c r="I469" s="61">
        <v>36</v>
      </c>
      <c r="J469" s="61">
        <v>3</v>
      </c>
      <c r="K469" s="61">
        <v>8</v>
      </c>
      <c r="L469" s="69">
        <f t="shared" si="88"/>
        <v>1.08</v>
      </c>
      <c r="M469" s="69">
        <f t="shared" si="89"/>
        <v>2.88</v>
      </c>
      <c r="N469" s="56">
        <f>INDEX(Rate_Chart!$A$1:$AK$127,MATCH(Data!J469,Rate_Chart!$A$1:$A$127,0),MATCH(Data!K469,Rate_Chart!$A$1:$AK$1,0))</f>
        <v>34.751112000000006</v>
      </c>
      <c r="O469" s="57">
        <f t="shared" si="90"/>
        <v>1251.0400320000003</v>
      </c>
      <c r="P469" s="58">
        <f t="shared" si="91"/>
        <v>417.01334400000002</v>
      </c>
      <c r="Q469" s="58">
        <f t="shared" si="92"/>
        <v>278.00889599999999</v>
      </c>
      <c r="R469" s="66">
        <f t="shared" si="93"/>
        <v>21.893200560000007</v>
      </c>
      <c r="S469" s="64">
        <f t="shared" si="94"/>
        <v>135</v>
      </c>
      <c r="T469" s="66">
        <f t="shared" si="95"/>
        <v>1407.9332325600003</v>
      </c>
      <c r="U469" s="68">
        <f t="shared" si="96"/>
        <v>39.109256460000012</v>
      </c>
      <c r="V469" s="68">
        <f t="shared" si="97"/>
        <v>469.31107752000008</v>
      </c>
      <c r="W469" s="68">
        <f t="shared" si="98"/>
        <v>312.87405168000004</v>
      </c>
    </row>
    <row r="470" spans="1:23" x14ac:dyDescent="0.25">
      <c r="A470" s="169" t="s">
        <v>942</v>
      </c>
      <c r="B470" s="61" t="s">
        <v>391</v>
      </c>
      <c r="C470" s="61" t="s">
        <v>585</v>
      </c>
      <c r="D470" s="61" t="s">
        <v>854</v>
      </c>
      <c r="E470" s="1" t="s">
        <v>350</v>
      </c>
      <c r="F470" s="62" t="str">
        <f t="shared" si="99"/>
        <v>60627</v>
      </c>
      <c r="G470" s="269">
        <v>10620077</v>
      </c>
      <c r="H470" s="1" t="s">
        <v>382</v>
      </c>
      <c r="I470" s="61">
        <v>32</v>
      </c>
      <c r="J470" s="61">
        <v>3.5</v>
      </c>
      <c r="K470" s="61">
        <v>8</v>
      </c>
      <c r="L470" s="69">
        <f t="shared" si="88"/>
        <v>1.1200000000000001</v>
      </c>
      <c r="M470" s="69">
        <f t="shared" si="89"/>
        <v>2.56</v>
      </c>
      <c r="N470" s="56">
        <f>INDEX(Rate_Chart!$A$1:$AK$127,MATCH(Data!J470,Rate_Chart!$A$1:$A$127,0),MATCH(Data!K470,Rate_Chart!$A$1:$AK$1,0))</f>
        <v>36.836112000000007</v>
      </c>
      <c r="O470" s="57">
        <f t="shared" si="90"/>
        <v>1178.7555840000002</v>
      </c>
      <c r="P470" s="58">
        <f t="shared" si="91"/>
        <v>417.01258867924531</v>
      </c>
      <c r="Q470" s="58">
        <f t="shared" si="92"/>
        <v>278.00839245283021</v>
      </c>
      <c r="R470" s="66">
        <f t="shared" si="93"/>
        <v>20.628222720000007</v>
      </c>
      <c r="S470" s="64">
        <f t="shared" si="94"/>
        <v>120</v>
      </c>
      <c r="T470" s="66">
        <f t="shared" si="95"/>
        <v>1319.3838067200002</v>
      </c>
      <c r="U470" s="68">
        <f t="shared" si="96"/>
        <v>41.230743960000005</v>
      </c>
      <c r="V470" s="68">
        <f t="shared" si="97"/>
        <v>466.76313916981132</v>
      </c>
      <c r="W470" s="68">
        <f t="shared" si="98"/>
        <v>311.17542611320755</v>
      </c>
    </row>
    <row r="471" spans="1:23" x14ac:dyDescent="0.25">
      <c r="A471" s="169" t="s">
        <v>943</v>
      </c>
      <c r="B471" s="61" t="s">
        <v>390</v>
      </c>
      <c r="C471" s="61" t="s">
        <v>585</v>
      </c>
      <c r="D471" s="61" t="s">
        <v>854</v>
      </c>
      <c r="E471" s="1" t="s">
        <v>350</v>
      </c>
      <c r="F471" s="62" t="str">
        <f t="shared" si="99"/>
        <v>60627</v>
      </c>
      <c r="G471" s="269">
        <v>10620077</v>
      </c>
      <c r="H471" s="1" t="s">
        <v>381</v>
      </c>
      <c r="I471" s="61">
        <v>33</v>
      </c>
      <c r="J471" s="61">
        <v>6.8</v>
      </c>
      <c r="K471" s="61">
        <v>9</v>
      </c>
      <c r="L471" s="69">
        <f t="shared" si="88"/>
        <v>2.2440000000000002</v>
      </c>
      <c r="M471" s="69">
        <f t="shared" si="89"/>
        <v>2.97</v>
      </c>
      <c r="N471" s="56">
        <f>INDEX(Rate_Chart!$A$1:$AK$127,MATCH(Data!J471,Rate_Chart!$A$1:$A$127,0),MATCH(Data!K471,Rate_Chart!$A$1:$AK$1,0))</f>
        <v>56.78</v>
      </c>
      <c r="O471" s="57">
        <f t="shared" si="90"/>
        <v>1873.74</v>
      </c>
      <c r="P471" s="58">
        <f t="shared" si="91"/>
        <v>443.59375</v>
      </c>
      <c r="Q471" s="58">
        <f t="shared" si="92"/>
        <v>295.72916666666669</v>
      </c>
      <c r="R471" s="66">
        <f t="shared" si="93"/>
        <v>32.79045</v>
      </c>
      <c r="S471" s="64">
        <f t="shared" si="94"/>
        <v>123.75</v>
      </c>
      <c r="T471" s="66">
        <f t="shared" si="95"/>
        <v>2030.28045</v>
      </c>
      <c r="U471" s="68">
        <f t="shared" si="96"/>
        <v>61.523649999999996</v>
      </c>
      <c r="V471" s="68">
        <f t="shared" si="97"/>
        <v>480.65351562499995</v>
      </c>
      <c r="W471" s="68">
        <f t="shared" si="98"/>
        <v>320.4356770833333</v>
      </c>
    </row>
    <row r="472" spans="1:23" x14ac:dyDescent="0.25">
      <c r="A472" s="169" t="s">
        <v>943</v>
      </c>
      <c r="B472" s="61" t="s">
        <v>390</v>
      </c>
      <c r="C472" s="61" t="s">
        <v>585</v>
      </c>
      <c r="D472" s="61" t="s">
        <v>854</v>
      </c>
      <c r="E472" s="1" t="s">
        <v>350</v>
      </c>
      <c r="F472" s="62" t="str">
        <f t="shared" si="99"/>
        <v>60627</v>
      </c>
      <c r="G472" s="269">
        <v>10620077</v>
      </c>
      <c r="H472" s="1" t="s">
        <v>382</v>
      </c>
      <c r="I472" s="61">
        <v>32</v>
      </c>
      <c r="J472" s="61">
        <v>3.2</v>
      </c>
      <c r="K472" s="61">
        <v>8.1999999999999993</v>
      </c>
      <c r="L472" s="69">
        <f t="shared" si="88"/>
        <v>1.024</v>
      </c>
      <c r="M472" s="69">
        <f t="shared" si="89"/>
        <v>2.6239999999999997</v>
      </c>
      <c r="N472" s="56">
        <f>INDEX(Rate_Chart!$A$1:$AK$127,MATCH(Data!J472,Rate_Chart!$A$1:$A$127,0),MATCH(Data!K472,Rate_Chart!$A$1:$AK$1,0))</f>
        <v>36.141139799999998</v>
      </c>
      <c r="O472" s="57">
        <f t="shared" si="90"/>
        <v>1156.5164735999999</v>
      </c>
      <c r="P472" s="58">
        <f t="shared" si="91"/>
        <v>417.0131515384615</v>
      </c>
      <c r="Q472" s="58">
        <f t="shared" si="92"/>
        <v>278.00876769230769</v>
      </c>
      <c r="R472" s="66">
        <f t="shared" si="93"/>
        <v>20.239038288</v>
      </c>
      <c r="S472" s="64">
        <f t="shared" si="94"/>
        <v>120</v>
      </c>
      <c r="T472" s="66">
        <f t="shared" si="95"/>
        <v>1296.755511888</v>
      </c>
      <c r="U472" s="68">
        <f t="shared" si="96"/>
        <v>40.5236097465</v>
      </c>
      <c r="V472" s="68">
        <f t="shared" si="97"/>
        <v>467.58011245961535</v>
      </c>
      <c r="W472" s="68">
        <f t="shared" si="98"/>
        <v>311.72007497307692</v>
      </c>
    </row>
    <row r="473" spans="1:23" x14ac:dyDescent="0.25">
      <c r="A473" s="169" t="s">
        <v>943</v>
      </c>
      <c r="B473" s="61" t="s">
        <v>391</v>
      </c>
      <c r="C473" s="61" t="s">
        <v>585</v>
      </c>
      <c r="D473" s="61" t="s">
        <v>854</v>
      </c>
      <c r="E473" s="1" t="s">
        <v>350</v>
      </c>
      <c r="F473" s="62" t="str">
        <f t="shared" si="99"/>
        <v>60627</v>
      </c>
      <c r="G473" s="269">
        <v>10620077</v>
      </c>
      <c r="H473" s="1" t="s">
        <v>382</v>
      </c>
      <c r="I473" s="61">
        <v>19</v>
      </c>
      <c r="J473" s="61">
        <v>3.1</v>
      </c>
      <c r="K473" s="61">
        <v>8.1</v>
      </c>
      <c r="L473" s="69">
        <f t="shared" si="88"/>
        <v>0.58899999999999997</v>
      </c>
      <c r="M473" s="69">
        <f t="shared" si="89"/>
        <v>1.5390000000000001</v>
      </c>
      <c r="N473" s="56">
        <f>INDEX(Rate_Chart!$A$1:$AK$127,MATCH(Data!J473,Rate_Chart!$A$1:$A$127,0),MATCH(Data!K473,Rate_Chart!$A$1:$AK$1,0))</f>
        <v>35.446125899999998</v>
      </c>
      <c r="O473" s="57">
        <f t="shared" si="90"/>
        <v>673.4763921</v>
      </c>
      <c r="P473" s="58">
        <f t="shared" si="91"/>
        <v>417.01324588235298</v>
      </c>
      <c r="Q473" s="58">
        <f t="shared" si="92"/>
        <v>278.0088305882353</v>
      </c>
      <c r="R473" s="66">
        <f t="shared" si="93"/>
        <v>11.785836861750001</v>
      </c>
      <c r="S473" s="64">
        <f t="shared" si="94"/>
        <v>71.25</v>
      </c>
      <c r="T473" s="66">
        <f t="shared" si="95"/>
        <v>756.51222896175</v>
      </c>
      <c r="U473" s="68">
        <f t="shared" si="96"/>
        <v>39.816433103249999</v>
      </c>
      <c r="V473" s="68">
        <f t="shared" si="97"/>
        <v>468.42862474411766</v>
      </c>
      <c r="W473" s="68">
        <f t="shared" si="98"/>
        <v>312.28574982941177</v>
      </c>
    </row>
    <row r="474" spans="1:23" x14ac:dyDescent="0.25">
      <c r="A474" s="169" t="s">
        <v>944</v>
      </c>
      <c r="B474" s="61" t="s">
        <v>390</v>
      </c>
      <c r="C474" s="61" t="s">
        <v>585</v>
      </c>
      <c r="D474" s="61" t="s">
        <v>854</v>
      </c>
      <c r="E474" s="1" t="s">
        <v>350</v>
      </c>
      <c r="F474" s="62" t="str">
        <f t="shared" si="99"/>
        <v>60627</v>
      </c>
      <c r="G474" s="269">
        <v>10620077</v>
      </c>
      <c r="H474" s="1" t="s">
        <v>381</v>
      </c>
      <c r="I474" s="61">
        <v>38</v>
      </c>
      <c r="J474" s="61">
        <v>6.1</v>
      </c>
      <c r="K474" s="61">
        <v>9</v>
      </c>
      <c r="L474" s="69">
        <f t="shared" si="88"/>
        <v>2.3179999999999996</v>
      </c>
      <c r="M474" s="69">
        <f t="shared" si="89"/>
        <v>3.42</v>
      </c>
      <c r="N474" s="56">
        <f>INDEX(Rate_Chart!$A$1:$AK$127,MATCH(Data!J474,Rate_Chart!$A$1:$A$127,0),MATCH(Data!K474,Rate_Chart!$A$1:$AK$1,0))</f>
        <v>50.935000000000002</v>
      </c>
      <c r="O474" s="57">
        <f t="shared" si="90"/>
        <v>1935.5300000000002</v>
      </c>
      <c r="P474" s="58">
        <f t="shared" si="91"/>
        <v>420.95041322314052</v>
      </c>
      <c r="Q474" s="58">
        <f t="shared" si="92"/>
        <v>280.63360881542701</v>
      </c>
      <c r="R474" s="66">
        <f t="shared" si="93"/>
        <v>33.871775000000007</v>
      </c>
      <c r="S474" s="64">
        <f t="shared" si="94"/>
        <v>142.5</v>
      </c>
      <c r="T474" s="66">
        <f t="shared" si="95"/>
        <v>2111.9017750000003</v>
      </c>
      <c r="U474" s="68">
        <f t="shared" si="96"/>
        <v>55.576362500000009</v>
      </c>
      <c r="V474" s="68">
        <f t="shared" si="97"/>
        <v>459.3087809917356</v>
      </c>
      <c r="W474" s="68">
        <f t="shared" si="98"/>
        <v>306.20585399449038</v>
      </c>
    </row>
    <row r="475" spans="1:23" x14ac:dyDescent="0.25">
      <c r="A475" s="169" t="s">
        <v>944</v>
      </c>
      <c r="B475" s="61" t="s">
        <v>390</v>
      </c>
      <c r="C475" s="61" t="s">
        <v>585</v>
      </c>
      <c r="D475" s="61" t="s">
        <v>854</v>
      </c>
      <c r="E475" s="1" t="s">
        <v>350</v>
      </c>
      <c r="F475" s="62" t="str">
        <f t="shared" si="99"/>
        <v>60627</v>
      </c>
      <c r="G475" s="269">
        <v>10620077</v>
      </c>
      <c r="H475" s="1" t="s">
        <v>382</v>
      </c>
      <c r="I475" s="61">
        <v>27</v>
      </c>
      <c r="J475" s="61">
        <v>3.1</v>
      </c>
      <c r="K475" s="61">
        <v>8.1999999999999993</v>
      </c>
      <c r="L475" s="69">
        <f t="shared" si="88"/>
        <v>0.83700000000000008</v>
      </c>
      <c r="M475" s="69">
        <f t="shared" si="89"/>
        <v>2.214</v>
      </c>
      <c r="N475" s="56">
        <f>INDEX(Rate_Chart!$A$1:$AK$127,MATCH(Data!J475,Rate_Chart!$A$1:$A$127,0),MATCH(Data!K475,Rate_Chart!$A$1:$AK$1,0))</f>
        <v>35.724139800000003</v>
      </c>
      <c r="O475" s="57">
        <f t="shared" si="90"/>
        <v>964.55177460000004</v>
      </c>
      <c r="P475" s="58">
        <f t="shared" si="91"/>
        <v>417.0133050583658</v>
      </c>
      <c r="Q475" s="58">
        <f t="shared" si="92"/>
        <v>278.00887003891052</v>
      </c>
      <c r="R475" s="66">
        <f t="shared" si="93"/>
        <v>16.879656055500003</v>
      </c>
      <c r="S475" s="64">
        <f t="shared" si="94"/>
        <v>101.25</v>
      </c>
      <c r="T475" s="66">
        <f t="shared" si="95"/>
        <v>1082.6814306555</v>
      </c>
      <c r="U475" s="68">
        <f t="shared" si="96"/>
        <v>40.099312246499998</v>
      </c>
      <c r="V475" s="68">
        <f t="shared" si="97"/>
        <v>468.085356963035</v>
      </c>
      <c r="W475" s="68">
        <f t="shared" si="98"/>
        <v>312.05690464202331</v>
      </c>
    </row>
    <row r="476" spans="1:23" x14ac:dyDescent="0.25">
      <c r="A476" s="169" t="s">
        <v>944</v>
      </c>
      <c r="B476" s="61" t="s">
        <v>391</v>
      </c>
      <c r="C476" s="61" t="s">
        <v>585</v>
      </c>
      <c r="D476" s="61" t="s">
        <v>854</v>
      </c>
      <c r="E476" s="1" t="s">
        <v>350</v>
      </c>
      <c r="F476" s="62" t="str">
        <f t="shared" si="99"/>
        <v>60627</v>
      </c>
      <c r="G476" s="269">
        <v>10620077</v>
      </c>
      <c r="H476" s="1" t="s">
        <v>382</v>
      </c>
      <c r="I476" s="61">
        <v>25</v>
      </c>
      <c r="J476" s="61">
        <v>3.3</v>
      </c>
      <c r="K476" s="61">
        <v>8.1</v>
      </c>
      <c r="L476" s="69">
        <f t="shared" si="88"/>
        <v>0.82499999999999996</v>
      </c>
      <c r="M476" s="69">
        <f t="shared" si="89"/>
        <v>2.0249999999999999</v>
      </c>
      <c r="N476" s="56">
        <f>INDEX(Rate_Chart!$A$1:$AK$127,MATCH(Data!J476,Rate_Chart!$A$1:$A$127,0),MATCH(Data!K476,Rate_Chart!$A$1:$AK$1,0))</f>
        <v>36.280125900000002</v>
      </c>
      <c r="O476" s="57">
        <f t="shared" si="90"/>
        <v>907.00314750000007</v>
      </c>
      <c r="P476" s="58">
        <f t="shared" si="91"/>
        <v>417.0129413793104</v>
      </c>
      <c r="Q476" s="58">
        <f t="shared" si="92"/>
        <v>278.00862758620696</v>
      </c>
      <c r="R476" s="66">
        <f t="shared" si="93"/>
        <v>15.872555081250002</v>
      </c>
      <c r="S476" s="64">
        <f t="shared" si="94"/>
        <v>93.75</v>
      </c>
      <c r="T476" s="66">
        <f t="shared" si="95"/>
        <v>1016.62570258125</v>
      </c>
      <c r="U476" s="68">
        <f t="shared" si="96"/>
        <v>40.665028103250002</v>
      </c>
      <c r="V476" s="68">
        <f t="shared" si="97"/>
        <v>467.4141161293104</v>
      </c>
      <c r="W476" s="68">
        <f t="shared" si="98"/>
        <v>311.6094107528736</v>
      </c>
    </row>
    <row r="477" spans="1:23" x14ac:dyDescent="0.25">
      <c r="A477" s="169" t="s">
        <v>945</v>
      </c>
      <c r="B477" s="61" t="s">
        <v>390</v>
      </c>
      <c r="C477" s="61" t="s">
        <v>585</v>
      </c>
      <c r="D477" s="61" t="s">
        <v>854</v>
      </c>
      <c r="E477" s="1" t="s">
        <v>350</v>
      </c>
      <c r="F477" s="62" t="str">
        <f t="shared" si="99"/>
        <v>60627</v>
      </c>
      <c r="G477" s="269">
        <v>10620077</v>
      </c>
      <c r="H477" s="1" t="s">
        <v>381</v>
      </c>
      <c r="I477" s="61">
        <v>40</v>
      </c>
      <c r="J477" s="61">
        <v>5.8</v>
      </c>
      <c r="K477" s="61">
        <v>9</v>
      </c>
      <c r="L477" s="69">
        <f t="shared" ref="L477:L540" si="100">J477*I477/100</f>
        <v>2.3199999999999998</v>
      </c>
      <c r="M477" s="69">
        <f t="shared" ref="M477:M540" si="101">K477*I477/100</f>
        <v>3.6</v>
      </c>
      <c r="N477" s="56">
        <f>INDEX(Rate_Chart!$A$1:$AK$127,MATCH(Data!J477,Rate_Chart!$A$1:$A$127,0),MATCH(Data!K477,Rate_Chart!$A$1:$AK$1,0))</f>
        <v>48.43</v>
      </c>
      <c r="O477" s="57">
        <f t="shared" ref="O477:O540" si="102">N477*I477</f>
        <v>1937.2</v>
      </c>
      <c r="P477" s="58">
        <f t="shared" ref="P477:P540" si="103">N477/(J477%+K477%*2/3)</f>
        <v>410.42372881355936</v>
      </c>
      <c r="Q477" s="58">
        <f t="shared" ref="Q477:Q540" si="104">P477*2/3</f>
        <v>273.61581920903956</v>
      </c>
      <c r="R477" s="66">
        <f t="shared" ref="R477:R540" si="105">O477*1.75%</f>
        <v>33.901000000000003</v>
      </c>
      <c r="S477" s="64">
        <f t="shared" ref="S477:S540" si="106">I477*3.75</f>
        <v>150</v>
      </c>
      <c r="T477" s="66">
        <f t="shared" ref="T477:T540" si="107">R477+S477+O477</f>
        <v>2121.1010000000001</v>
      </c>
      <c r="U477" s="68">
        <f t="shared" ref="U477:U540" si="108">T477/I477</f>
        <v>53.027525000000004</v>
      </c>
      <c r="V477" s="68">
        <f t="shared" ref="V477:V540" si="109">U477/(J477%+K477%*2/3)</f>
        <v>449.38580508474581</v>
      </c>
      <c r="W477" s="68">
        <f t="shared" ref="W477:W540" si="110">V477*2/3</f>
        <v>299.59053672316389</v>
      </c>
    </row>
    <row r="478" spans="1:23" x14ac:dyDescent="0.25">
      <c r="A478" s="169" t="s">
        <v>945</v>
      </c>
      <c r="B478" s="61" t="s">
        <v>390</v>
      </c>
      <c r="C478" s="61" t="s">
        <v>585</v>
      </c>
      <c r="D478" s="61" t="s">
        <v>854</v>
      </c>
      <c r="E478" s="1" t="s">
        <v>350</v>
      </c>
      <c r="F478" s="62" t="str">
        <f t="shared" si="99"/>
        <v>60627</v>
      </c>
      <c r="G478" s="269">
        <v>10620077</v>
      </c>
      <c r="H478" s="1" t="s">
        <v>382</v>
      </c>
      <c r="I478" s="61">
        <v>32</v>
      </c>
      <c r="J478" s="61">
        <v>3.1</v>
      </c>
      <c r="K478" s="61">
        <v>8</v>
      </c>
      <c r="L478" s="69">
        <f t="shared" si="100"/>
        <v>0.99199999999999999</v>
      </c>
      <c r="M478" s="69">
        <f t="shared" si="101"/>
        <v>2.56</v>
      </c>
      <c r="N478" s="56">
        <f>INDEX(Rate_Chart!$A$1:$AK$127,MATCH(Data!J478,Rate_Chart!$A$1:$A$127,0),MATCH(Data!K478,Rate_Chart!$A$1:$AK$1,0))</f>
        <v>35.168112000000008</v>
      </c>
      <c r="O478" s="57">
        <f t="shared" si="102"/>
        <v>1125.3795840000002</v>
      </c>
      <c r="P478" s="58">
        <f t="shared" si="103"/>
        <v>417.01318577075102</v>
      </c>
      <c r="Q478" s="58">
        <f t="shared" si="104"/>
        <v>278.00879051383401</v>
      </c>
      <c r="R478" s="66">
        <f t="shared" si="105"/>
        <v>19.694142720000006</v>
      </c>
      <c r="S478" s="64">
        <f t="shared" si="106"/>
        <v>120</v>
      </c>
      <c r="T478" s="66">
        <f t="shared" si="107"/>
        <v>1265.0737267200002</v>
      </c>
      <c r="U478" s="68">
        <f t="shared" si="108"/>
        <v>39.533553960000006</v>
      </c>
      <c r="V478" s="68">
        <f t="shared" si="109"/>
        <v>468.77731968379447</v>
      </c>
      <c r="W478" s="68">
        <f t="shared" si="110"/>
        <v>312.51821312252963</v>
      </c>
    </row>
    <row r="479" spans="1:23" x14ac:dyDescent="0.25">
      <c r="A479" s="169" t="s">
        <v>945</v>
      </c>
      <c r="B479" s="61" t="s">
        <v>391</v>
      </c>
      <c r="C479" s="61" t="s">
        <v>585</v>
      </c>
      <c r="D479" s="61" t="s">
        <v>854</v>
      </c>
      <c r="E479" s="1" t="s">
        <v>350</v>
      </c>
      <c r="F479" s="62" t="str">
        <f t="shared" si="99"/>
        <v>60627</v>
      </c>
      <c r="G479" s="269">
        <v>10620077</v>
      </c>
      <c r="H479" s="1" t="s">
        <v>382</v>
      </c>
      <c r="I479" s="61">
        <v>41</v>
      </c>
      <c r="J479" s="61">
        <v>3.3</v>
      </c>
      <c r="K479" s="61">
        <v>8.1</v>
      </c>
      <c r="L479" s="69">
        <f t="shared" si="100"/>
        <v>1.3529999999999998</v>
      </c>
      <c r="M479" s="69">
        <f t="shared" si="101"/>
        <v>3.3209999999999997</v>
      </c>
      <c r="N479" s="56">
        <f>INDEX(Rate_Chart!$A$1:$AK$127,MATCH(Data!J479,Rate_Chart!$A$1:$A$127,0),MATCH(Data!K479,Rate_Chart!$A$1:$AK$1,0))</f>
        <v>36.280125900000002</v>
      </c>
      <c r="O479" s="57">
        <f t="shared" si="102"/>
        <v>1487.4851619000001</v>
      </c>
      <c r="P479" s="58">
        <f t="shared" si="103"/>
        <v>417.0129413793104</v>
      </c>
      <c r="Q479" s="58">
        <f t="shared" si="104"/>
        <v>278.00862758620696</v>
      </c>
      <c r="R479" s="66">
        <f t="shared" si="105"/>
        <v>26.030990333250003</v>
      </c>
      <c r="S479" s="64">
        <f t="shared" si="106"/>
        <v>153.75</v>
      </c>
      <c r="T479" s="66">
        <f t="shared" si="107"/>
        <v>1667.2661522332501</v>
      </c>
      <c r="U479" s="68">
        <f t="shared" si="108"/>
        <v>40.665028103250002</v>
      </c>
      <c r="V479" s="68">
        <f t="shared" si="109"/>
        <v>467.4141161293104</v>
      </c>
      <c r="W479" s="68">
        <f t="shared" si="110"/>
        <v>311.6094107528736</v>
      </c>
    </row>
    <row r="480" spans="1:23" x14ac:dyDescent="0.25">
      <c r="A480" s="169" t="s">
        <v>946</v>
      </c>
      <c r="B480" s="61" t="s">
        <v>390</v>
      </c>
      <c r="C480" s="61" t="s">
        <v>585</v>
      </c>
      <c r="D480" s="61" t="s">
        <v>854</v>
      </c>
      <c r="E480" s="1" t="s">
        <v>350</v>
      </c>
      <c r="F480" s="62" t="str">
        <f t="shared" si="99"/>
        <v>60627</v>
      </c>
      <c r="G480" s="269">
        <v>10620077</v>
      </c>
      <c r="H480" s="1" t="s">
        <v>381</v>
      </c>
      <c r="I480" s="61">
        <v>41</v>
      </c>
      <c r="J480" s="61">
        <v>6.4</v>
      </c>
      <c r="K480" s="61">
        <v>9</v>
      </c>
      <c r="L480" s="69">
        <f t="shared" si="100"/>
        <v>2.6240000000000006</v>
      </c>
      <c r="M480" s="69">
        <f t="shared" si="101"/>
        <v>3.69</v>
      </c>
      <c r="N480" s="56">
        <f>INDEX(Rate_Chart!$A$1:$AK$127,MATCH(Data!J480,Rate_Chart!$A$1:$A$127,0),MATCH(Data!K480,Rate_Chart!$A$1:$AK$1,0))</f>
        <v>53.44</v>
      </c>
      <c r="O480" s="57">
        <f t="shared" si="102"/>
        <v>2191.04</v>
      </c>
      <c r="P480" s="58">
        <f t="shared" si="103"/>
        <v>430.96774193548384</v>
      </c>
      <c r="Q480" s="58">
        <f t="shared" si="104"/>
        <v>287.31182795698925</v>
      </c>
      <c r="R480" s="66">
        <f t="shared" si="105"/>
        <v>38.343200000000003</v>
      </c>
      <c r="S480" s="64">
        <f t="shared" si="106"/>
        <v>153.75</v>
      </c>
      <c r="T480" s="66">
        <f t="shared" si="107"/>
        <v>2383.1331999999998</v>
      </c>
      <c r="U480" s="68">
        <f t="shared" si="108"/>
        <v>58.125199999999992</v>
      </c>
      <c r="V480" s="68">
        <f t="shared" si="109"/>
        <v>468.75161290322575</v>
      </c>
      <c r="W480" s="68">
        <f t="shared" si="110"/>
        <v>312.50107526881715</v>
      </c>
    </row>
    <row r="481" spans="1:23" x14ac:dyDescent="0.25">
      <c r="A481" s="169" t="s">
        <v>946</v>
      </c>
      <c r="B481" s="61" t="s">
        <v>390</v>
      </c>
      <c r="C481" s="61" t="s">
        <v>585</v>
      </c>
      <c r="D481" s="61" t="s">
        <v>854</v>
      </c>
      <c r="E481" s="1" t="s">
        <v>350</v>
      </c>
      <c r="F481" s="62" t="str">
        <f t="shared" si="99"/>
        <v>60627</v>
      </c>
      <c r="G481" s="269">
        <v>10620077</v>
      </c>
      <c r="H481" s="1" t="s">
        <v>382</v>
      </c>
      <c r="I481" s="61">
        <v>60</v>
      </c>
      <c r="J481" s="61">
        <v>3.1</v>
      </c>
      <c r="K481" s="61">
        <v>8.1</v>
      </c>
      <c r="L481" s="69">
        <f t="shared" si="100"/>
        <v>1.86</v>
      </c>
      <c r="M481" s="69">
        <f t="shared" si="101"/>
        <v>4.8600000000000003</v>
      </c>
      <c r="N481" s="56">
        <f>INDEX(Rate_Chart!$A$1:$AK$127,MATCH(Data!J481,Rate_Chart!$A$1:$A$127,0),MATCH(Data!K481,Rate_Chart!$A$1:$AK$1,0))</f>
        <v>35.446125899999998</v>
      </c>
      <c r="O481" s="57">
        <f t="shared" si="102"/>
        <v>2126.767554</v>
      </c>
      <c r="P481" s="58">
        <f t="shared" si="103"/>
        <v>417.01324588235298</v>
      </c>
      <c r="Q481" s="58">
        <f t="shared" si="104"/>
        <v>278.0088305882353</v>
      </c>
      <c r="R481" s="66">
        <f t="shared" si="105"/>
        <v>37.218432195000005</v>
      </c>
      <c r="S481" s="64">
        <f t="shared" si="106"/>
        <v>225</v>
      </c>
      <c r="T481" s="66">
        <f t="shared" si="107"/>
        <v>2388.9859861949999</v>
      </c>
      <c r="U481" s="68">
        <f t="shared" si="108"/>
        <v>39.816433103249999</v>
      </c>
      <c r="V481" s="68">
        <f t="shared" si="109"/>
        <v>468.42862474411766</v>
      </c>
      <c r="W481" s="68">
        <f t="shared" si="110"/>
        <v>312.28574982941177</v>
      </c>
    </row>
    <row r="482" spans="1:23" x14ac:dyDescent="0.25">
      <c r="A482" s="169" t="s">
        <v>946</v>
      </c>
      <c r="B482" s="61" t="s">
        <v>391</v>
      </c>
      <c r="C482" s="61" t="s">
        <v>585</v>
      </c>
      <c r="D482" s="61" t="s">
        <v>854</v>
      </c>
      <c r="E482" s="1" t="s">
        <v>350</v>
      </c>
      <c r="F482" s="62" t="str">
        <f t="shared" si="99"/>
        <v>60627</v>
      </c>
      <c r="G482" s="269">
        <v>10620077</v>
      </c>
      <c r="H482" s="1" t="s">
        <v>382</v>
      </c>
      <c r="I482" s="61">
        <v>32</v>
      </c>
      <c r="J482" s="61">
        <v>3.6</v>
      </c>
      <c r="K482" s="61">
        <v>8.1999999999999993</v>
      </c>
      <c r="L482" s="69">
        <f t="shared" si="100"/>
        <v>1.1520000000000001</v>
      </c>
      <c r="M482" s="69">
        <f t="shared" si="101"/>
        <v>2.6239999999999997</v>
      </c>
      <c r="N482" s="56">
        <f>INDEX(Rate_Chart!$A$1:$AK$127,MATCH(Data!J482,Rate_Chart!$A$1:$A$127,0),MATCH(Data!K482,Rate_Chart!$A$1:$AK$1,0))</f>
        <v>37.809139800000004</v>
      </c>
      <c r="O482" s="57">
        <f t="shared" si="102"/>
        <v>1209.8924736000001</v>
      </c>
      <c r="P482" s="58">
        <f t="shared" si="103"/>
        <v>417.01257132352941</v>
      </c>
      <c r="Q482" s="58">
        <f t="shared" si="104"/>
        <v>278.00838088235292</v>
      </c>
      <c r="R482" s="66">
        <f t="shared" si="105"/>
        <v>21.173118288000005</v>
      </c>
      <c r="S482" s="64">
        <f t="shared" si="106"/>
        <v>120</v>
      </c>
      <c r="T482" s="66">
        <f t="shared" si="107"/>
        <v>1351.0655918880002</v>
      </c>
      <c r="U482" s="68">
        <f t="shared" si="108"/>
        <v>42.220799746500006</v>
      </c>
      <c r="V482" s="68">
        <f t="shared" si="109"/>
        <v>465.67058543933825</v>
      </c>
      <c r="W482" s="68">
        <f t="shared" si="110"/>
        <v>310.44705695955884</v>
      </c>
    </row>
    <row r="483" spans="1:23" x14ac:dyDescent="0.25">
      <c r="A483" s="169" t="s">
        <v>947</v>
      </c>
      <c r="B483" s="61" t="s">
        <v>390</v>
      </c>
      <c r="C483" s="61" t="s">
        <v>585</v>
      </c>
      <c r="D483" s="61" t="s">
        <v>854</v>
      </c>
      <c r="E483" s="1" t="s">
        <v>350</v>
      </c>
      <c r="F483" s="62" t="str">
        <f t="shared" si="99"/>
        <v>60627</v>
      </c>
      <c r="G483" s="269">
        <v>10620077</v>
      </c>
      <c r="H483" s="1" t="s">
        <v>381</v>
      </c>
      <c r="I483" s="61">
        <v>61</v>
      </c>
      <c r="J483" s="61">
        <v>5.8</v>
      </c>
      <c r="K483" s="61">
        <v>8.5</v>
      </c>
      <c r="L483" s="69">
        <f t="shared" si="100"/>
        <v>3.5380000000000003</v>
      </c>
      <c r="M483" s="69">
        <f t="shared" si="101"/>
        <v>5.1849999999999996</v>
      </c>
      <c r="N483" s="56">
        <f>INDEX(Rate_Chart!$A$1:$AK$127,MATCH(Data!J483,Rate_Chart!$A$1:$A$127,0),MATCH(Data!K483,Rate_Chart!$A$1:$AK$1,0))</f>
        <v>46.9771</v>
      </c>
      <c r="O483" s="57">
        <f t="shared" si="102"/>
        <v>2865.6030999999998</v>
      </c>
      <c r="P483" s="58">
        <f t="shared" si="103"/>
        <v>409.68401162790695</v>
      </c>
      <c r="Q483" s="58">
        <f t="shared" si="104"/>
        <v>273.12267441860462</v>
      </c>
      <c r="R483" s="66">
        <f t="shared" si="105"/>
        <v>50.148054250000001</v>
      </c>
      <c r="S483" s="64">
        <f t="shared" si="106"/>
        <v>228.75</v>
      </c>
      <c r="T483" s="66">
        <f t="shared" si="107"/>
        <v>3144.5011542499997</v>
      </c>
      <c r="U483" s="68">
        <f t="shared" si="108"/>
        <v>51.549199249999994</v>
      </c>
      <c r="V483" s="68">
        <f t="shared" si="109"/>
        <v>449.55697020348833</v>
      </c>
      <c r="W483" s="68">
        <f t="shared" si="110"/>
        <v>299.70464680232556</v>
      </c>
    </row>
    <row r="484" spans="1:23" x14ac:dyDescent="0.25">
      <c r="A484" s="169" t="s">
        <v>947</v>
      </c>
      <c r="B484" s="61" t="s">
        <v>390</v>
      </c>
      <c r="C484" s="61" t="s">
        <v>585</v>
      </c>
      <c r="D484" s="61" t="s">
        <v>854</v>
      </c>
      <c r="E484" s="1" t="s">
        <v>350</v>
      </c>
      <c r="F484" s="62" t="str">
        <f t="shared" si="99"/>
        <v>60627</v>
      </c>
      <c r="G484" s="269">
        <v>10620077</v>
      </c>
      <c r="H484" s="1" t="s">
        <v>382</v>
      </c>
      <c r="I484" s="61">
        <v>65</v>
      </c>
      <c r="J484" s="61">
        <v>3</v>
      </c>
      <c r="K484" s="61">
        <v>8</v>
      </c>
      <c r="L484" s="69">
        <f t="shared" si="100"/>
        <v>1.95</v>
      </c>
      <c r="M484" s="69">
        <f t="shared" si="101"/>
        <v>5.2</v>
      </c>
      <c r="N484" s="56">
        <f>INDEX(Rate_Chart!$A$1:$AK$127,MATCH(Data!J484,Rate_Chart!$A$1:$A$127,0),MATCH(Data!K484,Rate_Chart!$A$1:$AK$1,0))</f>
        <v>34.751112000000006</v>
      </c>
      <c r="O484" s="57">
        <f t="shared" si="102"/>
        <v>2258.8222800000003</v>
      </c>
      <c r="P484" s="58">
        <f t="shared" si="103"/>
        <v>417.01334400000002</v>
      </c>
      <c r="Q484" s="58">
        <f t="shared" si="104"/>
        <v>278.00889599999999</v>
      </c>
      <c r="R484" s="66">
        <f t="shared" si="105"/>
        <v>39.529389900000012</v>
      </c>
      <c r="S484" s="64">
        <f t="shared" si="106"/>
        <v>243.75</v>
      </c>
      <c r="T484" s="66">
        <f t="shared" si="107"/>
        <v>2542.1016699000002</v>
      </c>
      <c r="U484" s="68">
        <f t="shared" si="108"/>
        <v>39.109256460000005</v>
      </c>
      <c r="V484" s="68">
        <f t="shared" si="109"/>
        <v>469.31107752000003</v>
      </c>
      <c r="W484" s="68">
        <f t="shared" si="110"/>
        <v>312.87405168000004</v>
      </c>
    </row>
    <row r="485" spans="1:23" x14ac:dyDescent="0.25">
      <c r="A485" s="169" t="s">
        <v>947</v>
      </c>
      <c r="B485" s="61" t="s">
        <v>391</v>
      </c>
      <c r="C485" s="61" t="s">
        <v>585</v>
      </c>
      <c r="D485" s="61" t="s">
        <v>854</v>
      </c>
      <c r="E485" s="1" t="s">
        <v>350</v>
      </c>
      <c r="F485" s="62" t="str">
        <f t="shared" si="99"/>
        <v>60627</v>
      </c>
      <c r="G485" s="269">
        <v>10620077</v>
      </c>
      <c r="H485" s="1" t="s">
        <v>382</v>
      </c>
      <c r="I485" s="61">
        <v>19</v>
      </c>
      <c r="J485" s="61">
        <v>3.2</v>
      </c>
      <c r="K485" s="61">
        <v>8.1999999999999993</v>
      </c>
      <c r="L485" s="69">
        <f t="shared" si="100"/>
        <v>0.6080000000000001</v>
      </c>
      <c r="M485" s="69">
        <f t="shared" si="101"/>
        <v>1.5579999999999998</v>
      </c>
      <c r="N485" s="56">
        <f>INDEX(Rate_Chart!$A$1:$AK$127,MATCH(Data!J485,Rate_Chart!$A$1:$A$127,0),MATCH(Data!K485,Rate_Chart!$A$1:$AK$1,0))</f>
        <v>36.141139799999998</v>
      </c>
      <c r="O485" s="57">
        <f t="shared" si="102"/>
        <v>686.68165619999991</v>
      </c>
      <c r="P485" s="58">
        <f t="shared" si="103"/>
        <v>417.0131515384615</v>
      </c>
      <c r="Q485" s="58">
        <f t="shared" si="104"/>
        <v>278.00876769230769</v>
      </c>
      <c r="R485" s="66">
        <f t="shared" si="105"/>
        <v>12.0169289835</v>
      </c>
      <c r="S485" s="64">
        <f t="shared" si="106"/>
        <v>71.25</v>
      </c>
      <c r="T485" s="66">
        <f t="shared" si="107"/>
        <v>769.94858518349986</v>
      </c>
      <c r="U485" s="68">
        <f t="shared" si="108"/>
        <v>40.523609746499993</v>
      </c>
      <c r="V485" s="68">
        <f t="shared" si="109"/>
        <v>467.58011245961529</v>
      </c>
      <c r="W485" s="68">
        <f t="shared" si="110"/>
        <v>311.72007497307686</v>
      </c>
    </row>
    <row r="486" spans="1:23" x14ac:dyDescent="0.25">
      <c r="A486" s="169" t="s">
        <v>941</v>
      </c>
      <c r="B486" s="61" t="s">
        <v>390</v>
      </c>
      <c r="C486" s="61" t="s">
        <v>585</v>
      </c>
      <c r="D486" s="61" t="s">
        <v>854</v>
      </c>
      <c r="E486" s="1" t="s">
        <v>351</v>
      </c>
      <c r="F486" s="62" t="str">
        <f t="shared" si="99"/>
        <v>60628</v>
      </c>
      <c r="G486" s="269">
        <v>10620014</v>
      </c>
      <c r="H486" s="1" t="s">
        <v>381</v>
      </c>
      <c r="I486" s="61">
        <v>4</v>
      </c>
      <c r="J486" s="61">
        <v>5.5</v>
      </c>
      <c r="K486" s="61">
        <v>8.4</v>
      </c>
      <c r="L486" s="69">
        <f t="shared" si="100"/>
        <v>0.22</v>
      </c>
      <c r="M486" s="69">
        <f t="shared" si="101"/>
        <v>0.33600000000000002</v>
      </c>
      <c r="N486" s="56">
        <f>INDEX(Rate_Chart!$A$1:$AK$127,MATCH(Data!J486,Rate_Chart!$A$1:$A$127,0),MATCH(Data!K486,Rate_Chart!$A$1:$AK$1,0))</f>
        <v>46.288167600000008</v>
      </c>
      <c r="O486" s="57">
        <f t="shared" si="102"/>
        <v>185.15267040000003</v>
      </c>
      <c r="P486" s="58">
        <f t="shared" si="103"/>
        <v>417.01051891891899</v>
      </c>
      <c r="Q486" s="58">
        <f t="shared" si="104"/>
        <v>278.00701261261264</v>
      </c>
      <c r="R486" s="66">
        <f t="shared" si="105"/>
        <v>3.2401717320000007</v>
      </c>
      <c r="S486" s="64">
        <f t="shared" si="106"/>
        <v>15</v>
      </c>
      <c r="T486" s="66">
        <f t="shared" si="107"/>
        <v>203.39284213200003</v>
      </c>
      <c r="U486" s="68">
        <f t="shared" si="108"/>
        <v>50.848210533000007</v>
      </c>
      <c r="V486" s="68">
        <f t="shared" si="109"/>
        <v>458.09198678378385</v>
      </c>
      <c r="W486" s="68">
        <f t="shared" si="110"/>
        <v>305.39465785585588</v>
      </c>
    </row>
    <row r="487" spans="1:23" x14ac:dyDescent="0.25">
      <c r="A487" s="169" t="s">
        <v>941</v>
      </c>
      <c r="B487" s="61" t="s">
        <v>391</v>
      </c>
      <c r="C487" s="61" t="s">
        <v>585</v>
      </c>
      <c r="D487" s="61" t="s">
        <v>854</v>
      </c>
      <c r="E487" s="1" t="s">
        <v>351</v>
      </c>
      <c r="F487" s="62" t="str">
        <f t="shared" si="99"/>
        <v>60628</v>
      </c>
      <c r="G487" s="269">
        <v>10620014</v>
      </c>
      <c r="H487" s="1" t="s">
        <v>381</v>
      </c>
      <c r="I487" s="61">
        <v>19</v>
      </c>
      <c r="J487" s="61">
        <v>5.5</v>
      </c>
      <c r="K487" s="61">
        <v>8.4</v>
      </c>
      <c r="L487" s="69">
        <f t="shared" si="100"/>
        <v>1.0449999999999999</v>
      </c>
      <c r="M487" s="69">
        <f t="shared" si="101"/>
        <v>1.5959999999999999</v>
      </c>
      <c r="N487" s="56">
        <f>INDEX(Rate_Chart!$A$1:$AK$127,MATCH(Data!J487,Rate_Chart!$A$1:$A$127,0),MATCH(Data!K487,Rate_Chart!$A$1:$AK$1,0))</f>
        <v>46.288167600000008</v>
      </c>
      <c r="O487" s="57">
        <f t="shared" si="102"/>
        <v>879.47518440000022</v>
      </c>
      <c r="P487" s="58">
        <f t="shared" si="103"/>
        <v>417.01051891891899</v>
      </c>
      <c r="Q487" s="58">
        <f t="shared" si="104"/>
        <v>278.00701261261264</v>
      </c>
      <c r="R487" s="66">
        <f t="shared" si="105"/>
        <v>15.390815727000005</v>
      </c>
      <c r="S487" s="64">
        <f t="shared" si="106"/>
        <v>71.25</v>
      </c>
      <c r="T487" s="66">
        <f t="shared" si="107"/>
        <v>966.11600012700023</v>
      </c>
      <c r="U487" s="68">
        <f t="shared" si="108"/>
        <v>50.848210533000014</v>
      </c>
      <c r="V487" s="68">
        <f t="shared" si="109"/>
        <v>458.09198678378391</v>
      </c>
      <c r="W487" s="68">
        <f t="shared" si="110"/>
        <v>305.39465785585594</v>
      </c>
    </row>
    <row r="488" spans="1:23" x14ac:dyDescent="0.25">
      <c r="A488" s="169" t="s">
        <v>942</v>
      </c>
      <c r="B488" s="61" t="s">
        <v>390</v>
      </c>
      <c r="C488" s="61" t="s">
        <v>585</v>
      </c>
      <c r="D488" s="61" t="s">
        <v>854</v>
      </c>
      <c r="E488" s="1" t="s">
        <v>351</v>
      </c>
      <c r="F488" s="62" t="str">
        <f t="shared" si="99"/>
        <v>60628</v>
      </c>
      <c r="G488" s="269">
        <v>10620014</v>
      </c>
      <c r="H488" s="1" t="s">
        <v>381</v>
      </c>
      <c r="I488" s="61">
        <v>12</v>
      </c>
      <c r="J488" s="61">
        <v>5.8</v>
      </c>
      <c r="K488" s="61">
        <v>8.8000000000000007</v>
      </c>
      <c r="L488" s="69">
        <f t="shared" si="100"/>
        <v>0.69599999999999995</v>
      </c>
      <c r="M488" s="69">
        <f t="shared" si="101"/>
        <v>1.056</v>
      </c>
      <c r="N488" s="56">
        <f>INDEX(Rate_Chart!$A$1:$AK$127,MATCH(Data!J488,Rate_Chart!$A$1:$A$127,0),MATCH(Data!K488,Rate_Chart!$A$1:$AK$1,0))</f>
        <v>47.945700000000002</v>
      </c>
      <c r="O488" s="57">
        <f t="shared" si="102"/>
        <v>575.34840000000008</v>
      </c>
      <c r="P488" s="58">
        <f t="shared" si="103"/>
        <v>410.96314285714288</v>
      </c>
      <c r="Q488" s="58">
        <f t="shared" si="104"/>
        <v>273.97542857142861</v>
      </c>
      <c r="R488" s="66">
        <f t="shared" si="105"/>
        <v>10.068597000000002</v>
      </c>
      <c r="S488" s="64">
        <f t="shared" si="106"/>
        <v>45</v>
      </c>
      <c r="T488" s="66">
        <f t="shared" si="107"/>
        <v>630.41699700000004</v>
      </c>
      <c r="U488" s="68">
        <f t="shared" si="108"/>
        <v>52.534749750000003</v>
      </c>
      <c r="V488" s="68">
        <f t="shared" si="109"/>
        <v>450.29785500000003</v>
      </c>
      <c r="W488" s="68">
        <f t="shared" si="110"/>
        <v>300.19857000000002</v>
      </c>
    </row>
    <row r="489" spans="1:23" x14ac:dyDescent="0.25">
      <c r="A489" s="169" t="s">
        <v>942</v>
      </c>
      <c r="B489" s="61" t="s">
        <v>391</v>
      </c>
      <c r="C489" s="61" t="s">
        <v>585</v>
      </c>
      <c r="D489" s="61" t="s">
        <v>854</v>
      </c>
      <c r="E489" s="1" t="s">
        <v>351</v>
      </c>
      <c r="F489" s="62" t="str">
        <f t="shared" si="99"/>
        <v>60628</v>
      </c>
      <c r="G489" s="269">
        <v>10620014</v>
      </c>
      <c r="H489" s="1" t="s">
        <v>382</v>
      </c>
      <c r="I489" s="61">
        <v>10</v>
      </c>
      <c r="J489" s="61">
        <v>5.0999999999999996</v>
      </c>
      <c r="K489" s="61">
        <v>8.5</v>
      </c>
      <c r="L489" s="69">
        <f t="shared" si="100"/>
        <v>0.51</v>
      </c>
      <c r="M489" s="69">
        <f t="shared" si="101"/>
        <v>0.85</v>
      </c>
      <c r="N489" s="56">
        <f>INDEX(Rate_Chart!$A$1:$AK$127,MATCH(Data!J489,Rate_Chart!$A$1:$A$127,0),MATCH(Data!K489,Rate_Chart!$A$1:$AK$1,0))</f>
        <v>44.898181500000007</v>
      </c>
      <c r="O489" s="57">
        <f t="shared" si="102"/>
        <v>448.9818150000001</v>
      </c>
      <c r="P489" s="58">
        <f t="shared" si="103"/>
        <v>417.01097368421063</v>
      </c>
      <c r="Q489" s="58">
        <f t="shared" si="104"/>
        <v>278.00731578947375</v>
      </c>
      <c r="R489" s="66">
        <f t="shared" si="105"/>
        <v>7.8571817625000024</v>
      </c>
      <c r="S489" s="64">
        <f t="shared" si="106"/>
        <v>37.5</v>
      </c>
      <c r="T489" s="66">
        <f t="shared" si="107"/>
        <v>494.33899676250007</v>
      </c>
      <c r="U489" s="68">
        <f t="shared" si="108"/>
        <v>49.433899676250007</v>
      </c>
      <c r="V489" s="68">
        <f t="shared" si="109"/>
        <v>459.13838708591339</v>
      </c>
      <c r="W489" s="68">
        <f t="shared" si="110"/>
        <v>306.09225805727561</v>
      </c>
    </row>
    <row r="490" spans="1:23" x14ac:dyDescent="0.25">
      <c r="A490" s="169" t="s">
        <v>943</v>
      </c>
      <c r="B490" s="61" t="s">
        <v>390</v>
      </c>
      <c r="C490" s="61" t="s">
        <v>585</v>
      </c>
      <c r="D490" s="61" t="s">
        <v>854</v>
      </c>
      <c r="E490" s="1" t="s">
        <v>351</v>
      </c>
      <c r="F490" s="62" t="str">
        <f t="shared" si="99"/>
        <v>60628</v>
      </c>
      <c r="G490" s="269">
        <v>10620014</v>
      </c>
      <c r="H490" s="1" t="s">
        <v>381</v>
      </c>
      <c r="I490" s="61">
        <v>8</v>
      </c>
      <c r="J490" s="61">
        <v>5.6</v>
      </c>
      <c r="K490" s="61">
        <v>8.4</v>
      </c>
      <c r="L490" s="69">
        <f t="shared" si="100"/>
        <v>0.44799999999999995</v>
      </c>
      <c r="M490" s="69">
        <f t="shared" si="101"/>
        <v>0.67200000000000004</v>
      </c>
      <c r="N490" s="56">
        <f>INDEX(Rate_Chart!$A$1:$AK$127,MATCH(Data!J490,Rate_Chart!$A$1:$A$127,0),MATCH(Data!K490,Rate_Chart!$A$1:$AK$1,0))</f>
        <v>45.357199999999999</v>
      </c>
      <c r="O490" s="57">
        <f t="shared" si="102"/>
        <v>362.85759999999999</v>
      </c>
      <c r="P490" s="58">
        <f t="shared" si="103"/>
        <v>404.97500000000002</v>
      </c>
      <c r="Q490" s="58">
        <f t="shared" si="104"/>
        <v>269.98333333333335</v>
      </c>
      <c r="R490" s="66">
        <f t="shared" si="105"/>
        <v>6.3500080000000008</v>
      </c>
      <c r="S490" s="64">
        <f t="shared" si="106"/>
        <v>30</v>
      </c>
      <c r="T490" s="66">
        <f t="shared" si="107"/>
        <v>399.20760799999999</v>
      </c>
      <c r="U490" s="68">
        <f t="shared" si="108"/>
        <v>49.900950999999999</v>
      </c>
      <c r="V490" s="68">
        <f t="shared" si="109"/>
        <v>445.54420535714291</v>
      </c>
      <c r="W490" s="68">
        <f t="shared" si="110"/>
        <v>297.02947023809526</v>
      </c>
    </row>
    <row r="491" spans="1:23" x14ac:dyDescent="0.25">
      <c r="A491" s="169" t="s">
        <v>943</v>
      </c>
      <c r="B491" s="61" t="s">
        <v>391</v>
      </c>
      <c r="C491" s="61" t="s">
        <v>585</v>
      </c>
      <c r="D491" s="61" t="s">
        <v>854</v>
      </c>
      <c r="E491" s="1" t="s">
        <v>351</v>
      </c>
      <c r="F491" s="62" t="str">
        <f t="shared" si="99"/>
        <v>60628</v>
      </c>
      <c r="G491" s="269">
        <v>10620014</v>
      </c>
      <c r="H491" s="1" t="s">
        <v>381</v>
      </c>
      <c r="I491" s="61">
        <v>12</v>
      </c>
      <c r="J491" s="61">
        <v>5.6</v>
      </c>
      <c r="K491" s="61">
        <v>8.5</v>
      </c>
      <c r="L491" s="69">
        <f t="shared" si="100"/>
        <v>0.67199999999999993</v>
      </c>
      <c r="M491" s="69">
        <f t="shared" si="101"/>
        <v>1.02</v>
      </c>
      <c r="N491" s="56">
        <f>INDEX(Rate_Chart!$A$1:$AK$127,MATCH(Data!J491,Rate_Chart!$A$1:$A$127,0),MATCH(Data!K491,Rate_Chart!$A$1:$AK$1,0))</f>
        <v>45.357199999999999</v>
      </c>
      <c r="O491" s="57">
        <f t="shared" si="102"/>
        <v>544.28639999999996</v>
      </c>
      <c r="P491" s="58">
        <f t="shared" si="103"/>
        <v>402.57869822485208</v>
      </c>
      <c r="Q491" s="58">
        <f t="shared" si="104"/>
        <v>268.38579881656807</v>
      </c>
      <c r="R491" s="66">
        <f t="shared" si="105"/>
        <v>9.5250120000000003</v>
      </c>
      <c r="S491" s="64">
        <f t="shared" si="106"/>
        <v>45</v>
      </c>
      <c r="T491" s="66">
        <f t="shared" si="107"/>
        <v>598.81141200000002</v>
      </c>
      <c r="U491" s="68">
        <f t="shared" si="108"/>
        <v>49.900950999999999</v>
      </c>
      <c r="V491" s="68">
        <f t="shared" si="109"/>
        <v>442.90784911242605</v>
      </c>
      <c r="W491" s="68">
        <f t="shared" si="110"/>
        <v>295.27189940828401</v>
      </c>
    </row>
    <row r="492" spans="1:23" x14ac:dyDescent="0.25">
      <c r="A492" s="169" t="s">
        <v>944</v>
      </c>
      <c r="B492" s="61" t="s">
        <v>390</v>
      </c>
      <c r="C492" s="61" t="s">
        <v>585</v>
      </c>
      <c r="D492" s="61" t="s">
        <v>854</v>
      </c>
      <c r="E492" s="1" t="s">
        <v>351</v>
      </c>
      <c r="F492" s="62" t="str">
        <f t="shared" si="99"/>
        <v>60628</v>
      </c>
      <c r="G492" s="269">
        <v>10620014</v>
      </c>
      <c r="H492" s="1" t="s">
        <v>381</v>
      </c>
      <c r="I492" s="61">
        <v>8</v>
      </c>
      <c r="J492" s="61">
        <v>5.6</v>
      </c>
      <c r="K492" s="61">
        <v>8.4</v>
      </c>
      <c r="L492" s="69">
        <f t="shared" si="100"/>
        <v>0.44799999999999995</v>
      </c>
      <c r="M492" s="69">
        <f t="shared" si="101"/>
        <v>0.67200000000000004</v>
      </c>
      <c r="N492" s="56">
        <f>INDEX(Rate_Chart!$A$1:$AK$127,MATCH(Data!J492,Rate_Chart!$A$1:$A$127,0),MATCH(Data!K492,Rate_Chart!$A$1:$AK$1,0))</f>
        <v>45.357199999999999</v>
      </c>
      <c r="O492" s="57">
        <f t="shared" si="102"/>
        <v>362.85759999999999</v>
      </c>
      <c r="P492" s="58">
        <f t="shared" si="103"/>
        <v>404.97500000000002</v>
      </c>
      <c r="Q492" s="58">
        <f t="shared" si="104"/>
        <v>269.98333333333335</v>
      </c>
      <c r="R492" s="66">
        <f t="shared" si="105"/>
        <v>6.3500080000000008</v>
      </c>
      <c r="S492" s="64">
        <f t="shared" si="106"/>
        <v>30</v>
      </c>
      <c r="T492" s="66">
        <f t="shared" si="107"/>
        <v>399.20760799999999</v>
      </c>
      <c r="U492" s="68">
        <f t="shared" si="108"/>
        <v>49.900950999999999</v>
      </c>
      <c r="V492" s="68">
        <f t="shared" si="109"/>
        <v>445.54420535714291</v>
      </c>
      <c r="W492" s="68">
        <f t="shared" si="110"/>
        <v>297.02947023809526</v>
      </c>
    </row>
    <row r="493" spans="1:23" x14ac:dyDescent="0.25">
      <c r="A493" s="169" t="s">
        <v>944</v>
      </c>
      <c r="B493" s="61" t="s">
        <v>391</v>
      </c>
      <c r="C493" s="61" t="s">
        <v>585</v>
      </c>
      <c r="D493" s="61" t="s">
        <v>854</v>
      </c>
      <c r="E493" s="1" t="s">
        <v>351</v>
      </c>
      <c r="F493" s="62" t="str">
        <f t="shared" si="99"/>
        <v>60628</v>
      </c>
      <c r="G493" s="269">
        <v>10620014</v>
      </c>
      <c r="H493" s="1" t="s">
        <v>381</v>
      </c>
      <c r="I493" s="61">
        <v>6</v>
      </c>
      <c r="J493" s="61">
        <v>5.7</v>
      </c>
      <c r="K493" s="61">
        <v>8.4</v>
      </c>
      <c r="L493" s="69">
        <f t="shared" si="100"/>
        <v>0.34200000000000003</v>
      </c>
      <c r="M493" s="69">
        <f t="shared" si="101"/>
        <v>0.504</v>
      </c>
      <c r="N493" s="56">
        <f>INDEX(Rate_Chart!$A$1:$AK$127,MATCH(Data!J493,Rate_Chart!$A$1:$A$127,0),MATCH(Data!K493,Rate_Chart!$A$1:$AK$1,0))</f>
        <v>46.167149999999999</v>
      </c>
      <c r="O493" s="57">
        <f t="shared" si="102"/>
        <v>277.00290000000001</v>
      </c>
      <c r="P493" s="58">
        <f t="shared" si="103"/>
        <v>408.55884955752208</v>
      </c>
      <c r="Q493" s="58">
        <f t="shared" si="104"/>
        <v>272.37256637168139</v>
      </c>
      <c r="R493" s="66">
        <f t="shared" si="105"/>
        <v>4.8475507500000008</v>
      </c>
      <c r="S493" s="64">
        <f t="shared" si="106"/>
        <v>22.5</v>
      </c>
      <c r="T493" s="66">
        <f t="shared" si="107"/>
        <v>304.35045074999999</v>
      </c>
      <c r="U493" s="68">
        <f t="shared" si="108"/>
        <v>50.725075124999996</v>
      </c>
      <c r="V493" s="68">
        <f t="shared" si="109"/>
        <v>448.89447013274332</v>
      </c>
      <c r="W493" s="68">
        <f t="shared" si="110"/>
        <v>299.26298008849557</v>
      </c>
    </row>
    <row r="494" spans="1:23" x14ac:dyDescent="0.25">
      <c r="A494" s="169" t="s">
        <v>945</v>
      </c>
      <c r="B494" s="61" t="s">
        <v>390</v>
      </c>
      <c r="C494" s="61" t="s">
        <v>585</v>
      </c>
      <c r="D494" s="61" t="s">
        <v>854</v>
      </c>
      <c r="E494" s="1" t="s">
        <v>351</v>
      </c>
      <c r="F494" s="62" t="str">
        <f t="shared" si="99"/>
        <v>60628</v>
      </c>
      <c r="G494" s="269">
        <v>10620014</v>
      </c>
      <c r="H494" s="1" t="s">
        <v>382</v>
      </c>
      <c r="I494" s="61">
        <v>14</v>
      </c>
      <c r="J494" s="61">
        <v>4.0999999999999996</v>
      </c>
      <c r="K494" s="61">
        <v>8.3000000000000007</v>
      </c>
      <c r="L494" s="69">
        <f t="shared" si="100"/>
        <v>0.57399999999999995</v>
      </c>
      <c r="M494" s="69">
        <f t="shared" si="101"/>
        <v>1.1620000000000001</v>
      </c>
      <c r="N494" s="56">
        <f>INDEX(Rate_Chart!$A$1:$AK$127,MATCH(Data!J494,Rate_Chart!$A$1:$A$127,0),MATCH(Data!K494,Rate_Chart!$A$1:$AK$1,0))</f>
        <v>40.172153700000003</v>
      </c>
      <c r="O494" s="57">
        <f t="shared" si="102"/>
        <v>562.41015179999999</v>
      </c>
      <c r="P494" s="58">
        <f t="shared" si="103"/>
        <v>417.01197612456752</v>
      </c>
      <c r="Q494" s="58">
        <f t="shared" si="104"/>
        <v>278.00798408304502</v>
      </c>
      <c r="R494" s="66">
        <f t="shared" si="105"/>
        <v>9.8421776565000005</v>
      </c>
      <c r="S494" s="64">
        <f t="shared" si="106"/>
        <v>52.5</v>
      </c>
      <c r="T494" s="66">
        <f t="shared" si="107"/>
        <v>624.75232945649998</v>
      </c>
      <c r="U494" s="68">
        <f t="shared" si="108"/>
        <v>44.625166389749999</v>
      </c>
      <c r="V494" s="68">
        <f t="shared" si="109"/>
        <v>463.23702134688585</v>
      </c>
      <c r="W494" s="68">
        <f t="shared" si="110"/>
        <v>308.82468089792388</v>
      </c>
    </row>
    <row r="495" spans="1:23" x14ac:dyDescent="0.25">
      <c r="A495" s="169" t="s">
        <v>945</v>
      </c>
      <c r="B495" s="61" t="s">
        <v>391</v>
      </c>
      <c r="C495" s="61" t="s">
        <v>585</v>
      </c>
      <c r="D495" s="61" t="s">
        <v>854</v>
      </c>
      <c r="E495" s="1" t="s">
        <v>351</v>
      </c>
      <c r="F495" s="62" t="str">
        <f t="shared" si="99"/>
        <v>60628</v>
      </c>
      <c r="G495" s="269">
        <v>10620014</v>
      </c>
      <c r="H495" s="1" t="s">
        <v>382</v>
      </c>
      <c r="I495" s="61">
        <v>11</v>
      </c>
      <c r="J495" s="61">
        <v>3.7</v>
      </c>
      <c r="K495" s="61">
        <v>8</v>
      </c>
      <c r="L495" s="69">
        <f t="shared" si="100"/>
        <v>0.40700000000000003</v>
      </c>
      <c r="M495" s="69">
        <f t="shared" si="101"/>
        <v>0.88</v>
      </c>
      <c r="N495" s="56">
        <f>INDEX(Rate_Chart!$A$1:$AK$127,MATCH(Data!J495,Rate_Chart!$A$1:$A$127,0),MATCH(Data!K495,Rate_Chart!$A$1:$AK$1,0))</f>
        <v>37.670112000000003</v>
      </c>
      <c r="O495" s="57">
        <f t="shared" si="102"/>
        <v>414.37123200000002</v>
      </c>
      <c r="P495" s="58">
        <f t="shared" si="103"/>
        <v>417.0123099630996</v>
      </c>
      <c r="Q495" s="58">
        <f t="shared" si="104"/>
        <v>278.0082066420664</v>
      </c>
      <c r="R495" s="66">
        <f t="shared" si="105"/>
        <v>7.2514965600000014</v>
      </c>
      <c r="S495" s="64">
        <f t="shared" si="106"/>
        <v>41.25</v>
      </c>
      <c r="T495" s="66">
        <f t="shared" si="107"/>
        <v>462.87272856000004</v>
      </c>
      <c r="U495" s="68">
        <f t="shared" si="108"/>
        <v>42.079338960000001</v>
      </c>
      <c r="V495" s="68">
        <f t="shared" si="109"/>
        <v>465.82294051660512</v>
      </c>
      <c r="W495" s="68">
        <f t="shared" si="110"/>
        <v>310.5486270110701</v>
      </c>
    </row>
    <row r="496" spans="1:23" x14ac:dyDescent="0.25">
      <c r="A496" s="169" t="s">
        <v>946</v>
      </c>
      <c r="B496" s="61" t="s">
        <v>390</v>
      </c>
      <c r="C496" s="61" t="s">
        <v>585</v>
      </c>
      <c r="D496" s="61" t="s">
        <v>854</v>
      </c>
      <c r="E496" s="1" t="s">
        <v>351</v>
      </c>
      <c r="F496" s="62" t="str">
        <f t="shared" si="99"/>
        <v>60628</v>
      </c>
      <c r="G496" s="269">
        <v>10620014</v>
      </c>
      <c r="H496" s="1" t="s">
        <v>381</v>
      </c>
      <c r="I496" s="61">
        <v>12</v>
      </c>
      <c r="J496" s="61">
        <v>5.8</v>
      </c>
      <c r="K496" s="61">
        <v>8.5</v>
      </c>
      <c r="L496" s="69">
        <f t="shared" si="100"/>
        <v>0.69599999999999995</v>
      </c>
      <c r="M496" s="69">
        <f t="shared" si="101"/>
        <v>1.02</v>
      </c>
      <c r="N496" s="56">
        <f>INDEX(Rate_Chart!$A$1:$AK$127,MATCH(Data!J496,Rate_Chart!$A$1:$A$127,0),MATCH(Data!K496,Rate_Chart!$A$1:$AK$1,0))</f>
        <v>46.9771</v>
      </c>
      <c r="O496" s="57">
        <f t="shared" si="102"/>
        <v>563.72519999999997</v>
      </c>
      <c r="P496" s="58">
        <f t="shared" si="103"/>
        <v>409.68401162790695</v>
      </c>
      <c r="Q496" s="58">
        <f t="shared" si="104"/>
        <v>273.12267441860462</v>
      </c>
      <c r="R496" s="66">
        <f t="shared" si="105"/>
        <v>9.8651910000000012</v>
      </c>
      <c r="S496" s="64">
        <f t="shared" si="106"/>
        <v>45</v>
      </c>
      <c r="T496" s="66">
        <f t="shared" si="107"/>
        <v>618.59039099999995</v>
      </c>
      <c r="U496" s="68">
        <f t="shared" si="108"/>
        <v>51.549199249999994</v>
      </c>
      <c r="V496" s="68">
        <f t="shared" si="109"/>
        <v>449.55697020348833</v>
      </c>
      <c r="W496" s="68">
        <f t="shared" si="110"/>
        <v>299.70464680232556</v>
      </c>
    </row>
    <row r="497" spans="1:23" x14ac:dyDescent="0.25">
      <c r="A497" s="169" t="s">
        <v>946</v>
      </c>
      <c r="B497" s="61" t="s">
        <v>391</v>
      </c>
      <c r="C497" s="61" t="s">
        <v>585</v>
      </c>
      <c r="D497" s="61" t="s">
        <v>854</v>
      </c>
      <c r="E497" s="1" t="s">
        <v>351</v>
      </c>
      <c r="F497" s="62" t="str">
        <f t="shared" si="99"/>
        <v>60628</v>
      </c>
      <c r="G497" s="269">
        <v>10620014</v>
      </c>
      <c r="H497" s="1" t="s">
        <v>382</v>
      </c>
      <c r="I497" s="61">
        <v>12</v>
      </c>
      <c r="J497" s="61">
        <v>4.7</v>
      </c>
      <c r="K497" s="61">
        <v>8.1</v>
      </c>
      <c r="L497" s="69">
        <f t="shared" si="100"/>
        <v>0.56400000000000006</v>
      </c>
      <c r="M497" s="69">
        <f t="shared" si="101"/>
        <v>0.97199999999999986</v>
      </c>
      <c r="N497" s="56">
        <f>INDEX(Rate_Chart!$A$1:$AK$127,MATCH(Data!J497,Rate_Chart!$A$1:$A$127,0),MATCH(Data!K497,Rate_Chart!$A$1:$AK$1,0))</f>
        <v>42.118125900000003</v>
      </c>
      <c r="O497" s="57">
        <f t="shared" si="102"/>
        <v>505.41751080000006</v>
      </c>
      <c r="P497" s="58">
        <f t="shared" si="103"/>
        <v>417.01114752475246</v>
      </c>
      <c r="Q497" s="58">
        <f t="shared" si="104"/>
        <v>278.00743168316831</v>
      </c>
      <c r="R497" s="66">
        <f t="shared" si="105"/>
        <v>8.8448064390000027</v>
      </c>
      <c r="S497" s="64">
        <f t="shared" si="106"/>
        <v>45</v>
      </c>
      <c r="T497" s="66">
        <f t="shared" si="107"/>
        <v>559.26231723900003</v>
      </c>
      <c r="U497" s="68">
        <f t="shared" si="108"/>
        <v>46.605193103250002</v>
      </c>
      <c r="V497" s="68">
        <f t="shared" si="109"/>
        <v>461.43755547772275</v>
      </c>
      <c r="W497" s="68">
        <f t="shared" si="110"/>
        <v>307.62503698514848</v>
      </c>
    </row>
    <row r="498" spans="1:23" x14ac:dyDescent="0.25">
      <c r="A498" s="169" t="s">
        <v>947</v>
      </c>
      <c r="B498" s="61" t="s">
        <v>390</v>
      </c>
      <c r="C498" s="61" t="s">
        <v>585</v>
      </c>
      <c r="D498" s="61" t="s">
        <v>854</v>
      </c>
      <c r="E498" s="1" t="s">
        <v>351</v>
      </c>
      <c r="F498" s="62" t="str">
        <f t="shared" si="99"/>
        <v>60628</v>
      </c>
      <c r="G498" s="269">
        <v>10620014</v>
      </c>
      <c r="H498" s="1" t="s">
        <v>382</v>
      </c>
      <c r="I498" s="61">
        <v>10</v>
      </c>
      <c r="J498" s="61">
        <v>5.2</v>
      </c>
      <c r="K498" s="61">
        <v>8.1</v>
      </c>
      <c r="L498" s="69">
        <f t="shared" si="100"/>
        <v>0.52</v>
      </c>
      <c r="M498" s="69">
        <f t="shared" si="101"/>
        <v>0.81</v>
      </c>
      <c r="N498" s="56">
        <f>INDEX(Rate_Chart!$A$1:$AK$127,MATCH(Data!J498,Rate_Chart!$A$1:$A$127,0),MATCH(Data!K498,Rate_Chart!$A$1:$AK$1,0))</f>
        <v>44.203125900000003</v>
      </c>
      <c r="O498" s="57">
        <f t="shared" si="102"/>
        <v>442.03125900000003</v>
      </c>
      <c r="P498" s="58">
        <f t="shared" si="103"/>
        <v>417.0106216981132</v>
      </c>
      <c r="Q498" s="58">
        <f t="shared" si="104"/>
        <v>278.00708113207548</v>
      </c>
      <c r="R498" s="66">
        <f t="shared" si="105"/>
        <v>7.7355470325000013</v>
      </c>
      <c r="S498" s="64">
        <f t="shared" si="106"/>
        <v>37.5</v>
      </c>
      <c r="T498" s="66">
        <f t="shared" si="107"/>
        <v>487.26680603250003</v>
      </c>
      <c r="U498" s="68">
        <f t="shared" si="108"/>
        <v>48.726680603250003</v>
      </c>
      <c r="V498" s="68">
        <f t="shared" si="109"/>
        <v>459.68566606839619</v>
      </c>
      <c r="W498" s="68">
        <f t="shared" si="110"/>
        <v>306.45711071226413</v>
      </c>
    </row>
    <row r="499" spans="1:23" x14ac:dyDescent="0.25">
      <c r="A499" s="169" t="s">
        <v>947</v>
      </c>
      <c r="B499" s="61" t="s">
        <v>391</v>
      </c>
      <c r="C499" s="61" t="s">
        <v>585</v>
      </c>
      <c r="D499" s="61" t="s">
        <v>854</v>
      </c>
      <c r="E499" s="1" t="s">
        <v>351</v>
      </c>
      <c r="F499" s="62" t="str">
        <f t="shared" si="99"/>
        <v>60628</v>
      </c>
      <c r="G499" s="269">
        <v>10620014</v>
      </c>
      <c r="H499" s="1" t="s">
        <v>382</v>
      </c>
      <c r="I499" s="61">
        <v>4</v>
      </c>
      <c r="J499" s="61">
        <v>4.2</v>
      </c>
      <c r="K499" s="61">
        <v>8.1</v>
      </c>
      <c r="L499" s="69">
        <f t="shared" si="100"/>
        <v>0.16800000000000001</v>
      </c>
      <c r="M499" s="69">
        <f t="shared" si="101"/>
        <v>0.32400000000000001</v>
      </c>
      <c r="N499" s="56">
        <f>INDEX(Rate_Chart!$A$1:$AK$127,MATCH(Data!J499,Rate_Chart!$A$1:$A$127,0),MATCH(Data!K499,Rate_Chart!$A$1:$AK$1,0))</f>
        <v>40.033125900000002</v>
      </c>
      <c r="O499" s="57">
        <f t="shared" si="102"/>
        <v>160.13250360000001</v>
      </c>
      <c r="P499" s="58">
        <f t="shared" si="103"/>
        <v>417.01172812499999</v>
      </c>
      <c r="Q499" s="58">
        <f t="shared" si="104"/>
        <v>278.00781875000001</v>
      </c>
      <c r="R499" s="66">
        <f t="shared" si="105"/>
        <v>2.8023188130000003</v>
      </c>
      <c r="S499" s="64">
        <f t="shared" si="106"/>
        <v>15</v>
      </c>
      <c r="T499" s="66">
        <f t="shared" si="107"/>
        <v>177.93482241300001</v>
      </c>
      <c r="U499" s="68">
        <f t="shared" si="108"/>
        <v>44.483705603250002</v>
      </c>
      <c r="V499" s="68">
        <f t="shared" si="109"/>
        <v>463.37193336718752</v>
      </c>
      <c r="W499" s="68">
        <f t="shared" si="110"/>
        <v>308.9146222447917</v>
      </c>
    </row>
    <row r="500" spans="1:23" x14ac:dyDescent="0.25">
      <c r="A500" s="169" t="s">
        <v>941</v>
      </c>
      <c r="B500" s="61" t="s">
        <v>390</v>
      </c>
      <c r="C500" s="61" t="s">
        <v>585</v>
      </c>
      <c r="D500" s="61" t="s">
        <v>697</v>
      </c>
      <c r="E500" s="1" t="s">
        <v>698</v>
      </c>
      <c r="F500" s="62" t="str">
        <f t="shared" si="99"/>
        <v>60646</v>
      </c>
      <c r="G500" s="269">
        <v>10620100</v>
      </c>
      <c r="H500" s="1" t="s">
        <v>381</v>
      </c>
      <c r="I500" s="61">
        <v>60</v>
      </c>
      <c r="J500" s="61">
        <v>6.6</v>
      </c>
      <c r="K500" s="61">
        <v>9</v>
      </c>
      <c r="L500" s="69">
        <f t="shared" si="100"/>
        <v>3.96</v>
      </c>
      <c r="M500" s="69">
        <f t="shared" si="101"/>
        <v>5.4</v>
      </c>
      <c r="N500" s="56">
        <f>INDEX(Rate_Chart!$A$1:$AK$127,MATCH(Data!J500,Rate_Chart!$A$1:$A$127,0),MATCH(Data!K500,Rate_Chart!$A$1:$AK$1,0))</f>
        <v>55.11</v>
      </c>
      <c r="O500" s="57">
        <f t="shared" si="102"/>
        <v>3306.6</v>
      </c>
      <c r="P500" s="58">
        <f t="shared" si="103"/>
        <v>437.38095238095235</v>
      </c>
      <c r="Q500" s="58">
        <f t="shared" si="104"/>
        <v>291.58730158730157</v>
      </c>
      <c r="R500" s="66">
        <f t="shared" si="105"/>
        <v>57.865500000000004</v>
      </c>
      <c r="S500" s="64">
        <f t="shared" si="106"/>
        <v>225</v>
      </c>
      <c r="T500" s="66">
        <f t="shared" si="107"/>
        <v>3589.4654999999998</v>
      </c>
      <c r="U500" s="68">
        <f t="shared" si="108"/>
        <v>59.824424999999998</v>
      </c>
      <c r="V500" s="68">
        <f t="shared" si="109"/>
        <v>474.79702380952381</v>
      </c>
      <c r="W500" s="68">
        <f t="shared" si="110"/>
        <v>316.5313492063492</v>
      </c>
    </row>
    <row r="501" spans="1:23" x14ac:dyDescent="0.25">
      <c r="A501" s="169" t="s">
        <v>941</v>
      </c>
      <c r="B501" s="61" t="s">
        <v>391</v>
      </c>
      <c r="C501" s="61" t="s">
        <v>585</v>
      </c>
      <c r="D501" s="61" t="s">
        <v>697</v>
      </c>
      <c r="E501" s="1" t="s">
        <v>698</v>
      </c>
      <c r="F501" s="62" t="str">
        <f t="shared" si="99"/>
        <v>60646</v>
      </c>
      <c r="G501" s="269">
        <v>10620100</v>
      </c>
      <c r="H501" s="1" t="s">
        <v>381</v>
      </c>
      <c r="I501" s="61">
        <v>59</v>
      </c>
      <c r="J501" s="61">
        <v>6.7</v>
      </c>
      <c r="K501" s="61">
        <v>9</v>
      </c>
      <c r="L501" s="69">
        <f t="shared" si="100"/>
        <v>3.9530000000000003</v>
      </c>
      <c r="M501" s="69">
        <f t="shared" si="101"/>
        <v>5.31</v>
      </c>
      <c r="N501" s="56">
        <f>INDEX(Rate_Chart!$A$1:$AK$127,MATCH(Data!J501,Rate_Chart!$A$1:$A$127,0),MATCH(Data!K501,Rate_Chart!$A$1:$AK$1,0))</f>
        <v>55.945</v>
      </c>
      <c r="O501" s="57">
        <f t="shared" si="102"/>
        <v>3300.7550000000001</v>
      </c>
      <c r="P501" s="58">
        <f t="shared" si="103"/>
        <v>440.51181102362204</v>
      </c>
      <c r="Q501" s="58">
        <f t="shared" si="104"/>
        <v>293.67454068241472</v>
      </c>
      <c r="R501" s="66">
        <f t="shared" si="105"/>
        <v>57.763212500000009</v>
      </c>
      <c r="S501" s="64">
        <f t="shared" si="106"/>
        <v>221.25</v>
      </c>
      <c r="T501" s="66">
        <f t="shared" si="107"/>
        <v>3579.7682125000001</v>
      </c>
      <c r="U501" s="68">
        <f t="shared" si="108"/>
        <v>60.674037500000004</v>
      </c>
      <c r="V501" s="68">
        <f t="shared" si="109"/>
        <v>477.74832677165358</v>
      </c>
      <c r="W501" s="68">
        <f t="shared" si="110"/>
        <v>318.4988845144357</v>
      </c>
    </row>
    <row r="502" spans="1:23" x14ac:dyDescent="0.25">
      <c r="A502" s="169" t="s">
        <v>942</v>
      </c>
      <c r="B502" s="61" t="s">
        <v>390</v>
      </c>
      <c r="C502" s="61" t="s">
        <v>585</v>
      </c>
      <c r="D502" s="61" t="s">
        <v>697</v>
      </c>
      <c r="E502" s="1" t="s">
        <v>698</v>
      </c>
      <c r="F502" s="62" t="str">
        <f t="shared" si="99"/>
        <v>60646</v>
      </c>
      <c r="G502" s="269">
        <v>10620100</v>
      </c>
      <c r="H502" s="1" t="s">
        <v>381</v>
      </c>
      <c r="I502" s="61">
        <v>55</v>
      </c>
      <c r="J502" s="61">
        <v>6.9</v>
      </c>
      <c r="K502" s="61">
        <v>9</v>
      </c>
      <c r="L502" s="69">
        <f t="shared" si="100"/>
        <v>3.7949999999999999</v>
      </c>
      <c r="M502" s="69">
        <f t="shared" si="101"/>
        <v>4.95</v>
      </c>
      <c r="N502" s="56">
        <f>INDEX(Rate_Chart!$A$1:$AK$127,MATCH(Data!J502,Rate_Chart!$A$1:$A$127,0),MATCH(Data!K502,Rate_Chart!$A$1:$AK$1,0))</f>
        <v>57.615000000000002</v>
      </c>
      <c r="O502" s="57">
        <f t="shared" si="102"/>
        <v>3168.8250000000003</v>
      </c>
      <c r="P502" s="58">
        <f t="shared" si="103"/>
        <v>446.62790697674421</v>
      </c>
      <c r="Q502" s="58">
        <f t="shared" si="104"/>
        <v>297.75193798449612</v>
      </c>
      <c r="R502" s="66">
        <f t="shared" si="105"/>
        <v>55.454437500000012</v>
      </c>
      <c r="S502" s="64">
        <f t="shared" si="106"/>
        <v>206.25</v>
      </c>
      <c r="T502" s="66">
        <f t="shared" si="107"/>
        <v>3430.5294375000003</v>
      </c>
      <c r="U502" s="68">
        <f t="shared" si="108"/>
        <v>62.373262500000003</v>
      </c>
      <c r="V502" s="68">
        <f t="shared" si="109"/>
        <v>483.51366279069771</v>
      </c>
      <c r="W502" s="68">
        <f t="shared" si="110"/>
        <v>322.34244186046516</v>
      </c>
    </row>
    <row r="503" spans="1:23" x14ac:dyDescent="0.25">
      <c r="A503" s="169" t="s">
        <v>942</v>
      </c>
      <c r="B503" s="61" t="s">
        <v>391</v>
      </c>
      <c r="C503" s="61" t="s">
        <v>585</v>
      </c>
      <c r="D503" s="61" t="s">
        <v>697</v>
      </c>
      <c r="E503" s="1" t="s">
        <v>698</v>
      </c>
      <c r="F503" s="62" t="str">
        <f t="shared" si="99"/>
        <v>60646</v>
      </c>
      <c r="G503" s="269">
        <v>10620100</v>
      </c>
      <c r="H503" s="1" t="s">
        <v>381</v>
      </c>
      <c r="I503" s="61">
        <v>56</v>
      </c>
      <c r="J503" s="61">
        <v>6.7</v>
      </c>
      <c r="K503" s="61">
        <v>9</v>
      </c>
      <c r="L503" s="69">
        <f t="shared" si="100"/>
        <v>3.7519999999999998</v>
      </c>
      <c r="M503" s="69">
        <f t="shared" si="101"/>
        <v>5.04</v>
      </c>
      <c r="N503" s="56">
        <f>INDEX(Rate_Chart!$A$1:$AK$127,MATCH(Data!J503,Rate_Chart!$A$1:$A$127,0),MATCH(Data!K503,Rate_Chart!$A$1:$AK$1,0))</f>
        <v>55.945</v>
      </c>
      <c r="O503" s="57">
        <f t="shared" si="102"/>
        <v>3132.92</v>
      </c>
      <c r="P503" s="58">
        <f t="shared" si="103"/>
        <v>440.51181102362204</v>
      </c>
      <c r="Q503" s="58">
        <f t="shared" si="104"/>
        <v>293.67454068241472</v>
      </c>
      <c r="R503" s="66">
        <f t="shared" si="105"/>
        <v>54.826100000000004</v>
      </c>
      <c r="S503" s="64">
        <f t="shared" si="106"/>
        <v>210</v>
      </c>
      <c r="T503" s="66">
        <f t="shared" si="107"/>
        <v>3397.7461000000003</v>
      </c>
      <c r="U503" s="68">
        <f t="shared" si="108"/>
        <v>60.674037500000004</v>
      </c>
      <c r="V503" s="68">
        <f t="shared" si="109"/>
        <v>477.74832677165358</v>
      </c>
      <c r="W503" s="68">
        <f t="shared" si="110"/>
        <v>318.4988845144357</v>
      </c>
    </row>
    <row r="504" spans="1:23" x14ac:dyDescent="0.25">
      <c r="A504" s="169" t="s">
        <v>943</v>
      </c>
      <c r="B504" s="61" t="s">
        <v>390</v>
      </c>
      <c r="C504" s="61" t="s">
        <v>585</v>
      </c>
      <c r="D504" s="61" t="s">
        <v>697</v>
      </c>
      <c r="E504" s="1" t="s">
        <v>698</v>
      </c>
      <c r="F504" s="62" t="str">
        <f t="shared" si="99"/>
        <v>60646</v>
      </c>
      <c r="G504" s="269">
        <v>10620100</v>
      </c>
      <c r="H504" s="1" t="s">
        <v>381</v>
      </c>
      <c r="I504" s="61">
        <v>55</v>
      </c>
      <c r="J504" s="61">
        <v>6.6</v>
      </c>
      <c r="K504" s="61">
        <v>9</v>
      </c>
      <c r="L504" s="69">
        <f t="shared" si="100"/>
        <v>3.63</v>
      </c>
      <c r="M504" s="69">
        <f t="shared" si="101"/>
        <v>4.95</v>
      </c>
      <c r="N504" s="56">
        <f>INDEX(Rate_Chart!$A$1:$AK$127,MATCH(Data!J504,Rate_Chart!$A$1:$A$127,0),MATCH(Data!K504,Rate_Chart!$A$1:$AK$1,0))</f>
        <v>55.11</v>
      </c>
      <c r="O504" s="57">
        <f t="shared" si="102"/>
        <v>3031.05</v>
      </c>
      <c r="P504" s="58">
        <f t="shared" si="103"/>
        <v>437.38095238095235</v>
      </c>
      <c r="Q504" s="58">
        <f t="shared" si="104"/>
        <v>291.58730158730157</v>
      </c>
      <c r="R504" s="66">
        <f t="shared" si="105"/>
        <v>53.043375000000012</v>
      </c>
      <c r="S504" s="64">
        <f t="shared" si="106"/>
        <v>206.25</v>
      </c>
      <c r="T504" s="66">
        <f t="shared" si="107"/>
        <v>3290.3433750000004</v>
      </c>
      <c r="U504" s="68">
        <f t="shared" si="108"/>
        <v>59.824425000000005</v>
      </c>
      <c r="V504" s="68">
        <f t="shared" si="109"/>
        <v>474.79702380952386</v>
      </c>
      <c r="W504" s="68">
        <f t="shared" si="110"/>
        <v>316.53134920634926</v>
      </c>
    </row>
    <row r="505" spans="1:23" x14ac:dyDescent="0.25">
      <c r="A505" s="169" t="s">
        <v>943</v>
      </c>
      <c r="B505" s="61" t="s">
        <v>391</v>
      </c>
      <c r="C505" s="61" t="s">
        <v>585</v>
      </c>
      <c r="D505" s="61" t="s">
        <v>697</v>
      </c>
      <c r="E505" s="1" t="s">
        <v>698</v>
      </c>
      <c r="F505" s="62" t="str">
        <f t="shared" si="99"/>
        <v>60646</v>
      </c>
      <c r="G505" s="269">
        <v>10620100</v>
      </c>
      <c r="H505" s="1" t="s">
        <v>381</v>
      </c>
      <c r="I505" s="61">
        <v>55</v>
      </c>
      <c r="J505" s="61">
        <v>6.7</v>
      </c>
      <c r="K505" s="61">
        <v>9</v>
      </c>
      <c r="L505" s="69">
        <f t="shared" si="100"/>
        <v>3.6850000000000001</v>
      </c>
      <c r="M505" s="69">
        <f t="shared" si="101"/>
        <v>4.95</v>
      </c>
      <c r="N505" s="56">
        <f>INDEX(Rate_Chart!$A$1:$AK$127,MATCH(Data!J505,Rate_Chart!$A$1:$A$127,0),MATCH(Data!K505,Rate_Chart!$A$1:$AK$1,0))</f>
        <v>55.945</v>
      </c>
      <c r="O505" s="57">
        <f t="shared" si="102"/>
        <v>3076.9749999999999</v>
      </c>
      <c r="P505" s="58">
        <f t="shared" si="103"/>
        <v>440.51181102362204</v>
      </c>
      <c r="Q505" s="58">
        <f t="shared" si="104"/>
        <v>293.67454068241472</v>
      </c>
      <c r="R505" s="66">
        <f t="shared" si="105"/>
        <v>53.847062500000007</v>
      </c>
      <c r="S505" s="64">
        <f t="shared" si="106"/>
        <v>206.25</v>
      </c>
      <c r="T505" s="66">
        <f t="shared" si="107"/>
        <v>3337.0720624999999</v>
      </c>
      <c r="U505" s="68">
        <f t="shared" si="108"/>
        <v>60.674037499999997</v>
      </c>
      <c r="V505" s="68">
        <f t="shared" si="109"/>
        <v>477.74832677165352</v>
      </c>
      <c r="W505" s="68">
        <f t="shared" si="110"/>
        <v>318.4988845144357</v>
      </c>
    </row>
    <row r="506" spans="1:23" x14ac:dyDescent="0.25">
      <c r="A506" s="169" t="s">
        <v>944</v>
      </c>
      <c r="B506" s="61" t="s">
        <v>390</v>
      </c>
      <c r="C506" s="61" t="s">
        <v>585</v>
      </c>
      <c r="D506" s="61" t="s">
        <v>697</v>
      </c>
      <c r="E506" s="1" t="s">
        <v>698</v>
      </c>
      <c r="F506" s="62" t="str">
        <f t="shared" si="99"/>
        <v>60646</v>
      </c>
      <c r="G506" s="269">
        <v>10620100</v>
      </c>
      <c r="H506" s="1" t="s">
        <v>381</v>
      </c>
      <c r="I506" s="61">
        <v>57</v>
      </c>
      <c r="J506" s="61">
        <v>6.7</v>
      </c>
      <c r="K506" s="61">
        <v>9</v>
      </c>
      <c r="L506" s="69">
        <f t="shared" si="100"/>
        <v>3.8190000000000004</v>
      </c>
      <c r="M506" s="69">
        <f t="shared" si="101"/>
        <v>5.13</v>
      </c>
      <c r="N506" s="56">
        <f>INDEX(Rate_Chart!$A$1:$AK$127,MATCH(Data!J506,Rate_Chart!$A$1:$A$127,0),MATCH(Data!K506,Rate_Chart!$A$1:$AK$1,0))</f>
        <v>55.945</v>
      </c>
      <c r="O506" s="57">
        <f t="shared" si="102"/>
        <v>3188.8650000000002</v>
      </c>
      <c r="P506" s="58">
        <f t="shared" si="103"/>
        <v>440.51181102362204</v>
      </c>
      <c r="Q506" s="58">
        <f t="shared" si="104"/>
        <v>293.67454068241472</v>
      </c>
      <c r="R506" s="66">
        <f t="shared" si="105"/>
        <v>55.805137500000008</v>
      </c>
      <c r="S506" s="64">
        <f t="shared" si="106"/>
        <v>213.75</v>
      </c>
      <c r="T506" s="66">
        <f t="shared" si="107"/>
        <v>3458.4201375000002</v>
      </c>
      <c r="U506" s="68">
        <f t="shared" si="108"/>
        <v>60.674037500000004</v>
      </c>
      <c r="V506" s="68">
        <f t="shared" si="109"/>
        <v>477.74832677165358</v>
      </c>
      <c r="W506" s="68">
        <f t="shared" si="110"/>
        <v>318.4988845144357</v>
      </c>
    </row>
    <row r="507" spans="1:23" x14ac:dyDescent="0.25">
      <c r="A507" s="169" t="s">
        <v>944</v>
      </c>
      <c r="B507" s="61" t="s">
        <v>391</v>
      </c>
      <c r="C507" s="61" t="s">
        <v>585</v>
      </c>
      <c r="D507" s="61" t="s">
        <v>697</v>
      </c>
      <c r="E507" s="1" t="s">
        <v>698</v>
      </c>
      <c r="F507" s="62" t="str">
        <f t="shared" si="99"/>
        <v>60646</v>
      </c>
      <c r="G507" s="269">
        <v>10620100</v>
      </c>
      <c r="H507" s="1" t="s">
        <v>381</v>
      </c>
      <c r="I507" s="61">
        <v>56</v>
      </c>
      <c r="J507" s="61">
        <v>6.7</v>
      </c>
      <c r="K507" s="61">
        <v>9</v>
      </c>
      <c r="L507" s="69">
        <f t="shared" si="100"/>
        <v>3.7519999999999998</v>
      </c>
      <c r="M507" s="69">
        <f t="shared" si="101"/>
        <v>5.04</v>
      </c>
      <c r="N507" s="56">
        <f>INDEX(Rate_Chart!$A$1:$AK$127,MATCH(Data!J507,Rate_Chart!$A$1:$A$127,0),MATCH(Data!K507,Rate_Chart!$A$1:$AK$1,0))</f>
        <v>55.945</v>
      </c>
      <c r="O507" s="57">
        <f t="shared" si="102"/>
        <v>3132.92</v>
      </c>
      <c r="P507" s="58">
        <f t="shared" si="103"/>
        <v>440.51181102362204</v>
      </c>
      <c r="Q507" s="58">
        <f t="shared" si="104"/>
        <v>293.67454068241472</v>
      </c>
      <c r="R507" s="66">
        <f t="shared" si="105"/>
        <v>54.826100000000004</v>
      </c>
      <c r="S507" s="64">
        <f t="shared" si="106"/>
        <v>210</v>
      </c>
      <c r="T507" s="66">
        <f t="shared" si="107"/>
        <v>3397.7461000000003</v>
      </c>
      <c r="U507" s="68">
        <f t="shared" si="108"/>
        <v>60.674037500000004</v>
      </c>
      <c r="V507" s="68">
        <f t="shared" si="109"/>
        <v>477.74832677165358</v>
      </c>
      <c r="W507" s="68">
        <f t="shared" si="110"/>
        <v>318.4988845144357</v>
      </c>
    </row>
    <row r="508" spans="1:23" x14ac:dyDescent="0.25">
      <c r="A508" s="169" t="s">
        <v>945</v>
      </c>
      <c r="B508" s="61" t="s">
        <v>390</v>
      </c>
      <c r="C508" s="61" t="s">
        <v>585</v>
      </c>
      <c r="D508" s="61" t="s">
        <v>697</v>
      </c>
      <c r="E508" s="1" t="s">
        <v>698</v>
      </c>
      <c r="F508" s="62" t="str">
        <f t="shared" si="99"/>
        <v>60646</v>
      </c>
      <c r="G508" s="269">
        <v>10620100</v>
      </c>
      <c r="H508" s="1" t="s">
        <v>381</v>
      </c>
      <c r="I508" s="61">
        <v>56</v>
      </c>
      <c r="J508" s="61">
        <v>6.7</v>
      </c>
      <c r="K508" s="61">
        <v>9</v>
      </c>
      <c r="L508" s="69">
        <f t="shared" si="100"/>
        <v>3.7519999999999998</v>
      </c>
      <c r="M508" s="69">
        <f t="shared" si="101"/>
        <v>5.04</v>
      </c>
      <c r="N508" s="56">
        <f>INDEX(Rate_Chart!$A$1:$AK$127,MATCH(Data!J508,Rate_Chart!$A$1:$A$127,0),MATCH(Data!K508,Rate_Chart!$A$1:$AK$1,0))</f>
        <v>55.945</v>
      </c>
      <c r="O508" s="57">
        <f t="shared" si="102"/>
        <v>3132.92</v>
      </c>
      <c r="P508" s="58">
        <f t="shared" si="103"/>
        <v>440.51181102362204</v>
      </c>
      <c r="Q508" s="58">
        <f t="shared" si="104"/>
        <v>293.67454068241472</v>
      </c>
      <c r="R508" s="66">
        <f t="shared" si="105"/>
        <v>54.826100000000004</v>
      </c>
      <c r="S508" s="64">
        <f t="shared" si="106"/>
        <v>210</v>
      </c>
      <c r="T508" s="66">
        <f t="shared" si="107"/>
        <v>3397.7461000000003</v>
      </c>
      <c r="U508" s="68">
        <f t="shared" si="108"/>
        <v>60.674037500000004</v>
      </c>
      <c r="V508" s="68">
        <f t="shared" si="109"/>
        <v>477.74832677165358</v>
      </c>
      <c r="W508" s="68">
        <f t="shared" si="110"/>
        <v>318.4988845144357</v>
      </c>
    </row>
    <row r="509" spans="1:23" x14ac:dyDescent="0.25">
      <c r="A509" s="169" t="s">
        <v>945</v>
      </c>
      <c r="B509" s="61" t="s">
        <v>391</v>
      </c>
      <c r="C509" s="61" t="s">
        <v>585</v>
      </c>
      <c r="D509" s="61" t="s">
        <v>697</v>
      </c>
      <c r="E509" s="1" t="s">
        <v>698</v>
      </c>
      <c r="F509" s="62" t="str">
        <f t="shared" si="99"/>
        <v>60646</v>
      </c>
      <c r="G509" s="269">
        <v>10620100</v>
      </c>
      <c r="H509" s="1" t="s">
        <v>381</v>
      </c>
      <c r="I509" s="61">
        <v>56</v>
      </c>
      <c r="J509" s="61">
        <v>6.7</v>
      </c>
      <c r="K509" s="61">
        <v>9</v>
      </c>
      <c r="L509" s="69">
        <f t="shared" si="100"/>
        <v>3.7519999999999998</v>
      </c>
      <c r="M509" s="69">
        <f t="shared" si="101"/>
        <v>5.04</v>
      </c>
      <c r="N509" s="56">
        <f>INDEX(Rate_Chart!$A$1:$AK$127,MATCH(Data!J509,Rate_Chart!$A$1:$A$127,0),MATCH(Data!K509,Rate_Chart!$A$1:$AK$1,0))</f>
        <v>55.945</v>
      </c>
      <c r="O509" s="57">
        <f t="shared" si="102"/>
        <v>3132.92</v>
      </c>
      <c r="P509" s="58">
        <f t="shared" si="103"/>
        <v>440.51181102362204</v>
      </c>
      <c r="Q509" s="58">
        <f t="shared" si="104"/>
        <v>293.67454068241472</v>
      </c>
      <c r="R509" s="66">
        <f t="shared" si="105"/>
        <v>54.826100000000004</v>
      </c>
      <c r="S509" s="64">
        <f t="shared" si="106"/>
        <v>210</v>
      </c>
      <c r="T509" s="66">
        <f t="shared" si="107"/>
        <v>3397.7461000000003</v>
      </c>
      <c r="U509" s="68">
        <f t="shared" si="108"/>
        <v>60.674037500000004</v>
      </c>
      <c r="V509" s="68">
        <f t="shared" si="109"/>
        <v>477.74832677165358</v>
      </c>
      <c r="W509" s="68">
        <f t="shared" si="110"/>
        <v>318.4988845144357</v>
      </c>
    </row>
    <row r="510" spans="1:23" x14ac:dyDescent="0.25">
      <c r="A510" s="169" t="s">
        <v>946</v>
      </c>
      <c r="B510" s="61" t="s">
        <v>390</v>
      </c>
      <c r="C510" s="61" t="s">
        <v>585</v>
      </c>
      <c r="D510" s="61" t="s">
        <v>697</v>
      </c>
      <c r="E510" s="1" t="s">
        <v>698</v>
      </c>
      <c r="F510" s="62" t="str">
        <f t="shared" si="99"/>
        <v>60646</v>
      </c>
      <c r="G510" s="269">
        <v>10620100</v>
      </c>
      <c r="H510" s="1" t="s">
        <v>381</v>
      </c>
      <c r="I510" s="61">
        <v>56</v>
      </c>
      <c r="J510" s="61">
        <v>6.7</v>
      </c>
      <c r="K510" s="61">
        <v>9</v>
      </c>
      <c r="L510" s="69">
        <f t="shared" si="100"/>
        <v>3.7519999999999998</v>
      </c>
      <c r="M510" s="69">
        <f t="shared" si="101"/>
        <v>5.04</v>
      </c>
      <c r="N510" s="56">
        <f>INDEX(Rate_Chart!$A$1:$AK$127,MATCH(Data!J510,Rate_Chart!$A$1:$A$127,0),MATCH(Data!K510,Rate_Chart!$A$1:$AK$1,0))</f>
        <v>55.945</v>
      </c>
      <c r="O510" s="57">
        <f t="shared" si="102"/>
        <v>3132.92</v>
      </c>
      <c r="P510" s="58">
        <f t="shared" si="103"/>
        <v>440.51181102362204</v>
      </c>
      <c r="Q510" s="58">
        <f t="shared" si="104"/>
        <v>293.67454068241472</v>
      </c>
      <c r="R510" s="66">
        <f t="shared" si="105"/>
        <v>54.826100000000004</v>
      </c>
      <c r="S510" s="64">
        <f t="shared" si="106"/>
        <v>210</v>
      </c>
      <c r="T510" s="66">
        <f t="shared" si="107"/>
        <v>3397.7461000000003</v>
      </c>
      <c r="U510" s="68">
        <f t="shared" si="108"/>
        <v>60.674037500000004</v>
      </c>
      <c r="V510" s="68">
        <f t="shared" si="109"/>
        <v>477.74832677165358</v>
      </c>
      <c r="W510" s="68">
        <f t="shared" si="110"/>
        <v>318.4988845144357</v>
      </c>
    </row>
    <row r="511" spans="1:23" x14ac:dyDescent="0.25">
      <c r="A511" s="169" t="s">
        <v>946</v>
      </c>
      <c r="B511" s="61" t="s">
        <v>391</v>
      </c>
      <c r="C511" s="61" t="s">
        <v>585</v>
      </c>
      <c r="D511" s="61" t="s">
        <v>697</v>
      </c>
      <c r="E511" s="1" t="s">
        <v>698</v>
      </c>
      <c r="F511" s="62" t="str">
        <f t="shared" si="99"/>
        <v>60646</v>
      </c>
      <c r="G511" s="269">
        <v>10620100</v>
      </c>
      <c r="H511" s="1" t="s">
        <v>381</v>
      </c>
      <c r="I511" s="61">
        <v>55</v>
      </c>
      <c r="J511" s="61">
        <v>6.7</v>
      </c>
      <c r="K511" s="61">
        <v>9</v>
      </c>
      <c r="L511" s="69">
        <f t="shared" si="100"/>
        <v>3.6850000000000001</v>
      </c>
      <c r="M511" s="69">
        <f t="shared" si="101"/>
        <v>4.95</v>
      </c>
      <c r="N511" s="56">
        <f>INDEX(Rate_Chart!$A$1:$AK$127,MATCH(Data!J511,Rate_Chart!$A$1:$A$127,0),MATCH(Data!K511,Rate_Chart!$A$1:$AK$1,0))</f>
        <v>55.945</v>
      </c>
      <c r="O511" s="57">
        <f t="shared" si="102"/>
        <v>3076.9749999999999</v>
      </c>
      <c r="P511" s="58">
        <f t="shared" si="103"/>
        <v>440.51181102362204</v>
      </c>
      <c r="Q511" s="58">
        <f t="shared" si="104"/>
        <v>293.67454068241472</v>
      </c>
      <c r="R511" s="66">
        <f t="shared" si="105"/>
        <v>53.847062500000007</v>
      </c>
      <c r="S511" s="64">
        <f t="shared" si="106"/>
        <v>206.25</v>
      </c>
      <c r="T511" s="66">
        <f t="shared" si="107"/>
        <v>3337.0720624999999</v>
      </c>
      <c r="U511" s="68">
        <f t="shared" si="108"/>
        <v>60.674037499999997</v>
      </c>
      <c r="V511" s="68">
        <f t="shared" si="109"/>
        <v>477.74832677165352</v>
      </c>
      <c r="W511" s="68">
        <f t="shared" si="110"/>
        <v>318.4988845144357</v>
      </c>
    </row>
    <row r="512" spans="1:23" x14ac:dyDescent="0.25">
      <c r="A512" s="169" t="s">
        <v>947</v>
      </c>
      <c r="B512" s="61" t="s">
        <v>390</v>
      </c>
      <c r="C512" s="61" t="s">
        <v>585</v>
      </c>
      <c r="D512" s="61" t="s">
        <v>697</v>
      </c>
      <c r="E512" s="1" t="s">
        <v>698</v>
      </c>
      <c r="F512" s="62" t="str">
        <f t="shared" si="99"/>
        <v>60646</v>
      </c>
      <c r="G512" s="269">
        <v>10620100</v>
      </c>
      <c r="H512" s="1" t="s">
        <v>381</v>
      </c>
      <c r="I512" s="61">
        <v>56</v>
      </c>
      <c r="J512" s="61">
        <v>6.7</v>
      </c>
      <c r="K512" s="61">
        <v>9</v>
      </c>
      <c r="L512" s="69">
        <f t="shared" si="100"/>
        <v>3.7519999999999998</v>
      </c>
      <c r="M512" s="69">
        <f t="shared" si="101"/>
        <v>5.04</v>
      </c>
      <c r="N512" s="56">
        <f>INDEX(Rate_Chart!$A$1:$AK$127,MATCH(Data!J512,Rate_Chart!$A$1:$A$127,0),MATCH(Data!K512,Rate_Chart!$A$1:$AK$1,0))</f>
        <v>55.945</v>
      </c>
      <c r="O512" s="57">
        <f t="shared" si="102"/>
        <v>3132.92</v>
      </c>
      <c r="P512" s="58">
        <f t="shared" si="103"/>
        <v>440.51181102362204</v>
      </c>
      <c r="Q512" s="58">
        <f t="shared" si="104"/>
        <v>293.67454068241472</v>
      </c>
      <c r="R512" s="66">
        <f t="shared" si="105"/>
        <v>54.826100000000004</v>
      </c>
      <c r="S512" s="64">
        <f t="shared" si="106"/>
        <v>210</v>
      </c>
      <c r="T512" s="66">
        <f t="shared" si="107"/>
        <v>3397.7461000000003</v>
      </c>
      <c r="U512" s="68">
        <f t="shared" si="108"/>
        <v>60.674037500000004</v>
      </c>
      <c r="V512" s="68">
        <f t="shared" si="109"/>
        <v>477.74832677165358</v>
      </c>
      <c r="W512" s="68">
        <f t="shared" si="110"/>
        <v>318.4988845144357</v>
      </c>
    </row>
    <row r="513" spans="1:23" x14ac:dyDescent="0.25">
      <c r="A513" s="169" t="s">
        <v>947</v>
      </c>
      <c r="B513" s="61" t="s">
        <v>391</v>
      </c>
      <c r="C513" s="61" t="s">
        <v>585</v>
      </c>
      <c r="D513" s="61" t="s">
        <v>697</v>
      </c>
      <c r="E513" s="1" t="s">
        <v>698</v>
      </c>
      <c r="F513" s="62" t="str">
        <f t="shared" si="99"/>
        <v>60646</v>
      </c>
      <c r="G513" s="269">
        <v>10620100</v>
      </c>
      <c r="H513" s="1" t="s">
        <v>381</v>
      </c>
      <c r="I513" s="61">
        <v>50</v>
      </c>
      <c r="J513" s="61">
        <v>6.8</v>
      </c>
      <c r="K513" s="61">
        <v>9</v>
      </c>
      <c r="L513" s="69">
        <f t="shared" si="100"/>
        <v>3.4</v>
      </c>
      <c r="M513" s="69">
        <f t="shared" si="101"/>
        <v>4.5</v>
      </c>
      <c r="N513" s="56">
        <f>INDEX(Rate_Chart!$A$1:$AK$127,MATCH(Data!J513,Rate_Chart!$A$1:$A$127,0),MATCH(Data!K513,Rate_Chart!$A$1:$AK$1,0))</f>
        <v>56.78</v>
      </c>
      <c r="O513" s="57">
        <f t="shared" si="102"/>
        <v>2839</v>
      </c>
      <c r="P513" s="58">
        <f t="shared" si="103"/>
        <v>443.59375</v>
      </c>
      <c r="Q513" s="58">
        <f t="shared" si="104"/>
        <v>295.72916666666669</v>
      </c>
      <c r="R513" s="66">
        <f t="shared" si="105"/>
        <v>49.682500000000005</v>
      </c>
      <c r="S513" s="64">
        <f t="shared" si="106"/>
        <v>187.5</v>
      </c>
      <c r="T513" s="66">
        <f t="shared" si="107"/>
        <v>3076.1824999999999</v>
      </c>
      <c r="U513" s="68">
        <f t="shared" si="108"/>
        <v>61.523649999999996</v>
      </c>
      <c r="V513" s="68">
        <f t="shared" si="109"/>
        <v>480.65351562499995</v>
      </c>
      <c r="W513" s="68">
        <f t="shared" si="110"/>
        <v>320.4356770833333</v>
      </c>
    </row>
    <row r="514" spans="1:23" x14ac:dyDescent="0.25">
      <c r="A514" s="169" t="s">
        <v>941</v>
      </c>
      <c r="B514" s="61" t="s">
        <v>390</v>
      </c>
      <c r="C514" s="61" t="s">
        <v>585</v>
      </c>
      <c r="D514" s="61" t="s">
        <v>854</v>
      </c>
      <c r="E514" s="1" t="s">
        <v>796</v>
      </c>
      <c r="F514" s="62" t="str">
        <f t="shared" si="99"/>
        <v>64504</v>
      </c>
      <c r="G514" s="269">
        <v>10620099</v>
      </c>
      <c r="H514" s="1" t="s">
        <v>382</v>
      </c>
      <c r="I514" s="61">
        <v>7</v>
      </c>
      <c r="J514" s="61">
        <v>3.4</v>
      </c>
      <c r="K514" s="61">
        <v>8.4</v>
      </c>
      <c r="L514" s="69">
        <f t="shared" si="100"/>
        <v>0.23800000000000002</v>
      </c>
      <c r="M514" s="69">
        <f t="shared" si="101"/>
        <v>0.58800000000000008</v>
      </c>
      <c r="N514" s="56">
        <f>INDEX(Rate_Chart!$A$1:$AK$127,MATCH(Data!J514,Rate_Chart!$A$1:$A$127,0),MATCH(Data!K514,Rate_Chart!$A$1:$AK$1,0))</f>
        <v>37.531167600000003</v>
      </c>
      <c r="O514" s="57">
        <f t="shared" si="102"/>
        <v>262.71817320000002</v>
      </c>
      <c r="P514" s="58">
        <f t="shared" si="103"/>
        <v>417.01297333333338</v>
      </c>
      <c r="Q514" s="58">
        <f t="shared" si="104"/>
        <v>278.0086488888889</v>
      </c>
      <c r="R514" s="66">
        <f t="shared" si="105"/>
        <v>4.5975680310000007</v>
      </c>
      <c r="S514" s="64">
        <f t="shared" si="106"/>
        <v>26.25</v>
      </c>
      <c r="T514" s="66">
        <f t="shared" si="107"/>
        <v>293.565741231</v>
      </c>
      <c r="U514" s="68">
        <f t="shared" si="108"/>
        <v>41.937963033000003</v>
      </c>
      <c r="V514" s="68">
        <f t="shared" si="109"/>
        <v>465.97736703333339</v>
      </c>
      <c r="W514" s="68">
        <f t="shared" si="110"/>
        <v>310.65157802222228</v>
      </c>
    </row>
    <row r="515" spans="1:23" x14ac:dyDescent="0.25">
      <c r="A515" s="169" t="s">
        <v>941</v>
      </c>
      <c r="B515" s="61" t="s">
        <v>391</v>
      </c>
      <c r="C515" s="61" t="s">
        <v>585</v>
      </c>
      <c r="D515" s="61" t="s">
        <v>854</v>
      </c>
      <c r="E515" s="1" t="s">
        <v>796</v>
      </c>
      <c r="F515" s="62" t="str">
        <f t="shared" si="99"/>
        <v>64504</v>
      </c>
      <c r="G515" s="269">
        <v>10620099</v>
      </c>
      <c r="H515" s="1" t="s">
        <v>382</v>
      </c>
      <c r="I515" s="61">
        <v>27</v>
      </c>
      <c r="J515" s="61">
        <v>3.6</v>
      </c>
      <c r="K515" s="61">
        <v>8.1</v>
      </c>
      <c r="L515" s="69">
        <f t="shared" si="100"/>
        <v>0.97199999999999998</v>
      </c>
      <c r="M515" s="69">
        <f t="shared" si="101"/>
        <v>2.1869999999999998</v>
      </c>
      <c r="N515" s="56">
        <f>INDEX(Rate_Chart!$A$1:$AK$127,MATCH(Data!J515,Rate_Chart!$A$1:$A$127,0),MATCH(Data!K515,Rate_Chart!$A$1:$AK$1,0))</f>
        <v>37.531125900000006</v>
      </c>
      <c r="O515" s="57">
        <f t="shared" si="102"/>
        <v>1013.3403993000002</v>
      </c>
      <c r="P515" s="58">
        <f t="shared" si="103"/>
        <v>417.01251000000008</v>
      </c>
      <c r="Q515" s="58">
        <f t="shared" si="104"/>
        <v>278.00834000000003</v>
      </c>
      <c r="R515" s="66">
        <f t="shared" si="105"/>
        <v>17.733456987750003</v>
      </c>
      <c r="S515" s="64">
        <f t="shared" si="106"/>
        <v>101.25</v>
      </c>
      <c r="T515" s="66">
        <f t="shared" si="107"/>
        <v>1132.3238562877502</v>
      </c>
      <c r="U515" s="68">
        <f t="shared" si="108"/>
        <v>41.937920603250006</v>
      </c>
      <c r="V515" s="68">
        <f t="shared" si="109"/>
        <v>465.97689559166673</v>
      </c>
      <c r="W515" s="68">
        <f t="shared" si="110"/>
        <v>310.6512637277778</v>
      </c>
    </row>
    <row r="516" spans="1:23" x14ac:dyDescent="0.25">
      <c r="A516" s="169" t="s">
        <v>942</v>
      </c>
      <c r="B516" s="61" t="s">
        <v>390</v>
      </c>
      <c r="C516" s="61" t="s">
        <v>585</v>
      </c>
      <c r="D516" s="61" t="s">
        <v>854</v>
      </c>
      <c r="E516" s="1" t="s">
        <v>796</v>
      </c>
      <c r="F516" s="62" t="str">
        <f t="shared" si="99"/>
        <v>64504</v>
      </c>
      <c r="G516" s="269">
        <v>10620099</v>
      </c>
      <c r="H516" s="1" t="s">
        <v>382</v>
      </c>
      <c r="I516" s="61">
        <v>38</v>
      </c>
      <c r="J516" s="61">
        <v>3.7</v>
      </c>
      <c r="K516" s="61">
        <v>8.1</v>
      </c>
      <c r="L516" s="69">
        <f t="shared" si="100"/>
        <v>1.4059999999999999</v>
      </c>
      <c r="M516" s="69">
        <f t="shared" si="101"/>
        <v>3.0780000000000003</v>
      </c>
      <c r="N516" s="56">
        <f>INDEX(Rate_Chart!$A$1:$AK$127,MATCH(Data!J516,Rate_Chart!$A$1:$A$127,0),MATCH(Data!K516,Rate_Chart!$A$1:$AK$1,0))</f>
        <v>37.948125900000008</v>
      </c>
      <c r="O516" s="57">
        <f t="shared" si="102"/>
        <v>1442.0287842000002</v>
      </c>
      <c r="P516" s="58">
        <f t="shared" si="103"/>
        <v>417.01237252747262</v>
      </c>
      <c r="Q516" s="58">
        <f t="shared" si="104"/>
        <v>278.00824835164843</v>
      </c>
      <c r="R516" s="66">
        <f t="shared" si="105"/>
        <v>25.235503723500006</v>
      </c>
      <c r="S516" s="64">
        <f t="shared" si="106"/>
        <v>142.5</v>
      </c>
      <c r="T516" s="66">
        <f t="shared" si="107"/>
        <v>1609.7642879235002</v>
      </c>
      <c r="U516" s="68">
        <f t="shared" si="108"/>
        <v>42.362218103250008</v>
      </c>
      <c r="V516" s="68">
        <f t="shared" si="109"/>
        <v>465.51888025549459</v>
      </c>
      <c r="W516" s="68">
        <f t="shared" si="110"/>
        <v>310.34592017032975</v>
      </c>
    </row>
    <row r="517" spans="1:23" x14ac:dyDescent="0.25">
      <c r="A517" s="169" t="s">
        <v>942</v>
      </c>
      <c r="B517" s="61" t="s">
        <v>391</v>
      </c>
      <c r="C517" s="61" t="s">
        <v>585</v>
      </c>
      <c r="D517" s="61" t="s">
        <v>854</v>
      </c>
      <c r="E517" s="1" t="s">
        <v>796</v>
      </c>
      <c r="F517" s="62" t="str">
        <f t="shared" ref="F517:F580" si="111">MID(E517,2,5)</f>
        <v>64504</v>
      </c>
      <c r="G517" s="269">
        <v>10620099</v>
      </c>
      <c r="H517" s="1" t="s">
        <v>382</v>
      </c>
      <c r="I517" s="61">
        <v>17</v>
      </c>
      <c r="J517" s="61">
        <v>4.3</v>
      </c>
      <c r="K517" s="61">
        <v>8.1</v>
      </c>
      <c r="L517" s="69">
        <f t="shared" si="100"/>
        <v>0.73099999999999998</v>
      </c>
      <c r="M517" s="69">
        <f t="shared" si="101"/>
        <v>1.3769999999999998</v>
      </c>
      <c r="N517" s="56">
        <f>INDEX(Rate_Chart!$A$1:$AK$127,MATCH(Data!J517,Rate_Chart!$A$1:$A$127,0),MATCH(Data!K517,Rate_Chart!$A$1:$AK$1,0))</f>
        <v>40.450125900000003</v>
      </c>
      <c r="O517" s="57">
        <f t="shared" si="102"/>
        <v>687.65214030000004</v>
      </c>
      <c r="P517" s="58">
        <f t="shared" si="103"/>
        <v>417.01160721649489</v>
      </c>
      <c r="Q517" s="58">
        <f t="shared" si="104"/>
        <v>278.00773814432995</v>
      </c>
      <c r="R517" s="66">
        <f t="shared" si="105"/>
        <v>12.033912455250002</v>
      </c>
      <c r="S517" s="64">
        <f t="shared" si="106"/>
        <v>63.75</v>
      </c>
      <c r="T517" s="66">
        <f t="shared" si="107"/>
        <v>763.4360527552501</v>
      </c>
      <c r="U517" s="68">
        <f t="shared" si="108"/>
        <v>44.908003103250003</v>
      </c>
      <c r="V517" s="68">
        <f t="shared" si="109"/>
        <v>462.96910415721652</v>
      </c>
      <c r="W517" s="68">
        <f t="shared" si="110"/>
        <v>308.64606943814437</v>
      </c>
    </row>
    <row r="518" spans="1:23" x14ac:dyDescent="0.25">
      <c r="A518" s="169" t="s">
        <v>943</v>
      </c>
      <c r="B518" s="61" t="s">
        <v>390</v>
      </c>
      <c r="C518" s="61" t="s">
        <v>585</v>
      </c>
      <c r="D518" s="61" t="s">
        <v>854</v>
      </c>
      <c r="E518" s="1" t="s">
        <v>796</v>
      </c>
      <c r="F518" s="62" t="str">
        <f t="shared" si="111"/>
        <v>64504</v>
      </c>
      <c r="G518" s="269">
        <v>10620099</v>
      </c>
      <c r="H518" s="1" t="s">
        <v>382</v>
      </c>
      <c r="I518" s="61">
        <v>40</v>
      </c>
      <c r="J518" s="61">
        <v>3.7</v>
      </c>
      <c r="K518" s="61">
        <v>8.1999999999999993</v>
      </c>
      <c r="L518" s="69">
        <f t="shared" si="100"/>
        <v>1.48</v>
      </c>
      <c r="M518" s="69">
        <f t="shared" si="101"/>
        <v>3.28</v>
      </c>
      <c r="N518" s="56">
        <f>INDEX(Rate_Chart!$A$1:$AK$127,MATCH(Data!J518,Rate_Chart!$A$1:$A$127,0),MATCH(Data!K518,Rate_Chart!$A$1:$AK$1,0))</f>
        <v>38.226139799999999</v>
      </c>
      <c r="O518" s="57">
        <f t="shared" si="102"/>
        <v>1529.0455919999999</v>
      </c>
      <c r="P518" s="58">
        <f t="shared" si="103"/>
        <v>417.01243418181815</v>
      </c>
      <c r="Q518" s="58">
        <f t="shared" si="104"/>
        <v>278.00828945454543</v>
      </c>
      <c r="R518" s="66">
        <f t="shared" si="105"/>
        <v>26.758297860000003</v>
      </c>
      <c r="S518" s="64">
        <f t="shared" si="106"/>
        <v>150</v>
      </c>
      <c r="T518" s="66">
        <f t="shared" si="107"/>
        <v>1705.80388986</v>
      </c>
      <c r="U518" s="68">
        <f t="shared" si="108"/>
        <v>42.645097246500001</v>
      </c>
      <c r="V518" s="68">
        <f t="shared" si="109"/>
        <v>465.21924268909089</v>
      </c>
      <c r="W518" s="68">
        <f t="shared" si="110"/>
        <v>310.14616179272724</v>
      </c>
    </row>
    <row r="519" spans="1:23" x14ac:dyDescent="0.25">
      <c r="A519" s="169" t="s">
        <v>943</v>
      </c>
      <c r="B519" s="61" t="s">
        <v>391</v>
      </c>
      <c r="C519" s="61" t="s">
        <v>585</v>
      </c>
      <c r="D519" s="61" t="s">
        <v>854</v>
      </c>
      <c r="E519" s="1" t="s">
        <v>796</v>
      </c>
      <c r="F519" s="62" t="str">
        <f t="shared" si="111"/>
        <v>64504</v>
      </c>
      <c r="G519" s="269">
        <v>10620099</v>
      </c>
      <c r="H519" s="1" t="s">
        <v>382</v>
      </c>
      <c r="I519" s="61">
        <v>13</v>
      </c>
      <c r="J519" s="61">
        <v>3.3</v>
      </c>
      <c r="K519" s="61">
        <v>8.1</v>
      </c>
      <c r="L519" s="69">
        <f t="shared" si="100"/>
        <v>0.42899999999999999</v>
      </c>
      <c r="M519" s="69">
        <f t="shared" si="101"/>
        <v>1.0529999999999999</v>
      </c>
      <c r="N519" s="56">
        <f>INDEX(Rate_Chart!$A$1:$AK$127,MATCH(Data!J519,Rate_Chart!$A$1:$A$127,0),MATCH(Data!K519,Rate_Chart!$A$1:$AK$1,0))</f>
        <v>36.280125900000002</v>
      </c>
      <c r="O519" s="57">
        <f t="shared" si="102"/>
        <v>471.64163670000005</v>
      </c>
      <c r="P519" s="58">
        <f t="shared" si="103"/>
        <v>417.0129413793104</v>
      </c>
      <c r="Q519" s="58">
        <f t="shared" si="104"/>
        <v>278.00862758620696</v>
      </c>
      <c r="R519" s="66">
        <f t="shared" si="105"/>
        <v>8.2537286422500014</v>
      </c>
      <c r="S519" s="64">
        <f t="shared" si="106"/>
        <v>48.75</v>
      </c>
      <c r="T519" s="66">
        <f t="shared" si="107"/>
        <v>528.6453653422501</v>
      </c>
      <c r="U519" s="68">
        <f t="shared" si="108"/>
        <v>40.665028103250009</v>
      </c>
      <c r="V519" s="68">
        <f t="shared" si="109"/>
        <v>467.41411612931046</v>
      </c>
      <c r="W519" s="68">
        <f t="shared" si="110"/>
        <v>311.60941075287366</v>
      </c>
    </row>
    <row r="520" spans="1:23" x14ac:dyDescent="0.25">
      <c r="A520" s="169" t="s">
        <v>944</v>
      </c>
      <c r="B520" s="61" t="s">
        <v>390</v>
      </c>
      <c r="C520" s="61" t="s">
        <v>585</v>
      </c>
      <c r="D520" s="61" t="s">
        <v>854</v>
      </c>
      <c r="E520" s="1" t="s">
        <v>796</v>
      </c>
      <c r="F520" s="62" t="str">
        <f t="shared" si="111"/>
        <v>64504</v>
      </c>
      <c r="G520" s="269">
        <v>10620099</v>
      </c>
      <c r="H520" s="1" t="s">
        <v>382</v>
      </c>
      <c r="I520" s="61">
        <v>32</v>
      </c>
      <c r="J520" s="61">
        <v>3.7</v>
      </c>
      <c r="K520" s="61">
        <v>8.1</v>
      </c>
      <c r="L520" s="69">
        <f t="shared" si="100"/>
        <v>1.1840000000000002</v>
      </c>
      <c r="M520" s="69">
        <f t="shared" si="101"/>
        <v>2.5920000000000001</v>
      </c>
      <c r="N520" s="56">
        <f>INDEX(Rate_Chart!$A$1:$AK$127,MATCH(Data!J520,Rate_Chart!$A$1:$A$127,0),MATCH(Data!K520,Rate_Chart!$A$1:$AK$1,0))</f>
        <v>37.948125900000008</v>
      </c>
      <c r="O520" s="57">
        <f t="shared" si="102"/>
        <v>1214.3400288000003</v>
      </c>
      <c r="P520" s="58">
        <f t="shared" si="103"/>
        <v>417.01237252747262</v>
      </c>
      <c r="Q520" s="58">
        <f t="shared" si="104"/>
        <v>278.00824835164843</v>
      </c>
      <c r="R520" s="66">
        <f t="shared" si="105"/>
        <v>21.250950504000006</v>
      </c>
      <c r="S520" s="64">
        <f t="shared" si="106"/>
        <v>120</v>
      </c>
      <c r="T520" s="66">
        <f t="shared" si="107"/>
        <v>1355.5909793040003</v>
      </c>
      <c r="U520" s="68">
        <f t="shared" si="108"/>
        <v>42.362218103250008</v>
      </c>
      <c r="V520" s="68">
        <f t="shared" si="109"/>
        <v>465.51888025549459</v>
      </c>
      <c r="W520" s="68">
        <f t="shared" si="110"/>
        <v>310.34592017032975</v>
      </c>
    </row>
    <row r="521" spans="1:23" x14ac:dyDescent="0.25">
      <c r="A521" s="169" t="s">
        <v>944</v>
      </c>
      <c r="B521" s="61" t="s">
        <v>391</v>
      </c>
      <c r="C521" s="61" t="s">
        <v>585</v>
      </c>
      <c r="D521" s="61" t="s">
        <v>854</v>
      </c>
      <c r="E521" s="1" t="s">
        <v>796</v>
      </c>
      <c r="F521" s="62" t="str">
        <f t="shared" si="111"/>
        <v>64504</v>
      </c>
      <c r="G521" s="269">
        <v>10620099</v>
      </c>
      <c r="H521" s="1" t="s">
        <v>382</v>
      </c>
      <c r="I521" s="61">
        <v>8</v>
      </c>
      <c r="J521" s="61">
        <v>4.2</v>
      </c>
      <c r="K521" s="61">
        <v>8</v>
      </c>
      <c r="L521" s="69">
        <f t="shared" si="100"/>
        <v>0.33600000000000002</v>
      </c>
      <c r="M521" s="69">
        <f t="shared" si="101"/>
        <v>0.64</v>
      </c>
      <c r="N521" s="56">
        <f>INDEX(Rate_Chart!$A$1:$AK$127,MATCH(Data!J521,Rate_Chart!$A$1:$A$127,0),MATCH(Data!K521,Rate_Chart!$A$1:$AK$1,0))</f>
        <v>39.755112000000004</v>
      </c>
      <c r="O521" s="57">
        <f t="shared" si="102"/>
        <v>318.04089600000003</v>
      </c>
      <c r="P521" s="58">
        <f t="shared" si="103"/>
        <v>417.01166433566436</v>
      </c>
      <c r="Q521" s="58">
        <f t="shared" si="104"/>
        <v>278.00777622377626</v>
      </c>
      <c r="R521" s="66">
        <f t="shared" si="105"/>
        <v>5.5657156800000012</v>
      </c>
      <c r="S521" s="64">
        <f t="shared" si="106"/>
        <v>30</v>
      </c>
      <c r="T521" s="66">
        <f t="shared" si="107"/>
        <v>353.60661168000001</v>
      </c>
      <c r="U521" s="68">
        <f t="shared" si="108"/>
        <v>44.200826460000002</v>
      </c>
      <c r="V521" s="68">
        <f t="shared" si="109"/>
        <v>463.64503279720276</v>
      </c>
      <c r="W521" s="68">
        <f t="shared" si="110"/>
        <v>309.09668853146849</v>
      </c>
    </row>
    <row r="522" spans="1:23" x14ac:dyDescent="0.25">
      <c r="A522" s="169" t="s">
        <v>945</v>
      </c>
      <c r="B522" s="61" t="s">
        <v>390</v>
      </c>
      <c r="C522" s="61" t="s">
        <v>585</v>
      </c>
      <c r="D522" s="61" t="s">
        <v>854</v>
      </c>
      <c r="E522" s="1" t="s">
        <v>796</v>
      </c>
      <c r="F522" s="62" t="str">
        <f t="shared" si="111"/>
        <v>64504</v>
      </c>
      <c r="G522" s="269">
        <v>10620099</v>
      </c>
      <c r="H522" s="1" t="s">
        <v>382</v>
      </c>
      <c r="I522" s="61">
        <v>37</v>
      </c>
      <c r="J522" s="61">
        <v>3.5</v>
      </c>
      <c r="K522" s="61">
        <v>8</v>
      </c>
      <c r="L522" s="69">
        <f t="shared" si="100"/>
        <v>1.2949999999999999</v>
      </c>
      <c r="M522" s="69">
        <f t="shared" si="101"/>
        <v>2.96</v>
      </c>
      <c r="N522" s="56">
        <f>INDEX(Rate_Chart!$A$1:$AK$127,MATCH(Data!J522,Rate_Chart!$A$1:$A$127,0),MATCH(Data!K522,Rate_Chart!$A$1:$AK$1,0))</f>
        <v>36.836112000000007</v>
      </c>
      <c r="O522" s="57">
        <f t="shared" si="102"/>
        <v>1362.9361440000002</v>
      </c>
      <c r="P522" s="58">
        <f t="shared" si="103"/>
        <v>417.01258867924531</v>
      </c>
      <c r="Q522" s="58">
        <f t="shared" si="104"/>
        <v>278.00839245283021</v>
      </c>
      <c r="R522" s="66">
        <f t="shared" si="105"/>
        <v>23.851382520000005</v>
      </c>
      <c r="S522" s="64">
        <f t="shared" si="106"/>
        <v>138.75</v>
      </c>
      <c r="T522" s="66">
        <f t="shared" si="107"/>
        <v>1525.5375265200003</v>
      </c>
      <c r="U522" s="68">
        <f t="shared" si="108"/>
        <v>41.230743960000005</v>
      </c>
      <c r="V522" s="68">
        <f t="shared" si="109"/>
        <v>466.76313916981132</v>
      </c>
      <c r="W522" s="68">
        <f t="shared" si="110"/>
        <v>311.17542611320755</v>
      </c>
    </row>
    <row r="523" spans="1:23" x14ac:dyDescent="0.25">
      <c r="A523" s="169" t="s">
        <v>945</v>
      </c>
      <c r="B523" s="61" t="s">
        <v>391</v>
      </c>
      <c r="C523" s="61" t="s">
        <v>585</v>
      </c>
      <c r="D523" s="61" t="s">
        <v>854</v>
      </c>
      <c r="E523" s="1" t="s">
        <v>796</v>
      </c>
      <c r="F523" s="62" t="str">
        <f t="shared" si="111"/>
        <v>64504</v>
      </c>
      <c r="G523" s="269">
        <v>10620099</v>
      </c>
      <c r="H523" s="1" t="s">
        <v>382</v>
      </c>
      <c r="I523" s="61">
        <v>15</v>
      </c>
      <c r="J523" s="61">
        <v>3.4</v>
      </c>
      <c r="K523" s="61">
        <v>8</v>
      </c>
      <c r="L523" s="69">
        <f t="shared" si="100"/>
        <v>0.51</v>
      </c>
      <c r="M523" s="69">
        <f t="shared" si="101"/>
        <v>1.2</v>
      </c>
      <c r="N523" s="56">
        <f>INDEX(Rate_Chart!$A$1:$AK$127,MATCH(Data!J523,Rate_Chart!$A$1:$A$127,0),MATCH(Data!K523,Rate_Chart!$A$1:$AK$1,0))</f>
        <v>36.419112000000005</v>
      </c>
      <c r="O523" s="57">
        <f t="shared" si="102"/>
        <v>546.28668000000005</v>
      </c>
      <c r="P523" s="58">
        <f t="shared" si="103"/>
        <v>417.01273282442747</v>
      </c>
      <c r="Q523" s="58">
        <f t="shared" si="104"/>
        <v>278.00848854961833</v>
      </c>
      <c r="R523" s="66">
        <f t="shared" si="105"/>
        <v>9.5600169000000026</v>
      </c>
      <c r="S523" s="64">
        <f t="shared" si="106"/>
        <v>56.25</v>
      </c>
      <c r="T523" s="66">
        <f t="shared" si="107"/>
        <v>612.0966969000001</v>
      </c>
      <c r="U523" s="68">
        <f t="shared" si="108"/>
        <v>40.806446460000004</v>
      </c>
      <c r="V523" s="68">
        <f t="shared" si="109"/>
        <v>467.24938694656487</v>
      </c>
      <c r="W523" s="68">
        <f t="shared" si="110"/>
        <v>311.49959129770991</v>
      </c>
    </row>
    <row r="524" spans="1:23" x14ac:dyDescent="0.25">
      <c r="A524" s="169" t="s">
        <v>946</v>
      </c>
      <c r="B524" s="61" t="s">
        <v>390</v>
      </c>
      <c r="C524" s="61" t="s">
        <v>585</v>
      </c>
      <c r="D524" s="61" t="s">
        <v>854</v>
      </c>
      <c r="E524" s="1" t="s">
        <v>796</v>
      </c>
      <c r="F524" s="62" t="str">
        <f t="shared" si="111"/>
        <v>64504</v>
      </c>
      <c r="G524" s="269">
        <v>10620099</v>
      </c>
      <c r="H524" s="1" t="s">
        <v>382</v>
      </c>
      <c r="I524" s="61">
        <v>28</v>
      </c>
      <c r="J524" s="61">
        <v>3.5</v>
      </c>
      <c r="K524" s="61">
        <v>8.1</v>
      </c>
      <c r="L524" s="69">
        <f t="shared" si="100"/>
        <v>0.98</v>
      </c>
      <c r="M524" s="69">
        <f t="shared" si="101"/>
        <v>2.2679999999999998</v>
      </c>
      <c r="N524" s="56">
        <f>INDEX(Rate_Chart!$A$1:$AK$127,MATCH(Data!J524,Rate_Chart!$A$1:$A$127,0),MATCH(Data!K524,Rate_Chart!$A$1:$AK$1,0))</f>
        <v>37.114125900000005</v>
      </c>
      <c r="O524" s="57">
        <f t="shared" si="102"/>
        <v>1039.1955252000002</v>
      </c>
      <c r="P524" s="58">
        <f t="shared" si="103"/>
        <v>417.01265056179784</v>
      </c>
      <c r="Q524" s="58">
        <f t="shared" si="104"/>
        <v>278.00843370786521</v>
      </c>
      <c r="R524" s="66">
        <f t="shared" si="105"/>
        <v>18.185921691000004</v>
      </c>
      <c r="S524" s="64">
        <f t="shared" si="106"/>
        <v>105</v>
      </c>
      <c r="T524" s="66">
        <f t="shared" si="107"/>
        <v>1162.3814468910002</v>
      </c>
      <c r="U524" s="68">
        <f t="shared" si="108"/>
        <v>41.513623103250005</v>
      </c>
      <c r="V524" s="68">
        <f t="shared" si="109"/>
        <v>466.44520340730344</v>
      </c>
      <c r="W524" s="68">
        <f t="shared" si="110"/>
        <v>310.96346893820231</v>
      </c>
    </row>
    <row r="525" spans="1:23" x14ac:dyDescent="0.25">
      <c r="A525" s="169" t="s">
        <v>946</v>
      </c>
      <c r="B525" s="61" t="s">
        <v>391</v>
      </c>
      <c r="C525" s="61" t="s">
        <v>585</v>
      </c>
      <c r="D525" s="61" t="s">
        <v>854</v>
      </c>
      <c r="E525" s="1" t="s">
        <v>796</v>
      </c>
      <c r="F525" s="62" t="str">
        <f t="shared" si="111"/>
        <v>64504</v>
      </c>
      <c r="G525" s="269">
        <v>10620099</v>
      </c>
      <c r="H525" s="1" t="s">
        <v>382</v>
      </c>
      <c r="I525" s="61">
        <v>19</v>
      </c>
      <c r="J525" s="61">
        <v>3.3</v>
      </c>
      <c r="K525" s="61">
        <v>8.1</v>
      </c>
      <c r="L525" s="69">
        <f t="shared" si="100"/>
        <v>0.627</v>
      </c>
      <c r="M525" s="69">
        <f t="shared" si="101"/>
        <v>1.5390000000000001</v>
      </c>
      <c r="N525" s="56">
        <f>INDEX(Rate_Chart!$A$1:$AK$127,MATCH(Data!J525,Rate_Chart!$A$1:$A$127,0),MATCH(Data!K525,Rate_Chart!$A$1:$AK$1,0))</f>
        <v>36.280125900000002</v>
      </c>
      <c r="O525" s="57">
        <f t="shared" si="102"/>
        <v>689.3223921</v>
      </c>
      <c r="P525" s="58">
        <f t="shared" si="103"/>
        <v>417.0129413793104</v>
      </c>
      <c r="Q525" s="58">
        <f t="shared" si="104"/>
        <v>278.00862758620696</v>
      </c>
      <c r="R525" s="66">
        <f t="shared" si="105"/>
        <v>12.063141861750001</v>
      </c>
      <c r="S525" s="64">
        <f t="shared" si="106"/>
        <v>71.25</v>
      </c>
      <c r="T525" s="66">
        <f t="shared" si="107"/>
        <v>772.63553396174996</v>
      </c>
      <c r="U525" s="68">
        <f t="shared" si="108"/>
        <v>40.665028103249995</v>
      </c>
      <c r="V525" s="68">
        <f t="shared" si="109"/>
        <v>467.41411612931034</v>
      </c>
      <c r="W525" s="68">
        <f t="shared" si="110"/>
        <v>311.60941075287354</v>
      </c>
    </row>
    <row r="526" spans="1:23" x14ac:dyDescent="0.25">
      <c r="A526" s="169" t="s">
        <v>947</v>
      </c>
      <c r="B526" s="61" t="s">
        <v>390</v>
      </c>
      <c r="C526" s="61" t="s">
        <v>585</v>
      </c>
      <c r="D526" s="61" t="s">
        <v>854</v>
      </c>
      <c r="E526" s="1" t="s">
        <v>796</v>
      </c>
      <c r="F526" s="62" t="str">
        <f t="shared" si="111"/>
        <v>64504</v>
      </c>
      <c r="G526" s="269">
        <v>10620099</v>
      </c>
      <c r="H526" s="1" t="s">
        <v>382</v>
      </c>
      <c r="I526" s="61">
        <v>33</v>
      </c>
      <c r="J526" s="61">
        <v>3.6</v>
      </c>
      <c r="K526" s="61">
        <v>8.1</v>
      </c>
      <c r="L526" s="69">
        <f t="shared" si="100"/>
        <v>1.1879999999999999</v>
      </c>
      <c r="M526" s="69">
        <f t="shared" si="101"/>
        <v>2.673</v>
      </c>
      <c r="N526" s="56">
        <f>INDEX(Rate_Chart!$A$1:$AK$127,MATCH(Data!J526,Rate_Chart!$A$1:$A$127,0),MATCH(Data!K526,Rate_Chart!$A$1:$AK$1,0))</f>
        <v>37.531125900000006</v>
      </c>
      <c r="O526" s="57">
        <f t="shared" si="102"/>
        <v>1238.5271547000002</v>
      </c>
      <c r="P526" s="58">
        <f t="shared" si="103"/>
        <v>417.01251000000008</v>
      </c>
      <c r="Q526" s="58">
        <f t="shared" si="104"/>
        <v>278.00834000000003</v>
      </c>
      <c r="R526" s="66">
        <f t="shared" si="105"/>
        <v>21.674225207250007</v>
      </c>
      <c r="S526" s="64">
        <f t="shared" si="106"/>
        <v>123.75</v>
      </c>
      <c r="T526" s="66">
        <f t="shared" si="107"/>
        <v>1383.9513799072502</v>
      </c>
      <c r="U526" s="68">
        <f t="shared" si="108"/>
        <v>41.937920603250006</v>
      </c>
      <c r="V526" s="68">
        <f t="shared" si="109"/>
        <v>465.97689559166673</v>
      </c>
      <c r="W526" s="68">
        <f t="shared" si="110"/>
        <v>310.6512637277778</v>
      </c>
    </row>
    <row r="527" spans="1:23" x14ac:dyDescent="0.25">
      <c r="A527" s="169" t="s">
        <v>947</v>
      </c>
      <c r="B527" s="61" t="s">
        <v>391</v>
      </c>
      <c r="C527" s="61" t="s">
        <v>585</v>
      </c>
      <c r="D527" s="61" t="s">
        <v>854</v>
      </c>
      <c r="E527" s="1" t="s">
        <v>796</v>
      </c>
      <c r="F527" s="62" t="str">
        <f t="shared" si="111"/>
        <v>64504</v>
      </c>
      <c r="G527" s="269">
        <v>10620099</v>
      </c>
      <c r="H527" s="1" t="s">
        <v>382</v>
      </c>
      <c r="I527" s="61">
        <v>14</v>
      </c>
      <c r="J527" s="61">
        <v>3.8</v>
      </c>
      <c r="K527" s="61">
        <v>8.1</v>
      </c>
      <c r="L527" s="69">
        <f t="shared" si="100"/>
        <v>0.53199999999999992</v>
      </c>
      <c r="M527" s="69">
        <f t="shared" si="101"/>
        <v>1.1339999999999999</v>
      </c>
      <c r="N527" s="56">
        <f>INDEX(Rate_Chart!$A$1:$AK$127,MATCH(Data!J527,Rate_Chart!$A$1:$A$127,0),MATCH(Data!K527,Rate_Chart!$A$1:$AK$1,0))</f>
        <v>38.365125900000002</v>
      </c>
      <c r="O527" s="57">
        <f t="shared" si="102"/>
        <v>537.11176260000002</v>
      </c>
      <c r="P527" s="58">
        <f t="shared" si="103"/>
        <v>417.01223804347831</v>
      </c>
      <c r="Q527" s="58">
        <f t="shared" si="104"/>
        <v>278.00815869565218</v>
      </c>
      <c r="R527" s="66">
        <f t="shared" si="105"/>
        <v>9.3994558455000021</v>
      </c>
      <c r="S527" s="64">
        <f t="shared" si="106"/>
        <v>52.5</v>
      </c>
      <c r="T527" s="66">
        <f t="shared" si="107"/>
        <v>599.01121844550005</v>
      </c>
      <c r="U527" s="68">
        <f t="shared" si="108"/>
        <v>42.786515603250002</v>
      </c>
      <c r="V527" s="68">
        <f t="shared" si="109"/>
        <v>465.07082177445653</v>
      </c>
      <c r="W527" s="68">
        <f t="shared" si="110"/>
        <v>310.04721451630434</v>
      </c>
    </row>
    <row r="528" spans="1:23" x14ac:dyDescent="0.25">
      <c r="A528" s="169" t="s">
        <v>941</v>
      </c>
      <c r="B528" s="61" t="s">
        <v>390</v>
      </c>
      <c r="C528" s="61" t="s">
        <v>585</v>
      </c>
      <c r="D528" s="61" t="s">
        <v>589</v>
      </c>
      <c r="E528" s="1" t="s">
        <v>352</v>
      </c>
      <c r="F528" s="62" t="str">
        <f t="shared" si="111"/>
        <v>64505</v>
      </c>
      <c r="G528" s="269">
        <v>10620005</v>
      </c>
      <c r="H528" s="1" t="s">
        <v>381</v>
      </c>
      <c r="I528" s="61">
        <v>24</v>
      </c>
      <c r="J528" s="61">
        <v>8.4</v>
      </c>
      <c r="K528" s="61">
        <v>9</v>
      </c>
      <c r="L528" s="69">
        <f t="shared" si="100"/>
        <v>2.016</v>
      </c>
      <c r="M528" s="69">
        <f t="shared" si="101"/>
        <v>2.16</v>
      </c>
      <c r="N528" s="56">
        <f>INDEX(Rate_Chart!$A$1:$AK$127,MATCH(Data!J528,Rate_Chart!$A$1:$A$127,0),MATCH(Data!K528,Rate_Chart!$A$1:$AK$1,0))</f>
        <v>70.14</v>
      </c>
      <c r="O528" s="57">
        <f t="shared" si="102"/>
        <v>1683.3600000000001</v>
      </c>
      <c r="P528" s="58">
        <f t="shared" si="103"/>
        <v>487.08333333333326</v>
      </c>
      <c r="Q528" s="58">
        <f t="shared" si="104"/>
        <v>324.72222222222217</v>
      </c>
      <c r="R528" s="66">
        <f t="shared" si="105"/>
        <v>29.458800000000004</v>
      </c>
      <c r="S528" s="64">
        <f t="shared" si="106"/>
        <v>90</v>
      </c>
      <c r="T528" s="66">
        <f t="shared" si="107"/>
        <v>1802.8188</v>
      </c>
      <c r="U528" s="68">
        <f t="shared" si="108"/>
        <v>75.117450000000005</v>
      </c>
      <c r="V528" s="68">
        <f t="shared" si="109"/>
        <v>521.64895833333333</v>
      </c>
      <c r="W528" s="68">
        <f t="shared" si="110"/>
        <v>347.76597222222222</v>
      </c>
    </row>
    <row r="529" spans="1:23" x14ac:dyDescent="0.25">
      <c r="A529" s="169" t="s">
        <v>941</v>
      </c>
      <c r="B529" s="61" t="s">
        <v>391</v>
      </c>
      <c r="C529" s="61" t="s">
        <v>585</v>
      </c>
      <c r="D529" s="61" t="s">
        <v>589</v>
      </c>
      <c r="E529" s="1" t="s">
        <v>352</v>
      </c>
      <c r="F529" s="62" t="str">
        <f t="shared" si="111"/>
        <v>64505</v>
      </c>
      <c r="G529" s="269">
        <v>10620005</v>
      </c>
      <c r="H529" s="1" t="s">
        <v>381</v>
      </c>
      <c r="I529" s="61">
        <v>23</v>
      </c>
      <c r="J529" s="61">
        <v>7.5</v>
      </c>
      <c r="K529" s="61">
        <v>9</v>
      </c>
      <c r="L529" s="69">
        <f t="shared" si="100"/>
        <v>1.7250000000000001</v>
      </c>
      <c r="M529" s="69">
        <f t="shared" si="101"/>
        <v>2.0699999999999998</v>
      </c>
      <c r="N529" s="56">
        <f>INDEX(Rate_Chart!$A$1:$AK$127,MATCH(Data!J529,Rate_Chart!$A$1:$A$127,0),MATCH(Data!K529,Rate_Chart!$A$1:$AK$1,0))</f>
        <v>62.625</v>
      </c>
      <c r="O529" s="57">
        <f t="shared" si="102"/>
        <v>1440.375</v>
      </c>
      <c r="P529" s="58">
        <f t="shared" si="103"/>
        <v>463.88888888888886</v>
      </c>
      <c r="Q529" s="58">
        <f t="shared" si="104"/>
        <v>309.25925925925924</v>
      </c>
      <c r="R529" s="66">
        <f t="shared" si="105"/>
        <v>25.206562500000004</v>
      </c>
      <c r="S529" s="64">
        <f t="shared" si="106"/>
        <v>86.25</v>
      </c>
      <c r="T529" s="66">
        <f t="shared" si="107"/>
        <v>1551.8315625</v>
      </c>
      <c r="U529" s="68">
        <f t="shared" si="108"/>
        <v>67.470937500000005</v>
      </c>
      <c r="V529" s="68">
        <f t="shared" si="109"/>
        <v>499.78472222222223</v>
      </c>
      <c r="W529" s="68">
        <f t="shared" si="110"/>
        <v>333.18981481481484</v>
      </c>
    </row>
    <row r="530" spans="1:23" x14ac:dyDescent="0.25">
      <c r="A530" s="169" t="s">
        <v>941</v>
      </c>
      <c r="B530" s="61" t="s">
        <v>391</v>
      </c>
      <c r="C530" s="61" t="s">
        <v>585</v>
      </c>
      <c r="D530" s="61" t="s">
        <v>589</v>
      </c>
      <c r="E530" s="1" t="s">
        <v>352</v>
      </c>
      <c r="F530" s="62" t="str">
        <f t="shared" si="111"/>
        <v>64505</v>
      </c>
      <c r="G530" s="269">
        <v>10620005</v>
      </c>
      <c r="H530" s="1" t="s">
        <v>382</v>
      </c>
      <c r="I530" s="61">
        <v>18</v>
      </c>
      <c r="J530" s="61">
        <v>4.3</v>
      </c>
      <c r="K530" s="61">
        <v>8.5</v>
      </c>
      <c r="L530" s="69">
        <f t="shared" si="100"/>
        <v>0.77399999999999991</v>
      </c>
      <c r="M530" s="69">
        <f t="shared" si="101"/>
        <v>1.53</v>
      </c>
      <c r="N530" s="56">
        <f>INDEX(Rate_Chart!$A$1:$AK$127,MATCH(Data!J530,Rate_Chart!$A$1:$A$127,0),MATCH(Data!K530,Rate_Chart!$A$1:$AK$1,0))</f>
        <v>41.562181500000001</v>
      </c>
      <c r="O530" s="57">
        <f t="shared" si="102"/>
        <v>748.11926700000004</v>
      </c>
      <c r="P530" s="58">
        <f t="shared" si="103"/>
        <v>417.01185451505017</v>
      </c>
      <c r="Q530" s="58">
        <f t="shared" si="104"/>
        <v>278.00790301003343</v>
      </c>
      <c r="R530" s="66">
        <f t="shared" si="105"/>
        <v>13.092087172500001</v>
      </c>
      <c r="S530" s="64">
        <f t="shared" si="106"/>
        <v>67.5</v>
      </c>
      <c r="T530" s="66">
        <f t="shared" si="107"/>
        <v>828.71135417250002</v>
      </c>
      <c r="U530" s="68">
        <f t="shared" si="108"/>
        <v>46.039519676250002</v>
      </c>
      <c r="V530" s="68">
        <f t="shared" si="109"/>
        <v>461.93498002926424</v>
      </c>
      <c r="W530" s="68">
        <f t="shared" si="110"/>
        <v>307.95665335284281</v>
      </c>
    </row>
    <row r="531" spans="1:23" x14ac:dyDescent="0.25">
      <c r="A531" s="169" t="s">
        <v>942</v>
      </c>
      <c r="B531" s="61" t="s">
        <v>390</v>
      </c>
      <c r="C531" s="61" t="s">
        <v>585</v>
      </c>
      <c r="D531" s="61" t="s">
        <v>589</v>
      </c>
      <c r="E531" s="1" t="s">
        <v>352</v>
      </c>
      <c r="F531" s="62" t="str">
        <f t="shared" si="111"/>
        <v>64505</v>
      </c>
      <c r="G531" s="269">
        <v>10620005</v>
      </c>
      <c r="H531" s="1" t="s">
        <v>381</v>
      </c>
      <c r="I531" s="61">
        <v>20</v>
      </c>
      <c r="J531" s="61">
        <v>8.4</v>
      </c>
      <c r="K531" s="61">
        <v>9</v>
      </c>
      <c r="L531" s="69">
        <f t="shared" si="100"/>
        <v>1.68</v>
      </c>
      <c r="M531" s="69">
        <f t="shared" si="101"/>
        <v>1.8</v>
      </c>
      <c r="N531" s="56">
        <f>INDEX(Rate_Chart!$A$1:$AK$127,MATCH(Data!J531,Rate_Chart!$A$1:$A$127,0),MATCH(Data!K531,Rate_Chart!$A$1:$AK$1,0))</f>
        <v>70.14</v>
      </c>
      <c r="O531" s="57">
        <f t="shared" si="102"/>
        <v>1402.8</v>
      </c>
      <c r="P531" s="58">
        <f t="shared" si="103"/>
        <v>487.08333333333326</v>
      </c>
      <c r="Q531" s="58">
        <f t="shared" si="104"/>
        <v>324.72222222222217</v>
      </c>
      <c r="R531" s="66">
        <f t="shared" si="105"/>
        <v>24.549000000000003</v>
      </c>
      <c r="S531" s="64">
        <f t="shared" si="106"/>
        <v>75</v>
      </c>
      <c r="T531" s="66">
        <f t="shared" si="107"/>
        <v>1502.3489999999999</v>
      </c>
      <c r="U531" s="68">
        <f t="shared" si="108"/>
        <v>75.117449999999991</v>
      </c>
      <c r="V531" s="68">
        <f t="shared" si="109"/>
        <v>521.64895833333321</v>
      </c>
      <c r="W531" s="68">
        <f t="shared" si="110"/>
        <v>347.76597222222216</v>
      </c>
    </row>
    <row r="532" spans="1:23" x14ac:dyDescent="0.25">
      <c r="A532" s="169" t="s">
        <v>942</v>
      </c>
      <c r="B532" s="61" t="s">
        <v>391</v>
      </c>
      <c r="C532" s="61" t="s">
        <v>585</v>
      </c>
      <c r="D532" s="61" t="s">
        <v>589</v>
      </c>
      <c r="E532" s="1" t="s">
        <v>352</v>
      </c>
      <c r="F532" s="62" t="str">
        <f t="shared" si="111"/>
        <v>64505</v>
      </c>
      <c r="G532" s="269">
        <v>10620005</v>
      </c>
      <c r="H532" s="1" t="s">
        <v>381</v>
      </c>
      <c r="I532" s="61">
        <v>23</v>
      </c>
      <c r="J532" s="61">
        <v>8.4</v>
      </c>
      <c r="K532" s="61">
        <v>9</v>
      </c>
      <c r="L532" s="69">
        <f t="shared" si="100"/>
        <v>1.9320000000000002</v>
      </c>
      <c r="M532" s="69">
        <f t="shared" si="101"/>
        <v>2.0699999999999998</v>
      </c>
      <c r="N532" s="56">
        <f>INDEX(Rate_Chart!$A$1:$AK$127,MATCH(Data!J532,Rate_Chart!$A$1:$A$127,0),MATCH(Data!K532,Rate_Chart!$A$1:$AK$1,0))</f>
        <v>70.14</v>
      </c>
      <c r="O532" s="57">
        <f t="shared" si="102"/>
        <v>1613.22</v>
      </c>
      <c r="P532" s="58">
        <f t="shared" si="103"/>
        <v>487.08333333333326</v>
      </c>
      <c r="Q532" s="58">
        <f t="shared" si="104"/>
        <v>324.72222222222217</v>
      </c>
      <c r="R532" s="66">
        <f t="shared" si="105"/>
        <v>28.231350000000003</v>
      </c>
      <c r="S532" s="64">
        <f t="shared" si="106"/>
        <v>86.25</v>
      </c>
      <c r="T532" s="66">
        <f t="shared" si="107"/>
        <v>1727.70135</v>
      </c>
      <c r="U532" s="68">
        <f t="shared" si="108"/>
        <v>75.117450000000005</v>
      </c>
      <c r="V532" s="68">
        <f t="shared" si="109"/>
        <v>521.64895833333333</v>
      </c>
      <c r="W532" s="68">
        <f t="shared" si="110"/>
        <v>347.76597222222222</v>
      </c>
    </row>
    <row r="533" spans="1:23" x14ac:dyDescent="0.25">
      <c r="A533" s="169" t="s">
        <v>942</v>
      </c>
      <c r="B533" s="61" t="s">
        <v>391</v>
      </c>
      <c r="C533" s="61" t="s">
        <v>585</v>
      </c>
      <c r="D533" s="61" t="s">
        <v>589</v>
      </c>
      <c r="E533" s="1" t="s">
        <v>352</v>
      </c>
      <c r="F533" s="62" t="str">
        <f t="shared" si="111"/>
        <v>64505</v>
      </c>
      <c r="G533" s="269">
        <v>10620005</v>
      </c>
      <c r="H533" s="1" t="s">
        <v>382</v>
      </c>
      <c r="I533" s="61">
        <v>30</v>
      </c>
      <c r="J533" s="61">
        <v>4.8</v>
      </c>
      <c r="K533" s="61">
        <v>8.4</v>
      </c>
      <c r="L533" s="69">
        <f t="shared" si="100"/>
        <v>1.44</v>
      </c>
      <c r="M533" s="69">
        <f t="shared" si="101"/>
        <v>2.52</v>
      </c>
      <c r="N533" s="56">
        <f>INDEX(Rate_Chart!$A$1:$AK$127,MATCH(Data!J533,Rate_Chart!$A$1:$A$127,0),MATCH(Data!K533,Rate_Chart!$A$1:$AK$1,0))</f>
        <v>43.369167600000011</v>
      </c>
      <c r="O533" s="57">
        <f t="shared" si="102"/>
        <v>1301.0750280000004</v>
      </c>
      <c r="P533" s="58">
        <f t="shared" si="103"/>
        <v>417.011226923077</v>
      </c>
      <c r="Q533" s="58">
        <f t="shared" si="104"/>
        <v>278.00748461538467</v>
      </c>
      <c r="R533" s="66">
        <f t="shared" si="105"/>
        <v>22.768812990000011</v>
      </c>
      <c r="S533" s="64">
        <f t="shared" si="106"/>
        <v>112.5</v>
      </c>
      <c r="T533" s="66">
        <f t="shared" si="107"/>
        <v>1436.3438409900004</v>
      </c>
      <c r="U533" s="68">
        <f t="shared" si="108"/>
        <v>47.878128033000017</v>
      </c>
      <c r="V533" s="68">
        <f t="shared" si="109"/>
        <v>460.36661570192319</v>
      </c>
      <c r="W533" s="68">
        <f t="shared" si="110"/>
        <v>306.91107713461548</v>
      </c>
    </row>
    <row r="534" spans="1:23" x14ac:dyDescent="0.25">
      <c r="A534" s="169" t="s">
        <v>943</v>
      </c>
      <c r="B534" s="61" t="s">
        <v>390</v>
      </c>
      <c r="C534" s="61" t="s">
        <v>585</v>
      </c>
      <c r="D534" s="61" t="s">
        <v>589</v>
      </c>
      <c r="E534" s="1" t="s">
        <v>352</v>
      </c>
      <c r="F534" s="62" t="str">
        <f t="shared" si="111"/>
        <v>64505</v>
      </c>
      <c r="G534" s="269">
        <v>10620005</v>
      </c>
      <c r="H534" s="1" t="s">
        <v>381</v>
      </c>
      <c r="I534" s="61">
        <v>29</v>
      </c>
      <c r="J534" s="61">
        <v>7.9</v>
      </c>
      <c r="K534" s="61">
        <v>9</v>
      </c>
      <c r="L534" s="69">
        <f t="shared" si="100"/>
        <v>2.2910000000000004</v>
      </c>
      <c r="M534" s="69">
        <f t="shared" si="101"/>
        <v>2.61</v>
      </c>
      <c r="N534" s="56">
        <f>INDEX(Rate_Chart!$A$1:$AK$127,MATCH(Data!J534,Rate_Chart!$A$1:$A$127,0),MATCH(Data!K534,Rate_Chart!$A$1:$AK$1,0))</f>
        <v>65.965000000000003</v>
      </c>
      <c r="O534" s="57">
        <f t="shared" si="102"/>
        <v>1912.9850000000001</v>
      </c>
      <c r="P534" s="58">
        <f t="shared" si="103"/>
        <v>474.56834532374097</v>
      </c>
      <c r="Q534" s="58">
        <f t="shared" si="104"/>
        <v>316.37889688249396</v>
      </c>
      <c r="R534" s="66">
        <f t="shared" si="105"/>
        <v>33.477237500000008</v>
      </c>
      <c r="S534" s="64">
        <f t="shared" si="106"/>
        <v>108.75</v>
      </c>
      <c r="T534" s="66">
        <f t="shared" si="107"/>
        <v>2055.2122374999999</v>
      </c>
      <c r="U534" s="68">
        <f t="shared" si="108"/>
        <v>70.869387500000002</v>
      </c>
      <c r="V534" s="68">
        <f t="shared" si="109"/>
        <v>509.85170863309349</v>
      </c>
      <c r="W534" s="68">
        <f t="shared" si="110"/>
        <v>339.901139088729</v>
      </c>
    </row>
    <row r="535" spans="1:23" x14ac:dyDescent="0.25">
      <c r="A535" s="169" t="s">
        <v>943</v>
      </c>
      <c r="B535" s="61" t="s">
        <v>391</v>
      </c>
      <c r="C535" s="61" t="s">
        <v>585</v>
      </c>
      <c r="D535" s="61" t="s">
        <v>589</v>
      </c>
      <c r="E535" s="1" t="s">
        <v>352</v>
      </c>
      <c r="F535" s="62" t="str">
        <f t="shared" si="111"/>
        <v>64505</v>
      </c>
      <c r="G535" s="269">
        <v>10620005</v>
      </c>
      <c r="H535" s="1" t="s">
        <v>381</v>
      </c>
      <c r="I535" s="61">
        <v>23</v>
      </c>
      <c r="J535" s="61">
        <v>7.9</v>
      </c>
      <c r="K535" s="61">
        <v>9</v>
      </c>
      <c r="L535" s="69">
        <f t="shared" si="100"/>
        <v>1.8170000000000002</v>
      </c>
      <c r="M535" s="69">
        <f t="shared" si="101"/>
        <v>2.0699999999999998</v>
      </c>
      <c r="N535" s="56">
        <f>INDEX(Rate_Chart!$A$1:$AK$127,MATCH(Data!J535,Rate_Chart!$A$1:$A$127,0),MATCH(Data!K535,Rate_Chart!$A$1:$AK$1,0))</f>
        <v>65.965000000000003</v>
      </c>
      <c r="O535" s="57">
        <f t="shared" si="102"/>
        <v>1517.1950000000002</v>
      </c>
      <c r="P535" s="58">
        <f t="shared" si="103"/>
        <v>474.56834532374097</v>
      </c>
      <c r="Q535" s="58">
        <f t="shared" si="104"/>
        <v>316.37889688249396</v>
      </c>
      <c r="R535" s="66">
        <f t="shared" si="105"/>
        <v>26.550912500000006</v>
      </c>
      <c r="S535" s="64">
        <f t="shared" si="106"/>
        <v>86.25</v>
      </c>
      <c r="T535" s="66">
        <f t="shared" si="107"/>
        <v>1629.9959125000003</v>
      </c>
      <c r="U535" s="68">
        <f t="shared" si="108"/>
        <v>70.869387500000016</v>
      </c>
      <c r="V535" s="68">
        <f t="shared" si="109"/>
        <v>509.85170863309361</v>
      </c>
      <c r="W535" s="68">
        <f t="shared" si="110"/>
        <v>339.90113908872905</v>
      </c>
    </row>
    <row r="536" spans="1:23" x14ac:dyDescent="0.25">
      <c r="A536" s="169" t="s">
        <v>943</v>
      </c>
      <c r="B536" s="61" t="s">
        <v>391</v>
      </c>
      <c r="C536" s="61" t="s">
        <v>585</v>
      </c>
      <c r="D536" s="61" t="s">
        <v>589</v>
      </c>
      <c r="E536" s="1" t="s">
        <v>352</v>
      </c>
      <c r="F536" s="62" t="str">
        <f t="shared" si="111"/>
        <v>64505</v>
      </c>
      <c r="G536" s="269">
        <v>10620005</v>
      </c>
      <c r="H536" s="1" t="s">
        <v>382</v>
      </c>
      <c r="I536" s="61">
        <v>24</v>
      </c>
      <c r="J536" s="61">
        <v>4.9000000000000004</v>
      </c>
      <c r="K536" s="61">
        <v>8.5</v>
      </c>
      <c r="L536" s="69">
        <f t="shared" si="100"/>
        <v>1.1760000000000002</v>
      </c>
      <c r="M536" s="69">
        <f t="shared" si="101"/>
        <v>2.04</v>
      </c>
      <c r="N536" s="56">
        <f>INDEX(Rate_Chart!$A$1:$AK$127,MATCH(Data!J536,Rate_Chart!$A$1:$A$127,0),MATCH(Data!K536,Rate_Chart!$A$1:$AK$1,0))</f>
        <v>44.064181500000004</v>
      </c>
      <c r="O536" s="57">
        <f t="shared" si="102"/>
        <v>1057.540356</v>
      </c>
      <c r="P536" s="58">
        <f t="shared" si="103"/>
        <v>417.01118138801263</v>
      </c>
      <c r="Q536" s="58">
        <f t="shared" si="104"/>
        <v>278.00745425867507</v>
      </c>
      <c r="R536" s="66">
        <f t="shared" si="105"/>
        <v>18.50695623</v>
      </c>
      <c r="S536" s="64">
        <f t="shared" si="106"/>
        <v>90</v>
      </c>
      <c r="T536" s="66">
        <f t="shared" si="107"/>
        <v>1166.04731223</v>
      </c>
      <c r="U536" s="68">
        <f t="shared" si="108"/>
        <v>48.585304676249997</v>
      </c>
      <c r="V536" s="68">
        <f t="shared" si="109"/>
        <v>459.79783605283905</v>
      </c>
      <c r="W536" s="68">
        <f t="shared" si="110"/>
        <v>306.53189070189268</v>
      </c>
    </row>
    <row r="537" spans="1:23" x14ac:dyDescent="0.25">
      <c r="A537" s="169" t="s">
        <v>944</v>
      </c>
      <c r="B537" s="61" t="s">
        <v>390</v>
      </c>
      <c r="C537" s="61" t="s">
        <v>585</v>
      </c>
      <c r="D537" s="61" t="s">
        <v>589</v>
      </c>
      <c r="E537" s="1" t="s">
        <v>352</v>
      </c>
      <c r="F537" s="62" t="str">
        <f t="shared" si="111"/>
        <v>64505</v>
      </c>
      <c r="G537" s="269">
        <v>10620005</v>
      </c>
      <c r="H537" s="1" t="s">
        <v>381</v>
      </c>
      <c r="I537" s="61">
        <v>30</v>
      </c>
      <c r="J537" s="61">
        <v>8.9</v>
      </c>
      <c r="K537" s="61">
        <v>9</v>
      </c>
      <c r="L537" s="69">
        <f t="shared" si="100"/>
        <v>2.67</v>
      </c>
      <c r="M537" s="69">
        <f t="shared" si="101"/>
        <v>2.7</v>
      </c>
      <c r="N537" s="56">
        <f>INDEX(Rate_Chart!$A$1:$AK$127,MATCH(Data!J537,Rate_Chart!$A$1:$A$127,0),MATCH(Data!K537,Rate_Chart!$A$1:$AK$1,0))</f>
        <v>74.315000000000012</v>
      </c>
      <c r="O537" s="57">
        <f t="shared" si="102"/>
        <v>2229.4500000000003</v>
      </c>
      <c r="P537" s="58">
        <f t="shared" si="103"/>
        <v>498.75838926174498</v>
      </c>
      <c r="Q537" s="58">
        <f t="shared" si="104"/>
        <v>332.50559284116332</v>
      </c>
      <c r="R537" s="66">
        <f t="shared" si="105"/>
        <v>39.015375000000006</v>
      </c>
      <c r="S537" s="64">
        <f t="shared" si="106"/>
        <v>112.5</v>
      </c>
      <c r="T537" s="66">
        <f t="shared" si="107"/>
        <v>2380.9653750000002</v>
      </c>
      <c r="U537" s="68">
        <f t="shared" si="108"/>
        <v>79.365512500000008</v>
      </c>
      <c r="V537" s="68">
        <f t="shared" si="109"/>
        <v>532.6544463087248</v>
      </c>
      <c r="W537" s="68">
        <f t="shared" si="110"/>
        <v>355.10296420581653</v>
      </c>
    </row>
    <row r="538" spans="1:23" x14ac:dyDescent="0.25">
      <c r="A538" s="169" t="s">
        <v>944</v>
      </c>
      <c r="B538" s="61" t="s">
        <v>390</v>
      </c>
      <c r="C538" s="61" t="s">
        <v>585</v>
      </c>
      <c r="D538" s="61" t="s">
        <v>589</v>
      </c>
      <c r="E538" s="1" t="s">
        <v>352</v>
      </c>
      <c r="F538" s="62" t="str">
        <f t="shared" si="111"/>
        <v>64505</v>
      </c>
      <c r="G538" s="269">
        <v>10620005</v>
      </c>
      <c r="H538" s="1" t="s">
        <v>382</v>
      </c>
      <c r="I538" s="61">
        <v>5</v>
      </c>
      <c r="J538" s="61">
        <v>4.9000000000000004</v>
      </c>
      <c r="K538" s="61">
        <v>8.5</v>
      </c>
      <c r="L538" s="69">
        <f t="shared" si="100"/>
        <v>0.245</v>
      </c>
      <c r="M538" s="69">
        <f t="shared" si="101"/>
        <v>0.42499999999999999</v>
      </c>
      <c r="N538" s="56">
        <f>INDEX(Rate_Chart!$A$1:$AK$127,MATCH(Data!J538,Rate_Chart!$A$1:$A$127,0),MATCH(Data!K538,Rate_Chart!$A$1:$AK$1,0))</f>
        <v>44.064181500000004</v>
      </c>
      <c r="O538" s="57">
        <f t="shared" si="102"/>
        <v>220.32090750000003</v>
      </c>
      <c r="P538" s="58">
        <f t="shared" si="103"/>
        <v>417.01118138801263</v>
      </c>
      <c r="Q538" s="58">
        <f t="shared" si="104"/>
        <v>278.00745425867507</v>
      </c>
      <c r="R538" s="66">
        <f t="shared" si="105"/>
        <v>3.8556158812500008</v>
      </c>
      <c r="S538" s="64">
        <f t="shared" si="106"/>
        <v>18.75</v>
      </c>
      <c r="T538" s="66">
        <f t="shared" si="107"/>
        <v>242.92652338125004</v>
      </c>
      <c r="U538" s="68">
        <f t="shared" si="108"/>
        <v>48.585304676250004</v>
      </c>
      <c r="V538" s="68">
        <f t="shared" si="109"/>
        <v>459.79783605283916</v>
      </c>
      <c r="W538" s="68">
        <f t="shared" si="110"/>
        <v>306.53189070189279</v>
      </c>
    </row>
    <row r="539" spans="1:23" x14ac:dyDescent="0.25">
      <c r="A539" s="169" t="s">
        <v>944</v>
      </c>
      <c r="B539" s="61" t="s">
        <v>391</v>
      </c>
      <c r="C539" s="61" t="s">
        <v>585</v>
      </c>
      <c r="D539" s="61" t="s">
        <v>589</v>
      </c>
      <c r="E539" s="1" t="s">
        <v>352</v>
      </c>
      <c r="F539" s="62" t="str">
        <f t="shared" si="111"/>
        <v>64505</v>
      </c>
      <c r="G539" s="269">
        <v>10620005</v>
      </c>
      <c r="H539" s="1" t="s">
        <v>381</v>
      </c>
      <c r="I539" s="61">
        <v>26</v>
      </c>
      <c r="J539" s="61">
        <v>8.1999999999999993</v>
      </c>
      <c r="K539" s="61">
        <v>9</v>
      </c>
      <c r="L539" s="69">
        <f t="shared" si="100"/>
        <v>2.1319999999999997</v>
      </c>
      <c r="M539" s="69">
        <f t="shared" si="101"/>
        <v>2.34</v>
      </c>
      <c r="N539" s="56">
        <f>INDEX(Rate_Chart!$A$1:$AK$127,MATCH(Data!J539,Rate_Chart!$A$1:$A$127,0),MATCH(Data!K539,Rate_Chart!$A$1:$AK$1,0))</f>
        <v>68.469999999999985</v>
      </c>
      <c r="O539" s="57">
        <f t="shared" si="102"/>
        <v>1780.2199999999996</v>
      </c>
      <c r="P539" s="58">
        <f t="shared" si="103"/>
        <v>482.18309859154925</v>
      </c>
      <c r="Q539" s="58">
        <f t="shared" si="104"/>
        <v>321.45539906103284</v>
      </c>
      <c r="R539" s="66">
        <f t="shared" si="105"/>
        <v>31.153849999999995</v>
      </c>
      <c r="S539" s="64">
        <f t="shared" si="106"/>
        <v>97.5</v>
      </c>
      <c r="T539" s="66">
        <f t="shared" si="107"/>
        <v>1908.8738499999995</v>
      </c>
      <c r="U539" s="68">
        <f t="shared" si="108"/>
        <v>73.418224999999978</v>
      </c>
      <c r="V539" s="68">
        <f t="shared" si="109"/>
        <v>517.02975352112662</v>
      </c>
      <c r="W539" s="68">
        <f t="shared" si="110"/>
        <v>344.68650234741773</v>
      </c>
    </row>
    <row r="540" spans="1:23" x14ac:dyDescent="0.25">
      <c r="A540" s="169" t="s">
        <v>944</v>
      </c>
      <c r="B540" s="61" t="s">
        <v>391</v>
      </c>
      <c r="C540" s="61" t="s">
        <v>585</v>
      </c>
      <c r="D540" s="61" t="s">
        <v>589</v>
      </c>
      <c r="E540" s="1" t="s">
        <v>352</v>
      </c>
      <c r="F540" s="62" t="str">
        <f t="shared" si="111"/>
        <v>64505</v>
      </c>
      <c r="G540" s="269">
        <v>10620005</v>
      </c>
      <c r="H540" s="1" t="s">
        <v>382</v>
      </c>
      <c r="I540" s="61">
        <v>19</v>
      </c>
      <c r="J540" s="61">
        <v>4.8</v>
      </c>
      <c r="K540" s="61">
        <v>8.5</v>
      </c>
      <c r="L540" s="69">
        <f t="shared" si="100"/>
        <v>0.91200000000000003</v>
      </c>
      <c r="M540" s="69">
        <f t="shared" si="101"/>
        <v>1.615</v>
      </c>
      <c r="N540" s="56">
        <f>INDEX(Rate_Chart!$A$1:$AK$127,MATCH(Data!J540,Rate_Chart!$A$1:$A$127,0),MATCH(Data!K540,Rate_Chart!$A$1:$AK$1,0))</f>
        <v>43.647181500000002</v>
      </c>
      <c r="O540" s="57">
        <f t="shared" si="102"/>
        <v>829.2964485</v>
      </c>
      <c r="P540" s="58">
        <f t="shared" si="103"/>
        <v>417.0112882165605</v>
      </c>
      <c r="Q540" s="58">
        <f t="shared" si="104"/>
        <v>278.00752547770702</v>
      </c>
      <c r="R540" s="66">
        <f t="shared" si="105"/>
        <v>14.512687848750002</v>
      </c>
      <c r="S540" s="64">
        <f t="shared" si="106"/>
        <v>71.25</v>
      </c>
      <c r="T540" s="66">
        <f t="shared" si="107"/>
        <v>915.05913634875003</v>
      </c>
      <c r="U540" s="68">
        <f t="shared" si="108"/>
        <v>48.161007176250003</v>
      </c>
      <c r="V540" s="68">
        <f t="shared" si="109"/>
        <v>460.13701123805731</v>
      </c>
      <c r="W540" s="68">
        <f t="shared" si="110"/>
        <v>306.75800749203819</v>
      </c>
    </row>
    <row r="541" spans="1:23" x14ac:dyDescent="0.25">
      <c r="A541" s="169" t="s">
        <v>945</v>
      </c>
      <c r="B541" s="61" t="s">
        <v>390</v>
      </c>
      <c r="C541" s="61" t="s">
        <v>585</v>
      </c>
      <c r="D541" s="61" t="s">
        <v>589</v>
      </c>
      <c r="E541" s="1" t="s">
        <v>352</v>
      </c>
      <c r="F541" s="62" t="str">
        <f t="shared" si="111"/>
        <v>64505</v>
      </c>
      <c r="G541" s="269">
        <v>10620005</v>
      </c>
      <c r="H541" s="1" t="s">
        <v>381</v>
      </c>
      <c r="I541" s="61">
        <v>29</v>
      </c>
      <c r="J541" s="61">
        <v>8.1999999999999993</v>
      </c>
      <c r="K541" s="61">
        <v>9</v>
      </c>
      <c r="L541" s="69">
        <f t="shared" ref="L541:L559" si="112">J541*I541/100</f>
        <v>2.3779999999999997</v>
      </c>
      <c r="M541" s="69">
        <f t="shared" ref="M541:M559" si="113">K541*I541/100</f>
        <v>2.61</v>
      </c>
      <c r="N541" s="56">
        <f>INDEX(Rate_Chart!$A$1:$AK$127,MATCH(Data!J541,Rate_Chart!$A$1:$A$127,0),MATCH(Data!K541,Rate_Chart!$A$1:$AK$1,0))</f>
        <v>68.469999999999985</v>
      </c>
      <c r="O541" s="57">
        <f t="shared" ref="O541:O559" si="114">N541*I541</f>
        <v>1985.6299999999997</v>
      </c>
      <c r="P541" s="58">
        <f t="shared" ref="P541:P559" si="115">N541/(J541%+K541%*2/3)</f>
        <v>482.18309859154925</v>
      </c>
      <c r="Q541" s="58">
        <f t="shared" ref="Q541:Q559" si="116">P541*2/3</f>
        <v>321.45539906103284</v>
      </c>
      <c r="R541" s="66">
        <f t="shared" ref="R541:R559" si="117">O541*1.75%</f>
        <v>34.748525000000001</v>
      </c>
      <c r="S541" s="64">
        <f t="shared" ref="S541:S559" si="118">I541*3.75</f>
        <v>108.75</v>
      </c>
      <c r="T541" s="66">
        <f t="shared" ref="T541:T559" si="119">R541+S541+O541</f>
        <v>2129.1285249999996</v>
      </c>
      <c r="U541" s="68">
        <f t="shared" ref="U541:U559" si="120">T541/I541</f>
        <v>73.418224999999993</v>
      </c>
      <c r="V541" s="68">
        <f t="shared" ref="V541:V559" si="121">U541/(J541%+K541%*2/3)</f>
        <v>517.02975352112674</v>
      </c>
      <c r="W541" s="68">
        <f t="shared" ref="W541:W559" si="122">V541*2/3</f>
        <v>344.68650234741784</v>
      </c>
    </row>
    <row r="542" spans="1:23" x14ac:dyDescent="0.25">
      <c r="A542" s="169" t="s">
        <v>945</v>
      </c>
      <c r="B542" s="61" t="s">
        <v>390</v>
      </c>
      <c r="C542" s="61" t="s">
        <v>585</v>
      </c>
      <c r="D542" s="61" t="s">
        <v>589</v>
      </c>
      <c r="E542" s="1" t="s">
        <v>352</v>
      </c>
      <c r="F542" s="62" t="str">
        <f t="shared" si="111"/>
        <v>64505</v>
      </c>
      <c r="G542" s="269">
        <v>10620005</v>
      </c>
      <c r="H542" s="1" t="s">
        <v>382</v>
      </c>
      <c r="I542" s="61">
        <v>11</v>
      </c>
      <c r="J542" s="61">
        <v>4.5</v>
      </c>
      <c r="K542" s="61">
        <v>8.5</v>
      </c>
      <c r="L542" s="69">
        <f t="shared" si="112"/>
        <v>0.495</v>
      </c>
      <c r="M542" s="69">
        <f t="shared" si="113"/>
        <v>0.93500000000000005</v>
      </c>
      <c r="N542" s="56">
        <f>INDEX(Rate_Chart!$A$1:$AK$127,MATCH(Data!J542,Rate_Chart!$A$1:$A$127,0),MATCH(Data!K542,Rate_Chart!$A$1:$AK$1,0))</f>
        <v>42.396181500000004</v>
      </c>
      <c r="O542" s="57">
        <f t="shared" si="114"/>
        <v>466.35799650000007</v>
      </c>
      <c r="P542" s="58">
        <f t="shared" si="115"/>
        <v>417.01162131147544</v>
      </c>
      <c r="Q542" s="58">
        <f t="shared" si="116"/>
        <v>278.00774754098364</v>
      </c>
      <c r="R542" s="66">
        <f t="shared" si="117"/>
        <v>8.1612649387500014</v>
      </c>
      <c r="S542" s="64">
        <f t="shared" si="118"/>
        <v>41.25</v>
      </c>
      <c r="T542" s="66">
        <f t="shared" si="119"/>
        <v>515.76926143875005</v>
      </c>
      <c r="U542" s="68">
        <f t="shared" si="120"/>
        <v>46.888114676250005</v>
      </c>
      <c r="V542" s="68">
        <f t="shared" si="121"/>
        <v>461.19457058606559</v>
      </c>
      <c r="W542" s="68">
        <f t="shared" si="122"/>
        <v>307.46304705737708</v>
      </c>
    </row>
    <row r="543" spans="1:23" x14ac:dyDescent="0.25">
      <c r="A543" s="169" t="s">
        <v>945</v>
      </c>
      <c r="B543" s="61" t="s">
        <v>391</v>
      </c>
      <c r="C543" s="61" t="s">
        <v>585</v>
      </c>
      <c r="D543" s="61" t="s">
        <v>589</v>
      </c>
      <c r="E543" s="1" t="s">
        <v>352</v>
      </c>
      <c r="F543" s="62" t="str">
        <f t="shared" si="111"/>
        <v>64505</v>
      </c>
      <c r="G543" s="269">
        <v>10620005</v>
      </c>
      <c r="H543" s="1" t="s">
        <v>381</v>
      </c>
      <c r="I543" s="61">
        <v>26</v>
      </c>
      <c r="J543" s="61">
        <v>8.1999999999999993</v>
      </c>
      <c r="K543" s="61">
        <v>9</v>
      </c>
      <c r="L543" s="69">
        <f t="shared" si="112"/>
        <v>2.1319999999999997</v>
      </c>
      <c r="M543" s="69">
        <f t="shared" si="113"/>
        <v>2.34</v>
      </c>
      <c r="N543" s="56">
        <f>INDEX(Rate_Chart!$A$1:$AK$127,MATCH(Data!J543,Rate_Chart!$A$1:$A$127,0),MATCH(Data!K543,Rate_Chart!$A$1:$AK$1,0))</f>
        <v>68.469999999999985</v>
      </c>
      <c r="O543" s="57">
        <f t="shared" si="114"/>
        <v>1780.2199999999996</v>
      </c>
      <c r="P543" s="58">
        <f t="shared" si="115"/>
        <v>482.18309859154925</v>
      </c>
      <c r="Q543" s="58">
        <f t="shared" si="116"/>
        <v>321.45539906103284</v>
      </c>
      <c r="R543" s="66">
        <f t="shared" si="117"/>
        <v>31.153849999999995</v>
      </c>
      <c r="S543" s="64">
        <f t="shared" si="118"/>
        <v>97.5</v>
      </c>
      <c r="T543" s="66">
        <f t="shared" si="119"/>
        <v>1908.8738499999995</v>
      </c>
      <c r="U543" s="68">
        <f t="shared" si="120"/>
        <v>73.418224999999978</v>
      </c>
      <c r="V543" s="68">
        <f t="shared" si="121"/>
        <v>517.02975352112662</v>
      </c>
      <c r="W543" s="68">
        <f t="shared" si="122"/>
        <v>344.68650234741773</v>
      </c>
    </row>
    <row r="544" spans="1:23" x14ac:dyDescent="0.25">
      <c r="A544" s="169" t="s">
        <v>945</v>
      </c>
      <c r="B544" s="61" t="s">
        <v>391</v>
      </c>
      <c r="C544" s="61" t="s">
        <v>585</v>
      </c>
      <c r="D544" s="61" t="s">
        <v>589</v>
      </c>
      <c r="E544" s="1" t="s">
        <v>352</v>
      </c>
      <c r="F544" s="62" t="str">
        <f t="shared" si="111"/>
        <v>64505</v>
      </c>
      <c r="G544" s="269">
        <v>10620005</v>
      </c>
      <c r="H544" s="1" t="s">
        <v>382</v>
      </c>
      <c r="I544" s="61">
        <v>29</v>
      </c>
      <c r="J544" s="61">
        <v>4.5999999999999996</v>
      </c>
      <c r="K544" s="61">
        <v>8.4</v>
      </c>
      <c r="L544" s="69">
        <f t="shared" si="112"/>
        <v>1.3339999999999999</v>
      </c>
      <c r="M544" s="69">
        <f t="shared" si="113"/>
        <v>2.4360000000000004</v>
      </c>
      <c r="N544" s="56">
        <f>INDEX(Rate_Chart!$A$1:$AK$127,MATCH(Data!J544,Rate_Chart!$A$1:$A$127,0),MATCH(Data!K544,Rate_Chart!$A$1:$AK$1,0))</f>
        <v>42.535167600000008</v>
      </c>
      <c r="O544" s="57">
        <f t="shared" si="114"/>
        <v>1233.5198604000002</v>
      </c>
      <c r="P544" s="58">
        <f t="shared" si="115"/>
        <v>417.01144705882359</v>
      </c>
      <c r="Q544" s="58">
        <f t="shared" si="116"/>
        <v>278.00763137254904</v>
      </c>
      <c r="R544" s="66">
        <f t="shared" si="117"/>
        <v>21.586597557000005</v>
      </c>
      <c r="S544" s="64">
        <f t="shared" si="118"/>
        <v>108.75</v>
      </c>
      <c r="T544" s="66">
        <f t="shared" si="119"/>
        <v>1363.8564579570002</v>
      </c>
      <c r="U544" s="68">
        <f t="shared" si="120"/>
        <v>47.029533033000007</v>
      </c>
      <c r="V544" s="68">
        <f t="shared" si="121"/>
        <v>461.07385326470592</v>
      </c>
      <c r="W544" s="68">
        <f t="shared" si="122"/>
        <v>307.38256884313728</v>
      </c>
    </row>
    <row r="545" spans="1:23" x14ac:dyDescent="0.25">
      <c r="A545" s="169" t="s">
        <v>946</v>
      </c>
      <c r="B545" s="61" t="s">
        <v>390</v>
      </c>
      <c r="C545" s="61" t="s">
        <v>585</v>
      </c>
      <c r="D545" s="61" t="s">
        <v>589</v>
      </c>
      <c r="E545" s="1" t="s">
        <v>352</v>
      </c>
      <c r="F545" s="62" t="str">
        <f t="shared" si="111"/>
        <v>64505</v>
      </c>
      <c r="G545" s="269">
        <v>10620005</v>
      </c>
      <c r="H545" s="1" t="s">
        <v>381</v>
      </c>
      <c r="I545" s="61">
        <v>26</v>
      </c>
      <c r="J545" s="61">
        <v>8.6</v>
      </c>
      <c r="K545" s="61">
        <v>9</v>
      </c>
      <c r="L545" s="69">
        <f t="shared" si="112"/>
        <v>2.2359999999999998</v>
      </c>
      <c r="M545" s="69">
        <f t="shared" si="113"/>
        <v>2.34</v>
      </c>
      <c r="N545" s="56">
        <f>INDEX(Rate_Chart!$A$1:$AK$127,MATCH(Data!J545,Rate_Chart!$A$1:$A$127,0),MATCH(Data!K545,Rate_Chart!$A$1:$AK$1,0))</f>
        <v>71.809999999999988</v>
      </c>
      <c r="O545" s="57">
        <f t="shared" si="114"/>
        <v>1867.0599999999997</v>
      </c>
      <c r="P545" s="58">
        <f t="shared" si="115"/>
        <v>491.84931506849313</v>
      </c>
      <c r="Q545" s="58">
        <f t="shared" si="116"/>
        <v>327.89954337899542</v>
      </c>
      <c r="R545" s="66">
        <f t="shared" si="117"/>
        <v>32.673549999999999</v>
      </c>
      <c r="S545" s="64">
        <f t="shared" si="118"/>
        <v>97.5</v>
      </c>
      <c r="T545" s="66">
        <f t="shared" si="119"/>
        <v>1997.2335499999997</v>
      </c>
      <c r="U545" s="68">
        <f t="shared" si="120"/>
        <v>76.816674999999989</v>
      </c>
      <c r="V545" s="68">
        <f t="shared" si="121"/>
        <v>526.14160958904108</v>
      </c>
      <c r="W545" s="68">
        <f t="shared" si="122"/>
        <v>350.76107305936074</v>
      </c>
    </row>
    <row r="546" spans="1:23" x14ac:dyDescent="0.25">
      <c r="A546" s="169" t="s">
        <v>946</v>
      </c>
      <c r="B546" s="61" t="s">
        <v>390</v>
      </c>
      <c r="C546" s="61" t="s">
        <v>585</v>
      </c>
      <c r="D546" s="61" t="s">
        <v>589</v>
      </c>
      <c r="E546" s="1" t="s">
        <v>352</v>
      </c>
      <c r="F546" s="62" t="str">
        <f t="shared" si="111"/>
        <v>64505</v>
      </c>
      <c r="G546" s="269">
        <v>10620005</v>
      </c>
      <c r="H546" s="1" t="s">
        <v>382</v>
      </c>
      <c r="I546" s="61">
        <v>7</v>
      </c>
      <c r="J546" s="61">
        <v>5.2</v>
      </c>
      <c r="K546" s="61">
        <v>8.5</v>
      </c>
      <c r="L546" s="69">
        <f t="shared" si="112"/>
        <v>0.36399999999999999</v>
      </c>
      <c r="M546" s="69">
        <f t="shared" si="113"/>
        <v>0.59499999999999997</v>
      </c>
      <c r="N546" s="56">
        <f>INDEX(Rate_Chart!$A$1:$AK$127,MATCH(Data!J546,Rate_Chart!$A$1:$A$127,0),MATCH(Data!K546,Rate_Chart!$A$1:$AK$1,0))</f>
        <v>45.315181500000008</v>
      </c>
      <c r="O546" s="57">
        <f t="shared" si="114"/>
        <v>317.20627050000007</v>
      </c>
      <c r="P546" s="58">
        <f t="shared" si="115"/>
        <v>417.01087269938654</v>
      </c>
      <c r="Q546" s="58">
        <f t="shared" si="116"/>
        <v>278.00724846625769</v>
      </c>
      <c r="R546" s="66">
        <f t="shared" si="117"/>
        <v>5.5511097337500015</v>
      </c>
      <c r="S546" s="64">
        <f t="shared" si="118"/>
        <v>26.25</v>
      </c>
      <c r="T546" s="66">
        <f t="shared" si="119"/>
        <v>349.0073802337501</v>
      </c>
      <c r="U546" s="68">
        <f t="shared" si="120"/>
        <v>49.858197176250016</v>
      </c>
      <c r="V546" s="68">
        <f t="shared" si="121"/>
        <v>458.81776542561363</v>
      </c>
      <c r="W546" s="68">
        <f t="shared" si="122"/>
        <v>305.8785102837424</v>
      </c>
    </row>
    <row r="547" spans="1:23" x14ac:dyDescent="0.25">
      <c r="A547" s="169" t="s">
        <v>946</v>
      </c>
      <c r="B547" s="61" t="s">
        <v>391</v>
      </c>
      <c r="C547" s="61" t="s">
        <v>585</v>
      </c>
      <c r="D547" s="61" t="s">
        <v>589</v>
      </c>
      <c r="E547" s="1" t="s">
        <v>352</v>
      </c>
      <c r="F547" s="62" t="str">
        <f t="shared" si="111"/>
        <v>64505</v>
      </c>
      <c r="G547" s="269">
        <v>10620005</v>
      </c>
      <c r="H547" s="1" t="s">
        <v>381</v>
      </c>
      <c r="I547" s="61">
        <v>21</v>
      </c>
      <c r="J547" s="61">
        <v>8.3000000000000007</v>
      </c>
      <c r="K547" s="61">
        <v>9</v>
      </c>
      <c r="L547" s="69">
        <f t="shared" si="112"/>
        <v>1.7430000000000001</v>
      </c>
      <c r="M547" s="69">
        <f t="shared" si="113"/>
        <v>1.89</v>
      </c>
      <c r="N547" s="56">
        <f>INDEX(Rate_Chart!$A$1:$AK$127,MATCH(Data!J547,Rate_Chart!$A$1:$A$127,0),MATCH(Data!K547,Rate_Chart!$A$1:$AK$1,0))</f>
        <v>69.305000000000007</v>
      </c>
      <c r="O547" s="57">
        <f t="shared" si="114"/>
        <v>1455.4050000000002</v>
      </c>
      <c r="P547" s="58">
        <f t="shared" si="115"/>
        <v>484.65034965034965</v>
      </c>
      <c r="Q547" s="58">
        <f t="shared" si="116"/>
        <v>323.10023310023308</v>
      </c>
      <c r="R547" s="66">
        <f t="shared" si="117"/>
        <v>25.469587500000006</v>
      </c>
      <c r="S547" s="64">
        <f t="shared" si="118"/>
        <v>78.75</v>
      </c>
      <c r="T547" s="66">
        <f t="shared" si="119"/>
        <v>1559.6245875000002</v>
      </c>
      <c r="U547" s="68">
        <f t="shared" si="120"/>
        <v>74.267837500000013</v>
      </c>
      <c r="V547" s="68">
        <f t="shared" si="121"/>
        <v>519.355506993007</v>
      </c>
      <c r="W547" s="68">
        <f t="shared" si="122"/>
        <v>346.23700466200467</v>
      </c>
    </row>
    <row r="548" spans="1:23" x14ac:dyDescent="0.25">
      <c r="A548" s="169" t="s">
        <v>946</v>
      </c>
      <c r="B548" s="61" t="s">
        <v>391</v>
      </c>
      <c r="C548" s="61" t="s">
        <v>585</v>
      </c>
      <c r="D548" s="61" t="s">
        <v>589</v>
      </c>
      <c r="E548" s="1" t="s">
        <v>352</v>
      </c>
      <c r="F548" s="62" t="str">
        <f t="shared" si="111"/>
        <v>64505</v>
      </c>
      <c r="G548" s="269">
        <v>10620005</v>
      </c>
      <c r="H548" s="1" t="s">
        <v>382</v>
      </c>
      <c r="I548" s="61">
        <v>24</v>
      </c>
      <c r="J548" s="61">
        <v>4.4000000000000004</v>
      </c>
      <c r="K548" s="61">
        <v>8.4</v>
      </c>
      <c r="L548" s="69">
        <f t="shared" si="112"/>
        <v>1.056</v>
      </c>
      <c r="M548" s="69">
        <f t="shared" si="113"/>
        <v>2.016</v>
      </c>
      <c r="N548" s="56">
        <f>INDEX(Rate_Chart!$A$1:$AK$127,MATCH(Data!J548,Rate_Chart!$A$1:$A$127,0),MATCH(Data!K548,Rate_Chart!$A$1:$AK$1,0))</f>
        <v>41.701167600000005</v>
      </c>
      <c r="O548" s="57">
        <f t="shared" si="114"/>
        <v>1000.8280224000001</v>
      </c>
      <c r="P548" s="58">
        <f t="shared" si="115"/>
        <v>417.01167600000002</v>
      </c>
      <c r="Q548" s="58">
        <f t="shared" si="116"/>
        <v>278.00778400000002</v>
      </c>
      <c r="R548" s="66">
        <f t="shared" si="117"/>
        <v>17.514490392000003</v>
      </c>
      <c r="S548" s="64">
        <f t="shared" si="118"/>
        <v>90</v>
      </c>
      <c r="T548" s="66">
        <f t="shared" si="119"/>
        <v>1108.3425127920002</v>
      </c>
      <c r="U548" s="68">
        <f t="shared" si="120"/>
        <v>46.180938033000011</v>
      </c>
      <c r="V548" s="68">
        <f t="shared" si="121"/>
        <v>461.80938033000007</v>
      </c>
      <c r="W548" s="68">
        <f t="shared" si="122"/>
        <v>307.87292022000003</v>
      </c>
    </row>
    <row r="549" spans="1:23" x14ac:dyDescent="0.25">
      <c r="A549" s="169" t="s">
        <v>947</v>
      </c>
      <c r="B549" s="61" t="s">
        <v>390</v>
      </c>
      <c r="C549" s="61" t="s">
        <v>585</v>
      </c>
      <c r="D549" s="61" t="s">
        <v>589</v>
      </c>
      <c r="E549" s="1" t="s">
        <v>352</v>
      </c>
      <c r="F549" s="62" t="str">
        <f t="shared" si="111"/>
        <v>64505</v>
      </c>
      <c r="G549" s="269">
        <v>10620005</v>
      </c>
      <c r="H549" s="1" t="s">
        <v>381</v>
      </c>
      <c r="I549" s="61">
        <v>30</v>
      </c>
      <c r="J549" s="61">
        <v>8.3000000000000007</v>
      </c>
      <c r="K549" s="61">
        <v>9</v>
      </c>
      <c r="L549" s="69">
        <f t="shared" si="112"/>
        <v>2.4900000000000002</v>
      </c>
      <c r="M549" s="69">
        <f t="shared" si="113"/>
        <v>2.7</v>
      </c>
      <c r="N549" s="56">
        <f>INDEX(Rate_Chart!$A$1:$AK$127,MATCH(Data!J549,Rate_Chart!$A$1:$A$127,0),MATCH(Data!K549,Rate_Chart!$A$1:$AK$1,0))</f>
        <v>69.305000000000007</v>
      </c>
      <c r="O549" s="57">
        <f t="shared" si="114"/>
        <v>2079.15</v>
      </c>
      <c r="P549" s="58">
        <f t="shared" si="115"/>
        <v>484.65034965034965</v>
      </c>
      <c r="Q549" s="58">
        <f t="shared" si="116"/>
        <v>323.10023310023308</v>
      </c>
      <c r="R549" s="66">
        <f t="shared" si="117"/>
        <v>36.385125000000002</v>
      </c>
      <c r="S549" s="64">
        <f t="shared" si="118"/>
        <v>112.5</v>
      </c>
      <c r="T549" s="66">
        <f t="shared" si="119"/>
        <v>2228.0351250000003</v>
      </c>
      <c r="U549" s="68">
        <f t="shared" si="120"/>
        <v>74.267837500000013</v>
      </c>
      <c r="V549" s="68">
        <f t="shared" si="121"/>
        <v>519.355506993007</v>
      </c>
      <c r="W549" s="68">
        <f t="shared" si="122"/>
        <v>346.23700466200467</v>
      </c>
    </row>
    <row r="550" spans="1:23" x14ac:dyDescent="0.25">
      <c r="A550" s="169" t="s">
        <v>947</v>
      </c>
      <c r="B550" s="61" t="s">
        <v>391</v>
      </c>
      <c r="C550" s="61" t="s">
        <v>585</v>
      </c>
      <c r="D550" s="61" t="s">
        <v>589</v>
      </c>
      <c r="E550" s="1" t="s">
        <v>352</v>
      </c>
      <c r="F550" s="62" t="str">
        <f t="shared" si="111"/>
        <v>64505</v>
      </c>
      <c r="G550" s="269">
        <v>10620005</v>
      </c>
      <c r="H550" s="1" t="s">
        <v>381</v>
      </c>
      <c r="I550" s="61">
        <v>25</v>
      </c>
      <c r="J550" s="61">
        <v>8</v>
      </c>
      <c r="K550" s="61">
        <v>9</v>
      </c>
      <c r="L550" s="69">
        <f t="shared" si="112"/>
        <v>2</v>
      </c>
      <c r="M550" s="69">
        <f t="shared" si="113"/>
        <v>2.25</v>
      </c>
      <c r="N550" s="56">
        <f>INDEX(Rate_Chart!$A$1:$AK$127,MATCH(Data!J550,Rate_Chart!$A$1:$A$127,0),MATCH(Data!K550,Rate_Chart!$A$1:$AK$1,0))</f>
        <v>66.8</v>
      </c>
      <c r="O550" s="57">
        <f t="shared" si="114"/>
        <v>1670</v>
      </c>
      <c r="P550" s="58">
        <f t="shared" si="115"/>
        <v>477.14285714285705</v>
      </c>
      <c r="Q550" s="58">
        <f t="shared" si="116"/>
        <v>318.09523809523802</v>
      </c>
      <c r="R550" s="66">
        <f t="shared" si="117"/>
        <v>29.225000000000001</v>
      </c>
      <c r="S550" s="64">
        <f t="shared" si="118"/>
        <v>93.75</v>
      </c>
      <c r="T550" s="66">
        <f t="shared" si="119"/>
        <v>1792.9749999999999</v>
      </c>
      <c r="U550" s="68">
        <f t="shared" si="120"/>
        <v>71.718999999999994</v>
      </c>
      <c r="V550" s="68">
        <f t="shared" si="121"/>
        <v>512.27857142857135</v>
      </c>
      <c r="W550" s="68">
        <f t="shared" si="122"/>
        <v>341.51904761904757</v>
      </c>
    </row>
    <row r="551" spans="1:23" x14ac:dyDescent="0.25">
      <c r="A551" s="169" t="s">
        <v>947</v>
      </c>
      <c r="B551" s="61" t="s">
        <v>391</v>
      </c>
      <c r="C551" s="61" t="s">
        <v>585</v>
      </c>
      <c r="D551" s="61" t="s">
        <v>589</v>
      </c>
      <c r="E551" s="1" t="s">
        <v>352</v>
      </c>
      <c r="F551" s="62" t="str">
        <f t="shared" si="111"/>
        <v>64505</v>
      </c>
      <c r="G551" s="269">
        <v>10620005</v>
      </c>
      <c r="H551" s="1" t="s">
        <v>382</v>
      </c>
      <c r="I551" s="61">
        <v>26</v>
      </c>
      <c r="J551" s="61">
        <v>4.9000000000000004</v>
      </c>
      <c r="K551" s="61">
        <v>8.4</v>
      </c>
      <c r="L551" s="69">
        <f t="shared" si="112"/>
        <v>1.274</v>
      </c>
      <c r="M551" s="69">
        <f t="shared" si="113"/>
        <v>2.1840000000000002</v>
      </c>
      <c r="N551" s="56">
        <f>INDEX(Rate_Chart!$A$1:$AK$127,MATCH(Data!J551,Rate_Chart!$A$1:$A$127,0),MATCH(Data!K551,Rate_Chart!$A$1:$AK$1,0))</f>
        <v>43.786167600000006</v>
      </c>
      <c r="O551" s="57">
        <f t="shared" si="114"/>
        <v>1138.4403576000002</v>
      </c>
      <c r="P551" s="58">
        <f t="shared" si="115"/>
        <v>417.01112000000001</v>
      </c>
      <c r="Q551" s="58">
        <f t="shared" si="116"/>
        <v>278.00741333333332</v>
      </c>
      <c r="R551" s="66">
        <f t="shared" si="117"/>
        <v>19.922706258000005</v>
      </c>
      <c r="S551" s="64">
        <f t="shared" si="118"/>
        <v>97.5</v>
      </c>
      <c r="T551" s="66">
        <f t="shared" si="119"/>
        <v>1255.8630638580003</v>
      </c>
      <c r="U551" s="68">
        <f t="shared" si="120"/>
        <v>48.302425533000012</v>
      </c>
      <c r="V551" s="68">
        <f t="shared" si="121"/>
        <v>460.02310031428578</v>
      </c>
      <c r="W551" s="68">
        <f t="shared" si="122"/>
        <v>306.6820668761905</v>
      </c>
    </row>
    <row r="552" spans="1:23" x14ac:dyDescent="0.25">
      <c r="A552" s="169" t="s">
        <v>941</v>
      </c>
      <c r="B552" s="61" t="s">
        <v>391</v>
      </c>
      <c r="C552" s="61" t="s">
        <v>585</v>
      </c>
      <c r="D552" s="61" t="s">
        <v>587</v>
      </c>
      <c r="E552" s="1" t="s">
        <v>353</v>
      </c>
      <c r="F552" s="62" t="str">
        <f t="shared" si="111"/>
        <v>64506</v>
      </c>
      <c r="G552" s="269">
        <v>10620037</v>
      </c>
      <c r="H552" s="1" t="s">
        <v>381</v>
      </c>
      <c r="I552" s="61">
        <v>48</v>
      </c>
      <c r="J552" s="61">
        <v>5.8</v>
      </c>
      <c r="K552" s="61">
        <v>9</v>
      </c>
      <c r="L552" s="69">
        <f t="shared" si="112"/>
        <v>2.7839999999999998</v>
      </c>
      <c r="M552" s="69">
        <f t="shared" si="113"/>
        <v>4.32</v>
      </c>
      <c r="N552" s="56">
        <f>INDEX(Rate_Chart!$A$1:$AK$127,MATCH(Data!J552,Rate_Chart!$A$1:$A$127,0),MATCH(Data!K552,Rate_Chart!$A$1:$AK$1,0))</f>
        <v>48.43</v>
      </c>
      <c r="O552" s="57">
        <f t="shared" si="114"/>
        <v>2324.64</v>
      </c>
      <c r="P552" s="58">
        <f t="shared" si="115"/>
        <v>410.42372881355936</v>
      </c>
      <c r="Q552" s="58">
        <f t="shared" si="116"/>
        <v>273.61581920903956</v>
      </c>
      <c r="R552" s="66">
        <f t="shared" si="117"/>
        <v>40.681200000000004</v>
      </c>
      <c r="S552" s="64">
        <f t="shared" si="118"/>
        <v>180</v>
      </c>
      <c r="T552" s="66">
        <f t="shared" si="119"/>
        <v>2545.3211999999999</v>
      </c>
      <c r="U552" s="68">
        <f t="shared" si="120"/>
        <v>53.027524999999997</v>
      </c>
      <c r="V552" s="68">
        <f t="shared" si="121"/>
        <v>449.38580508474575</v>
      </c>
      <c r="W552" s="68">
        <f t="shared" si="122"/>
        <v>299.59053672316384</v>
      </c>
    </row>
    <row r="553" spans="1:23" x14ac:dyDescent="0.25">
      <c r="A553" s="169" t="s">
        <v>941</v>
      </c>
      <c r="B553" s="61" t="s">
        <v>391</v>
      </c>
      <c r="C553" s="61" t="s">
        <v>585</v>
      </c>
      <c r="D553" s="61" t="s">
        <v>587</v>
      </c>
      <c r="E553" s="1" t="s">
        <v>353</v>
      </c>
      <c r="F553" s="62" t="str">
        <f t="shared" si="111"/>
        <v>64506</v>
      </c>
      <c r="G553" s="269">
        <v>10620037</v>
      </c>
      <c r="H553" s="1" t="s">
        <v>382</v>
      </c>
      <c r="I553" s="61">
        <v>25</v>
      </c>
      <c r="J553" s="61">
        <v>3.6</v>
      </c>
      <c r="K553" s="61">
        <v>8.1999999999999993</v>
      </c>
      <c r="L553" s="69">
        <f t="shared" si="112"/>
        <v>0.9</v>
      </c>
      <c r="M553" s="69">
        <f t="shared" si="113"/>
        <v>2.0499999999999998</v>
      </c>
      <c r="N553" s="56">
        <f>INDEX(Rate_Chart!$A$1:$AK$127,MATCH(Data!J553,Rate_Chart!$A$1:$A$127,0),MATCH(Data!K553,Rate_Chart!$A$1:$AK$1,0))</f>
        <v>37.809139800000004</v>
      </c>
      <c r="O553" s="57">
        <f t="shared" si="114"/>
        <v>945.22849500000007</v>
      </c>
      <c r="P553" s="58">
        <f t="shared" si="115"/>
        <v>417.01257132352941</v>
      </c>
      <c r="Q553" s="58">
        <f t="shared" si="116"/>
        <v>278.00838088235292</v>
      </c>
      <c r="R553" s="66">
        <f t="shared" si="117"/>
        <v>16.541498662500004</v>
      </c>
      <c r="S553" s="64">
        <f t="shared" si="118"/>
        <v>93.75</v>
      </c>
      <c r="T553" s="66">
        <f t="shared" si="119"/>
        <v>1055.5199936625002</v>
      </c>
      <c r="U553" s="68">
        <f t="shared" si="120"/>
        <v>42.220799746500006</v>
      </c>
      <c r="V553" s="68">
        <f t="shared" si="121"/>
        <v>465.67058543933825</v>
      </c>
      <c r="W553" s="68">
        <f t="shared" si="122"/>
        <v>310.44705695955884</v>
      </c>
    </row>
    <row r="554" spans="1:23" x14ac:dyDescent="0.25">
      <c r="A554" s="169" t="s">
        <v>942</v>
      </c>
      <c r="B554" s="61" t="s">
        <v>390</v>
      </c>
      <c r="C554" s="61" t="s">
        <v>585</v>
      </c>
      <c r="D554" s="61" t="s">
        <v>587</v>
      </c>
      <c r="E554" s="1" t="s">
        <v>353</v>
      </c>
      <c r="F554" s="62" t="str">
        <f t="shared" si="111"/>
        <v>64506</v>
      </c>
      <c r="G554" s="269">
        <v>10620037</v>
      </c>
      <c r="H554" s="1" t="s">
        <v>381</v>
      </c>
      <c r="I554" s="61">
        <v>58</v>
      </c>
      <c r="J554" s="61">
        <v>5.9</v>
      </c>
      <c r="K554" s="61">
        <v>8.6999999999999993</v>
      </c>
      <c r="L554" s="69">
        <f t="shared" si="112"/>
        <v>3.4220000000000006</v>
      </c>
      <c r="M554" s="69">
        <f t="shared" si="113"/>
        <v>5.0459999999999994</v>
      </c>
      <c r="N554" s="56">
        <f>INDEX(Rate_Chart!$A$1:$AK$127,MATCH(Data!J554,Rate_Chart!$A$1:$A$127,0),MATCH(Data!K554,Rate_Chart!$A$1:$AK$1,0))</f>
        <v>48.279699999999998</v>
      </c>
      <c r="O554" s="57">
        <f t="shared" si="114"/>
        <v>2800.2226000000001</v>
      </c>
      <c r="P554" s="58">
        <f t="shared" si="115"/>
        <v>412.64700854700857</v>
      </c>
      <c r="Q554" s="58">
        <f t="shared" si="116"/>
        <v>275.09800569800569</v>
      </c>
      <c r="R554" s="66">
        <f t="shared" si="117"/>
        <v>49.003895500000006</v>
      </c>
      <c r="S554" s="64">
        <f t="shared" si="118"/>
        <v>217.5</v>
      </c>
      <c r="T554" s="66">
        <f t="shared" si="119"/>
        <v>3066.7264955000001</v>
      </c>
      <c r="U554" s="68">
        <f t="shared" si="120"/>
        <v>52.87459475</v>
      </c>
      <c r="V554" s="68">
        <f t="shared" si="121"/>
        <v>451.91961324786325</v>
      </c>
      <c r="W554" s="68">
        <f t="shared" si="122"/>
        <v>301.27974216524217</v>
      </c>
    </row>
    <row r="555" spans="1:23" x14ac:dyDescent="0.25">
      <c r="A555" s="169" t="s">
        <v>942</v>
      </c>
      <c r="B555" s="61" t="s">
        <v>391</v>
      </c>
      <c r="C555" s="61" t="s">
        <v>585</v>
      </c>
      <c r="D555" s="61" t="s">
        <v>587</v>
      </c>
      <c r="E555" s="1" t="s">
        <v>353</v>
      </c>
      <c r="F555" s="62" t="str">
        <f t="shared" si="111"/>
        <v>64506</v>
      </c>
      <c r="G555" s="269">
        <v>10620037</v>
      </c>
      <c r="H555" s="1" t="s">
        <v>381</v>
      </c>
      <c r="I555" s="61">
        <v>35</v>
      </c>
      <c r="J555" s="61">
        <v>6</v>
      </c>
      <c r="K555" s="61">
        <v>9</v>
      </c>
      <c r="L555" s="69">
        <f t="shared" si="112"/>
        <v>2.1</v>
      </c>
      <c r="M555" s="69">
        <f t="shared" si="113"/>
        <v>3.15</v>
      </c>
      <c r="N555" s="56">
        <f>INDEX(Rate_Chart!$A$1:$AK$127,MATCH(Data!J555,Rate_Chart!$A$1:$A$127,0),MATCH(Data!K555,Rate_Chart!$A$1:$AK$1,0))</f>
        <v>50.1</v>
      </c>
      <c r="O555" s="57">
        <f t="shared" si="114"/>
        <v>1753.5</v>
      </c>
      <c r="P555" s="58">
        <f t="shared" si="115"/>
        <v>417.5</v>
      </c>
      <c r="Q555" s="58">
        <f t="shared" si="116"/>
        <v>278.33333333333331</v>
      </c>
      <c r="R555" s="66">
        <f t="shared" si="117"/>
        <v>30.686250000000005</v>
      </c>
      <c r="S555" s="64">
        <f t="shared" si="118"/>
        <v>131.25</v>
      </c>
      <c r="T555" s="66">
        <f t="shared" si="119"/>
        <v>1915.43625</v>
      </c>
      <c r="U555" s="68">
        <f t="shared" si="120"/>
        <v>54.726750000000003</v>
      </c>
      <c r="V555" s="68">
        <f t="shared" si="121"/>
        <v>456.05625000000003</v>
      </c>
      <c r="W555" s="68">
        <f t="shared" si="122"/>
        <v>304.03750000000002</v>
      </c>
    </row>
    <row r="556" spans="1:23" x14ac:dyDescent="0.25">
      <c r="A556" s="169" t="s">
        <v>942</v>
      </c>
      <c r="B556" s="61" t="s">
        <v>391</v>
      </c>
      <c r="C556" s="61" t="s">
        <v>585</v>
      </c>
      <c r="D556" s="61" t="s">
        <v>587</v>
      </c>
      <c r="E556" s="1" t="s">
        <v>353</v>
      </c>
      <c r="F556" s="62" t="str">
        <f t="shared" si="111"/>
        <v>64506</v>
      </c>
      <c r="G556" s="269">
        <v>10620037</v>
      </c>
      <c r="H556" s="1" t="s">
        <v>382</v>
      </c>
      <c r="I556" s="61">
        <v>25</v>
      </c>
      <c r="J556" s="61">
        <v>3.9</v>
      </c>
      <c r="K556" s="61">
        <v>8.3000000000000007</v>
      </c>
      <c r="L556" s="69">
        <f t="shared" si="112"/>
        <v>0.97499999999999998</v>
      </c>
      <c r="M556" s="69">
        <f t="shared" si="113"/>
        <v>2.0750000000000002</v>
      </c>
      <c r="N556" s="56">
        <f>INDEX(Rate_Chart!$A$1:$AK$127,MATCH(Data!J556,Rate_Chart!$A$1:$A$127,0),MATCH(Data!K556,Rate_Chart!$A$1:$AK$1,0))</f>
        <v>39.338153700000007</v>
      </c>
      <c r="O556" s="57">
        <f t="shared" si="114"/>
        <v>983.45384250000018</v>
      </c>
      <c r="P556" s="58">
        <f t="shared" si="115"/>
        <v>417.01223003533573</v>
      </c>
      <c r="Q556" s="58">
        <f t="shared" si="116"/>
        <v>278.00815335689049</v>
      </c>
      <c r="R556" s="66">
        <f t="shared" si="117"/>
        <v>17.210442243750006</v>
      </c>
      <c r="S556" s="64">
        <f t="shared" si="118"/>
        <v>93.75</v>
      </c>
      <c r="T556" s="66">
        <f t="shared" si="119"/>
        <v>1094.4142847437502</v>
      </c>
      <c r="U556" s="68">
        <f t="shared" si="120"/>
        <v>43.776571389750004</v>
      </c>
      <c r="V556" s="68">
        <f t="shared" si="121"/>
        <v>464.06259423763254</v>
      </c>
      <c r="W556" s="68">
        <f t="shared" si="122"/>
        <v>309.37506282508838</v>
      </c>
    </row>
    <row r="557" spans="1:23" x14ac:dyDescent="0.25">
      <c r="A557" s="169" t="s">
        <v>943</v>
      </c>
      <c r="B557" s="61" t="s">
        <v>390</v>
      </c>
      <c r="C557" s="61" t="s">
        <v>585</v>
      </c>
      <c r="D557" s="61" t="s">
        <v>587</v>
      </c>
      <c r="E557" s="1" t="s">
        <v>353</v>
      </c>
      <c r="F557" s="62" t="str">
        <f t="shared" si="111"/>
        <v>64506</v>
      </c>
      <c r="G557" s="269">
        <v>10620037</v>
      </c>
      <c r="H557" s="1" t="s">
        <v>381</v>
      </c>
      <c r="I557" s="61">
        <v>63</v>
      </c>
      <c r="J557" s="61">
        <v>5.5</v>
      </c>
      <c r="K557" s="61">
        <v>8.8000000000000007</v>
      </c>
      <c r="L557" s="69">
        <f t="shared" si="112"/>
        <v>3.4649999999999999</v>
      </c>
      <c r="M557" s="69">
        <f t="shared" si="113"/>
        <v>5.5440000000000005</v>
      </c>
      <c r="N557" s="56">
        <f>INDEX(Rate_Chart!$A$1:$AK$127,MATCH(Data!J557,Rate_Chart!$A$1:$A$127,0),MATCH(Data!K557,Rate_Chart!$A$1:$AK$1,0))</f>
        <v>46.566181499999999</v>
      </c>
      <c r="O557" s="57">
        <f t="shared" si="114"/>
        <v>2933.6694345000001</v>
      </c>
      <c r="P557" s="58">
        <f t="shared" si="115"/>
        <v>409.67315102639293</v>
      </c>
      <c r="Q557" s="58">
        <f t="shared" si="116"/>
        <v>273.11543401759531</v>
      </c>
      <c r="R557" s="66">
        <f t="shared" si="117"/>
        <v>51.339215103750007</v>
      </c>
      <c r="S557" s="64">
        <f t="shared" si="118"/>
        <v>236.25</v>
      </c>
      <c r="T557" s="66">
        <f t="shared" si="119"/>
        <v>3221.2586496037502</v>
      </c>
      <c r="U557" s="68">
        <f t="shared" si="120"/>
        <v>51.131089676250006</v>
      </c>
      <c r="V557" s="68">
        <f t="shared" si="121"/>
        <v>449.83363351539595</v>
      </c>
      <c r="W557" s="68">
        <f t="shared" si="122"/>
        <v>299.88908901026394</v>
      </c>
    </row>
    <row r="558" spans="1:23" x14ac:dyDescent="0.25">
      <c r="A558" s="169" t="s">
        <v>943</v>
      </c>
      <c r="B558" s="61" t="s">
        <v>390</v>
      </c>
      <c r="C558" s="61" t="s">
        <v>585</v>
      </c>
      <c r="D558" s="61" t="s">
        <v>587</v>
      </c>
      <c r="E558" s="1" t="s">
        <v>353</v>
      </c>
      <c r="F558" s="62" t="str">
        <f t="shared" si="111"/>
        <v>64506</v>
      </c>
      <c r="G558" s="269">
        <v>10620037</v>
      </c>
      <c r="H558" s="1" t="s">
        <v>382</v>
      </c>
      <c r="I558" s="61">
        <v>38</v>
      </c>
      <c r="J558" s="61">
        <v>3.9</v>
      </c>
      <c r="K558" s="61">
        <v>8.4</v>
      </c>
      <c r="L558" s="69">
        <f t="shared" si="112"/>
        <v>1.482</v>
      </c>
      <c r="M558" s="69">
        <f t="shared" si="113"/>
        <v>3.1919999999999997</v>
      </c>
      <c r="N558" s="56">
        <f>INDEX(Rate_Chart!$A$1:$AK$127,MATCH(Data!J558,Rate_Chart!$A$1:$A$127,0),MATCH(Data!K558,Rate_Chart!$A$1:$AK$1,0))</f>
        <v>39.616167600000011</v>
      </c>
      <c r="O558" s="57">
        <f t="shared" si="114"/>
        <v>1505.4143688000004</v>
      </c>
      <c r="P558" s="58">
        <f t="shared" si="115"/>
        <v>417.01229052631589</v>
      </c>
      <c r="Q558" s="58">
        <f t="shared" si="116"/>
        <v>278.0081936842106</v>
      </c>
      <c r="R558" s="66">
        <f t="shared" si="117"/>
        <v>26.344751454000008</v>
      </c>
      <c r="S558" s="64">
        <f t="shared" si="118"/>
        <v>142.5</v>
      </c>
      <c r="T558" s="66">
        <f t="shared" si="119"/>
        <v>1674.2591202540004</v>
      </c>
      <c r="U558" s="68">
        <f t="shared" si="120"/>
        <v>44.05945053300001</v>
      </c>
      <c r="V558" s="68">
        <f t="shared" si="121"/>
        <v>463.78368982105275</v>
      </c>
      <c r="W558" s="68">
        <f t="shared" si="122"/>
        <v>309.18912654736852</v>
      </c>
    </row>
    <row r="559" spans="1:23" x14ac:dyDescent="0.25">
      <c r="A559" s="169" t="s">
        <v>943</v>
      </c>
      <c r="B559" s="61" t="s">
        <v>391</v>
      </c>
      <c r="C559" s="61" t="s">
        <v>585</v>
      </c>
      <c r="D559" s="61" t="s">
        <v>587</v>
      </c>
      <c r="E559" s="1" t="s">
        <v>353</v>
      </c>
      <c r="F559" s="62" t="str">
        <f t="shared" si="111"/>
        <v>64506</v>
      </c>
      <c r="G559" s="269">
        <v>10620037</v>
      </c>
      <c r="H559" s="1" t="s">
        <v>381</v>
      </c>
      <c r="I559" s="61">
        <v>40</v>
      </c>
      <c r="J559" s="61">
        <v>5.6</v>
      </c>
      <c r="K559" s="61">
        <v>8.8000000000000007</v>
      </c>
      <c r="L559" s="69">
        <f t="shared" si="112"/>
        <v>2.2400000000000002</v>
      </c>
      <c r="M559" s="69">
        <f t="shared" si="113"/>
        <v>3.52</v>
      </c>
      <c r="N559" s="56">
        <f>INDEX(Rate_Chart!$A$1:$AK$127,MATCH(Data!J559,Rate_Chart!$A$1:$A$127,0),MATCH(Data!K559,Rate_Chart!$A$1:$AK$1,0))</f>
        <v>46.292400000000001</v>
      </c>
      <c r="O559" s="57">
        <f t="shared" si="114"/>
        <v>1851.6959999999999</v>
      </c>
      <c r="P559" s="58">
        <f t="shared" si="115"/>
        <v>403.71279069767445</v>
      </c>
      <c r="Q559" s="58">
        <f t="shared" si="116"/>
        <v>269.14186046511628</v>
      </c>
      <c r="R559" s="66">
        <f t="shared" si="117"/>
        <v>32.404679999999999</v>
      </c>
      <c r="S559" s="64">
        <f t="shared" si="118"/>
        <v>150</v>
      </c>
      <c r="T559" s="66">
        <f t="shared" si="119"/>
        <v>2034.10068</v>
      </c>
      <c r="U559" s="68">
        <f t="shared" si="120"/>
        <v>50.852516999999999</v>
      </c>
      <c r="V559" s="68">
        <f t="shared" si="121"/>
        <v>443.48125290697675</v>
      </c>
      <c r="W559" s="68">
        <f t="shared" si="122"/>
        <v>295.65416860465115</v>
      </c>
    </row>
    <row r="560" spans="1:23" x14ac:dyDescent="0.25">
      <c r="A560" s="169" t="s">
        <v>943</v>
      </c>
      <c r="B560" s="61" t="s">
        <v>391</v>
      </c>
      <c r="C560" s="61" t="s">
        <v>585</v>
      </c>
      <c r="D560" s="61" t="s">
        <v>587</v>
      </c>
      <c r="E560" s="1" t="s">
        <v>353</v>
      </c>
      <c r="F560" s="62" t="str">
        <f t="shared" si="111"/>
        <v>64506</v>
      </c>
      <c r="G560" s="269">
        <v>10620037</v>
      </c>
      <c r="H560" s="1" t="s">
        <v>382</v>
      </c>
      <c r="I560" s="61">
        <v>15</v>
      </c>
      <c r="J560" s="61">
        <v>4.3</v>
      </c>
      <c r="K560" s="61">
        <v>8.5</v>
      </c>
      <c r="L560" s="69">
        <f t="shared" ref="L560:L623" si="123">J560*I560/100</f>
        <v>0.64500000000000002</v>
      </c>
      <c r="M560" s="69">
        <f t="shared" ref="M560:M623" si="124">K560*I560/100</f>
        <v>1.2749999999999999</v>
      </c>
      <c r="N560" s="56">
        <f>INDEX(Rate_Chart!$A$1:$AK$127,MATCH(Data!J560,Rate_Chart!$A$1:$A$127,0),MATCH(Data!K560,Rate_Chart!$A$1:$AK$1,0))</f>
        <v>41.562181500000001</v>
      </c>
      <c r="O560" s="57">
        <f t="shared" ref="O560:O623" si="125">N560*I560</f>
        <v>623.43272250000007</v>
      </c>
      <c r="P560" s="58">
        <f t="shared" ref="P560:P623" si="126">N560/(J560%+K560%*2/3)</f>
        <v>417.01185451505017</v>
      </c>
      <c r="Q560" s="58">
        <f t="shared" ref="Q560:Q623" si="127">P560*2/3</f>
        <v>278.00790301003343</v>
      </c>
      <c r="R560" s="66">
        <f t="shared" ref="R560:R623" si="128">O560*1.75%</f>
        <v>10.910072643750002</v>
      </c>
      <c r="S560" s="64">
        <f t="shared" ref="S560:S623" si="129">I560*3.75</f>
        <v>56.25</v>
      </c>
      <c r="T560" s="66">
        <f t="shared" ref="T560:T623" si="130">R560+S560+O560</f>
        <v>690.5927951437501</v>
      </c>
      <c r="U560" s="68">
        <f t="shared" ref="U560:U623" si="131">T560/I560</f>
        <v>46.039519676250009</v>
      </c>
      <c r="V560" s="68">
        <f t="shared" ref="V560:V623" si="132">U560/(J560%+K560%*2/3)</f>
        <v>461.9349800292643</v>
      </c>
      <c r="W560" s="68">
        <f t="shared" ref="W560:W623" si="133">V560*2/3</f>
        <v>307.95665335284286</v>
      </c>
    </row>
    <row r="561" spans="1:23" x14ac:dyDescent="0.25">
      <c r="A561" s="169" t="s">
        <v>944</v>
      </c>
      <c r="B561" s="61" t="s">
        <v>390</v>
      </c>
      <c r="C561" s="61" t="s">
        <v>585</v>
      </c>
      <c r="D561" s="61" t="s">
        <v>587</v>
      </c>
      <c r="E561" s="1" t="s">
        <v>353</v>
      </c>
      <c r="F561" s="62" t="str">
        <f t="shared" si="111"/>
        <v>64506</v>
      </c>
      <c r="G561" s="269">
        <v>10620037</v>
      </c>
      <c r="H561" s="1" t="s">
        <v>381</v>
      </c>
      <c r="I561" s="61">
        <v>41</v>
      </c>
      <c r="J561" s="61">
        <v>6.1</v>
      </c>
      <c r="K561" s="61">
        <v>9</v>
      </c>
      <c r="L561" s="69">
        <f t="shared" si="123"/>
        <v>2.5009999999999999</v>
      </c>
      <c r="M561" s="69">
        <f t="shared" si="124"/>
        <v>3.69</v>
      </c>
      <c r="N561" s="56">
        <f>INDEX(Rate_Chart!$A$1:$AK$127,MATCH(Data!J561,Rate_Chart!$A$1:$A$127,0),MATCH(Data!K561,Rate_Chart!$A$1:$AK$1,0))</f>
        <v>50.935000000000002</v>
      </c>
      <c r="O561" s="57">
        <f t="shared" si="125"/>
        <v>2088.335</v>
      </c>
      <c r="P561" s="58">
        <f t="shared" si="126"/>
        <v>420.95041322314052</v>
      </c>
      <c r="Q561" s="58">
        <f t="shared" si="127"/>
        <v>280.63360881542701</v>
      </c>
      <c r="R561" s="66">
        <f t="shared" si="128"/>
        <v>36.545862500000005</v>
      </c>
      <c r="S561" s="64">
        <f t="shared" si="129"/>
        <v>153.75</v>
      </c>
      <c r="T561" s="66">
        <f t="shared" si="130"/>
        <v>2278.6308625000001</v>
      </c>
      <c r="U561" s="68">
        <f t="shared" si="131"/>
        <v>55.576362500000002</v>
      </c>
      <c r="V561" s="68">
        <f t="shared" si="132"/>
        <v>459.30878099173555</v>
      </c>
      <c r="W561" s="68">
        <f t="shared" si="133"/>
        <v>306.20585399449038</v>
      </c>
    </row>
    <row r="562" spans="1:23" x14ac:dyDescent="0.25">
      <c r="A562" s="169" t="s">
        <v>944</v>
      </c>
      <c r="B562" s="61" t="s">
        <v>390</v>
      </c>
      <c r="C562" s="61" t="s">
        <v>585</v>
      </c>
      <c r="D562" s="61" t="s">
        <v>587</v>
      </c>
      <c r="E562" s="1" t="s">
        <v>353</v>
      </c>
      <c r="F562" s="62" t="str">
        <f t="shared" si="111"/>
        <v>64506</v>
      </c>
      <c r="G562" s="269">
        <v>10620037</v>
      </c>
      <c r="H562" s="1" t="s">
        <v>382</v>
      </c>
      <c r="I562" s="61">
        <v>16</v>
      </c>
      <c r="J562" s="61">
        <v>4</v>
      </c>
      <c r="K562" s="61">
        <v>8.1999999999999993</v>
      </c>
      <c r="L562" s="69">
        <f t="shared" si="123"/>
        <v>0.64</v>
      </c>
      <c r="M562" s="69">
        <f t="shared" si="124"/>
        <v>1.3119999999999998</v>
      </c>
      <c r="N562" s="56">
        <f>INDEX(Rate_Chart!$A$1:$AK$127,MATCH(Data!J562,Rate_Chart!$A$1:$A$127,0),MATCH(Data!K562,Rate_Chart!$A$1:$AK$1,0))</f>
        <v>39.477139800000003</v>
      </c>
      <c r="O562" s="57">
        <f t="shared" si="125"/>
        <v>631.63423680000005</v>
      </c>
      <c r="P562" s="58">
        <f t="shared" si="126"/>
        <v>417.0120401408451</v>
      </c>
      <c r="Q562" s="58">
        <f t="shared" si="127"/>
        <v>278.00802676056338</v>
      </c>
      <c r="R562" s="66">
        <f t="shared" si="128"/>
        <v>11.053599144000001</v>
      </c>
      <c r="S562" s="64">
        <f t="shared" si="129"/>
        <v>60</v>
      </c>
      <c r="T562" s="66">
        <f t="shared" si="130"/>
        <v>702.68783594400008</v>
      </c>
      <c r="U562" s="68">
        <f t="shared" si="131"/>
        <v>43.917989746500005</v>
      </c>
      <c r="V562" s="68">
        <f t="shared" si="132"/>
        <v>463.92242689964797</v>
      </c>
      <c r="W562" s="68">
        <f t="shared" si="133"/>
        <v>309.28161793309863</v>
      </c>
    </row>
    <row r="563" spans="1:23" x14ac:dyDescent="0.25">
      <c r="A563" s="169" t="s">
        <v>944</v>
      </c>
      <c r="B563" s="61" t="s">
        <v>391</v>
      </c>
      <c r="C563" s="61" t="s">
        <v>585</v>
      </c>
      <c r="D563" s="61" t="s">
        <v>587</v>
      </c>
      <c r="E563" s="1" t="s">
        <v>353</v>
      </c>
      <c r="F563" s="62" t="str">
        <f t="shared" si="111"/>
        <v>64506</v>
      </c>
      <c r="G563" s="269">
        <v>10620037</v>
      </c>
      <c r="H563" s="1" t="s">
        <v>381</v>
      </c>
      <c r="I563" s="61">
        <v>34</v>
      </c>
      <c r="J563" s="61">
        <v>6.2</v>
      </c>
      <c r="K563" s="61">
        <v>9</v>
      </c>
      <c r="L563" s="69">
        <f t="shared" si="123"/>
        <v>2.1080000000000001</v>
      </c>
      <c r="M563" s="69">
        <f t="shared" si="124"/>
        <v>3.06</v>
      </c>
      <c r="N563" s="56">
        <f>INDEX(Rate_Chart!$A$1:$AK$127,MATCH(Data!J563,Rate_Chart!$A$1:$A$127,0),MATCH(Data!K563,Rate_Chart!$A$1:$AK$1,0))</f>
        <v>51.77</v>
      </c>
      <c r="O563" s="57">
        <f t="shared" si="125"/>
        <v>1760.18</v>
      </c>
      <c r="P563" s="58">
        <f t="shared" si="126"/>
        <v>424.34426229508199</v>
      </c>
      <c r="Q563" s="58">
        <f t="shared" si="127"/>
        <v>282.89617486338801</v>
      </c>
      <c r="R563" s="66">
        <f t="shared" si="128"/>
        <v>30.803150000000006</v>
      </c>
      <c r="S563" s="64">
        <f t="shared" si="129"/>
        <v>127.5</v>
      </c>
      <c r="T563" s="66">
        <f t="shared" si="130"/>
        <v>1918.48315</v>
      </c>
      <c r="U563" s="68">
        <f t="shared" si="131"/>
        <v>56.425975000000001</v>
      </c>
      <c r="V563" s="68">
        <f t="shared" si="132"/>
        <v>462.50799180327868</v>
      </c>
      <c r="W563" s="68">
        <f t="shared" si="133"/>
        <v>308.33866120218579</v>
      </c>
    </row>
    <row r="564" spans="1:23" x14ac:dyDescent="0.25">
      <c r="A564" s="169" t="s">
        <v>944</v>
      </c>
      <c r="B564" s="61" t="s">
        <v>391</v>
      </c>
      <c r="C564" s="61" t="s">
        <v>585</v>
      </c>
      <c r="D564" s="61" t="s">
        <v>587</v>
      </c>
      <c r="E564" s="1" t="s">
        <v>353</v>
      </c>
      <c r="F564" s="62" t="str">
        <f t="shared" si="111"/>
        <v>64506</v>
      </c>
      <c r="G564" s="269">
        <v>10620037</v>
      </c>
      <c r="H564" s="1" t="s">
        <v>382</v>
      </c>
      <c r="I564" s="61">
        <v>10</v>
      </c>
      <c r="J564" s="61">
        <v>3.7</v>
      </c>
      <c r="K564" s="61">
        <v>8.3000000000000007</v>
      </c>
      <c r="L564" s="69">
        <f t="shared" si="123"/>
        <v>0.37</v>
      </c>
      <c r="M564" s="69">
        <f t="shared" si="124"/>
        <v>0.83</v>
      </c>
      <c r="N564" s="56">
        <f>INDEX(Rate_Chart!$A$1:$AK$127,MATCH(Data!J564,Rate_Chart!$A$1:$A$127,0),MATCH(Data!K564,Rate_Chart!$A$1:$AK$1,0))</f>
        <v>38.504153700000003</v>
      </c>
      <c r="O564" s="57">
        <f t="shared" si="125"/>
        <v>385.04153700000006</v>
      </c>
      <c r="P564" s="58">
        <f t="shared" si="126"/>
        <v>417.01249494584835</v>
      </c>
      <c r="Q564" s="58">
        <f t="shared" si="127"/>
        <v>278.00832996389892</v>
      </c>
      <c r="R564" s="66">
        <f t="shared" si="128"/>
        <v>6.7382268975000015</v>
      </c>
      <c r="S564" s="64">
        <f t="shared" si="129"/>
        <v>37.5</v>
      </c>
      <c r="T564" s="66">
        <f t="shared" si="130"/>
        <v>429.27976389750006</v>
      </c>
      <c r="U564" s="68">
        <f t="shared" si="131"/>
        <v>42.927976389750008</v>
      </c>
      <c r="V564" s="68">
        <f t="shared" si="132"/>
        <v>464.92393201895305</v>
      </c>
      <c r="W564" s="68">
        <f t="shared" si="133"/>
        <v>309.94928801263535</v>
      </c>
    </row>
    <row r="565" spans="1:23" x14ac:dyDescent="0.25">
      <c r="A565" s="169" t="s">
        <v>945</v>
      </c>
      <c r="B565" s="61" t="s">
        <v>390</v>
      </c>
      <c r="C565" s="61" t="s">
        <v>585</v>
      </c>
      <c r="D565" s="61" t="s">
        <v>587</v>
      </c>
      <c r="E565" s="1" t="s">
        <v>353</v>
      </c>
      <c r="F565" s="62" t="str">
        <f t="shared" si="111"/>
        <v>64506</v>
      </c>
      <c r="G565" s="269">
        <v>10620037</v>
      </c>
      <c r="H565" s="1" t="s">
        <v>381</v>
      </c>
      <c r="I565" s="61">
        <v>35</v>
      </c>
      <c r="J565" s="61">
        <v>6.3</v>
      </c>
      <c r="K565" s="61">
        <v>9</v>
      </c>
      <c r="L565" s="69">
        <f t="shared" si="123"/>
        <v>2.2050000000000001</v>
      </c>
      <c r="M565" s="69">
        <f t="shared" si="124"/>
        <v>3.15</v>
      </c>
      <c r="N565" s="56">
        <f>INDEX(Rate_Chart!$A$1:$AK$127,MATCH(Data!J565,Rate_Chart!$A$1:$A$127,0),MATCH(Data!K565,Rate_Chart!$A$1:$AK$1,0))</f>
        <v>52.604999999999997</v>
      </c>
      <c r="O565" s="57">
        <f t="shared" si="125"/>
        <v>1841.175</v>
      </c>
      <c r="P565" s="58">
        <f t="shared" si="126"/>
        <v>427.6829268292683</v>
      </c>
      <c r="Q565" s="58">
        <f t="shared" si="127"/>
        <v>285.1219512195122</v>
      </c>
      <c r="R565" s="66">
        <f t="shared" si="128"/>
        <v>32.2205625</v>
      </c>
      <c r="S565" s="64">
        <f t="shared" si="129"/>
        <v>131.25</v>
      </c>
      <c r="T565" s="66">
        <f t="shared" si="130"/>
        <v>2004.6455624999999</v>
      </c>
      <c r="U565" s="68">
        <f t="shared" si="131"/>
        <v>57.275587499999993</v>
      </c>
      <c r="V565" s="68">
        <f t="shared" si="132"/>
        <v>465.65518292682924</v>
      </c>
      <c r="W565" s="68">
        <f t="shared" si="133"/>
        <v>310.43678861788618</v>
      </c>
    </row>
    <row r="566" spans="1:23" x14ac:dyDescent="0.25">
      <c r="A566" s="169" t="s">
        <v>945</v>
      </c>
      <c r="B566" s="61" t="s">
        <v>390</v>
      </c>
      <c r="C566" s="61" t="s">
        <v>585</v>
      </c>
      <c r="D566" s="61" t="s">
        <v>587</v>
      </c>
      <c r="E566" s="1" t="s">
        <v>353</v>
      </c>
      <c r="F566" s="62" t="str">
        <f t="shared" si="111"/>
        <v>64506</v>
      </c>
      <c r="G566" s="269">
        <v>10620037</v>
      </c>
      <c r="H566" s="1" t="s">
        <v>382</v>
      </c>
      <c r="I566" s="61">
        <v>36</v>
      </c>
      <c r="J566" s="61">
        <v>3.5</v>
      </c>
      <c r="K566" s="61">
        <v>8.3000000000000007</v>
      </c>
      <c r="L566" s="69">
        <f t="shared" si="123"/>
        <v>1.26</v>
      </c>
      <c r="M566" s="69">
        <f t="shared" si="124"/>
        <v>2.988</v>
      </c>
      <c r="N566" s="56">
        <f>INDEX(Rate_Chart!$A$1:$AK$127,MATCH(Data!J566,Rate_Chart!$A$1:$A$127,0),MATCH(Data!K566,Rate_Chart!$A$1:$AK$1,0))</f>
        <v>37.670153700000007</v>
      </c>
      <c r="O566" s="57">
        <f t="shared" si="125"/>
        <v>1356.1255332000003</v>
      </c>
      <c r="P566" s="58">
        <f t="shared" si="126"/>
        <v>417.01277158671587</v>
      </c>
      <c r="Q566" s="58">
        <f t="shared" si="127"/>
        <v>278.00851439114393</v>
      </c>
      <c r="R566" s="66">
        <f t="shared" si="128"/>
        <v>23.732196831000007</v>
      </c>
      <c r="S566" s="64">
        <f t="shared" si="129"/>
        <v>135</v>
      </c>
      <c r="T566" s="66">
        <f t="shared" si="130"/>
        <v>1514.8577300310003</v>
      </c>
      <c r="U566" s="68">
        <f t="shared" si="131"/>
        <v>42.079381389750012</v>
      </c>
      <c r="V566" s="68">
        <f t="shared" si="132"/>
        <v>465.82341021863471</v>
      </c>
      <c r="W566" s="68">
        <f t="shared" si="133"/>
        <v>310.54894014575649</v>
      </c>
    </row>
    <row r="567" spans="1:23" x14ac:dyDescent="0.25">
      <c r="A567" s="169" t="s">
        <v>945</v>
      </c>
      <c r="B567" s="61" t="s">
        <v>391</v>
      </c>
      <c r="C567" s="61" t="s">
        <v>585</v>
      </c>
      <c r="D567" s="61" t="s">
        <v>587</v>
      </c>
      <c r="E567" s="1" t="s">
        <v>353</v>
      </c>
      <c r="F567" s="62" t="str">
        <f t="shared" si="111"/>
        <v>64506</v>
      </c>
      <c r="G567" s="269">
        <v>10620037</v>
      </c>
      <c r="H567" s="1" t="s">
        <v>381</v>
      </c>
      <c r="I567" s="61">
        <v>39</v>
      </c>
      <c r="J567" s="61">
        <v>5.7</v>
      </c>
      <c r="K567" s="61">
        <v>9</v>
      </c>
      <c r="L567" s="69">
        <f t="shared" si="123"/>
        <v>2.2230000000000003</v>
      </c>
      <c r="M567" s="69">
        <f t="shared" si="124"/>
        <v>3.51</v>
      </c>
      <c r="N567" s="56">
        <f>INDEX(Rate_Chart!$A$1:$AK$127,MATCH(Data!J567,Rate_Chart!$A$1:$A$127,0),MATCH(Data!K567,Rate_Chart!$A$1:$AK$1,0))</f>
        <v>47.594999999999999</v>
      </c>
      <c r="O567" s="57">
        <f t="shared" si="125"/>
        <v>1856.2049999999999</v>
      </c>
      <c r="P567" s="58">
        <f t="shared" si="126"/>
        <v>406.79487179487182</v>
      </c>
      <c r="Q567" s="58">
        <f t="shared" si="127"/>
        <v>271.19658119658123</v>
      </c>
      <c r="R567" s="66">
        <f t="shared" si="128"/>
        <v>32.483587499999999</v>
      </c>
      <c r="S567" s="64">
        <f t="shared" si="129"/>
        <v>146.25</v>
      </c>
      <c r="T567" s="66">
        <f t="shared" si="130"/>
        <v>2034.9385874999998</v>
      </c>
      <c r="U567" s="68">
        <f t="shared" si="131"/>
        <v>52.177912499999998</v>
      </c>
      <c r="V567" s="68">
        <f t="shared" si="132"/>
        <v>445.9650641025641</v>
      </c>
      <c r="W567" s="68">
        <f t="shared" si="133"/>
        <v>297.31004273504271</v>
      </c>
    </row>
    <row r="568" spans="1:23" x14ac:dyDescent="0.25">
      <c r="A568" s="169" t="s">
        <v>945</v>
      </c>
      <c r="B568" s="61" t="s">
        <v>391</v>
      </c>
      <c r="C568" s="61" t="s">
        <v>585</v>
      </c>
      <c r="D568" s="61" t="s">
        <v>587</v>
      </c>
      <c r="E568" s="1" t="s">
        <v>353</v>
      </c>
      <c r="F568" s="62" t="str">
        <f t="shared" si="111"/>
        <v>64506</v>
      </c>
      <c r="G568" s="269">
        <v>10620037</v>
      </c>
      <c r="H568" s="1" t="s">
        <v>382</v>
      </c>
      <c r="I568" s="61">
        <v>10</v>
      </c>
      <c r="J568" s="61">
        <v>3.7</v>
      </c>
      <c r="K568" s="61">
        <v>8.3000000000000007</v>
      </c>
      <c r="L568" s="69">
        <f t="shared" si="123"/>
        <v>0.37</v>
      </c>
      <c r="M568" s="69">
        <f t="shared" si="124"/>
        <v>0.83</v>
      </c>
      <c r="N568" s="56">
        <f>INDEX(Rate_Chart!$A$1:$AK$127,MATCH(Data!J568,Rate_Chart!$A$1:$A$127,0),MATCH(Data!K568,Rate_Chart!$A$1:$AK$1,0))</f>
        <v>38.504153700000003</v>
      </c>
      <c r="O568" s="57">
        <f t="shared" si="125"/>
        <v>385.04153700000006</v>
      </c>
      <c r="P568" s="58">
        <f t="shared" si="126"/>
        <v>417.01249494584835</v>
      </c>
      <c r="Q568" s="58">
        <f t="shared" si="127"/>
        <v>278.00832996389892</v>
      </c>
      <c r="R568" s="66">
        <f t="shared" si="128"/>
        <v>6.7382268975000015</v>
      </c>
      <c r="S568" s="64">
        <f t="shared" si="129"/>
        <v>37.5</v>
      </c>
      <c r="T568" s="66">
        <f t="shared" si="130"/>
        <v>429.27976389750006</v>
      </c>
      <c r="U568" s="68">
        <f t="shared" si="131"/>
        <v>42.927976389750008</v>
      </c>
      <c r="V568" s="68">
        <f t="shared" si="132"/>
        <v>464.92393201895305</v>
      </c>
      <c r="W568" s="68">
        <f t="shared" si="133"/>
        <v>309.94928801263535</v>
      </c>
    </row>
    <row r="569" spans="1:23" x14ac:dyDescent="0.25">
      <c r="A569" s="169" t="s">
        <v>946</v>
      </c>
      <c r="B569" s="61" t="s">
        <v>390</v>
      </c>
      <c r="C569" s="61" t="s">
        <v>585</v>
      </c>
      <c r="D569" s="61" t="s">
        <v>587</v>
      </c>
      <c r="E569" s="1" t="s">
        <v>353</v>
      </c>
      <c r="F569" s="62" t="str">
        <f t="shared" si="111"/>
        <v>64506</v>
      </c>
      <c r="G569" s="269">
        <v>10620037</v>
      </c>
      <c r="H569" s="1" t="s">
        <v>381</v>
      </c>
      <c r="I569" s="61">
        <v>59</v>
      </c>
      <c r="J569" s="61">
        <v>6</v>
      </c>
      <c r="K569" s="61">
        <v>9</v>
      </c>
      <c r="L569" s="69">
        <f t="shared" si="123"/>
        <v>3.54</v>
      </c>
      <c r="M569" s="69">
        <f t="shared" si="124"/>
        <v>5.31</v>
      </c>
      <c r="N569" s="56">
        <f>INDEX(Rate_Chart!$A$1:$AK$127,MATCH(Data!J569,Rate_Chart!$A$1:$A$127,0),MATCH(Data!K569,Rate_Chart!$A$1:$AK$1,0))</f>
        <v>50.1</v>
      </c>
      <c r="O569" s="57">
        <f t="shared" si="125"/>
        <v>2955.9</v>
      </c>
      <c r="P569" s="58">
        <f t="shared" si="126"/>
        <v>417.5</v>
      </c>
      <c r="Q569" s="58">
        <f t="shared" si="127"/>
        <v>278.33333333333331</v>
      </c>
      <c r="R569" s="66">
        <f t="shared" si="128"/>
        <v>51.72825000000001</v>
      </c>
      <c r="S569" s="64">
        <f t="shared" si="129"/>
        <v>221.25</v>
      </c>
      <c r="T569" s="66">
        <f t="shared" si="130"/>
        <v>3228.8782500000002</v>
      </c>
      <c r="U569" s="68">
        <f t="shared" si="131"/>
        <v>54.726750000000003</v>
      </c>
      <c r="V569" s="68">
        <f t="shared" si="132"/>
        <v>456.05625000000003</v>
      </c>
      <c r="W569" s="68">
        <f t="shared" si="133"/>
        <v>304.03750000000002</v>
      </c>
    </row>
    <row r="570" spans="1:23" x14ac:dyDescent="0.25">
      <c r="A570" s="169" t="s">
        <v>946</v>
      </c>
      <c r="B570" s="61" t="s">
        <v>390</v>
      </c>
      <c r="C570" s="61" t="s">
        <v>585</v>
      </c>
      <c r="D570" s="61" t="s">
        <v>587</v>
      </c>
      <c r="E570" s="1" t="s">
        <v>353</v>
      </c>
      <c r="F570" s="62" t="str">
        <f t="shared" si="111"/>
        <v>64506</v>
      </c>
      <c r="G570" s="269">
        <v>10620037</v>
      </c>
      <c r="H570" s="1" t="s">
        <v>382</v>
      </c>
      <c r="I570" s="61">
        <v>41</v>
      </c>
      <c r="J570" s="61">
        <v>3.4</v>
      </c>
      <c r="K570" s="61">
        <v>8.3000000000000007</v>
      </c>
      <c r="L570" s="69">
        <f t="shared" si="123"/>
        <v>1.3940000000000001</v>
      </c>
      <c r="M570" s="69">
        <f t="shared" si="124"/>
        <v>3.403</v>
      </c>
      <c r="N570" s="56">
        <f>INDEX(Rate_Chart!$A$1:$AK$127,MATCH(Data!J570,Rate_Chart!$A$1:$A$127,0),MATCH(Data!K570,Rate_Chart!$A$1:$AK$1,0))</f>
        <v>37.253153700000006</v>
      </c>
      <c r="O570" s="57">
        <f t="shared" si="125"/>
        <v>1527.3793017000003</v>
      </c>
      <c r="P570" s="58">
        <f t="shared" si="126"/>
        <v>417.01291455223878</v>
      </c>
      <c r="Q570" s="58">
        <f t="shared" si="127"/>
        <v>278.0086097014925</v>
      </c>
      <c r="R570" s="66">
        <f t="shared" si="128"/>
        <v>26.729137779750008</v>
      </c>
      <c r="S570" s="64">
        <f t="shared" si="129"/>
        <v>153.75</v>
      </c>
      <c r="T570" s="66">
        <f t="shared" si="130"/>
        <v>1707.8584394797504</v>
      </c>
      <c r="U570" s="68">
        <f t="shared" si="131"/>
        <v>41.65508388975001</v>
      </c>
      <c r="V570" s="68">
        <f t="shared" si="132"/>
        <v>466.28825249720154</v>
      </c>
      <c r="W570" s="68">
        <f t="shared" si="133"/>
        <v>310.85883499813434</v>
      </c>
    </row>
    <row r="571" spans="1:23" x14ac:dyDescent="0.25">
      <c r="A571" s="169" t="s">
        <v>946</v>
      </c>
      <c r="B571" s="61" t="s">
        <v>391</v>
      </c>
      <c r="C571" s="61" t="s">
        <v>585</v>
      </c>
      <c r="D571" s="61" t="s">
        <v>587</v>
      </c>
      <c r="E571" s="1" t="s">
        <v>353</v>
      </c>
      <c r="F571" s="62" t="str">
        <f t="shared" si="111"/>
        <v>64506</v>
      </c>
      <c r="G571" s="269">
        <v>10620037</v>
      </c>
      <c r="H571" s="1" t="s">
        <v>381</v>
      </c>
      <c r="I571" s="61">
        <v>39</v>
      </c>
      <c r="J571" s="61">
        <v>5.9</v>
      </c>
      <c r="K571" s="61">
        <v>9</v>
      </c>
      <c r="L571" s="69">
        <f t="shared" si="123"/>
        <v>2.3010000000000002</v>
      </c>
      <c r="M571" s="69">
        <f t="shared" si="124"/>
        <v>3.51</v>
      </c>
      <c r="N571" s="56">
        <f>INDEX(Rate_Chart!$A$1:$AK$127,MATCH(Data!J571,Rate_Chart!$A$1:$A$127,0),MATCH(Data!K571,Rate_Chart!$A$1:$AK$1,0))</f>
        <v>49.265000000000001</v>
      </c>
      <c r="O571" s="57">
        <f t="shared" si="125"/>
        <v>1921.335</v>
      </c>
      <c r="P571" s="58">
        <f t="shared" si="126"/>
        <v>413.99159663865549</v>
      </c>
      <c r="Q571" s="58">
        <f t="shared" si="127"/>
        <v>275.99439775910366</v>
      </c>
      <c r="R571" s="66">
        <f t="shared" si="128"/>
        <v>33.623362500000006</v>
      </c>
      <c r="S571" s="64">
        <f t="shared" si="129"/>
        <v>146.25</v>
      </c>
      <c r="T571" s="66">
        <f t="shared" si="130"/>
        <v>2101.2083625</v>
      </c>
      <c r="U571" s="68">
        <f t="shared" si="131"/>
        <v>53.877137500000003</v>
      </c>
      <c r="V571" s="68">
        <f t="shared" si="132"/>
        <v>452.74905462184881</v>
      </c>
      <c r="W571" s="68">
        <f t="shared" si="133"/>
        <v>301.83270308123252</v>
      </c>
    </row>
    <row r="572" spans="1:23" x14ac:dyDescent="0.25">
      <c r="A572" s="169" t="s">
        <v>946</v>
      </c>
      <c r="B572" s="61" t="s">
        <v>391</v>
      </c>
      <c r="C572" s="61" t="s">
        <v>585</v>
      </c>
      <c r="D572" s="61" t="s">
        <v>587</v>
      </c>
      <c r="E572" s="1" t="s">
        <v>353</v>
      </c>
      <c r="F572" s="62" t="str">
        <f t="shared" si="111"/>
        <v>64506</v>
      </c>
      <c r="G572" s="269">
        <v>10620037</v>
      </c>
      <c r="H572" s="1" t="s">
        <v>382</v>
      </c>
      <c r="I572" s="61">
        <v>20</v>
      </c>
      <c r="J572" s="61">
        <v>3.7</v>
      </c>
      <c r="K572" s="61">
        <v>8.4</v>
      </c>
      <c r="L572" s="69">
        <f t="shared" si="123"/>
        <v>0.74</v>
      </c>
      <c r="M572" s="69">
        <f t="shared" si="124"/>
        <v>1.68</v>
      </c>
      <c r="N572" s="56">
        <f>INDEX(Rate_Chart!$A$1:$AK$127,MATCH(Data!J572,Rate_Chart!$A$1:$A$127,0),MATCH(Data!K572,Rate_Chart!$A$1:$AK$1,0))</f>
        <v>38.782167600000008</v>
      </c>
      <c r="O572" s="57">
        <f t="shared" si="125"/>
        <v>775.64335200000016</v>
      </c>
      <c r="P572" s="58">
        <f t="shared" si="126"/>
        <v>417.01255483870978</v>
      </c>
      <c r="Q572" s="58">
        <f t="shared" si="127"/>
        <v>278.00836989247318</v>
      </c>
      <c r="R572" s="66">
        <f t="shared" si="128"/>
        <v>13.573758660000005</v>
      </c>
      <c r="S572" s="64">
        <f t="shared" si="129"/>
        <v>75</v>
      </c>
      <c r="T572" s="66">
        <f t="shared" si="130"/>
        <v>864.21711066000012</v>
      </c>
      <c r="U572" s="68">
        <f t="shared" si="131"/>
        <v>43.210855533000007</v>
      </c>
      <c r="V572" s="68">
        <f t="shared" si="132"/>
        <v>464.63285519354849</v>
      </c>
      <c r="W572" s="68">
        <f t="shared" si="133"/>
        <v>309.75523679569898</v>
      </c>
    </row>
    <row r="573" spans="1:23" x14ac:dyDescent="0.25">
      <c r="A573" s="169" t="s">
        <v>947</v>
      </c>
      <c r="B573" s="61" t="s">
        <v>390</v>
      </c>
      <c r="C573" s="61" t="s">
        <v>585</v>
      </c>
      <c r="D573" s="61" t="s">
        <v>587</v>
      </c>
      <c r="E573" s="1" t="s">
        <v>353</v>
      </c>
      <c r="F573" s="62" t="str">
        <f t="shared" si="111"/>
        <v>64506</v>
      </c>
      <c r="G573" s="269">
        <v>10620037</v>
      </c>
      <c r="H573" s="1" t="s">
        <v>381</v>
      </c>
      <c r="I573" s="61">
        <v>26</v>
      </c>
      <c r="J573" s="61">
        <v>6.2</v>
      </c>
      <c r="K573" s="61">
        <v>9</v>
      </c>
      <c r="L573" s="69">
        <f t="shared" si="123"/>
        <v>1.6120000000000001</v>
      </c>
      <c r="M573" s="69">
        <f t="shared" si="124"/>
        <v>2.34</v>
      </c>
      <c r="N573" s="56">
        <f>INDEX(Rate_Chart!$A$1:$AK$127,MATCH(Data!J573,Rate_Chart!$A$1:$A$127,0),MATCH(Data!K573,Rate_Chart!$A$1:$AK$1,0))</f>
        <v>51.77</v>
      </c>
      <c r="O573" s="57">
        <f t="shared" si="125"/>
        <v>1346.02</v>
      </c>
      <c r="P573" s="58">
        <f t="shared" si="126"/>
        <v>424.34426229508199</v>
      </c>
      <c r="Q573" s="58">
        <f t="shared" si="127"/>
        <v>282.89617486338801</v>
      </c>
      <c r="R573" s="66">
        <f t="shared" si="128"/>
        <v>23.555350000000001</v>
      </c>
      <c r="S573" s="64">
        <f t="shared" si="129"/>
        <v>97.5</v>
      </c>
      <c r="T573" s="66">
        <f t="shared" si="130"/>
        <v>1467.0753500000001</v>
      </c>
      <c r="U573" s="68">
        <f t="shared" si="131"/>
        <v>56.425975000000001</v>
      </c>
      <c r="V573" s="68">
        <f t="shared" si="132"/>
        <v>462.50799180327868</v>
      </c>
      <c r="W573" s="68">
        <f t="shared" si="133"/>
        <v>308.33866120218579</v>
      </c>
    </row>
    <row r="574" spans="1:23" x14ac:dyDescent="0.25">
      <c r="A574" s="169" t="s">
        <v>947</v>
      </c>
      <c r="B574" s="61" t="s">
        <v>390</v>
      </c>
      <c r="C574" s="61" t="s">
        <v>585</v>
      </c>
      <c r="D574" s="61" t="s">
        <v>587</v>
      </c>
      <c r="E574" s="1" t="s">
        <v>353</v>
      </c>
      <c r="F574" s="62" t="str">
        <f t="shared" si="111"/>
        <v>64506</v>
      </c>
      <c r="G574" s="269">
        <v>10620037</v>
      </c>
      <c r="H574" s="1" t="s">
        <v>382</v>
      </c>
      <c r="I574" s="61">
        <v>24</v>
      </c>
      <c r="J574" s="61">
        <v>3.1</v>
      </c>
      <c r="K574" s="61">
        <v>8.1999999999999993</v>
      </c>
      <c r="L574" s="69">
        <f t="shared" si="123"/>
        <v>0.74400000000000011</v>
      </c>
      <c r="M574" s="69">
        <f t="shared" si="124"/>
        <v>1.9679999999999997</v>
      </c>
      <c r="N574" s="56">
        <f>INDEX(Rate_Chart!$A$1:$AK$127,MATCH(Data!J574,Rate_Chart!$A$1:$A$127,0),MATCH(Data!K574,Rate_Chart!$A$1:$AK$1,0))</f>
        <v>35.724139800000003</v>
      </c>
      <c r="O574" s="57">
        <f t="shared" si="125"/>
        <v>857.37935520000008</v>
      </c>
      <c r="P574" s="58">
        <f t="shared" si="126"/>
        <v>417.0133050583658</v>
      </c>
      <c r="Q574" s="58">
        <f t="shared" si="127"/>
        <v>278.00887003891052</v>
      </c>
      <c r="R574" s="66">
        <f t="shared" si="128"/>
        <v>15.004138716000003</v>
      </c>
      <c r="S574" s="64">
        <f t="shared" si="129"/>
        <v>90</v>
      </c>
      <c r="T574" s="66">
        <f t="shared" si="130"/>
        <v>962.38349391600013</v>
      </c>
      <c r="U574" s="68">
        <f t="shared" si="131"/>
        <v>40.099312246500006</v>
      </c>
      <c r="V574" s="68">
        <f t="shared" si="132"/>
        <v>468.08535696303505</v>
      </c>
      <c r="W574" s="68">
        <f t="shared" si="133"/>
        <v>312.05690464202337</v>
      </c>
    </row>
    <row r="575" spans="1:23" x14ac:dyDescent="0.25">
      <c r="A575" s="169" t="s">
        <v>947</v>
      </c>
      <c r="B575" s="61" t="s">
        <v>391</v>
      </c>
      <c r="C575" s="61" t="s">
        <v>585</v>
      </c>
      <c r="D575" s="61" t="s">
        <v>587</v>
      </c>
      <c r="E575" s="1" t="s">
        <v>353</v>
      </c>
      <c r="F575" s="62" t="str">
        <f t="shared" si="111"/>
        <v>64506</v>
      </c>
      <c r="G575" s="269">
        <v>10620037</v>
      </c>
      <c r="H575" s="1" t="s">
        <v>381</v>
      </c>
      <c r="I575" s="61">
        <v>33</v>
      </c>
      <c r="J575" s="61">
        <v>5.8</v>
      </c>
      <c r="K575" s="61">
        <v>8.8000000000000007</v>
      </c>
      <c r="L575" s="69">
        <f t="shared" si="123"/>
        <v>1.9140000000000001</v>
      </c>
      <c r="M575" s="69">
        <f t="shared" si="124"/>
        <v>2.9040000000000004</v>
      </c>
      <c r="N575" s="56">
        <f>INDEX(Rate_Chart!$A$1:$AK$127,MATCH(Data!J575,Rate_Chart!$A$1:$A$127,0),MATCH(Data!K575,Rate_Chart!$A$1:$AK$1,0))</f>
        <v>47.945700000000002</v>
      </c>
      <c r="O575" s="57">
        <f t="shared" si="125"/>
        <v>1582.2081000000001</v>
      </c>
      <c r="P575" s="58">
        <f t="shared" si="126"/>
        <v>410.96314285714288</v>
      </c>
      <c r="Q575" s="58">
        <f t="shared" si="127"/>
        <v>273.97542857142861</v>
      </c>
      <c r="R575" s="66">
        <f t="shared" si="128"/>
        <v>27.688641750000002</v>
      </c>
      <c r="S575" s="64">
        <f t="shared" si="129"/>
        <v>123.75</v>
      </c>
      <c r="T575" s="66">
        <f t="shared" si="130"/>
        <v>1733.64674175</v>
      </c>
      <c r="U575" s="68">
        <f t="shared" si="131"/>
        <v>52.534749750000003</v>
      </c>
      <c r="V575" s="68">
        <f t="shared" si="132"/>
        <v>450.29785500000003</v>
      </c>
      <c r="W575" s="68">
        <f t="shared" si="133"/>
        <v>300.19857000000002</v>
      </c>
    </row>
    <row r="576" spans="1:23" x14ac:dyDescent="0.25">
      <c r="A576" s="169" t="s">
        <v>947</v>
      </c>
      <c r="B576" s="61" t="s">
        <v>391</v>
      </c>
      <c r="C576" s="61" t="s">
        <v>585</v>
      </c>
      <c r="D576" s="61" t="s">
        <v>587</v>
      </c>
      <c r="E576" s="1" t="s">
        <v>353</v>
      </c>
      <c r="F576" s="62" t="str">
        <f t="shared" si="111"/>
        <v>64506</v>
      </c>
      <c r="G576" s="269">
        <v>10620037</v>
      </c>
      <c r="H576" s="1" t="s">
        <v>382</v>
      </c>
      <c r="I576" s="61">
        <v>16</v>
      </c>
      <c r="J576" s="61">
        <v>3.4</v>
      </c>
      <c r="K576" s="61">
        <v>8.3000000000000007</v>
      </c>
      <c r="L576" s="69">
        <f t="shared" si="123"/>
        <v>0.54400000000000004</v>
      </c>
      <c r="M576" s="69">
        <f t="shared" si="124"/>
        <v>1.3280000000000001</v>
      </c>
      <c r="N576" s="56">
        <f>INDEX(Rate_Chart!$A$1:$AK$127,MATCH(Data!J576,Rate_Chart!$A$1:$A$127,0),MATCH(Data!K576,Rate_Chart!$A$1:$AK$1,0))</f>
        <v>37.253153700000006</v>
      </c>
      <c r="O576" s="57">
        <f t="shared" si="125"/>
        <v>596.05045920000009</v>
      </c>
      <c r="P576" s="58">
        <f t="shared" si="126"/>
        <v>417.01291455223878</v>
      </c>
      <c r="Q576" s="58">
        <f t="shared" si="127"/>
        <v>278.0086097014925</v>
      </c>
      <c r="R576" s="66">
        <f t="shared" si="128"/>
        <v>10.430883036000003</v>
      </c>
      <c r="S576" s="64">
        <f t="shared" si="129"/>
        <v>60</v>
      </c>
      <c r="T576" s="66">
        <f t="shared" si="130"/>
        <v>666.48134223600005</v>
      </c>
      <c r="U576" s="68">
        <f t="shared" si="131"/>
        <v>41.655083889750003</v>
      </c>
      <c r="V576" s="68">
        <f t="shared" si="132"/>
        <v>466.28825249720143</v>
      </c>
      <c r="W576" s="68">
        <f t="shared" si="133"/>
        <v>310.85883499813428</v>
      </c>
    </row>
    <row r="577" spans="1:23" x14ac:dyDescent="0.25">
      <c r="A577" s="169" t="s">
        <v>941</v>
      </c>
      <c r="B577" s="61" t="s">
        <v>390</v>
      </c>
      <c r="C577" s="61" t="s">
        <v>585</v>
      </c>
      <c r="D577" s="61" t="s">
        <v>589</v>
      </c>
      <c r="E577" s="1" t="s">
        <v>857</v>
      </c>
      <c r="F577" s="62" t="str">
        <f t="shared" si="111"/>
        <v>64508</v>
      </c>
      <c r="G577" s="269">
        <v>10620010</v>
      </c>
      <c r="H577" s="1" t="s">
        <v>381</v>
      </c>
      <c r="I577" s="61">
        <v>18</v>
      </c>
      <c r="J577" s="61">
        <v>7.3</v>
      </c>
      <c r="K577" s="61">
        <v>9</v>
      </c>
      <c r="L577" s="69">
        <f t="shared" si="123"/>
        <v>1.3140000000000001</v>
      </c>
      <c r="M577" s="69">
        <f t="shared" si="124"/>
        <v>1.62</v>
      </c>
      <c r="N577" s="56">
        <f>INDEX(Rate_Chart!$A$1:$AK$127,MATCH(Data!J577,Rate_Chart!$A$1:$A$127,0),MATCH(Data!K577,Rate_Chart!$A$1:$AK$1,0))</f>
        <v>60.954999999999998</v>
      </c>
      <c r="O577" s="57">
        <f t="shared" si="125"/>
        <v>1097.19</v>
      </c>
      <c r="P577" s="58">
        <f t="shared" si="126"/>
        <v>458.30827067669168</v>
      </c>
      <c r="Q577" s="58">
        <f t="shared" si="127"/>
        <v>305.53884711779443</v>
      </c>
      <c r="R577" s="66">
        <f t="shared" si="128"/>
        <v>19.200825000000002</v>
      </c>
      <c r="S577" s="64">
        <f t="shared" si="129"/>
        <v>67.5</v>
      </c>
      <c r="T577" s="66">
        <f t="shared" si="130"/>
        <v>1183.8908249999999</v>
      </c>
      <c r="U577" s="68">
        <f t="shared" si="131"/>
        <v>65.771712499999992</v>
      </c>
      <c r="V577" s="68">
        <f t="shared" si="132"/>
        <v>494.52415413533828</v>
      </c>
      <c r="W577" s="68">
        <f t="shared" si="133"/>
        <v>329.68276942355885</v>
      </c>
    </row>
    <row r="578" spans="1:23" x14ac:dyDescent="0.25">
      <c r="A578" s="169" t="s">
        <v>941</v>
      </c>
      <c r="B578" s="61" t="s">
        <v>391</v>
      </c>
      <c r="C578" s="61" t="s">
        <v>585</v>
      </c>
      <c r="D578" s="61" t="s">
        <v>589</v>
      </c>
      <c r="E578" s="1" t="s">
        <v>857</v>
      </c>
      <c r="F578" s="62" t="str">
        <f t="shared" si="111"/>
        <v>64508</v>
      </c>
      <c r="G578" s="269">
        <v>10620010</v>
      </c>
      <c r="H578" s="1" t="s">
        <v>381</v>
      </c>
      <c r="I578" s="61">
        <v>24</v>
      </c>
      <c r="J578" s="61">
        <v>6.5</v>
      </c>
      <c r="K578" s="61">
        <v>9</v>
      </c>
      <c r="L578" s="69">
        <f t="shared" si="123"/>
        <v>1.56</v>
      </c>
      <c r="M578" s="69">
        <f t="shared" si="124"/>
        <v>2.16</v>
      </c>
      <c r="N578" s="56">
        <f>INDEX(Rate_Chart!$A$1:$AK$127,MATCH(Data!J578,Rate_Chart!$A$1:$A$127,0),MATCH(Data!K578,Rate_Chart!$A$1:$AK$1,0))</f>
        <v>54.274999999999999</v>
      </c>
      <c r="O578" s="57">
        <f t="shared" si="125"/>
        <v>1302.5999999999999</v>
      </c>
      <c r="P578" s="58">
        <f t="shared" si="126"/>
        <v>434.2</v>
      </c>
      <c r="Q578" s="58">
        <f t="shared" si="127"/>
        <v>289.46666666666664</v>
      </c>
      <c r="R578" s="66">
        <f t="shared" si="128"/>
        <v>22.795500000000001</v>
      </c>
      <c r="S578" s="64">
        <f t="shared" si="129"/>
        <v>90</v>
      </c>
      <c r="T578" s="66">
        <f t="shared" si="130"/>
        <v>1415.3954999999999</v>
      </c>
      <c r="U578" s="68">
        <f t="shared" si="131"/>
        <v>58.974812499999992</v>
      </c>
      <c r="V578" s="68">
        <f t="shared" si="132"/>
        <v>471.79849999999993</v>
      </c>
      <c r="W578" s="68">
        <f t="shared" si="133"/>
        <v>314.53233333333327</v>
      </c>
    </row>
    <row r="579" spans="1:23" x14ac:dyDescent="0.25">
      <c r="A579" s="169" t="s">
        <v>942</v>
      </c>
      <c r="B579" s="61" t="s">
        <v>390</v>
      </c>
      <c r="C579" s="61" t="s">
        <v>585</v>
      </c>
      <c r="D579" s="61" t="s">
        <v>589</v>
      </c>
      <c r="E579" s="1" t="s">
        <v>857</v>
      </c>
      <c r="F579" s="62" t="str">
        <f t="shared" si="111"/>
        <v>64508</v>
      </c>
      <c r="G579" s="269">
        <v>10620010</v>
      </c>
      <c r="H579" s="1" t="s">
        <v>381</v>
      </c>
      <c r="I579" s="61">
        <v>31</v>
      </c>
      <c r="J579" s="61">
        <v>7.4</v>
      </c>
      <c r="K579" s="61">
        <v>9</v>
      </c>
      <c r="L579" s="69">
        <f t="shared" si="123"/>
        <v>2.294</v>
      </c>
      <c r="M579" s="69">
        <f t="shared" si="124"/>
        <v>2.79</v>
      </c>
      <c r="N579" s="56">
        <f>INDEX(Rate_Chart!$A$1:$AK$127,MATCH(Data!J579,Rate_Chart!$A$1:$A$127,0),MATCH(Data!K579,Rate_Chart!$A$1:$AK$1,0))</f>
        <v>61.790000000000006</v>
      </c>
      <c r="O579" s="57">
        <f t="shared" si="125"/>
        <v>1915.4900000000002</v>
      </c>
      <c r="P579" s="58">
        <f t="shared" si="126"/>
        <v>461.11940298507466</v>
      </c>
      <c r="Q579" s="58">
        <f t="shared" si="127"/>
        <v>307.41293532338312</v>
      </c>
      <c r="R579" s="66">
        <f t="shared" si="128"/>
        <v>33.52107500000001</v>
      </c>
      <c r="S579" s="64">
        <f t="shared" si="129"/>
        <v>116.25</v>
      </c>
      <c r="T579" s="66">
        <f t="shared" si="130"/>
        <v>2065.2610750000003</v>
      </c>
      <c r="U579" s="68">
        <f t="shared" si="131"/>
        <v>66.621325000000013</v>
      </c>
      <c r="V579" s="68">
        <f t="shared" si="132"/>
        <v>497.17406716417918</v>
      </c>
      <c r="W579" s="68">
        <f t="shared" si="133"/>
        <v>331.44937810945277</v>
      </c>
    </row>
    <row r="580" spans="1:23" x14ac:dyDescent="0.25">
      <c r="A580" s="169" t="s">
        <v>942</v>
      </c>
      <c r="B580" s="61" t="s">
        <v>391</v>
      </c>
      <c r="C580" s="61" t="s">
        <v>585</v>
      </c>
      <c r="D580" s="61" t="s">
        <v>589</v>
      </c>
      <c r="E580" s="1" t="s">
        <v>857</v>
      </c>
      <c r="F580" s="62" t="str">
        <f t="shared" si="111"/>
        <v>64508</v>
      </c>
      <c r="G580" s="269">
        <v>10620010</v>
      </c>
      <c r="H580" s="1" t="s">
        <v>381</v>
      </c>
      <c r="I580" s="61">
        <v>17</v>
      </c>
      <c r="J580" s="61">
        <v>7.3</v>
      </c>
      <c r="K580" s="61">
        <v>9</v>
      </c>
      <c r="L580" s="69">
        <f t="shared" si="123"/>
        <v>1.2409999999999999</v>
      </c>
      <c r="M580" s="69">
        <f t="shared" si="124"/>
        <v>1.53</v>
      </c>
      <c r="N580" s="56">
        <f>INDEX(Rate_Chart!$A$1:$AK$127,MATCH(Data!J580,Rate_Chart!$A$1:$A$127,0),MATCH(Data!K580,Rate_Chart!$A$1:$AK$1,0))</f>
        <v>60.954999999999998</v>
      </c>
      <c r="O580" s="57">
        <f t="shared" si="125"/>
        <v>1036.2349999999999</v>
      </c>
      <c r="P580" s="58">
        <f t="shared" si="126"/>
        <v>458.30827067669168</v>
      </c>
      <c r="Q580" s="58">
        <f t="shared" si="127"/>
        <v>305.53884711779443</v>
      </c>
      <c r="R580" s="66">
        <f t="shared" si="128"/>
        <v>18.134112500000001</v>
      </c>
      <c r="S580" s="64">
        <f t="shared" si="129"/>
        <v>63.75</v>
      </c>
      <c r="T580" s="66">
        <f t="shared" si="130"/>
        <v>1118.1191124999998</v>
      </c>
      <c r="U580" s="68">
        <f t="shared" si="131"/>
        <v>65.771712499999992</v>
      </c>
      <c r="V580" s="68">
        <f t="shared" si="132"/>
        <v>494.52415413533828</v>
      </c>
      <c r="W580" s="68">
        <f t="shared" si="133"/>
        <v>329.68276942355885</v>
      </c>
    </row>
    <row r="581" spans="1:23" x14ac:dyDescent="0.25">
      <c r="A581" s="169" t="s">
        <v>942</v>
      </c>
      <c r="B581" s="61" t="s">
        <v>391</v>
      </c>
      <c r="C581" s="61" t="s">
        <v>585</v>
      </c>
      <c r="D581" s="61" t="s">
        <v>589</v>
      </c>
      <c r="E581" s="1" t="s">
        <v>857</v>
      </c>
      <c r="F581" s="62" t="str">
        <f t="shared" ref="F581:F644" si="134">MID(E581,2,5)</f>
        <v>64508</v>
      </c>
      <c r="G581" s="269">
        <v>10620010</v>
      </c>
      <c r="H581" s="1" t="s">
        <v>382</v>
      </c>
      <c r="I581" s="61">
        <v>7</v>
      </c>
      <c r="J581" s="61">
        <v>4.8</v>
      </c>
      <c r="K581" s="61">
        <v>8.5</v>
      </c>
      <c r="L581" s="69">
        <f t="shared" si="123"/>
        <v>0.33600000000000002</v>
      </c>
      <c r="M581" s="69">
        <f t="shared" si="124"/>
        <v>0.59499999999999997</v>
      </c>
      <c r="N581" s="56">
        <f>INDEX(Rate_Chart!$A$1:$AK$127,MATCH(Data!J581,Rate_Chart!$A$1:$A$127,0),MATCH(Data!K581,Rate_Chart!$A$1:$AK$1,0))</f>
        <v>43.647181500000002</v>
      </c>
      <c r="O581" s="57">
        <f t="shared" si="125"/>
        <v>305.53027050000003</v>
      </c>
      <c r="P581" s="58">
        <f t="shared" si="126"/>
        <v>417.0112882165605</v>
      </c>
      <c r="Q581" s="58">
        <f t="shared" si="127"/>
        <v>278.00752547770702</v>
      </c>
      <c r="R581" s="66">
        <f t="shared" si="128"/>
        <v>5.3467797337500009</v>
      </c>
      <c r="S581" s="64">
        <f t="shared" si="129"/>
        <v>26.25</v>
      </c>
      <c r="T581" s="66">
        <f t="shared" si="130"/>
        <v>337.12705023375003</v>
      </c>
      <c r="U581" s="68">
        <f t="shared" si="131"/>
        <v>48.161007176250003</v>
      </c>
      <c r="V581" s="68">
        <f t="shared" si="132"/>
        <v>460.13701123805731</v>
      </c>
      <c r="W581" s="68">
        <f t="shared" si="133"/>
        <v>306.75800749203819</v>
      </c>
    </row>
    <row r="582" spans="1:23" x14ac:dyDescent="0.25">
      <c r="A582" s="169" t="s">
        <v>943</v>
      </c>
      <c r="B582" s="61" t="s">
        <v>390</v>
      </c>
      <c r="C582" s="61" t="s">
        <v>585</v>
      </c>
      <c r="D582" s="61" t="s">
        <v>589</v>
      </c>
      <c r="E582" s="1" t="s">
        <v>857</v>
      </c>
      <c r="F582" s="62" t="str">
        <f t="shared" si="134"/>
        <v>64508</v>
      </c>
      <c r="G582" s="269">
        <v>10620010</v>
      </c>
      <c r="H582" s="1" t="s">
        <v>381</v>
      </c>
      <c r="I582" s="61">
        <v>28</v>
      </c>
      <c r="J582" s="61">
        <v>7.1</v>
      </c>
      <c r="K582" s="61">
        <v>9</v>
      </c>
      <c r="L582" s="69">
        <f t="shared" si="123"/>
        <v>1.9879999999999998</v>
      </c>
      <c r="M582" s="69">
        <f t="shared" si="124"/>
        <v>2.52</v>
      </c>
      <c r="N582" s="56">
        <f>INDEX(Rate_Chart!$A$1:$AK$127,MATCH(Data!J582,Rate_Chart!$A$1:$A$127,0),MATCH(Data!K582,Rate_Chart!$A$1:$AK$1,0))</f>
        <v>59.284999999999997</v>
      </c>
      <c r="O582" s="57">
        <f t="shared" si="125"/>
        <v>1659.98</v>
      </c>
      <c r="P582" s="58">
        <f t="shared" si="126"/>
        <v>452.55725190839689</v>
      </c>
      <c r="Q582" s="58">
        <f t="shared" si="127"/>
        <v>301.70483460559791</v>
      </c>
      <c r="R582" s="66">
        <f t="shared" si="128"/>
        <v>29.049650000000003</v>
      </c>
      <c r="S582" s="64">
        <f t="shared" si="129"/>
        <v>105</v>
      </c>
      <c r="T582" s="66">
        <f t="shared" si="130"/>
        <v>1794.0296499999999</v>
      </c>
      <c r="U582" s="68">
        <f t="shared" si="131"/>
        <v>64.072487499999994</v>
      </c>
      <c r="V582" s="68">
        <f t="shared" si="132"/>
        <v>489.10295801526712</v>
      </c>
      <c r="W582" s="68">
        <f t="shared" si="133"/>
        <v>326.06863867684473</v>
      </c>
    </row>
    <row r="583" spans="1:23" x14ac:dyDescent="0.25">
      <c r="A583" s="169" t="s">
        <v>943</v>
      </c>
      <c r="B583" s="61" t="s">
        <v>390</v>
      </c>
      <c r="C583" s="61" t="s">
        <v>585</v>
      </c>
      <c r="D583" s="61" t="s">
        <v>589</v>
      </c>
      <c r="E583" s="1" t="s">
        <v>857</v>
      </c>
      <c r="F583" s="62" t="str">
        <f t="shared" si="134"/>
        <v>64508</v>
      </c>
      <c r="G583" s="269">
        <v>10620010</v>
      </c>
      <c r="H583" s="1" t="s">
        <v>382</v>
      </c>
      <c r="I583" s="61">
        <v>14</v>
      </c>
      <c r="J583" s="61">
        <v>4.7</v>
      </c>
      <c r="K583" s="61">
        <v>8.5</v>
      </c>
      <c r="L583" s="69">
        <f t="shared" si="123"/>
        <v>0.65799999999999992</v>
      </c>
      <c r="M583" s="69">
        <f t="shared" si="124"/>
        <v>1.19</v>
      </c>
      <c r="N583" s="56">
        <f>INDEX(Rate_Chart!$A$1:$AK$127,MATCH(Data!J583,Rate_Chart!$A$1:$A$127,0),MATCH(Data!K583,Rate_Chart!$A$1:$AK$1,0))</f>
        <v>43.2301815</v>
      </c>
      <c r="O583" s="57">
        <f t="shared" si="125"/>
        <v>605.22254099999998</v>
      </c>
      <c r="P583" s="58">
        <f t="shared" si="126"/>
        <v>417.01139710610931</v>
      </c>
      <c r="Q583" s="58">
        <f t="shared" si="127"/>
        <v>278.00759807073956</v>
      </c>
      <c r="R583" s="66">
        <f t="shared" si="128"/>
        <v>10.591394467500001</v>
      </c>
      <c r="S583" s="64">
        <f t="shared" si="129"/>
        <v>52.5</v>
      </c>
      <c r="T583" s="66">
        <f t="shared" si="130"/>
        <v>668.31393546749996</v>
      </c>
      <c r="U583" s="68">
        <f t="shared" si="131"/>
        <v>47.736709676249994</v>
      </c>
      <c r="V583" s="68">
        <f t="shared" si="132"/>
        <v>460.48272999598061</v>
      </c>
      <c r="W583" s="68">
        <f t="shared" si="133"/>
        <v>306.98848666398709</v>
      </c>
    </row>
    <row r="584" spans="1:23" x14ac:dyDescent="0.25">
      <c r="A584" s="169" t="s">
        <v>943</v>
      </c>
      <c r="B584" s="61" t="s">
        <v>391</v>
      </c>
      <c r="C584" s="61" t="s">
        <v>585</v>
      </c>
      <c r="D584" s="61" t="s">
        <v>589</v>
      </c>
      <c r="E584" s="1" t="s">
        <v>857</v>
      </c>
      <c r="F584" s="62" t="str">
        <f t="shared" si="134"/>
        <v>64508</v>
      </c>
      <c r="G584" s="269">
        <v>10620010</v>
      </c>
      <c r="H584" s="1" t="s">
        <v>381</v>
      </c>
      <c r="I584" s="61">
        <v>9</v>
      </c>
      <c r="J584" s="61">
        <v>7</v>
      </c>
      <c r="K584" s="61">
        <v>9</v>
      </c>
      <c r="L584" s="69">
        <f t="shared" si="123"/>
        <v>0.63</v>
      </c>
      <c r="M584" s="69">
        <f t="shared" si="124"/>
        <v>0.81</v>
      </c>
      <c r="N584" s="56">
        <f>INDEX(Rate_Chart!$A$1:$AK$127,MATCH(Data!J584,Rate_Chart!$A$1:$A$127,0),MATCH(Data!K584,Rate_Chart!$A$1:$AK$1,0))</f>
        <v>58.45</v>
      </c>
      <c r="O584" s="57">
        <f t="shared" si="125"/>
        <v>526.05000000000007</v>
      </c>
      <c r="P584" s="58">
        <f t="shared" si="126"/>
        <v>449.61538461538464</v>
      </c>
      <c r="Q584" s="58">
        <f t="shared" si="127"/>
        <v>299.74358974358978</v>
      </c>
      <c r="R584" s="66">
        <f t="shared" si="128"/>
        <v>9.2058750000000025</v>
      </c>
      <c r="S584" s="64">
        <f t="shared" si="129"/>
        <v>33.75</v>
      </c>
      <c r="T584" s="66">
        <f t="shared" si="130"/>
        <v>569.00587500000006</v>
      </c>
      <c r="U584" s="68">
        <f t="shared" si="131"/>
        <v>63.222875000000009</v>
      </c>
      <c r="V584" s="68">
        <f t="shared" si="132"/>
        <v>486.32980769230772</v>
      </c>
      <c r="W584" s="68">
        <f t="shared" si="133"/>
        <v>324.21987179487184</v>
      </c>
    </row>
    <row r="585" spans="1:23" x14ac:dyDescent="0.25">
      <c r="A585" s="169" t="s">
        <v>943</v>
      </c>
      <c r="B585" s="61" t="s">
        <v>391</v>
      </c>
      <c r="C585" s="61" t="s">
        <v>585</v>
      </c>
      <c r="D585" s="61" t="s">
        <v>589</v>
      </c>
      <c r="E585" s="1" t="s">
        <v>857</v>
      </c>
      <c r="F585" s="62" t="str">
        <f t="shared" si="134"/>
        <v>64508</v>
      </c>
      <c r="G585" s="269">
        <v>10620010</v>
      </c>
      <c r="H585" s="1" t="s">
        <v>382</v>
      </c>
      <c r="I585" s="61">
        <v>7</v>
      </c>
      <c r="J585" s="61">
        <v>4.0999999999999996</v>
      </c>
      <c r="K585" s="61">
        <v>8.5</v>
      </c>
      <c r="L585" s="69">
        <f t="shared" si="123"/>
        <v>0.28699999999999998</v>
      </c>
      <c r="M585" s="69">
        <f t="shared" si="124"/>
        <v>0.59499999999999997</v>
      </c>
      <c r="N585" s="56">
        <f>INDEX(Rate_Chart!$A$1:$AK$127,MATCH(Data!J585,Rate_Chart!$A$1:$A$127,0),MATCH(Data!K585,Rate_Chart!$A$1:$AK$1,0))</f>
        <v>40.728181500000005</v>
      </c>
      <c r="O585" s="57">
        <f t="shared" si="125"/>
        <v>285.09727050000004</v>
      </c>
      <c r="P585" s="58">
        <f t="shared" si="126"/>
        <v>417.01209726962463</v>
      </c>
      <c r="Q585" s="58">
        <f t="shared" si="127"/>
        <v>278.0080648464164</v>
      </c>
      <c r="R585" s="66">
        <f t="shared" si="128"/>
        <v>4.9892022337500013</v>
      </c>
      <c r="S585" s="64">
        <f t="shared" si="129"/>
        <v>26.25</v>
      </c>
      <c r="T585" s="66">
        <f t="shared" si="130"/>
        <v>316.33647273375004</v>
      </c>
      <c r="U585" s="68">
        <f t="shared" si="131"/>
        <v>45.190924676250006</v>
      </c>
      <c r="V585" s="68">
        <f t="shared" si="132"/>
        <v>462.70571340870316</v>
      </c>
      <c r="W585" s="68">
        <f t="shared" si="133"/>
        <v>308.47047560580211</v>
      </c>
    </row>
    <row r="586" spans="1:23" x14ac:dyDescent="0.25">
      <c r="A586" s="169" t="s">
        <v>944</v>
      </c>
      <c r="B586" s="61" t="s">
        <v>390</v>
      </c>
      <c r="C586" s="61" t="s">
        <v>585</v>
      </c>
      <c r="D586" s="61" t="s">
        <v>589</v>
      </c>
      <c r="E586" s="1" t="s">
        <v>857</v>
      </c>
      <c r="F586" s="62" t="str">
        <f t="shared" si="134"/>
        <v>64508</v>
      </c>
      <c r="G586" s="269">
        <v>10620010</v>
      </c>
      <c r="H586" s="1" t="s">
        <v>381</v>
      </c>
      <c r="I586" s="61">
        <v>31</v>
      </c>
      <c r="J586" s="61">
        <v>7.4</v>
      </c>
      <c r="K586" s="61">
        <v>9</v>
      </c>
      <c r="L586" s="69">
        <f t="shared" si="123"/>
        <v>2.294</v>
      </c>
      <c r="M586" s="69">
        <f t="shared" si="124"/>
        <v>2.79</v>
      </c>
      <c r="N586" s="56">
        <f>INDEX(Rate_Chart!$A$1:$AK$127,MATCH(Data!J586,Rate_Chart!$A$1:$A$127,0),MATCH(Data!K586,Rate_Chart!$A$1:$AK$1,0))</f>
        <v>61.790000000000006</v>
      </c>
      <c r="O586" s="57">
        <f t="shared" si="125"/>
        <v>1915.4900000000002</v>
      </c>
      <c r="P586" s="58">
        <f t="shared" si="126"/>
        <v>461.11940298507466</v>
      </c>
      <c r="Q586" s="58">
        <f t="shared" si="127"/>
        <v>307.41293532338312</v>
      </c>
      <c r="R586" s="66">
        <f t="shared" si="128"/>
        <v>33.52107500000001</v>
      </c>
      <c r="S586" s="64">
        <f t="shared" si="129"/>
        <v>116.25</v>
      </c>
      <c r="T586" s="66">
        <f t="shared" si="130"/>
        <v>2065.2610750000003</v>
      </c>
      <c r="U586" s="68">
        <f t="shared" si="131"/>
        <v>66.621325000000013</v>
      </c>
      <c r="V586" s="68">
        <f t="shared" si="132"/>
        <v>497.17406716417918</v>
      </c>
      <c r="W586" s="68">
        <f t="shared" si="133"/>
        <v>331.44937810945277</v>
      </c>
    </row>
    <row r="587" spans="1:23" x14ac:dyDescent="0.25">
      <c r="A587" s="169" t="s">
        <v>944</v>
      </c>
      <c r="B587" s="61" t="s">
        <v>390</v>
      </c>
      <c r="C587" s="61" t="s">
        <v>585</v>
      </c>
      <c r="D587" s="61" t="s">
        <v>589</v>
      </c>
      <c r="E587" s="1" t="s">
        <v>857</v>
      </c>
      <c r="F587" s="62" t="str">
        <f t="shared" si="134"/>
        <v>64508</v>
      </c>
      <c r="G587" s="269">
        <v>10620010</v>
      </c>
      <c r="H587" s="1" t="s">
        <v>382</v>
      </c>
      <c r="I587" s="61">
        <v>10</v>
      </c>
      <c r="J587" s="61">
        <v>4.5999999999999996</v>
      </c>
      <c r="K587" s="61">
        <v>8.5</v>
      </c>
      <c r="L587" s="69">
        <f t="shared" si="123"/>
        <v>0.46</v>
      </c>
      <c r="M587" s="69">
        <f t="shared" si="124"/>
        <v>0.85</v>
      </c>
      <c r="N587" s="56">
        <f>INDEX(Rate_Chart!$A$1:$AK$127,MATCH(Data!J587,Rate_Chart!$A$1:$A$127,0),MATCH(Data!K587,Rate_Chart!$A$1:$AK$1,0))</f>
        <v>42.813181499999999</v>
      </c>
      <c r="O587" s="57">
        <f t="shared" si="125"/>
        <v>428.13181499999996</v>
      </c>
      <c r="P587" s="58">
        <f t="shared" si="126"/>
        <v>417.01150811688308</v>
      </c>
      <c r="Q587" s="58">
        <f t="shared" si="127"/>
        <v>278.00767207792205</v>
      </c>
      <c r="R587" s="66">
        <f t="shared" si="128"/>
        <v>7.4923067625000002</v>
      </c>
      <c r="S587" s="64">
        <f t="shared" si="129"/>
        <v>37.5</v>
      </c>
      <c r="T587" s="66">
        <f t="shared" si="130"/>
        <v>473.12412176249995</v>
      </c>
      <c r="U587" s="68">
        <f t="shared" si="131"/>
        <v>47.312412176249993</v>
      </c>
      <c r="V587" s="68">
        <f t="shared" si="132"/>
        <v>460.83518353490251</v>
      </c>
      <c r="W587" s="68">
        <f t="shared" si="133"/>
        <v>307.22345568993501</v>
      </c>
    </row>
    <row r="588" spans="1:23" x14ac:dyDescent="0.25">
      <c r="A588" s="169" t="s">
        <v>944</v>
      </c>
      <c r="B588" s="61" t="s">
        <v>391</v>
      </c>
      <c r="C588" s="61" t="s">
        <v>585</v>
      </c>
      <c r="D588" s="61" t="s">
        <v>589</v>
      </c>
      <c r="E588" s="1" t="s">
        <v>857</v>
      </c>
      <c r="F588" s="62" t="str">
        <f t="shared" si="134"/>
        <v>64508</v>
      </c>
      <c r="G588" s="269">
        <v>10620010</v>
      </c>
      <c r="H588" s="1" t="s">
        <v>381</v>
      </c>
      <c r="I588" s="61">
        <v>20</v>
      </c>
      <c r="J588" s="61">
        <v>6.7</v>
      </c>
      <c r="K588" s="61">
        <v>9</v>
      </c>
      <c r="L588" s="69">
        <f t="shared" si="123"/>
        <v>1.34</v>
      </c>
      <c r="M588" s="69">
        <f t="shared" si="124"/>
        <v>1.8</v>
      </c>
      <c r="N588" s="56">
        <f>INDEX(Rate_Chart!$A$1:$AK$127,MATCH(Data!J588,Rate_Chart!$A$1:$A$127,0),MATCH(Data!K588,Rate_Chart!$A$1:$AK$1,0))</f>
        <v>55.945</v>
      </c>
      <c r="O588" s="57">
        <f t="shared" si="125"/>
        <v>1118.9000000000001</v>
      </c>
      <c r="P588" s="58">
        <f t="shared" si="126"/>
        <v>440.51181102362204</v>
      </c>
      <c r="Q588" s="58">
        <f t="shared" si="127"/>
        <v>293.67454068241472</v>
      </c>
      <c r="R588" s="66">
        <f t="shared" si="128"/>
        <v>19.580750000000002</v>
      </c>
      <c r="S588" s="64">
        <f t="shared" si="129"/>
        <v>75</v>
      </c>
      <c r="T588" s="66">
        <f t="shared" si="130"/>
        <v>1213.4807500000002</v>
      </c>
      <c r="U588" s="68">
        <f t="shared" si="131"/>
        <v>60.674037500000011</v>
      </c>
      <c r="V588" s="68">
        <f t="shared" si="132"/>
        <v>477.74832677165364</v>
      </c>
      <c r="W588" s="68">
        <f t="shared" si="133"/>
        <v>318.49888451443576</v>
      </c>
    </row>
    <row r="589" spans="1:23" x14ac:dyDescent="0.25">
      <c r="A589" s="169" t="s">
        <v>945</v>
      </c>
      <c r="B589" s="61" t="s">
        <v>390</v>
      </c>
      <c r="C589" s="61" t="s">
        <v>585</v>
      </c>
      <c r="D589" s="61" t="s">
        <v>589</v>
      </c>
      <c r="E589" s="1" t="s">
        <v>857</v>
      </c>
      <c r="F589" s="62" t="str">
        <f t="shared" si="134"/>
        <v>64508</v>
      </c>
      <c r="G589" s="269">
        <v>10620010</v>
      </c>
      <c r="H589" s="1" t="s">
        <v>381</v>
      </c>
      <c r="I589" s="61">
        <v>29</v>
      </c>
      <c r="J589" s="61">
        <v>6.9</v>
      </c>
      <c r="K589" s="61">
        <v>9</v>
      </c>
      <c r="L589" s="69">
        <f t="shared" si="123"/>
        <v>2.0010000000000003</v>
      </c>
      <c r="M589" s="69">
        <f t="shared" si="124"/>
        <v>2.61</v>
      </c>
      <c r="N589" s="56">
        <f>INDEX(Rate_Chart!$A$1:$AK$127,MATCH(Data!J589,Rate_Chart!$A$1:$A$127,0),MATCH(Data!K589,Rate_Chart!$A$1:$AK$1,0))</f>
        <v>57.615000000000002</v>
      </c>
      <c r="O589" s="57">
        <f t="shared" si="125"/>
        <v>1670.835</v>
      </c>
      <c r="P589" s="58">
        <f t="shared" si="126"/>
        <v>446.62790697674421</v>
      </c>
      <c r="Q589" s="58">
        <f t="shared" si="127"/>
        <v>297.75193798449612</v>
      </c>
      <c r="R589" s="66">
        <f t="shared" si="128"/>
        <v>29.239612500000003</v>
      </c>
      <c r="S589" s="64">
        <f t="shared" si="129"/>
        <v>108.75</v>
      </c>
      <c r="T589" s="66">
        <f t="shared" si="130"/>
        <v>1808.8246125000001</v>
      </c>
      <c r="U589" s="68">
        <f t="shared" si="131"/>
        <v>62.373262500000003</v>
      </c>
      <c r="V589" s="68">
        <f t="shared" si="132"/>
        <v>483.51366279069771</v>
      </c>
      <c r="W589" s="68">
        <f t="shared" si="133"/>
        <v>322.34244186046516</v>
      </c>
    </row>
    <row r="590" spans="1:23" x14ac:dyDescent="0.25">
      <c r="A590" s="169" t="s">
        <v>945</v>
      </c>
      <c r="B590" s="61" t="s">
        <v>390</v>
      </c>
      <c r="C590" s="61" t="s">
        <v>585</v>
      </c>
      <c r="D590" s="61" t="s">
        <v>589</v>
      </c>
      <c r="E590" s="1" t="s">
        <v>857</v>
      </c>
      <c r="F590" s="62" t="str">
        <f t="shared" si="134"/>
        <v>64508</v>
      </c>
      <c r="G590" s="269">
        <v>10620010</v>
      </c>
      <c r="H590" s="1" t="s">
        <v>382</v>
      </c>
      <c r="I590" s="61">
        <v>12</v>
      </c>
      <c r="J590" s="61">
        <v>4.5999999999999996</v>
      </c>
      <c r="K590" s="61">
        <v>8.5</v>
      </c>
      <c r="L590" s="69">
        <f t="shared" si="123"/>
        <v>0.55199999999999994</v>
      </c>
      <c r="M590" s="69">
        <f t="shared" si="124"/>
        <v>1.02</v>
      </c>
      <c r="N590" s="56">
        <f>INDEX(Rate_Chart!$A$1:$AK$127,MATCH(Data!J590,Rate_Chart!$A$1:$A$127,0),MATCH(Data!K590,Rate_Chart!$A$1:$AK$1,0))</f>
        <v>42.813181499999999</v>
      </c>
      <c r="O590" s="57">
        <f t="shared" si="125"/>
        <v>513.75817800000004</v>
      </c>
      <c r="P590" s="58">
        <f t="shared" si="126"/>
        <v>417.01150811688308</v>
      </c>
      <c r="Q590" s="58">
        <f t="shared" si="127"/>
        <v>278.00767207792205</v>
      </c>
      <c r="R590" s="66">
        <f t="shared" si="128"/>
        <v>8.9907681150000016</v>
      </c>
      <c r="S590" s="64">
        <f t="shared" si="129"/>
        <v>45</v>
      </c>
      <c r="T590" s="66">
        <f t="shared" si="130"/>
        <v>567.74894611500008</v>
      </c>
      <c r="U590" s="68">
        <f t="shared" si="131"/>
        <v>47.312412176250007</v>
      </c>
      <c r="V590" s="68">
        <f t="shared" si="132"/>
        <v>460.83518353490263</v>
      </c>
      <c r="W590" s="68">
        <f t="shared" si="133"/>
        <v>307.22345568993507</v>
      </c>
    </row>
    <row r="591" spans="1:23" x14ac:dyDescent="0.25">
      <c r="A591" s="169" t="s">
        <v>945</v>
      </c>
      <c r="B591" s="61" t="s">
        <v>391</v>
      </c>
      <c r="C591" s="61" t="s">
        <v>585</v>
      </c>
      <c r="D591" s="61" t="s">
        <v>589</v>
      </c>
      <c r="E591" s="1" t="s">
        <v>857</v>
      </c>
      <c r="F591" s="62" t="str">
        <f t="shared" si="134"/>
        <v>64508</v>
      </c>
      <c r="G591" s="269">
        <v>10620010</v>
      </c>
      <c r="H591" s="1" t="s">
        <v>381</v>
      </c>
      <c r="I591" s="61">
        <v>14</v>
      </c>
      <c r="J591" s="61">
        <v>7</v>
      </c>
      <c r="K591" s="61">
        <v>9</v>
      </c>
      <c r="L591" s="69">
        <f t="shared" si="123"/>
        <v>0.98</v>
      </c>
      <c r="M591" s="69">
        <f t="shared" si="124"/>
        <v>1.26</v>
      </c>
      <c r="N591" s="56">
        <f>INDEX(Rate_Chart!$A$1:$AK$127,MATCH(Data!J591,Rate_Chart!$A$1:$A$127,0),MATCH(Data!K591,Rate_Chart!$A$1:$AK$1,0))</f>
        <v>58.45</v>
      </c>
      <c r="O591" s="57">
        <f t="shared" si="125"/>
        <v>818.30000000000007</v>
      </c>
      <c r="P591" s="58">
        <f t="shared" si="126"/>
        <v>449.61538461538464</v>
      </c>
      <c r="Q591" s="58">
        <f t="shared" si="127"/>
        <v>299.74358974358978</v>
      </c>
      <c r="R591" s="66">
        <f t="shared" si="128"/>
        <v>14.320250000000003</v>
      </c>
      <c r="S591" s="64">
        <f t="shared" si="129"/>
        <v>52.5</v>
      </c>
      <c r="T591" s="66">
        <f t="shared" si="130"/>
        <v>885.12025000000006</v>
      </c>
      <c r="U591" s="68">
        <f t="shared" si="131"/>
        <v>63.222875000000002</v>
      </c>
      <c r="V591" s="68">
        <f t="shared" si="132"/>
        <v>486.32980769230767</v>
      </c>
      <c r="W591" s="68">
        <f t="shared" si="133"/>
        <v>324.21987179487178</v>
      </c>
    </row>
    <row r="592" spans="1:23" x14ac:dyDescent="0.25">
      <c r="A592" s="169" t="s">
        <v>945</v>
      </c>
      <c r="B592" s="61" t="s">
        <v>391</v>
      </c>
      <c r="C592" s="61" t="s">
        <v>585</v>
      </c>
      <c r="D592" s="61" t="s">
        <v>589</v>
      </c>
      <c r="E592" s="1" t="s">
        <v>857</v>
      </c>
      <c r="F592" s="62" t="str">
        <f t="shared" si="134"/>
        <v>64508</v>
      </c>
      <c r="G592" s="269">
        <v>10620010</v>
      </c>
      <c r="H592" s="1" t="s">
        <v>382</v>
      </c>
      <c r="I592" s="61">
        <v>9</v>
      </c>
      <c r="J592" s="61">
        <v>4.5</v>
      </c>
      <c r="K592" s="61">
        <v>8.5</v>
      </c>
      <c r="L592" s="69">
        <f t="shared" si="123"/>
        <v>0.40500000000000003</v>
      </c>
      <c r="M592" s="69">
        <f t="shared" si="124"/>
        <v>0.76500000000000001</v>
      </c>
      <c r="N592" s="56">
        <f>INDEX(Rate_Chart!$A$1:$AK$127,MATCH(Data!J592,Rate_Chart!$A$1:$A$127,0),MATCH(Data!K592,Rate_Chart!$A$1:$AK$1,0))</f>
        <v>42.396181500000004</v>
      </c>
      <c r="O592" s="57">
        <f t="shared" si="125"/>
        <v>381.56563350000005</v>
      </c>
      <c r="P592" s="58">
        <f t="shared" si="126"/>
        <v>417.01162131147544</v>
      </c>
      <c r="Q592" s="58">
        <f t="shared" si="127"/>
        <v>278.00774754098364</v>
      </c>
      <c r="R592" s="66">
        <f t="shared" si="128"/>
        <v>6.6773985862500016</v>
      </c>
      <c r="S592" s="64">
        <f t="shared" si="129"/>
        <v>33.75</v>
      </c>
      <c r="T592" s="66">
        <f t="shared" si="130"/>
        <v>421.99303208625003</v>
      </c>
      <c r="U592" s="68">
        <f t="shared" si="131"/>
        <v>46.888114676250005</v>
      </c>
      <c r="V592" s="68">
        <f t="shared" si="132"/>
        <v>461.19457058606559</v>
      </c>
      <c r="W592" s="68">
        <f t="shared" si="133"/>
        <v>307.46304705737708</v>
      </c>
    </row>
    <row r="593" spans="1:23" x14ac:dyDescent="0.25">
      <c r="A593" s="169" t="s">
        <v>946</v>
      </c>
      <c r="B593" s="61" t="s">
        <v>390</v>
      </c>
      <c r="C593" s="61" t="s">
        <v>585</v>
      </c>
      <c r="D593" s="61" t="s">
        <v>589</v>
      </c>
      <c r="E593" s="1" t="s">
        <v>857</v>
      </c>
      <c r="F593" s="62" t="str">
        <f t="shared" si="134"/>
        <v>64508</v>
      </c>
      <c r="G593" s="269">
        <v>10620010</v>
      </c>
      <c r="H593" s="1" t="s">
        <v>381</v>
      </c>
      <c r="I593" s="61">
        <v>27</v>
      </c>
      <c r="J593" s="61">
        <v>7</v>
      </c>
      <c r="K593" s="61">
        <v>9</v>
      </c>
      <c r="L593" s="69">
        <f t="shared" si="123"/>
        <v>1.89</v>
      </c>
      <c r="M593" s="69">
        <f t="shared" si="124"/>
        <v>2.4300000000000002</v>
      </c>
      <c r="N593" s="56">
        <f>INDEX(Rate_Chart!$A$1:$AK$127,MATCH(Data!J593,Rate_Chart!$A$1:$A$127,0),MATCH(Data!K593,Rate_Chart!$A$1:$AK$1,0))</f>
        <v>58.45</v>
      </c>
      <c r="O593" s="57">
        <f t="shared" si="125"/>
        <v>1578.15</v>
      </c>
      <c r="P593" s="58">
        <f t="shared" si="126"/>
        <v>449.61538461538464</v>
      </c>
      <c r="Q593" s="58">
        <f t="shared" si="127"/>
        <v>299.74358974358978</v>
      </c>
      <c r="R593" s="66">
        <f t="shared" si="128"/>
        <v>27.617625000000004</v>
      </c>
      <c r="S593" s="64">
        <f t="shared" si="129"/>
        <v>101.25</v>
      </c>
      <c r="T593" s="66">
        <f t="shared" si="130"/>
        <v>1707.0176250000002</v>
      </c>
      <c r="U593" s="68">
        <f t="shared" si="131"/>
        <v>63.222875000000009</v>
      </c>
      <c r="V593" s="68">
        <f t="shared" si="132"/>
        <v>486.32980769230772</v>
      </c>
      <c r="W593" s="68">
        <f t="shared" si="133"/>
        <v>324.21987179487184</v>
      </c>
    </row>
    <row r="594" spans="1:23" x14ac:dyDescent="0.25">
      <c r="A594" s="169" t="s">
        <v>946</v>
      </c>
      <c r="B594" s="61" t="s">
        <v>390</v>
      </c>
      <c r="C594" s="61" t="s">
        <v>585</v>
      </c>
      <c r="D594" s="61" t="s">
        <v>589</v>
      </c>
      <c r="E594" s="1" t="s">
        <v>857</v>
      </c>
      <c r="F594" s="62" t="str">
        <f t="shared" si="134"/>
        <v>64508</v>
      </c>
      <c r="G594" s="269">
        <v>10620010</v>
      </c>
      <c r="H594" s="1" t="s">
        <v>382</v>
      </c>
      <c r="I594" s="61">
        <v>16</v>
      </c>
      <c r="J594" s="61">
        <v>4.5</v>
      </c>
      <c r="K594" s="61">
        <v>8.5</v>
      </c>
      <c r="L594" s="69">
        <f t="shared" si="123"/>
        <v>0.72</v>
      </c>
      <c r="M594" s="69">
        <f t="shared" si="124"/>
        <v>1.36</v>
      </c>
      <c r="N594" s="56">
        <f>INDEX(Rate_Chart!$A$1:$AK$127,MATCH(Data!J594,Rate_Chart!$A$1:$A$127,0),MATCH(Data!K594,Rate_Chart!$A$1:$AK$1,0))</f>
        <v>42.396181500000004</v>
      </c>
      <c r="O594" s="57">
        <f t="shared" si="125"/>
        <v>678.33890400000007</v>
      </c>
      <c r="P594" s="58">
        <f t="shared" si="126"/>
        <v>417.01162131147544</v>
      </c>
      <c r="Q594" s="58">
        <f t="shared" si="127"/>
        <v>278.00774754098364</v>
      </c>
      <c r="R594" s="66">
        <f t="shared" si="128"/>
        <v>11.870930820000002</v>
      </c>
      <c r="S594" s="64">
        <f t="shared" si="129"/>
        <v>60</v>
      </c>
      <c r="T594" s="66">
        <f t="shared" si="130"/>
        <v>750.20983482000008</v>
      </c>
      <c r="U594" s="68">
        <f t="shared" si="131"/>
        <v>46.888114676250005</v>
      </c>
      <c r="V594" s="68">
        <f t="shared" si="132"/>
        <v>461.19457058606559</v>
      </c>
      <c r="W594" s="68">
        <f t="shared" si="133"/>
        <v>307.46304705737708</v>
      </c>
    </row>
    <row r="595" spans="1:23" x14ac:dyDescent="0.25">
      <c r="A595" s="169" t="s">
        <v>946</v>
      </c>
      <c r="B595" s="61" t="s">
        <v>391</v>
      </c>
      <c r="C595" s="61" t="s">
        <v>585</v>
      </c>
      <c r="D595" s="61" t="s">
        <v>589</v>
      </c>
      <c r="E595" s="1" t="s">
        <v>857</v>
      </c>
      <c r="F595" s="62" t="str">
        <f t="shared" si="134"/>
        <v>64508</v>
      </c>
      <c r="G595" s="269">
        <v>10620010</v>
      </c>
      <c r="H595" s="1" t="s">
        <v>381</v>
      </c>
      <c r="I595" s="61">
        <v>14</v>
      </c>
      <c r="J595" s="61">
        <v>7.5</v>
      </c>
      <c r="K595" s="61">
        <v>9</v>
      </c>
      <c r="L595" s="69">
        <f t="shared" si="123"/>
        <v>1.05</v>
      </c>
      <c r="M595" s="69">
        <f t="shared" si="124"/>
        <v>1.26</v>
      </c>
      <c r="N595" s="56">
        <f>INDEX(Rate_Chart!$A$1:$AK$127,MATCH(Data!J595,Rate_Chart!$A$1:$A$127,0),MATCH(Data!K595,Rate_Chart!$A$1:$AK$1,0))</f>
        <v>62.625</v>
      </c>
      <c r="O595" s="57">
        <f t="shared" si="125"/>
        <v>876.75</v>
      </c>
      <c r="P595" s="58">
        <f t="shared" si="126"/>
        <v>463.88888888888886</v>
      </c>
      <c r="Q595" s="58">
        <f t="shared" si="127"/>
        <v>309.25925925925924</v>
      </c>
      <c r="R595" s="66">
        <f t="shared" si="128"/>
        <v>15.343125000000002</v>
      </c>
      <c r="S595" s="64">
        <f t="shared" si="129"/>
        <v>52.5</v>
      </c>
      <c r="T595" s="66">
        <f t="shared" si="130"/>
        <v>944.59312499999999</v>
      </c>
      <c r="U595" s="68">
        <f t="shared" si="131"/>
        <v>67.470937500000005</v>
      </c>
      <c r="V595" s="68">
        <f t="shared" si="132"/>
        <v>499.78472222222223</v>
      </c>
      <c r="W595" s="68">
        <f t="shared" si="133"/>
        <v>333.18981481481484</v>
      </c>
    </row>
    <row r="596" spans="1:23" x14ac:dyDescent="0.25">
      <c r="A596" s="169" t="s">
        <v>946</v>
      </c>
      <c r="B596" s="61" t="s">
        <v>391</v>
      </c>
      <c r="C596" s="61" t="s">
        <v>585</v>
      </c>
      <c r="D596" s="61" t="s">
        <v>589</v>
      </c>
      <c r="E596" s="1" t="s">
        <v>857</v>
      </c>
      <c r="F596" s="62" t="str">
        <f t="shared" si="134"/>
        <v>64508</v>
      </c>
      <c r="G596" s="269">
        <v>10620010</v>
      </c>
      <c r="H596" s="1" t="s">
        <v>382</v>
      </c>
      <c r="I596" s="61">
        <v>11</v>
      </c>
      <c r="J596" s="61">
        <v>4.5999999999999996</v>
      </c>
      <c r="K596" s="61">
        <v>8.5</v>
      </c>
      <c r="L596" s="69">
        <f t="shared" si="123"/>
        <v>0.50599999999999989</v>
      </c>
      <c r="M596" s="69">
        <f t="shared" si="124"/>
        <v>0.93500000000000005</v>
      </c>
      <c r="N596" s="56">
        <f>INDEX(Rate_Chart!$A$1:$AK$127,MATCH(Data!J596,Rate_Chart!$A$1:$A$127,0),MATCH(Data!K596,Rate_Chart!$A$1:$AK$1,0))</f>
        <v>42.813181499999999</v>
      </c>
      <c r="O596" s="57">
        <f t="shared" si="125"/>
        <v>470.9449965</v>
      </c>
      <c r="P596" s="58">
        <f t="shared" si="126"/>
        <v>417.01150811688308</v>
      </c>
      <c r="Q596" s="58">
        <f t="shared" si="127"/>
        <v>278.00767207792205</v>
      </c>
      <c r="R596" s="66">
        <f t="shared" si="128"/>
        <v>8.2415374387500009</v>
      </c>
      <c r="S596" s="64">
        <f t="shared" si="129"/>
        <v>41.25</v>
      </c>
      <c r="T596" s="66">
        <f t="shared" si="130"/>
        <v>520.43653393875002</v>
      </c>
      <c r="U596" s="68">
        <f t="shared" si="131"/>
        <v>47.31241217625</v>
      </c>
      <c r="V596" s="68">
        <f t="shared" si="132"/>
        <v>460.83518353490257</v>
      </c>
      <c r="W596" s="68">
        <f t="shared" si="133"/>
        <v>307.22345568993507</v>
      </c>
    </row>
    <row r="597" spans="1:23" x14ac:dyDescent="0.25">
      <c r="A597" s="169" t="s">
        <v>947</v>
      </c>
      <c r="B597" s="61" t="s">
        <v>390</v>
      </c>
      <c r="C597" s="61" t="s">
        <v>585</v>
      </c>
      <c r="D597" s="61" t="s">
        <v>589</v>
      </c>
      <c r="E597" s="1" t="s">
        <v>857</v>
      </c>
      <c r="F597" s="62" t="str">
        <f t="shared" si="134"/>
        <v>64508</v>
      </c>
      <c r="G597" s="269">
        <v>10620010</v>
      </c>
      <c r="H597" s="1" t="s">
        <v>381</v>
      </c>
      <c r="I597" s="61">
        <v>27</v>
      </c>
      <c r="J597" s="61">
        <v>6.8</v>
      </c>
      <c r="K597" s="61">
        <v>9</v>
      </c>
      <c r="L597" s="69">
        <f t="shared" si="123"/>
        <v>1.8359999999999999</v>
      </c>
      <c r="M597" s="69">
        <f t="shared" si="124"/>
        <v>2.4300000000000002</v>
      </c>
      <c r="N597" s="56">
        <f>INDEX(Rate_Chart!$A$1:$AK$127,MATCH(Data!J597,Rate_Chart!$A$1:$A$127,0),MATCH(Data!K597,Rate_Chart!$A$1:$AK$1,0))</f>
        <v>56.78</v>
      </c>
      <c r="O597" s="57">
        <f t="shared" si="125"/>
        <v>1533.06</v>
      </c>
      <c r="P597" s="58">
        <f t="shared" si="126"/>
        <v>443.59375</v>
      </c>
      <c r="Q597" s="58">
        <f t="shared" si="127"/>
        <v>295.72916666666669</v>
      </c>
      <c r="R597" s="66">
        <f t="shared" si="128"/>
        <v>26.82855</v>
      </c>
      <c r="S597" s="64">
        <f t="shared" si="129"/>
        <v>101.25</v>
      </c>
      <c r="T597" s="66">
        <f t="shared" si="130"/>
        <v>1661.1385499999999</v>
      </c>
      <c r="U597" s="68">
        <f t="shared" si="131"/>
        <v>61.523649999999996</v>
      </c>
      <c r="V597" s="68">
        <f t="shared" si="132"/>
        <v>480.65351562499995</v>
      </c>
      <c r="W597" s="68">
        <f t="shared" si="133"/>
        <v>320.4356770833333</v>
      </c>
    </row>
    <row r="598" spans="1:23" x14ac:dyDescent="0.25">
      <c r="A598" s="169" t="s">
        <v>947</v>
      </c>
      <c r="B598" s="61" t="s">
        <v>390</v>
      </c>
      <c r="C598" s="61" t="s">
        <v>585</v>
      </c>
      <c r="D598" s="61" t="s">
        <v>589</v>
      </c>
      <c r="E598" s="1" t="s">
        <v>857</v>
      </c>
      <c r="F598" s="62" t="str">
        <f t="shared" si="134"/>
        <v>64508</v>
      </c>
      <c r="G598" s="269">
        <v>10620010</v>
      </c>
      <c r="H598" s="1" t="s">
        <v>382</v>
      </c>
      <c r="I598" s="61">
        <v>9</v>
      </c>
      <c r="J598" s="61">
        <v>4.5</v>
      </c>
      <c r="K598" s="61">
        <v>8.5</v>
      </c>
      <c r="L598" s="69">
        <f t="shared" si="123"/>
        <v>0.40500000000000003</v>
      </c>
      <c r="M598" s="69">
        <f t="shared" si="124"/>
        <v>0.76500000000000001</v>
      </c>
      <c r="N598" s="56">
        <f>INDEX(Rate_Chart!$A$1:$AK$127,MATCH(Data!J598,Rate_Chart!$A$1:$A$127,0),MATCH(Data!K598,Rate_Chart!$A$1:$AK$1,0))</f>
        <v>42.396181500000004</v>
      </c>
      <c r="O598" s="57">
        <f t="shared" si="125"/>
        <v>381.56563350000005</v>
      </c>
      <c r="P598" s="58">
        <f t="shared" si="126"/>
        <v>417.01162131147544</v>
      </c>
      <c r="Q598" s="58">
        <f t="shared" si="127"/>
        <v>278.00774754098364</v>
      </c>
      <c r="R598" s="66">
        <f t="shared" si="128"/>
        <v>6.6773985862500016</v>
      </c>
      <c r="S598" s="64">
        <f t="shared" si="129"/>
        <v>33.75</v>
      </c>
      <c r="T598" s="66">
        <f t="shared" si="130"/>
        <v>421.99303208625003</v>
      </c>
      <c r="U598" s="68">
        <f t="shared" si="131"/>
        <v>46.888114676250005</v>
      </c>
      <c r="V598" s="68">
        <f t="shared" si="132"/>
        <v>461.19457058606559</v>
      </c>
      <c r="W598" s="68">
        <f t="shared" si="133"/>
        <v>307.46304705737708</v>
      </c>
    </row>
    <row r="599" spans="1:23" x14ac:dyDescent="0.25">
      <c r="A599" s="169" t="s">
        <v>947</v>
      </c>
      <c r="B599" s="61" t="s">
        <v>391</v>
      </c>
      <c r="C599" s="61" t="s">
        <v>585</v>
      </c>
      <c r="D599" s="61" t="s">
        <v>589</v>
      </c>
      <c r="E599" s="1" t="s">
        <v>857</v>
      </c>
      <c r="F599" s="62" t="str">
        <f t="shared" si="134"/>
        <v>64508</v>
      </c>
      <c r="G599" s="269">
        <v>10620010</v>
      </c>
      <c r="H599" s="1" t="s">
        <v>381</v>
      </c>
      <c r="I599" s="61">
        <v>13</v>
      </c>
      <c r="J599" s="61">
        <v>6.9</v>
      </c>
      <c r="K599" s="61">
        <v>9</v>
      </c>
      <c r="L599" s="69">
        <f t="shared" si="123"/>
        <v>0.89700000000000002</v>
      </c>
      <c r="M599" s="69">
        <f t="shared" si="124"/>
        <v>1.17</v>
      </c>
      <c r="N599" s="56">
        <f>INDEX(Rate_Chart!$A$1:$AK$127,MATCH(Data!J599,Rate_Chart!$A$1:$A$127,0),MATCH(Data!K599,Rate_Chart!$A$1:$AK$1,0))</f>
        <v>57.615000000000002</v>
      </c>
      <c r="O599" s="57">
        <f t="shared" si="125"/>
        <v>748.995</v>
      </c>
      <c r="P599" s="58">
        <f t="shared" si="126"/>
        <v>446.62790697674421</v>
      </c>
      <c r="Q599" s="58">
        <f t="shared" si="127"/>
        <v>297.75193798449612</v>
      </c>
      <c r="R599" s="66">
        <f t="shared" si="128"/>
        <v>13.107412500000001</v>
      </c>
      <c r="S599" s="64">
        <f t="shared" si="129"/>
        <v>48.75</v>
      </c>
      <c r="T599" s="66">
        <f t="shared" si="130"/>
        <v>810.85241250000001</v>
      </c>
      <c r="U599" s="68">
        <f t="shared" si="131"/>
        <v>62.373262500000003</v>
      </c>
      <c r="V599" s="68">
        <f t="shared" si="132"/>
        <v>483.51366279069771</v>
      </c>
      <c r="W599" s="68">
        <f t="shared" si="133"/>
        <v>322.34244186046516</v>
      </c>
    </row>
    <row r="600" spans="1:23" x14ac:dyDescent="0.25">
      <c r="A600" s="169" t="s">
        <v>947</v>
      </c>
      <c r="B600" s="61" t="s">
        <v>391</v>
      </c>
      <c r="C600" s="61" t="s">
        <v>585</v>
      </c>
      <c r="D600" s="61" t="s">
        <v>589</v>
      </c>
      <c r="E600" s="1" t="s">
        <v>857</v>
      </c>
      <c r="F600" s="62" t="str">
        <f t="shared" si="134"/>
        <v>64508</v>
      </c>
      <c r="G600" s="269">
        <v>10620010</v>
      </c>
      <c r="H600" s="1" t="s">
        <v>382</v>
      </c>
      <c r="I600" s="61">
        <v>8</v>
      </c>
      <c r="J600" s="61">
        <v>4.4000000000000004</v>
      </c>
      <c r="K600" s="61">
        <v>8.5</v>
      </c>
      <c r="L600" s="69">
        <f t="shared" si="123"/>
        <v>0.35200000000000004</v>
      </c>
      <c r="M600" s="69">
        <f t="shared" si="124"/>
        <v>0.68</v>
      </c>
      <c r="N600" s="56">
        <f>INDEX(Rate_Chart!$A$1:$AK$127,MATCH(Data!J600,Rate_Chart!$A$1:$A$127,0),MATCH(Data!K600,Rate_Chart!$A$1:$AK$1,0))</f>
        <v>41.97918150000001</v>
      </c>
      <c r="O600" s="57">
        <f t="shared" si="125"/>
        <v>335.83345200000008</v>
      </c>
      <c r="P600" s="58">
        <f t="shared" si="126"/>
        <v>417.01173675496693</v>
      </c>
      <c r="Q600" s="58">
        <f t="shared" si="127"/>
        <v>278.00782450331127</v>
      </c>
      <c r="R600" s="66">
        <f t="shared" si="128"/>
        <v>5.8770854100000021</v>
      </c>
      <c r="S600" s="64">
        <f t="shared" si="129"/>
        <v>30</v>
      </c>
      <c r="T600" s="66">
        <f t="shared" si="130"/>
        <v>371.71053741000009</v>
      </c>
      <c r="U600" s="68">
        <f t="shared" si="131"/>
        <v>46.463817176250011</v>
      </c>
      <c r="V600" s="68">
        <f t="shared" si="132"/>
        <v>461.56109777731791</v>
      </c>
      <c r="W600" s="68">
        <f t="shared" si="133"/>
        <v>307.70739851821196</v>
      </c>
    </row>
    <row r="601" spans="1:23" x14ac:dyDescent="0.25">
      <c r="A601" s="169" t="s">
        <v>941</v>
      </c>
      <c r="B601" s="61" t="s">
        <v>390</v>
      </c>
      <c r="C601" s="61" t="s">
        <v>585</v>
      </c>
      <c r="D601" s="61" t="s">
        <v>587</v>
      </c>
      <c r="E601" s="1" t="s">
        <v>354</v>
      </c>
      <c r="F601" s="62" t="str">
        <f t="shared" si="134"/>
        <v>64509</v>
      </c>
      <c r="G601" s="269">
        <v>10620034</v>
      </c>
      <c r="H601" s="1" t="s">
        <v>382</v>
      </c>
      <c r="I601" s="61">
        <v>12</v>
      </c>
      <c r="J601" s="61">
        <v>3.7</v>
      </c>
      <c r="K601" s="61">
        <v>8.1</v>
      </c>
      <c r="L601" s="69">
        <f t="shared" si="123"/>
        <v>0.44400000000000006</v>
      </c>
      <c r="M601" s="69">
        <f t="shared" si="124"/>
        <v>0.97199999999999986</v>
      </c>
      <c r="N601" s="56">
        <f>INDEX(Rate_Chart!$A$1:$AK$127,MATCH(Data!J601,Rate_Chart!$A$1:$A$127,0),MATCH(Data!K601,Rate_Chart!$A$1:$AK$1,0))</f>
        <v>37.948125900000008</v>
      </c>
      <c r="O601" s="57">
        <f t="shared" si="125"/>
        <v>455.3775108000001</v>
      </c>
      <c r="P601" s="58">
        <f t="shared" si="126"/>
        <v>417.01237252747262</v>
      </c>
      <c r="Q601" s="58">
        <f t="shared" si="127"/>
        <v>278.00824835164843</v>
      </c>
      <c r="R601" s="66">
        <f t="shared" si="128"/>
        <v>7.9691064390000026</v>
      </c>
      <c r="S601" s="64">
        <f t="shared" si="129"/>
        <v>45</v>
      </c>
      <c r="T601" s="66">
        <f t="shared" si="130"/>
        <v>508.34661723900012</v>
      </c>
      <c r="U601" s="68">
        <f t="shared" si="131"/>
        <v>42.362218103250008</v>
      </c>
      <c r="V601" s="68">
        <f t="shared" si="132"/>
        <v>465.51888025549459</v>
      </c>
      <c r="W601" s="68">
        <f t="shared" si="133"/>
        <v>310.34592017032975</v>
      </c>
    </row>
    <row r="602" spans="1:23" x14ac:dyDescent="0.25">
      <c r="A602" s="169" t="s">
        <v>941</v>
      </c>
      <c r="B602" s="61" t="s">
        <v>391</v>
      </c>
      <c r="C602" s="61" t="s">
        <v>585</v>
      </c>
      <c r="D602" s="61" t="s">
        <v>587</v>
      </c>
      <c r="E602" s="1" t="s">
        <v>354</v>
      </c>
      <c r="F602" s="62" t="str">
        <f t="shared" si="134"/>
        <v>64509</v>
      </c>
      <c r="G602" s="269">
        <v>10620034</v>
      </c>
      <c r="H602" s="1" t="s">
        <v>382</v>
      </c>
      <c r="I602" s="61">
        <v>32</v>
      </c>
      <c r="J602" s="61">
        <v>3.1</v>
      </c>
      <c r="K602" s="61">
        <v>8.1</v>
      </c>
      <c r="L602" s="69">
        <f t="shared" si="123"/>
        <v>0.99199999999999999</v>
      </c>
      <c r="M602" s="69">
        <f t="shared" si="124"/>
        <v>2.5920000000000001</v>
      </c>
      <c r="N602" s="56">
        <f>INDEX(Rate_Chart!$A$1:$AK$127,MATCH(Data!J602,Rate_Chart!$A$1:$A$127,0),MATCH(Data!K602,Rate_Chart!$A$1:$AK$1,0))</f>
        <v>35.446125899999998</v>
      </c>
      <c r="O602" s="57">
        <f t="shared" si="125"/>
        <v>1134.2760287999999</v>
      </c>
      <c r="P602" s="58">
        <f t="shared" si="126"/>
        <v>417.01324588235298</v>
      </c>
      <c r="Q602" s="58">
        <f t="shared" si="127"/>
        <v>278.0088305882353</v>
      </c>
      <c r="R602" s="66">
        <f t="shared" si="128"/>
        <v>19.849830504</v>
      </c>
      <c r="S602" s="64">
        <f t="shared" si="129"/>
        <v>120</v>
      </c>
      <c r="T602" s="66">
        <f t="shared" si="130"/>
        <v>1274.125859304</v>
      </c>
      <c r="U602" s="68">
        <f t="shared" si="131"/>
        <v>39.816433103249999</v>
      </c>
      <c r="V602" s="68">
        <f t="shared" si="132"/>
        <v>468.42862474411766</v>
      </c>
      <c r="W602" s="68">
        <f t="shared" si="133"/>
        <v>312.28574982941177</v>
      </c>
    </row>
    <row r="603" spans="1:23" x14ac:dyDescent="0.25">
      <c r="A603" s="169" t="s">
        <v>942</v>
      </c>
      <c r="B603" s="61" t="s">
        <v>390</v>
      </c>
      <c r="C603" s="61" t="s">
        <v>585</v>
      </c>
      <c r="D603" s="61" t="s">
        <v>587</v>
      </c>
      <c r="E603" s="1" t="s">
        <v>354</v>
      </c>
      <c r="F603" s="62" t="str">
        <f t="shared" si="134"/>
        <v>64509</v>
      </c>
      <c r="G603" s="269">
        <v>10620034</v>
      </c>
      <c r="H603" s="1" t="s">
        <v>382</v>
      </c>
      <c r="I603" s="61">
        <v>32</v>
      </c>
      <c r="J603" s="61">
        <v>4</v>
      </c>
      <c r="K603" s="61">
        <v>8.1</v>
      </c>
      <c r="L603" s="69">
        <f t="shared" si="123"/>
        <v>1.28</v>
      </c>
      <c r="M603" s="69">
        <f t="shared" si="124"/>
        <v>2.5920000000000001</v>
      </c>
      <c r="N603" s="56">
        <f>INDEX(Rate_Chart!$A$1:$AK$127,MATCH(Data!J603,Rate_Chart!$A$1:$A$127,0),MATCH(Data!K603,Rate_Chart!$A$1:$AK$1,0))</f>
        <v>39.199125899999999</v>
      </c>
      <c r="O603" s="57">
        <f t="shared" si="125"/>
        <v>1254.3720288</v>
      </c>
      <c r="P603" s="58">
        <f t="shared" si="126"/>
        <v>417.01197765957443</v>
      </c>
      <c r="Q603" s="58">
        <f t="shared" si="127"/>
        <v>278.00798510638293</v>
      </c>
      <c r="R603" s="66">
        <f t="shared" si="128"/>
        <v>21.951510504000002</v>
      </c>
      <c r="S603" s="64">
        <f t="shared" si="129"/>
        <v>120</v>
      </c>
      <c r="T603" s="66">
        <f t="shared" si="130"/>
        <v>1396.323539304</v>
      </c>
      <c r="U603" s="68">
        <f t="shared" si="131"/>
        <v>43.635110603249998</v>
      </c>
      <c r="V603" s="68">
        <f t="shared" si="132"/>
        <v>464.20330428989359</v>
      </c>
      <c r="W603" s="68">
        <f t="shared" si="133"/>
        <v>309.46886952659571</v>
      </c>
    </row>
    <row r="604" spans="1:23" x14ac:dyDescent="0.25">
      <c r="A604" s="169" t="s">
        <v>942</v>
      </c>
      <c r="B604" s="61" t="s">
        <v>391</v>
      </c>
      <c r="C604" s="61" t="s">
        <v>585</v>
      </c>
      <c r="D604" s="61" t="s">
        <v>587</v>
      </c>
      <c r="E604" s="1" t="s">
        <v>354</v>
      </c>
      <c r="F604" s="62" t="str">
        <f t="shared" si="134"/>
        <v>64509</v>
      </c>
      <c r="G604" s="269">
        <v>10620034</v>
      </c>
      <c r="H604" s="1" t="s">
        <v>382</v>
      </c>
      <c r="I604" s="61">
        <v>30</v>
      </c>
      <c r="J604" s="61">
        <v>3.1</v>
      </c>
      <c r="K604" s="61">
        <v>8.1</v>
      </c>
      <c r="L604" s="69">
        <f t="shared" si="123"/>
        <v>0.93</v>
      </c>
      <c r="M604" s="69">
        <f t="shared" si="124"/>
        <v>2.4300000000000002</v>
      </c>
      <c r="N604" s="56">
        <f>INDEX(Rate_Chart!$A$1:$AK$127,MATCH(Data!J604,Rate_Chart!$A$1:$A$127,0),MATCH(Data!K604,Rate_Chart!$A$1:$AK$1,0))</f>
        <v>35.446125899999998</v>
      </c>
      <c r="O604" s="57">
        <f t="shared" si="125"/>
        <v>1063.383777</v>
      </c>
      <c r="P604" s="58">
        <f t="shared" si="126"/>
        <v>417.01324588235298</v>
      </c>
      <c r="Q604" s="58">
        <f t="shared" si="127"/>
        <v>278.0088305882353</v>
      </c>
      <c r="R604" s="66">
        <f t="shared" si="128"/>
        <v>18.609216097500003</v>
      </c>
      <c r="S604" s="64">
        <f t="shared" si="129"/>
        <v>112.5</v>
      </c>
      <c r="T604" s="66">
        <f t="shared" si="130"/>
        <v>1194.4929930974999</v>
      </c>
      <c r="U604" s="68">
        <f t="shared" si="131"/>
        <v>39.816433103249999</v>
      </c>
      <c r="V604" s="68">
        <f t="shared" si="132"/>
        <v>468.42862474411766</v>
      </c>
      <c r="W604" s="68">
        <f t="shared" si="133"/>
        <v>312.28574982941177</v>
      </c>
    </row>
    <row r="605" spans="1:23" x14ac:dyDescent="0.25">
      <c r="A605" s="169" t="s">
        <v>943</v>
      </c>
      <c r="B605" s="61" t="s">
        <v>390</v>
      </c>
      <c r="C605" s="61" t="s">
        <v>585</v>
      </c>
      <c r="D605" s="61" t="s">
        <v>587</v>
      </c>
      <c r="E605" s="1" t="s">
        <v>354</v>
      </c>
      <c r="F605" s="62" t="str">
        <f t="shared" si="134"/>
        <v>64509</v>
      </c>
      <c r="G605" s="269">
        <v>10620034</v>
      </c>
      <c r="H605" s="1" t="s">
        <v>381</v>
      </c>
      <c r="I605" s="61">
        <v>7</v>
      </c>
      <c r="J605" s="61">
        <v>5.6</v>
      </c>
      <c r="K605" s="61">
        <v>8.4</v>
      </c>
      <c r="L605" s="69">
        <f t="shared" si="123"/>
        <v>0.39199999999999996</v>
      </c>
      <c r="M605" s="69">
        <f t="shared" si="124"/>
        <v>0.58800000000000008</v>
      </c>
      <c r="N605" s="56">
        <f>INDEX(Rate_Chart!$A$1:$AK$127,MATCH(Data!J605,Rate_Chart!$A$1:$A$127,0),MATCH(Data!K605,Rate_Chart!$A$1:$AK$1,0))</f>
        <v>45.357199999999999</v>
      </c>
      <c r="O605" s="57">
        <f t="shared" si="125"/>
        <v>317.50040000000001</v>
      </c>
      <c r="P605" s="58">
        <f t="shared" si="126"/>
        <v>404.97500000000002</v>
      </c>
      <c r="Q605" s="58">
        <f t="shared" si="127"/>
        <v>269.98333333333335</v>
      </c>
      <c r="R605" s="66">
        <f t="shared" si="128"/>
        <v>5.5562570000000004</v>
      </c>
      <c r="S605" s="64">
        <f t="shared" si="129"/>
        <v>26.25</v>
      </c>
      <c r="T605" s="66">
        <f t="shared" si="130"/>
        <v>349.30665700000003</v>
      </c>
      <c r="U605" s="68">
        <f t="shared" si="131"/>
        <v>49.900951000000006</v>
      </c>
      <c r="V605" s="68">
        <f t="shared" si="132"/>
        <v>445.54420535714297</v>
      </c>
      <c r="W605" s="68">
        <f t="shared" si="133"/>
        <v>297.02947023809531</v>
      </c>
    </row>
    <row r="606" spans="1:23" x14ac:dyDescent="0.25">
      <c r="A606" s="169" t="s">
        <v>943</v>
      </c>
      <c r="B606" s="61" t="s">
        <v>390</v>
      </c>
      <c r="C606" s="61" t="s">
        <v>585</v>
      </c>
      <c r="D606" s="61" t="s">
        <v>587</v>
      </c>
      <c r="E606" s="1" t="s">
        <v>354</v>
      </c>
      <c r="F606" s="62" t="str">
        <f t="shared" si="134"/>
        <v>64509</v>
      </c>
      <c r="G606" s="269">
        <v>10620034</v>
      </c>
      <c r="H606" s="1" t="s">
        <v>382</v>
      </c>
      <c r="I606" s="61">
        <v>21</v>
      </c>
      <c r="J606" s="61">
        <v>3</v>
      </c>
      <c r="K606" s="61">
        <v>8</v>
      </c>
      <c r="L606" s="69">
        <f t="shared" si="123"/>
        <v>0.63</v>
      </c>
      <c r="M606" s="69">
        <f t="shared" si="124"/>
        <v>1.68</v>
      </c>
      <c r="N606" s="56">
        <f>INDEX(Rate_Chart!$A$1:$AK$127,MATCH(Data!J606,Rate_Chart!$A$1:$A$127,0),MATCH(Data!K606,Rate_Chart!$A$1:$AK$1,0))</f>
        <v>34.751112000000006</v>
      </c>
      <c r="O606" s="57">
        <f t="shared" si="125"/>
        <v>729.77335200000016</v>
      </c>
      <c r="P606" s="58">
        <f t="shared" si="126"/>
        <v>417.01334400000002</v>
      </c>
      <c r="Q606" s="58">
        <f t="shared" si="127"/>
        <v>278.00889599999999</v>
      </c>
      <c r="R606" s="66">
        <f t="shared" si="128"/>
        <v>12.771033660000004</v>
      </c>
      <c r="S606" s="64">
        <f t="shared" si="129"/>
        <v>78.75</v>
      </c>
      <c r="T606" s="66">
        <f t="shared" si="130"/>
        <v>821.29438566000022</v>
      </c>
      <c r="U606" s="68">
        <f t="shared" si="131"/>
        <v>39.109256460000012</v>
      </c>
      <c r="V606" s="68">
        <f t="shared" si="132"/>
        <v>469.31107752000008</v>
      </c>
      <c r="W606" s="68">
        <f t="shared" si="133"/>
        <v>312.87405168000004</v>
      </c>
    </row>
    <row r="607" spans="1:23" x14ac:dyDescent="0.25">
      <c r="A607" s="169" t="s">
        <v>943</v>
      </c>
      <c r="B607" s="61" t="s">
        <v>391</v>
      </c>
      <c r="C607" s="61" t="s">
        <v>585</v>
      </c>
      <c r="D607" s="61" t="s">
        <v>587</v>
      </c>
      <c r="E607" s="1" t="s">
        <v>354</v>
      </c>
      <c r="F607" s="62" t="str">
        <f t="shared" si="134"/>
        <v>64509</v>
      </c>
      <c r="G607" s="269">
        <v>10620034</v>
      </c>
      <c r="H607" s="1" t="s">
        <v>382</v>
      </c>
      <c r="I607" s="61">
        <v>34</v>
      </c>
      <c r="J607" s="61">
        <v>4</v>
      </c>
      <c r="K607" s="61">
        <v>8.1</v>
      </c>
      <c r="L607" s="69">
        <f t="shared" si="123"/>
        <v>1.36</v>
      </c>
      <c r="M607" s="69">
        <f t="shared" si="124"/>
        <v>2.7539999999999996</v>
      </c>
      <c r="N607" s="56">
        <f>INDEX(Rate_Chart!$A$1:$AK$127,MATCH(Data!J607,Rate_Chart!$A$1:$A$127,0),MATCH(Data!K607,Rate_Chart!$A$1:$AK$1,0))</f>
        <v>39.199125899999999</v>
      </c>
      <c r="O607" s="57">
        <f t="shared" si="125"/>
        <v>1332.7702806</v>
      </c>
      <c r="P607" s="58">
        <f t="shared" si="126"/>
        <v>417.01197765957443</v>
      </c>
      <c r="Q607" s="58">
        <f t="shared" si="127"/>
        <v>278.00798510638293</v>
      </c>
      <c r="R607" s="66">
        <f t="shared" si="128"/>
        <v>23.323479910500001</v>
      </c>
      <c r="S607" s="64">
        <f t="shared" si="129"/>
        <v>127.5</v>
      </c>
      <c r="T607" s="66">
        <f t="shared" si="130"/>
        <v>1483.5937605105</v>
      </c>
      <c r="U607" s="68">
        <f t="shared" si="131"/>
        <v>43.635110603249998</v>
      </c>
      <c r="V607" s="68">
        <f t="shared" si="132"/>
        <v>464.20330428989359</v>
      </c>
      <c r="W607" s="68">
        <f t="shared" si="133"/>
        <v>309.46886952659571</v>
      </c>
    </row>
    <row r="608" spans="1:23" x14ac:dyDescent="0.25">
      <c r="A608" s="169" t="s">
        <v>944</v>
      </c>
      <c r="B608" s="61" t="s">
        <v>390</v>
      </c>
      <c r="C608" s="61" t="s">
        <v>585</v>
      </c>
      <c r="D608" s="61" t="s">
        <v>587</v>
      </c>
      <c r="E608" s="1" t="s">
        <v>354</v>
      </c>
      <c r="F608" s="62" t="str">
        <f t="shared" si="134"/>
        <v>64509</v>
      </c>
      <c r="G608" s="269">
        <v>10620034</v>
      </c>
      <c r="H608" s="1" t="s">
        <v>382</v>
      </c>
      <c r="I608" s="61">
        <v>38</v>
      </c>
      <c r="J608" s="61">
        <v>3.4</v>
      </c>
      <c r="K608" s="61">
        <v>8.1</v>
      </c>
      <c r="L608" s="69">
        <f t="shared" si="123"/>
        <v>1.2919999999999998</v>
      </c>
      <c r="M608" s="69">
        <f t="shared" si="124"/>
        <v>3.0780000000000003</v>
      </c>
      <c r="N608" s="56">
        <f>INDEX(Rate_Chart!$A$1:$AK$127,MATCH(Data!J608,Rate_Chart!$A$1:$A$127,0),MATCH(Data!K608,Rate_Chart!$A$1:$AK$1,0))</f>
        <v>36.697125900000003</v>
      </c>
      <c r="O608" s="57">
        <f t="shared" si="125"/>
        <v>1394.4907842000002</v>
      </c>
      <c r="P608" s="58">
        <f t="shared" si="126"/>
        <v>417.01279431818188</v>
      </c>
      <c r="Q608" s="58">
        <f t="shared" si="127"/>
        <v>278.00852954545456</v>
      </c>
      <c r="R608" s="66">
        <f t="shared" si="128"/>
        <v>24.403588723500008</v>
      </c>
      <c r="S608" s="64">
        <f t="shared" si="129"/>
        <v>142.5</v>
      </c>
      <c r="T608" s="66">
        <f t="shared" si="130"/>
        <v>1561.3943729235002</v>
      </c>
      <c r="U608" s="68">
        <f t="shared" si="131"/>
        <v>41.089325603250003</v>
      </c>
      <c r="V608" s="68">
        <f t="shared" si="132"/>
        <v>466.92415458238645</v>
      </c>
      <c r="W608" s="68">
        <f t="shared" si="133"/>
        <v>311.28276972159097</v>
      </c>
    </row>
    <row r="609" spans="1:23" x14ac:dyDescent="0.25">
      <c r="A609" s="169" t="s">
        <v>944</v>
      </c>
      <c r="B609" s="61" t="s">
        <v>391</v>
      </c>
      <c r="C609" s="61" t="s">
        <v>585</v>
      </c>
      <c r="D609" s="61" t="s">
        <v>587</v>
      </c>
      <c r="E609" s="1" t="s">
        <v>354</v>
      </c>
      <c r="F609" s="62" t="str">
        <f t="shared" si="134"/>
        <v>64509</v>
      </c>
      <c r="G609" s="269">
        <v>10620034</v>
      </c>
      <c r="H609" s="1" t="s">
        <v>382</v>
      </c>
      <c r="I609" s="61">
        <v>23</v>
      </c>
      <c r="J609" s="61">
        <v>3.7</v>
      </c>
      <c r="K609" s="61">
        <v>8</v>
      </c>
      <c r="L609" s="69">
        <f t="shared" si="123"/>
        <v>0.85100000000000009</v>
      </c>
      <c r="M609" s="69">
        <f t="shared" si="124"/>
        <v>1.84</v>
      </c>
      <c r="N609" s="56">
        <f>INDEX(Rate_Chart!$A$1:$AK$127,MATCH(Data!J609,Rate_Chart!$A$1:$A$127,0),MATCH(Data!K609,Rate_Chart!$A$1:$AK$1,0))</f>
        <v>37.670112000000003</v>
      </c>
      <c r="O609" s="57">
        <f t="shared" si="125"/>
        <v>866.41257600000006</v>
      </c>
      <c r="P609" s="58">
        <f t="shared" si="126"/>
        <v>417.0123099630996</v>
      </c>
      <c r="Q609" s="58">
        <f t="shared" si="127"/>
        <v>278.0082066420664</v>
      </c>
      <c r="R609" s="66">
        <f t="shared" si="128"/>
        <v>15.162220080000003</v>
      </c>
      <c r="S609" s="64">
        <f t="shared" si="129"/>
        <v>86.25</v>
      </c>
      <c r="T609" s="66">
        <f t="shared" si="130"/>
        <v>967.82479608000006</v>
      </c>
      <c r="U609" s="68">
        <f t="shared" si="131"/>
        <v>42.079338960000001</v>
      </c>
      <c r="V609" s="68">
        <f t="shared" si="132"/>
        <v>465.82294051660512</v>
      </c>
      <c r="W609" s="68">
        <f t="shared" si="133"/>
        <v>310.5486270110701</v>
      </c>
    </row>
    <row r="610" spans="1:23" x14ac:dyDescent="0.25">
      <c r="A610" s="169" t="s">
        <v>945</v>
      </c>
      <c r="B610" s="61" t="s">
        <v>390</v>
      </c>
      <c r="C610" s="61" t="s">
        <v>585</v>
      </c>
      <c r="D610" s="61" t="s">
        <v>587</v>
      </c>
      <c r="E610" s="1" t="s">
        <v>354</v>
      </c>
      <c r="F610" s="62" t="str">
        <f t="shared" si="134"/>
        <v>64509</v>
      </c>
      <c r="G610" s="269">
        <v>10620034</v>
      </c>
      <c r="H610" s="1" t="s">
        <v>382</v>
      </c>
      <c r="I610" s="61">
        <v>37</v>
      </c>
      <c r="J610" s="61">
        <v>3.7</v>
      </c>
      <c r="K610" s="61">
        <v>8.1</v>
      </c>
      <c r="L610" s="69">
        <f t="shared" si="123"/>
        <v>1.369</v>
      </c>
      <c r="M610" s="69">
        <f t="shared" si="124"/>
        <v>2.9969999999999999</v>
      </c>
      <c r="N610" s="56">
        <f>INDEX(Rate_Chart!$A$1:$AK$127,MATCH(Data!J610,Rate_Chart!$A$1:$A$127,0),MATCH(Data!K610,Rate_Chart!$A$1:$AK$1,0))</f>
        <v>37.948125900000008</v>
      </c>
      <c r="O610" s="57">
        <f t="shared" si="125"/>
        <v>1404.0806583000003</v>
      </c>
      <c r="P610" s="58">
        <f t="shared" si="126"/>
        <v>417.01237252747262</v>
      </c>
      <c r="Q610" s="58">
        <f t="shared" si="127"/>
        <v>278.00824835164843</v>
      </c>
      <c r="R610" s="66">
        <f t="shared" si="128"/>
        <v>24.57141152025001</v>
      </c>
      <c r="S610" s="64">
        <f t="shared" si="129"/>
        <v>138.75</v>
      </c>
      <c r="T610" s="66">
        <f t="shared" si="130"/>
        <v>1567.4020698202503</v>
      </c>
      <c r="U610" s="68">
        <f t="shared" si="131"/>
        <v>42.362218103250008</v>
      </c>
      <c r="V610" s="68">
        <f t="shared" si="132"/>
        <v>465.51888025549459</v>
      </c>
      <c r="W610" s="68">
        <f t="shared" si="133"/>
        <v>310.34592017032975</v>
      </c>
    </row>
    <row r="611" spans="1:23" x14ac:dyDescent="0.25">
      <c r="A611" s="169" t="s">
        <v>945</v>
      </c>
      <c r="B611" s="61" t="s">
        <v>391</v>
      </c>
      <c r="C611" s="61" t="s">
        <v>585</v>
      </c>
      <c r="D611" s="61" t="s">
        <v>587</v>
      </c>
      <c r="E611" s="1" t="s">
        <v>354</v>
      </c>
      <c r="F611" s="62" t="str">
        <f t="shared" si="134"/>
        <v>64509</v>
      </c>
      <c r="G611" s="269">
        <v>10620034</v>
      </c>
      <c r="H611" s="1" t="s">
        <v>382</v>
      </c>
      <c r="I611" s="61">
        <v>28</v>
      </c>
      <c r="J611" s="61">
        <v>3.4</v>
      </c>
      <c r="K611" s="61">
        <v>8</v>
      </c>
      <c r="L611" s="69">
        <f t="shared" si="123"/>
        <v>0.95200000000000007</v>
      </c>
      <c r="M611" s="69">
        <f t="shared" si="124"/>
        <v>2.2400000000000002</v>
      </c>
      <c r="N611" s="56">
        <f>INDEX(Rate_Chart!$A$1:$AK$127,MATCH(Data!J611,Rate_Chart!$A$1:$A$127,0),MATCH(Data!K611,Rate_Chart!$A$1:$AK$1,0))</f>
        <v>36.419112000000005</v>
      </c>
      <c r="O611" s="57">
        <f t="shared" si="125"/>
        <v>1019.7351360000001</v>
      </c>
      <c r="P611" s="58">
        <f t="shared" si="126"/>
        <v>417.01273282442747</v>
      </c>
      <c r="Q611" s="58">
        <f t="shared" si="127"/>
        <v>278.00848854961833</v>
      </c>
      <c r="R611" s="66">
        <f t="shared" si="128"/>
        <v>17.845364880000005</v>
      </c>
      <c r="S611" s="64">
        <f t="shared" si="129"/>
        <v>105</v>
      </c>
      <c r="T611" s="66">
        <f t="shared" si="130"/>
        <v>1142.58050088</v>
      </c>
      <c r="U611" s="68">
        <f t="shared" si="131"/>
        <v>40.806446460000004</v>
      </c>
      <c r="V611" s="68">
        <f t="shared" si="132"/>
        <v>467.24938694656487</v>
      </c>
      <c r="W611" s="68">
        <f t="shared" si="133"/>
        <v>311.49959129770991</v>
      </c>
    </row>
    <row r="612" spans="1:23" x14ac:dyDescent="0.25">
      <c r="A612" s="169" t="s">
        <v>946</v>
      </c>
      <c r="B612" s="61" t="s">
        <v>390</v>
      </c>
      <c r="C612" s="61" t="s">
        <v>585</v>
      </c>
      <c r="D612" s="61" t="s">
        <v>587</v>
      </c>
      <c r="E612" s="1" t="s">
        <v>354</v>
      </c>
      <c r="F612" s="62" t="str">
        <f t="shared" si="134"/>
        <v>64509</v>
      </c>
      <c r="G612" s="269">
        <v>10620034</v>
      </c>
      <c r="H612" s="1" t="s">
        <v>382</v>
      </c>
      <c r="I612" s="61">
        <v>39</v>
      </c>
      <c r="J612" s="61">
        <v>3.8</v>
      </c>
      <c r="K612" s="61">
        <v>8.3000000000000007</v>
      </c>
      <c r="L612" s="69">
        <f t="shared" si="123"/>
        <v>1.482</v>
      </c>
      <c r="M612" s="69">
        <f t="shared" si="124"/>
        <v>3.2370000000000005</v>
      </c>
      <c r="N612" s="56">
        <f>INDEX(Rate_Chart!$A$1:$AK$127,MATCH(Data!J612,Rate_Chart!$A$1:$A$127,0),MATCH(Data!K612,Rate_Chart!$A$1:$AK$1,0))</f>
        <v>38.921153700000005</v>
      </c>
      <c r="O612" s="57">
        <f t="shared" si="125"/>
        <v>1517.9249943000002</v>
      </c>
      <c r="P612" s="58">
        <f t="shared" si="126"/>
        <v>417.01236107142859</v>
      </c>
      <c r="Q612" s="58">
        <f t="shared" si="127"/>
        <v>278.00824071428571</v>
      </c>
      <c r="R612" s="66">
        <f t="shared" si="128"/>
        <v>26.563687400250007</v>
      </c>
      <c r="S612" s="64">
        <f t="shared" si="129"/>
        <v>146.25</v>
      </c>
      <c r="T612" s="66">
        <f t="shared" si="130"/>
        <v>1690.7386817002503</v>
      </c>
      <c r="U612" s="68">
        <f t="shared" si="131"/>
        <v>43.352273889750009</v>
      </c>
      <c r="V612" s="68">
        <f t="shared" si="132"/>
        <v>464.48864881875005</v>
      </c>
      <c r="W612" s="68">
        <f t="shared" si="133"/>
        <v>309.65909921250005</v>
      </c>
    </row>
    <row r="613" spans="1:23" x14ac:dyDescent="0.25">
      <c r="A613" s="169" t="s">
        <v>946</v>
      </c>
      <c r="B613" s="61" t="s">
        <v>391</v>
      </c>
      <c r="C613" s="61" t="s">
        <v>585</v>
      </c>
      <c r="D613" s="61" t="s">
        <v>587</v>
      </c>
      <c r="E613" s="1" t="s">
        <v>354</v>
      </c>
      <c r="F613" s="62" t="str">
        <f t="shared" si="134"/>
        <v>64509</v>
      </c>
      <c r="G613" s="269">
        <v>10620034</v>
      </c>
      <c r="H613" s="1" t="s">
        <v>382</v>
      </c>
      <c r="I613" s="61">
        <v>22</v>
      </c>
      <c r="J613" s="61">
        <v>4.2</v>
      </c>
      <c r="K613" s="61">
        <v>8.1</v>
      </c>
      <c r="L613" s="69">
        <f t="shared" si="123"/>
        <v>0.92400000000000004</v>
      </c>
      <c r="M613" s="69">
        <f t="shared" si="124"/>
        <v>1.7819999999999998</v>
      </c>
      <c r="N613" s="56">
        <f>INDEX(Rate_Chart!$A$1:$AK$127,MATCH(Data!J613,Rate_Chart!$A$1:$A$127,0),MATCH(Data!K613,Rate_Chart!$A$1:$AK$1,0))</f>
        <v>40.033125900000002</v>
      </c>
      <c r="O613" s="57">
        <f t="shared" si="125"/>
        <v>880.72876980000001</v>
      </c>
      <c r="P613" s="58">
        <f t="shared" si="126"/>
        <v>417.01172812499999</v>
      </c>
      <c r="Q613" s="58">
        <f t="shared" si="127"/>
        <v>278.00781875000001</v>
      </c>
      <c r="R613" s="66">
        <f t="shared" si="128"/>
        <v>15.412753471500002</v>
      </c>
      <c r="S613" s="64">
        <f t="shared" si="129"/>
        <v>82.5</v>
      </c>
      <c r="T613" s="66">
        <f t="shared" si="130"/>
        <v>978.64152327149998</v>
      </c>
      <c r="U613" s="68">
        <f t="shared" si="131"/>
        <v>44.483705603250002</v>
      </c>
      <c r="V613" s="68">
        <f t="shared" si="132"/>
        <v>463.37193336718752</v>
      </c>
      <c r="W613" s="68">
        <f t="shared" si="133"/>
        <v>308.9146222447917</v>
      </c>
    </row>
    <row r="614" spans="1:23" x14ac:dyDescent="0.25">
      <c r="A614" s="169" t="s">
        <v>947</v>
      </c>
      <c r="B614" s="61" t="s">
        <v>390</v>
      </c>
      <c r="C614" s="61" t="s">
        <v>585</v>
      </c>
      <c r="D614" s="61" t="s">
        <v>587</v>
      </c>
      <c r="E614" s="1" t="s">
        <v>354</v>
      </c>
      <c r="F614" s="62" t="str">
        <f t="shared" si="134"/>
        <v>64509</v>
      </c>
      <c r="G614" s="269">
        <v>10620034</v>
      </c>
      <c r="H614" s="1" t="s">
        <v>382</v>
      </c>
      <c r="I614" s="61">
        <v>40</v>
      </c>
      <c r="J614" s="61">
        <v>3.4</v>
      </c>
      <c r="K614" s="61">
        <v>8.1</v>
      </c>
      <c r="L614" s="69">
        <f t="shared" si="123"/>
        <v>1.36</v>
      </c>
      <c r="M614" s="69">
        <f t="shared" si="124"/>
        <v>3.24</v>
      </c>
      <c r="N614" s="56">
        <f>INDEX(Rate_Chart!$A$1:$AK$127,MATCH(Data!J614,Rate_Chart!$A$1:$A$127,0),MATCH(Data!K614,Rate_Chart!$A$1:$AK$1,0))</f>
        <v>36.697125900000003</v>
      </c>
      <c r="O614" s="57">
        <f t="shared" si="125"/>
        <v>1467.8850360000001</v>
      </c>
      <c r="P614" s="58">
        <f t="shared" si="126"/>
        <v>417.01279431818188</v>
      </c>
      <c r="Q614" s="58">
        <f t="shared" si="127"/>
        <v>278.00852954545456</v>
      </c>
      <c r="R614" s="66">
        <f t="shared" si="128"/>
        <v>25.687988130000004</v>
      </c>
      <c r="S614" s="64">
        <f t="shared" si="129"/>
        <v>150</v>
      </c>
      <c r="T614" s="66">
        <f t="shared" si="130"/>
        <v>1643.5730241300002</v>
      </c>
      <c r="U614" s="68">
        <f t="shared" si="131"/>
        <v>41.089325603250003</v>
      </c>
      <c r="V614" s="68">
        <f t="shared" si="132"/>
        <v>466.92415458238645</v>
      </c>
      <c r="W614" s="68">
        <f t="shared" si="133"/>
        <v>311.28276972159097</v>
      </c>
    </row>
    <row r="615" spans="1:23" x14ac:dyDescent="0.25">
      <c r="A615" s="169" t="s">
        <v>947</v>
      </c>
      <c r="B615" s="61" t="s">
        <v>391</v>
      </c>
      <c r="C615" s="61" t="s">
        <v>585</v>
      </c>
      <c r="D615" s="61" t="s">
        <v>587</v>
      </c>
      <c r="E615" s="1" t="s">
        <v>354</v>
      </c>
      <c r="F615" s="62" t="str">
        <f t="shared" si="134"/>
        <v>64509</v>
      </c>
      <c r="G615" s="269">
        <v>10620034</v>
      </c>
      <c r="H615" s="1" t="s">
        <v>382</v>
      </c>
      <c r="I615" s="61">
        <v>27</v>
      </c>
      <c r="J615" s="61">
        <v>3.8</v>
      </c>
      <c r="K615" s="61">
        <v>8</v>
      </c>
      <c r="L615" s="69">
        <f t="shared" si="123"/>
        <v>1.026</v>
      </c>
      <c r="M615" s="69">
        <f t="shared" si="124"/>
        <v>2.16</v>
      </c>
      <c r="N615" s="56">
        <f>INDEX(Rate_Chart!$A$1:$AK$127,MATCH(Data!J615,Rate_Chart!$A$1:$A$127,0),MATCH(Data!K615,Rate_Chart!$A$1:$AK$1,0))</f>
        <v>38.087112000000005</v>
      </c>
      <c r="O615" s="57">
        <f t="shared" si="125"/>
        <v>1028.352024</v>
      </c>
      <c r="P615" s="58">
        <f t="shared" si="126"/>
        <v>417.01217518248177</v>
      </c>
      <c r="Q615" s="58">
        <f t="shared" si="127"/>
        <v>278.00811678832116</v>
      </c>
      <c r="R615" s="66">
        <f t="shared" si="128"/>
        <v>17.996160420000002</v>
      </c>
      <c r="S615" s="64">
        <f t="shared" si="129"/>
        <v>101.25</v>
      </c>
      <c r="T615" s="66">
        <f t="shared" si="130"/>
        <v>1147.5981844200001</v>
      </c>
      <c r="U615" s="68">
        <f t="shared" si="131"/>
        <v>42.503636460000003</v>
      </c>
      <c r="V615" s="68">
        <f t="shared" si="132"/>
        <v>465.36828240875911</v>
      </c>
      <c r="W615" s="68">
        <f t="shared" si="133"/>
        <v>310.24552160583943</v>
      </c>
    </row>
    <row r="616" spans="1:23" x14ac:dyDescent="0.25">
      <c r="A616" s="169" t="s">
        <v>941</v>
      </c>
      <c r="B616" s="61" t="s">
        <v>390</v>
      </c>
      <c r="C616" s="61" t="s">
        <v>585</v>
      </c>
      <c r="D616" s="61" t="s">
        <v>587</v>
      </c>
      <c r="E616" s="1" t="s">
        <v>355</v>
      </c>
      <c r="F616" s="62" t="str">
        <f t="shared" si="134"/>
        <v>64510</v>
      </c>
      <c r="G616" s="269">
        <v>10620043</v>
      </c>
      <c r="H616" s="1" t="s">
        <v>381</v>
      </c>
      <c r="I616" s="61">
        <v>8</v>
      </c>
      <c r="J616" s="61">
        <v>6.8</v>
      </c>
      <c r="K616" s="61">
        <v>9</v>
      </c>
      <c r="L616" s="69">
        <f t="shared" si="123"/>
        <v>0.54400000000000004</v>
      </c>
      <c r="M616" s="69">
        <f t="shared" si="124"/>
        <v>0.72</v>
      </c>
      <c r="N616" s="56">
        <f>INDEX(Rate_Chart!$A$1:$AK$127,MATCH(Data!J616,Rate_Chart!$A$1:$A$127,0),MATCH(Data!K616,Rate_Chart!$A$1:$AK$1,0))</f>
        <v>56.78</v>
      </c>
      <c r="O616" s="57">
        <f t="shared" si="125"/>
        <v>454.24</v>
      </c>
      <c r="P616" s="58">
        <f t="shared" si="126"/>
        <v>443.59375</v>
      </c>
      <c r="Q616" s="58">
        <f t="shared" si="127"/>
        <v>295.72916666666669</v>
      </c>
      <c r="R616" s="66">
        <f t="shared" si="128"/>
        <v>7.9492000000000012</v>
      </c>
      <c r="S616" s="64">
        <f t="shared" si="129"/>
        <v>30</v>
      </c>
      <c r="T616" s="66">
        <f t="shared" si="130"/>
        <v>492.18920000000003</v>
      </c>
      <c r="U616" s="68">
        <f t="shared" si="131"/>
        <v>61.523650000000004</v>
      </c>
      <c r="V616" s="68">
        <f t="shared" si="132"/>
        <v>480.65351562500001</v>
      </c>
      <c r="W616" s="68">
        <f t="shared" si="133"/>
        <v>320.43567708333336</v>
      </c>
    </row>
    <row r="617" spans="1:23" x14ac:dyDescent="0.25">
      <c r="A617" s="169" t="s">
        <v>941</v>
      </c>
      <c r="B617" s="61" t="s">
        <v>391</v>
      </c>
      <c r="C617" s="61" t="s">
        <v>585</v>
      </c>
      <c r="D617" s="61" t="s">
        <v>587</v>
      </c>
      <c r="E617" s="1" t="s">
        <v>355</v>
      </c>
      <c r="F617" s="62" t="str">
        <f t="shared" si="134"/>
        <v>64510</v>
      </c>
      <c r="G617" s="269">
        <v>10620043</v>
      </c>
      <c r="H617" s="1" t="s">
        <v>381</v>
      </c>
      <c r="I617" s="61">
        <v>11</v>
      </c>
      <c r="J617" s="61">
        <v>6</v>
      </c>
      <c r="K617" s="61">
        <v>9</v>
      </c>
      <c r="L617" s="69">
        <f t="shared" si="123"/>
        <v>0.66</v>
      </c>
      <c r="M617" s="69">
        <f t="shared" si="124"/>
        <v>0.99</v>
      </c>
      <c r="N617" s="56">
        <f>INDEX(Rate_Chart!$A$1:$AK$127,MATCH(Data!J617,Rate_Chart!$A$1:$A$127,0),MATCH(Data!K617,Rate_Chart!$A$1:$AK$1,0))</f>
        <v>50.1</v>
      </c>
      <c r="O617" s="57">
        <f t="shared" si="125"/>
        <v>551.1</v>
      </c>
      <c r="P617" s="58">
        <f t="shared" si="126"/>
        <v>417.5</v>
      </c>
      <c r="Q617" s="58">
        <f t="shared" si="127"/>
        <v>278.33333333333331</v>
      </c>
      <c r="R617" s="66">
        <f t="shared" si="128"/>
        <v>9.6442500000000013</v>
      </c>
      <c r="S617" s="64">
        <f t="shared" si="129"/>
        <v>41.25</v>
      </c>
      <c r="T617" s="66">
        <f t="shared" si="130"/>
        <v>601.99424999999997</v>
      </c>
      <c r="U617" s="68">
        <f t="shared" si="131"/>
        <v>54.726749999999996</v>
      </c>
      <c r="V617" s="68">
        <f t="shared" si="132"/>
        <v>456.05624999999998</v>
      </c>
      <c r="W617" s="68">
        <f t="shared" si="133"/>
        <v>304.03749999999997</v>
      </c>
    </row>
    <row r="618" spans="1:23" x14ac:dyDescent="0.25">
      <c r="A618" s="169" t="s">
        <v>941</v>
      </c>
      <c r="B618" s="61" t="s">
        <v>391</v>
      </c>
      <c r="C618" s="61" t="s">
        <v>585</v>
      </c>
      <c r="D618" s="61" t="s">
        <v>587</v>
      </c>
      <c r="E618" s="1" t="s">
        <v>355</v>
      </c>
      <c r="F618" s="62" t="str">
        <f t="shared" si="134"/>
        <v>64510</v>
      </c>
      <c r="G618" s="269">
        <v>10620043</v>
      </c>
      <c r="H618" s="1" t="s">
        <v>382</v>
      </c>
      <c r="I618" s="61">
        <v>32</v>
      </c>
      <c r="J618" s="61">
        <v>3.5</v>
      </c>
      <c r="K618" s="61">
        <v>8.1999999999999993</v>
      </c>
      <c r="L618" s="69">
        <f t="shared" si="123"/>
        <v>1.1200000000000001</v>
      </c>
      <c r="M618" s="69">
        <f t="shared" si="124"/>
        <v>2.6239999999999997</v>
      </c>
      <c r="N618" s="56">
        <f>INDEX(Rate_Chart!$A$1:$AK$127,MATCH(Data!J618,Rate_Chart!$A$1:$A$127,0),MATCH(Data!K618,Rate_Chart!$A$1:$AK$1,0))</f>
        <v>37.392139800000002</v>
      </c>
      <c r="O618" s="57">
        <f t="shared" si="125"/>
        <v>1196.5484736000001</v>
      </c>
      <c r="P618" s="58">
        <f t="shared" si="126"/>
        <v>417.01271152416359</v>
      </c>
      <c r="Q618" s="58">
        <f t="shared" si="127"/>
        <v>278.00847434944239</v>
      </c>
      <c r="R618" s="66">
        <f t="shared" si="128"/>
        <v>20.939598288000003</v>
      </c>
      <c r="S618" s="64">
        <f t="shared" si="129"/>
        <v>120</v>
      </c>
      <c r="T618" s="66">
        <f t="shared" si="130"/>
        <v>1337.4880718880001</v>
      </c>
      <c r="U618" s="68">
        <f t="shared" si="131"/>
        <v>41.796502246500005</v>
      </c>
      <c r="V618" s="68">
        <f t="shared" si="132"/>
        <v>466.13199531412641</v>
      </c>
      <c r="W618" s="68">
        <f t="shared" si="133"/>
        <v>310.75466354275096</v>
      </c>
    </row>
    <row r="619" spans="1:23" x14ac:dyDescent="0.25">
      <c r="A619" s="169" t="s">
        <v>942</v>
      </c>
      <c r="B619" s="61" t="s">
        <v>390</v>
      </c>
      <c r="C619" s="61" t="s">
        <v>585</v>
      </c>
      <c r="D619" s="61" t="s">
        <v>587</v>
      </c>
      <c r="E619" s="1" t="s">
        <v>355</v>
      </c>
      <c r="F619" s="62" t="str">
        <f t="shared" si="134"/>
        <v>64510</v>
      </c>
      <c r="G619" s="269">
        <v>10620043</v>
      </c>
      <c r="H619" s="1" t="s">
        <v>381</v>
      </c>
      <c r="I619" s="61">
        <v>16</v>
      </c>
      <c r="J619" s="61">
        <v>7</v>
      </c>
      <c r="K619" s="61">
        <v>9</v>
      </c>
      <c r="L619" s="69">
        <f t="shared" si="123"/>
        <v>1.1200000000000001</v>
      </c>
      <c r="M619" s="69">
        <f t="shared" si="124"/>
        <v>1.44</v>
      </c>
      <c r="N619" s="56">
        <f>INDEX(Rate_Chart!$A$1:$AK$127,MATCH(Data!J619,Rate_Chart!$A$1:$A$127,0),MATCH(Data!K619,Rate_Chart!$A$1:$AK$1,0))</f>
        <v>58.45</v>
      </c>
      <c r="O619" s="57">
        <f t="shared" si="125"/>
        <v>935.2</v>
      </c>
      <c r="P619" s="58">
        <f t="shared" si="126"/>
        <v>449.61538461538464</v>
      </c>
      <c r="Q619" s="58">
        <f t="shared" si="127"/>
        <v>299.74358974358978</v>
      </c>
      <c r="R619" s="66">
        <f t="shared" si="128"/>
        <v>16.366000000000003</v>
      </c>
      <c r="S619" s="64">
        <f t="shared" si="129"/>
        <v>60</v>
      </c>
      <c r="T619" s="66">
        <f t="shared" si="130"/>
        <v>1011.566</v>
      </c>
      <c r="U619" s="68">
        <f t="shared" si="131"/>
        <v>63.222875000000002</v>
      </c>
      <c r="V619" s="68">
        <f t="shared" si="132"/>
        <v>486.32980769230767</v>
      </c>
      <c r="W619" s="68">
        <f t="shared" si="133"/>
        <v>324.21987179487178</v>
      </c>
    </row>
    <row r="620" spans="1:23" x14ac:dyDescent="0.25">
      <c r="A620" s="169" t="s">
        <v>942</v>
      </c>
      <c r="B620" s="61" t="s">
        <v>391</v>
      </c>
      <c r="C620" s="61" t="s">
        <v>585</v>
      </c>
      <c r="D620" s="61" t="s">
        <v>587</v>
      </c>
      <c r="E620" s="1" t="s">
        <v>355</v>
      </c>
      <c r="F620" s="62" t="str">
        <f t="shared" si="134"/>
        <v>64510</v>
      </c>
      <c r="G620" s="269">
        <v>10620043</v>
      </c>
      <c r="H620" s="1" t="s">
        <v>381</v>
      </c>
      <c r="I620" s="61">
        <v>7</v>
      </c>
      <c r="J620" s="61">
        <v>6.9</v>
      </c>
      <c r="K620" s="61">
        <v>9</v>
      </c>
      <c r="L620" s="69">
        <f t="shared" si="123"/>
        <v>0.48300000000000004</v>
      </c>
      <c r="M620" s="69">
        <f t="shared" si="124"/>
        <v>0.63</v>
      </c>
      <c r="N620" s="56">
        <f>INDEX(Rate_Chart!$A$1:$AK$127,MATCH(Data!J620,Rate_Chart!$A$1:$A$127,0),MATCH(Data!K620,Rate_Chart!$A$1:$AK$1,0))</f>
        <v>57.615000000000002</v>
      </c>
      <c r="O620" s="57">
        <f t="shared" si="125"/>
        <v>403.30500000000001</v>
      </c>
      <c r="P620" s="58">
        <f t="shared" si="126"/>
        <v>446.62790697674421</v>
      </c>
      <c r="Q620" s="58">
        <f t="shared" si="127"/>
        <v>297.75193798449612</v>
      </c>
      <c r="R620" s="66">
        <f t="shared" si="128"/>
        <v>7.0578375000000007</v>
      </c>
      <c r="S620" s="64">
        <f t="shared" si="129"/>
        <v>26.25</v>
      </c>
      <c r="T620" s="66">
        <f t="shared" si="130"/>
        <v>436.61283750000001</v>
      </c>
      <c r="U620" s="68">
        <f t="shared" si="131"/>
        <v>62.373262500000003</v>
      </c>
      <c r="V620" s="68">
        <f t="shared" si="132"/>
        <v>483.51366279069771</v>
      </c>
      <c r="W620" s="68">
        <f t="shared" si="133"/>
        <v>322.34244186046516</v>
      </c>
    </row>
    <row r="621" spans="1:23" x14ac:dyDescent="0.25">
      <c r="A621" s="169" t="s">
        <v>942</v>
      </c>
      <c r="B621" s="61" t="s">
        <v>391</v>
      </c>
      <c r="C621" s="61" t="s">
        <v>585</v>
      </c>
      <c r="D621" s="61" t="s">
        <v>587</v>
      </c>
      <c r="E621" s="1" t="s">
        <v>355</v>
      </c>
      <c r="F621" s="62" t="str">
        <f t="shared" si="134"/>
        <v>64510</v>
      </c>
      <c r="G621" s="269">
        <v>10620043</v>
      </c>
      <c r="H621" s="1" t="s">
        <v>382</v>
      </c>
      <c r="I621" s="61">
        <v>35</v>
      </c>
      <c r="J621" s="61">
        <v>4</v>
      </c>
      <c r="K621" s="61">
        <v>8.3000000000000007</v>
      </c>
      <c r="L621" s="69">
        <f t="shared" si="123"/>
        <v>1.4</v>
      </c>
      <c r="M621" s="69">
        <f t="shared" si="124"/>
        <v>2.9049999999999998</v>
      </c>
      <c r="N621" s="56">
        <f>INDEX(Rate_Chart!$A$1:$AK$127,MATCH(Data!J621,Rate_Chart!$A$1:$A$127,0),MATCH(Data!K621,Rate_Chart!$A$1:$AK$1,0))</f>
        <v>39.755153700000008</v>
      </c>
      <c r="O621" s="57">
        <f t="shared" si="125"/>
        <v>1391.4303795000003</v>
      </c>
      <c r="P621" s="58">
        <f t="shared" si="126"/>
        <v>417.01210174825178</v>
      </c>
      <c r="Q621" s="58">
        <f t="shared" si="127"/>
        <v>278.00806783216785</v>
      </c>
      <c r="R621" s="66">
        <f t="shared" si="128"/>
        <v>24.350031641250009</v>
      </c>
      <c r="S621" s="64">
        <f t="shared" si="129"/>
        <v>131.25</v>
      </c>
      <c r="T621" s="66">
        <f t="shared" si="130"/>
        <v>1547.0304111412504</v>
      </c>
      <c r="U621" s="68">
        <f t="shared" si="131"/>
        <v>44.200868889750012</v>
      </c>
      <c r="V621" s="68">
        <f t="shared" si="132"/>
        <v>463.64547786451061</v>
      </c>
      <c r="W621" s="68">
        <f t="shared" si="133"/>
        <v>309.09698524300705</v>
      </c>
    </row>
    <row r="622" spans="1:23" x14ac:dyDescent="0.25">
      <c r="A622" s="169" t="s">
        <v>943</v>
      </c>
      <c r="B622" s="61" t="s">
        <v>390</v>
      </c>
      <c r="C622" s="61" t="s">
        <v>585</v>
      </c>
      <c r="D622" s="61" t="s">
        <v>587</v>
      </c>
      <c r="E622" s="1" t="s">
        <v>355</v>
      </c>
      <c r="F622" s="62" t="str">
        <f t="shared" si="134"/>
        <v>64510</v>
      </c>
      <c r="G622" s="269">
        <v>10620043</v>
      </c>
      <c r="H622" s="1" t="s">
        <v>381</v>
      </c>
      <c r="I622" s="61">
        <v>16</v>
      </c>
      <c r="J622" s="61">
        <v>6.7</v>
      </c>
      <c r="K622" s="61">
        <v>9</v>
      </c>
      <c r="L622" s="69">
        <f t="shared" si="123"/>
        <v>1.0720000000000001</v>
      </c>
      <c r="M622" s="69">
        <f t="shared" si="124"/>
        <v>1.44</v>
      </c>
      <c r="N622" s="56">
        <f>INDEX(Rate_Chart!$A$1:$AK$127,MATCH(Data!J622,Rate_Chart!$A$1:$A$127,0),MATCH(Data!K622,Rate_Chart!$A$1:$AK$1,0))</f>
        <v>55.945</v>
      </c>
      <c r="O622" s="57">
        <f t="shared" si="125"/>
        <v>895.12</v>
      </c>
      <c r="P622" s="58">
        <f t="shared" si="126"/>
        <v>440.51181102362204</v>
      </c>
      <c r="Q622" s="58">
        <f t="shared" si="127"/>
        <v>293.67454068241472</v>
      </c>
      <c r="R622" s="66">
        <f t="shared" si="128"/>
        <v>15.664600000000002</v>
      </c>
      <c r="S622" s="64">
        <f t="shared" si="129"/>
        <v>60</v>
      </c>
      <c r="T622" s="66">
        <f t="shared" si="130"/>
        <v>970.78459999999995</v>
      </c>
      <c r="U622" s="68">
        <f t="shared" si="131"/>
        <v>60.674037499999997</v>
      </c>
      <c r="V622" s="68">
        <f t="shared" si="132"/>
        <v>477.74832677165352</v>
      </c>
      <c r="W622" s="68">
        <f t="shared" si="133"/>
        <v>318.4988845144357</v>
      </c>
    </row>
    <row r="623" spans="1:23" x14ac:dyDescent="0.25">
      <c r="A623" s="169" t="s">
        <v>943</v>
      </c>
      <c r="B623" s="61" t="s">
        <v>391</v>
      </c>
      <c r="C623" s="61" t="s">
        <v>585</v>
      </c>
      <c r="D623" s="61" t="s">
        <v>587</v>
      </c>
      <c r="E623" s="1" t="s">
        <v>355</v>
      </c>
      <c r="F623" s="62" t="str">
        <f t="shared" si="134"/>
        <v>64510</v>
      </c>
      <c r="G623" s="269">
        <v>10620043</v>
      </c>
      <c r="H623" s="1" t="s">
        <v>381</v>
      </c>
      <c r="I623" s="61">
        <v>8</v>
      </c>
      <c r="J623" s="61">
        <v>6.4</v>
      </c>
      <c r="K623" s="61">
        <v>9</v>
      </c>
      <c r="L623" s="69">
        <f t="shared" si="123"/>
        <v>0.51200000000000001</v>
      </c>
      <c r="M623" s="69">
        <f t="shared" si="124"/>
        <v>0.72</v>
      </c>
      <c r="N623" s="56">
        <f>INDEX(Rate_Chart!$A$1:$AK$127,MATCH(Data!J623,Rate_Chart!$A$1:$A$127,0),MATCH(Data!K623,Rate_Chart!$A$1:$AK$1,0))</f>
        <v>53.44</v>
      </c>
      <c r="O623" s="57">
        <f t="shared" si="125"/>
        <v>427.52</v>
      </c>
      <c r="P623" s="58">
        <f t="shared" si="126"/>
        <v>430.96774193548384</v>
      </c>
      <c r="Q623" s="58">
        <f t="shared" si="127"/>
        <v>287.31182795698925</v>
      </c>
      <c r="R623" s="66">
        <f t="shared" si="128"/>
        <v>7.4816000000000003</v>
      </c>
      <c r="S623" s="64">
        <f t="shared" si="129"/>
        <v>30</v>
      </c>
      <c r="T623" s="66">
        <f t="shared" si="130"/>
        <v>465.0016</v>
      </c>
      <c r="U623" s="68">
        <f t="shared" si="131"/>
        <v>58.1252</v>
      </c>
      <c r="V623" s="68">
        <f t="shared" si="132"/>
        <v>468.7516129032258</v>
      </c>
      <c r="W623" s="68">
        <f t="shared" si="133"/>
        <v>312.5010752688172</v>
      </c>
    </row>
    <row r="624" spans="1:23" x14ac:dyDescent="0.25">
      <c r="A624" s="169" t="s">
        <v>943</v>
      </c>
      <c r="B624" s="61" t="s">
        <v>391</v>
      </c>
      <c r="C624" s="61" t="s">
        <v>585</v>
      </c>
      <c r="D624" s="61" t="s">
        <v>587</v>
      </c>
      <c r="E624" s="1" t="s">
        <v>355</v>
      </c>
      <c r="F624" s="62" t="str">
        <f t="shared" si="134"/>
        <v>64510</v>
      </c>
      <c r="G624" s="269">
        <v>10620043</v>
      </c>
      <c r="H624" s="1" t="s">
        <v>382</v>
      </c>
      <c r="I624" s="61">
        <v>26</v>
      </c>
      <c r="J624" s="61">
        <v>4</v>
      </c>
      <c r="K624" s="61">
        <v>8.3000000000000007</v>
      </c>
      <c r="L624" s="69">
        <f t="shared" ref="L624:L687" si="135">J624*I624/100</f>
        <v>1.04</v>
      </c>
      <c r="M624" s="69">
        <f t="shared" ref="M624:M687" si="136">K624*I624/100</f>
        <v>2.1579999999999999</v>
      </c>
      <c r="N624" s="56">
        <f>INDEX(Rate_Chart!$A$1:$AK$127,MATCH(Data!J624,Rate_Chart!$A$1:$A$127,0),MATCH(Data!K624,Rate_Chart!$A$1:$AK$1,0))</f>
        <v>39.755153700000008</v>
      </c>
      <c r="O624" s="57">
        <f t="shared" ref="O624:O687" si="137">N624*I624</f>
        <v>1033.6339962000002</v>
      </c>
      <c r="P624" s="58">
        <f t="shared" ref="P624:P687" si="138">N624/(J624%+K624%*2/3)</f>
        <v>417.01210174825178</v>
      </c>
      <c r="Q624" s="58">
        <f t="shared" ref="Q624:Q687" si="139">P624*2/3</f>
        <v>278.00806783216785</v>
      </c>
      <c r="R624" s="66">
        <f t="shared" ref="R624:R687" si="140">O624*1.75%</f>
        <v>18.088594933500005</v>
      </c>
      <c r="S624" s="64">
        <f t="shared" ref="S624:S687" si="141">I624*3.75</f>
        <v>97.5</v>
      </c>
      <c r="T624" s="66">
        <f t="shared" ref="T624:T687" si="142">R624+S624+O624</f>
        <v>1149.2225911335001</v>
      </c>
      <c r="U624" s="68">
        <f t="shared" ref="U624:U687" si="143">T624/I624</f>
        <v>44.200868889750005</v>
      </c>
      <c r="V624" s="68">
        <f t="shared" ref="V624:V687" si="144">U624/(J624%+K624%*2/3)</f>
        <v>463.6454778645105</v>
      </c>
      <c r="W624" s="68">
        <f t="shared" ref="W624:W687" si="145">V624*2/3</f>
        <v>309.096985243007</v>
      </c>
    </row>
    <row r="625" spans="1:23" x14ac:dyDescent="0.25">
      <c r="A625" s="169" t="s">
        <v>944</v>
      </c>
      <c r="B625" s="61" t="s">
        <v>390</v>
      </c>
      <c r="C625" s="61" t="s">
        <v>585</v>
      </c>
      <c r="D625" s="61" t="s">
        <v>587</v>
      </c>
      <c r="E625" s="1" t="s">
        <v>355</v>
      </c>
      <c r="F625" s="62" t="str">
        <f t="shared" si="134"/>
        <v>64510</v>
      </c>
      <c r="G625" s="269">
        <v>10620043</v>
      </c>
      <c r="H625" s="1" t="s">
        <v>381</v>
      </c>
      <c r="I625" s="61">
        <v>18</v>
      </c>
      <c r="J625" s="61">
        <v>7.3</v>
      </c>
      <c r="K625" s="61">
        <v>9</v>
      </c>
      <c r="L625" s="69">
        <f t="shared" si="135"/>
        <v>1.3140000000000001</v>
      </c>
      <c r="M625" s="69">
        <f t="shared" si="136"/>
        <v>1.62</v>
      </c>
      <c r="N625" s="56">
        <f>INDEX(Rate_Chart!$A$1:$AK$127,MATCH(Data!J625,Rate_Chart!$A$1:$A$127,0),MATCH(Data!K625,Rate_Chart!$A$1:$AK$1,0))</f>
        <v>60.954999999999998</v>
      </c>
      <c r="O625" s="57">
        <f t="shared" si="137"/>
        <v>1097.19</v>
      </c>
      <c r="P625" s="58">
        <f t="shared" si="138"/>
        <v>458.30827067669168</v>
      </c>
      <c r="Q625" s="58">
        <f t="shared" si="139"/>
        <v>305.53884711779443</v>
      </c>
      <c r="R625" s="66">
        <f t="shared" si="140"/>
        <v>19.200825000000002</v>
      </c>
      <c r="S625" s="64">
        <f t="shared" si="141"/>
        <v>67.5</v>
      </c>
      <c r="T625" s="66">
        <f t="shared" si="142"/>
        <v>1183.8908249999999</v>
      </c>
      <c r="U625" s="68">
        <f t="shared" si="143"/>
        <v>65.771712499999992</v>
      </c>
      <c r="V625" s="68">
        <f t="shared" si="144"/>
        <v>494.52415413533828</v>
      </c>
      <c r="W625" s="68">
        <f t="shared" si="145"/>
        <v>329.68276942355885</v>
      </c>
    </row>
    <row r="626" spans="1:23" x14ac:dyDescent="0.25">
      <c r="A626" s="169" t="s">
        <v>944</v>
      </c>
      <c r="B626" s="61" t="s">
        <v>390</v>
      </c>
      <c r="C626" s="61" t="s">
        <v>585</v>
      </c>
      <c r="D626" s="61" t="s">
        <v>587</v>
      </c>
      <c r="E626" s="1" t="s">
        <v>355</v>
      </c>
      <c r="F626" s="62" t="str">
        <f t="shared" si="134"/>
        <v>64510</v>
      </c>
      <c r="G626" s="269">
        <v>10620043</v>
      </c>
      <c r="H626" s="1" t="s">
        <v>382</v>
      </c>
      <c r="I626" s="61">
        <v>41</v>
      </c>
      <c r="J626" s="61">
        <v>4</v>
      </c>
      <c r="K626" s="61">
        <v>8.5</v>
      </c>
      <c r="L626" s="69">
        <f t="shared" si="135"/>
        <v>1.64</v>
      </c>
      <c r="M626" s="69">
        <f t="shared" si="136"/>
        <v>3.4849999999999999</v>
      </c>
      <c r="N626" s="56">
        <f>INDEX(Rate_Chart!$A$1:$AK$127,MATCH(Data!J626,Rate_Chart!$A$1:$A$127,0),MATCH(Data!K626,Rate_Chart!$A$1:$AK$1,0))</f>
        <v>40.311181500000004</v>
      </c>
      <c r="O626" s="57">
        <f t="shared" si="137"/>
        <v>1652.7584415000001</v>
      </c>
      <c r="P626" s="58">
        <f t="shared" si="138"/>
        <v>417.0122224137931</v>
      </c>
      <c r="Q626" s="58">
        <f t="shared" si="139"/>
        <v>278.00814827586208</v>
      </c>
      <c r="R626" s="66">
        <f t="shared" si="140"/>
        <v>28.923272726250005</v>
      </c>
      <c r="S626" s="64">
        <f t="shared" si="141"/>
        <v>153.75</v>
      </c>
      <c r="T626" s="66">
        <f t="shared" si="142"/>
        <v>1835.4317142262501</v>
      </c>
      <c r="U626" s="68">
        <f t="shared" si="143"/>
        <v>44.766627176250005</v>
      </c>
      <c r="V626" s="68">
        <f t="shared" si="144"/>
        <v>463.10303975431032</v>
      </c>
      <c r="W626" s="68">
        <f t="shared" si="145"/>
        <v>308.7353598362069</v>
      </c>
    </row>
    <row r="627" spans="1:23" x14ac:dyDescent="0.25">
      <c r="A627" s="169" t="s">
        <v>944</v>
      </c>
      <c r="B627" s="61" t="s">
        <v>391</v>
      </c>
      <c r="C627" s="61" t="s">
        <v>585</v>
      </c>
      <c r="D627" s="61" t="s">
        <v>587</v>
      </c>
      <c r="E627" s="1" t="s">
        <v>355</v>
      </c>
      <c r="F627" s="62" t="str">
        <f t="shared" si="134"/>
        <v>64510</v>
      </c>
      <c r="G627" s="269">
        <v>10620043</v>
      </c>
      <c r="H627" s="1" t="s">
        <v>381</v>
      </c>
      <c r="I627" s="61">
        <v>6</v>
      </c>
      <c r="J627" s="61">
        <v>6</v>
      </c>
      <c r="K627" s="61">
        <v>9</v>
      </c>
      <c r="L627" s="69">
        <f t="shared" si="135"/>
        <v>0.36</v>
      </c>
      <c r="M627" s="69">
        <f t="shared" si="136"/>
        <v>0.54</v>
      </c>
      <c r="N627" s="56">
        <f>INDEX(Rate_Chart!$A$1:$AK$127,MATCH(Data!J627,Rate_Chart!$A$1:$A$127,0),MATCH(Data!K627,Rate_Chart!$A$1:$AK$1,0))</f>
        <v>50.1</v>
      </c>
      <c r="O627" s="57">
        <f t="shared" si="137"/>
        <v>300.60000000000002</v>
      </c>
      <c r="P627" s="58">
        <f t="shared" si="138"/>
        <v>417.5</v>
      </c>
      <c r="Q627" s="58">
        <f t="shared" si="139"/>
        <v>278.33333333333331</v>
      </c>
      <c r="R627" s="66">
        <f t="shared" si="140"/>
        <v>5.2605000000000013</v>
      </c>
      <c r="S627" s="64">
        <f t="shared" si="141"/>
        <v>22.5</v>
      </c>
      <c r="T627" s="66">
        <f t="shared" si="142"/>
        <v>328.3605</v>
      </c>
      <c r="U627" s="68">
        <f t="shared" si="143"/>
        <v>54.726750000000003</v>
      </c>
      <c r="V627" s="68">
        <f t="shared" si="144"/>
        <v>456.05625000000003</v>
      </c>
      <c r="W627" s="68">
        <f t="shared" si="145"/>
        <v>304.03750000000002</v>
      </c>
    </row>
    <row r="628" spans="1:23" x14ac:dyDescent="0.25">
      <c r="A628" s="169" t="s">
        <v>944</v>
      </c>
      <c r="B628" s="61" t="s">
        <v>391</v>
      </c>
      <c r="C628" s="61" t="s">
        <v>585</v>
      </c>
      <c r="D628" s="61" t="s">
        <v>587</v>
      </c>
      <c r="E628" s="1" t="s">
        <v>355</v>
      </c>
      <c r="F628" s="62" t="str">
        <f t="shared" si="134"/>
        <v>64510</v>
      </c>
      <c r="G628" s="269">
        <v>10620043</v>
      </c>
      <c r="H628" s="1" t="s">
        <v>382</v>
      </c>
      <c r="I628" s="61">
        <v>21</v>
      </c>
      <c r="J628" s="61">
        <v>4.4000000000000004</v>
      </c>
      <c r="K628" s="61">
        <v>8.3000000000000007</v>
      </c>
      <c r="L628" s="69">
        <f t="shared" si="135"/>
        <v>0.92400000000000004</v>
      </c>
      <c r="M628" s="69">
        <f t="shared" si="136"/>
        <v>1.7430000000000001</v>
      </c>
      <c r="N628" s="56">
        <f>INDEX(Rate_Chart!$A$1:$AK$127,MATCH(Data!J628,Rate_Chart!$A$1:$A$127,0),MATCH(Data!K628,Rate_Chart!$A$1:$AK$1,0))</f>
        <v>41.423153700000007</v>
      </c>
      <c r="O628" s="57">
        <f t="shared" si="137"/>
        <v>869.88622770000018</v>
      </c>
      <c r="P628" s="58">
        <f t="shared" si="138"/>
        <v>417.01161442953025</v>
      </c>
      <c r="Q628" s="58">
        <f t="shared" si="139"/>
        <v>278.00774295302017</v>
      </c>
      <c r="R628" s="66">
        <f t="shared" si="140"/>
        <v>15.223008984750004</v>
      </c>
      <c r="S628" s="64">
        <f t="shared" si="141"/>
        <v>78.75</v>
      </c>
      <c r="T628" s="66">
        <f t="shared" si="142"/>
        <v>963.85923668475016</v>
      </c>
      <c r="U628" s="68">
        <f t="shared" si="143"/>
        <v>45.898058889750004</v>
      </c>
      <c r="V628" s="68">
        <f t="shared" si="144"/>
        <v>462.06099553439594</v>
      </c>
      <c r="W628" s="68">
        <f t="shared" si="145"/>
        <v>308.0406636895973</v>
      </c>
    </row>
    <row r="629" spans="1:23" x14ac:dyDescent="0.25">
      <c r="A629" s="169" t="s">
        <v>945</v>
      </c>
      <c r="B629" s="61" t="s">
        <v>390</v>
      </c>
      <c r="C629" s="61" t="s">
        <v>585</v>
      </c>
      <c r="D629" s="61" t="s">
        <v>587</v>
      </c>
      <c r="E629" s="1" t="s">
        <v>355</v>
      </c>
      <c r="F629" s="62" t="str">
        <f t="shared" si="134"/>
        <v>64510</v>
      </c>
      <c r="G629" s="269">
        <v>10620043</v>
      </c>
      <c r="H629" s="1" t="s">
        <v>381</v>
      </c>
      <c r="I629" s="61">
        <v>15</v>
      </c>
      <c r="J629" s="61">
        <v>6.8</v>
      </c>
      <c r="K629" s="61">
        <v>9</v>
      </c>
      <c r="L629" s="69">
        <f t="shared" si="135"/>
        <v>1.02</v>
      </c>
      <c r="M629" s="69">
        <f t="shared" si="136"/>
        <v>1.35</v>
      </c>
      <c r="N629" s="56">
        <f>INDEX(Rate_Chart!$A$1:$AK$127,MATCH(Data!J629,Rate_Chart!$A$1:$A$127,0),MATCH(Data!K629,Rate_Chart!$A$1:$AK$1,0))</f>
        <v>56.78</v>
      </c>
      <c r="O629" s="57">
        <f t="shared" si="137"/>
        <v>851.7</v>
      </c>
      <c r="P629" s="58">
        <f t="shared" si="138"/>
        <v>443.59375</v>
      </c>
      <c r="Q629" s="58">
        <f t="shared" si="139"/>
        <v>295.72916666666669</v>
      </c>
      <c r="R629" s="66">
        <f t="shared" si="140"/>
        <v>14.904750000000002</v>
      </c>
      <c r="S629" s="64">
        <f t="shared" si="141"/>
        <v>56.25</v>
      </c>
      <c r="T629" s="66">
        <f t="shared" si="142"/>
        <v>922.85475000000008</v>
      </c>
      <c r="U629" s="68">
        <f t="shared" si="143"/>
        <v>61.523650000000004</v>
      </c>
      <c r="V629" s="68">
        <f t="shared" si="144"/>
        <v>480.65351562500001</v>
      </c>
      <c r="W629" s="68">
        <f t="shared" si="145"/>
        <v>320.43567708333336</v>
      </c>
    </row>
    <row r="630" spans="1:23" x14ac:dyDescent="0.25">
      <c r="A630" s="169" t="s">
        <v>945</v>
      </c>
      <c r="B630" s="61" t="s">
        <v>390</v>
      </c>
      <c r="C630" s="61" t="s">
        <v>585</v>
      </c>
      <c r="D630" s="61" t="s">
        <v>587</v>
      </c>
      <c r="E630" s="1" t="s">
        <v>355</v>
      </c>
      <c r="F630" s="62" t="str">
        <f t="shared" si="134"/>
        <v>64510</v>
      </c>
      <c r="G630" s="269">
        <v>10620043</v>
      </c>
      <c r="H630" s="1" t="s">
        <v>382</v>
      </c>
      <c r="I630" s="61">
        <v>37</v>
      </c>
      <c r="J630" s="61">
        <v>4.0999999999999996</v>
      </c>
      <c r="K630" s="61">
        <v>8.1999999999999993</v>
      </c>
      <c r="L630" s="69">
        <f t="shared" si="135"/>
        <v>1.5169999999999999</v>
      </c>
      <c r="M630" s="69">
        <f t="shared" si="136"/>
        <v>3.0339999999999998</v>
      </c>
      <c r="N630" s="56">
        <f>INDEX(Rate_Chart!$A$1:$AK$127,MATCH(Data!J630,Rate_Chart!$A$1:$A$127,0),MATCH(Data!K630,Rate_Chart!$A$1:$AK$1,0))</f>
        <v>39.894139799999998</v>
      </c>
      <c r="O630" s="57">
        <f t="shared" si="137"/>
        <v>1476.0831725999999</v>
      </c>
      <c r="P630" s="58">
        <f t="shared" si="138"/>
        <v>417.01191428571434</v>
      </c>
      <c r="Q630" s="58">
        <f t="shared" si="139"/>
        <v>278.00794285714289</v>
      </c>
      <c r="R630" s="66">
        <f t="shared" si="140"/>
        <v>25.8314555205</v>
      </c>
      <c r="S630" s="64">
        <f t="shared" si="141"/>
        <v>138.75</v>
      </c>
      <c r="T630" s="66">
        <f t="shared" si="142"/>
        <v>1640.6646281204999</v>
      </c>
      <c r="U630" s="68">
        <f t="shared" si="143"/>
        <v>44.342287246499993</v>
      </c>
      <c r="V630" s="68">
        <f t="shared" si="144"/>
        <v>463.50822905749129</v>
      </c>
      <c r="W630" s="68">
        <f t="shared" si="145"/>
        <v>309.00548603832755</v>
      </c>
    </row>
    <row r="631" spans="1:23" x14ac:dyDescent="0.25">
      <c r="A631" s="169" t="s">
        <v>945</v>
      </c>
      <c r="B631" s="61" t="s">
        <v>391</v>
      </c>
      <c r="C631" s="61" t="s">
        <v>585</v>
      </c>
      <c r="D631" s="61" t="s">
        <v>587</v>
      </c>
      <c r="E631" s="1" t="s">
        <v>355</v>
      </c>
      <c r="F631" s="62" t="str">
        <f t="shared" si="134"/>
        <v>64510</v>
      </c>
      <c r="G631" s="269">
        <v>10620043</v>
      </c>
      <c r="H631" s="1" t="s">
        <v>381</v>
      </c>
      <c r="I631" s="61">
        <v>7</v>
      </c>
      <c r="J631" s="61">
        <v>6.5</v>
      </c>
      <c r="K631" s="61">
        <v>9</v>
      </c>
      <c r="L631" s="69">
        <f t="shared" si="135"/>
        <v>0.45500000000000002</v>
      </c>
      <c r="M631" s="69">
        <f t="shared" si="136"/>
        <v>0.63</v>
      </c>
      <c r="N631" s="56">
        <f>INDEX(Rate_Chart!$A$1:$AK$127,MATCH(Data!J631,Rate_Chart!$A$1:$A$127,0),MATCH(Data!K631,Rate_Chart!$A$1:$AK$1,0))</f>
        <v>54.274999999999999</v>
      </c>
      <c r="O631" s="57">
        <f t="shared" si="137"/>
        <v>379.92500000000001</v>
      </c>
      <c r="P631" s="58">
        <f t="shared" si="138"/>
        <v>434.2</v>
      </c>
      <c r="Q631" s="58">
        <f t="shared" si="139"/>
        <v>289.46666666666664</v>
      </c>
      <c r="R631" s="66">
        <f t="shared" si="140"/>
        <v>6.6486875000000012</v>
      </c>
      <c r="S631" s="64">
        <f t="shared" si="141"/>
        <v>26.25</v>
      </c>
      <c r="T631" s="66">
        <f t="shared" si="142"/>
        <v>412.82368750000001</v>
      </c>
      <c r="U631" s="68">
        <f t="shared" si="143"/>
        <v>58.974812499999999</v>
      </c>
      <c r="V631" s="68">
        <f t="shared" si="144"/>
        <v>471.79849999999999</v>
      </c>
      <c r="W631" s="68">
        <f t="shared" si="145"/>
        <v>314.53233333333333</v>
      </c>
    </row>
    <row r="632" spans="1:23" x14ac:dyDescent="0.25">
      <c r="A632" s="169" t="s">
        <v>945</v>
      </c>
      <c r="B632" s="61" t="s">
        <v>391</v>
      </c>
      <c r="C632" s="61" t="s">
        <v>585</v>
      </c>
      <c r="D632" s="61" t="s">
        <v>587</v>
      </c>
      <c r="E632" s="1" t="s">
        <v>355</v>
      </c>
      <c r="F632" s="62" t="str">
        <f t="shared" si="134"/>
        <v>64510</v>
      </c>
      <c r="G632" s="269">
        <v>10620043</v>
      </c>
      <c r="H632" s="1" t="s">
        <v>382</v>
      </c>
      <c r="I632" s="61">
        <v>27</v>
      </c>
      <c r="J632" s="61">
        <v>4.0999999999999996</v>
      </c>
      <c r="K632" s="61">
        <v>8.4</v>
      </c>
      <c r="L632" s="69">
        <f t="shared" si="135"/>
        <v>1.107</v>
      </c>
      <c r="M632" s="69">
        <f t="shared" si="136"/>
        <v>2.2680000000000002</v>
      </c>
      <c r="N632" s="56">
        <f>INDEX(Rate_Chart!$A$1:$AK$127,MATCH(Data!J632,Rate_Chart!$A$1:$A$127,0),MATCH(Data!K632,Rate_Chart!$A$1:$AK$1,0))</f>
        <v>40.4501676</v>
      </c>
      <c r="O632" s="57">
        <f t="shared" si="137"/>
        <v>1092.1545252000001</v>
      </c>
      <c r="P632" s="58">
        <f t="shared" si="138"/>
        <v>417.01203711340207</v>
      </c>
      <c r="Q632" s="58">
        <f t="shared" si="139"/>
        <v>278.00802474226805</v>
      </c>
      <c r="R632" s="66">
        <f t="shared" si="140"/>
        <v>19.112704191000002</v>
      </c>
      <c r="S632" s="64">
        <f t="shared" si="141"/>
        <v>101.25</v>
      </c>
      <c r="T632" s="66">
        <f t="shared" si="142"/>
        <v>1212.517229391</v>
      </c>
      <c r="U632" s="68">
        <f t="shared" si="143"/>
        <v>44.908045532999999</v>
      </c>
      <c r="V632" s="68">
        <f t="shared" si="144"/>
        <v>462.96954157731955</v>
      </c>
      <c r="W632" s="68">
        <f t="shared" si="145"/>
        <v>308.64636105154636</v>
      </c>
    </row>
    <row r="633" spans="1:23" x14ac:dyDescent="0.25">
      <c r="A633" s="169" t="s">
        <v>946</v>
      </c>
      <c r="B633" s="61" t="s">
        <v>390</v>
      </c>
      <c r="C633" s="61" t="s">
        <v>585</v>
      </c>
      <c r="D633" s="61" t="s">
        <v>587</v>
      </c>
      <c r="E633" s="1" t="s">
        <v>355</v>
      </c>
      <c r="F633" s="62" t="str">
        <f t="shared" si="134"/>
        <v>64510</v>
      </c>
      <c r="G633" s="269">
        <v>10620043</v>
      </c>
      <c r="H633" s="1" t="s">
        <v>381</v>
      </c>
      <c r="I633" s="61">
        <v>18</v>
      </c>
      <c r="J633" s="61">
        <v>7.3</v>
      </c>
      <c r="K633" s="61">
        <v>9</v>
      </c>
      <c r="L633" s="69">
        <f t="shared" si="135"/>
        <v>1.3140000000000001</v>
      </c>
      <c r="M633" s="69">
        <f t="shared" si="136"/>
        <v>1.62</v>
      </c>
      <c r="N633" s="56">
        <f>INDEX(Rate_Chart!$A$1:$AK$127,MATCH(Data!J633,Rate_Chart!$A$1:$A$127,0),MATCH(Data!K633,Rate_Chart!$A$1:$AK$1,0))</f>
        <v>60.954999999999998</v>
      </c>
      <c r="O633" s="57">
        <f t="shared" si="137"/>
        <v>1097.19</v>
      </c>
      <c r="P633" s="58">
        <f t="shared" si="138"/>
        <v>458.30827067669168</v>
      </c>
      <c r="Q633" s="58">
        <f t="shared" si="139"/>
        <v>305.53884711779443</v>
      </c>
      <c r="R633" s="66">
        <f t="shared" si="140"/>
        <v>19.200825000000002</v>
      </c>
      <c r="S633" s="64">
        <f t="shared" si="141"/>
        <v>67.5</v>
      </c>
      <c r="T633" s="66">
        <f t="shared" si="142"/>
        <v>1183.8908249999999</v>
      </c>
      <c r="U633" s="68">
        <f t="shared" si="143"/>
        <v>65.771712499999992</v>
      </c>
      <c r="V633" s="68">
        <f t="shared" si="144"/>
        <v>494.52415413533828</v>
      </c>
      <c r="W633" s="68">
        <f t="shared" si="145"/>
        <v>329.68276942355885</v>
      </c>
    </row>
    <row r="634" spans="1:23" x14ac:dyDescent="0.25">
      <c r="A634" s="169" t="s">
        <v>946</v>
      </c>
      <c r="B634" s="61" t="s">
        <v>390</v>
      </c>
      <c r="C634" s="61" t="s">
        <v>585</v>
      </c>
      <c r="D634" s="61" t="s">
        <v>587</v>
      </c>
      <c r="E634" s="1" t="s">
        <v>355</v>
      </c>
      <c r="F634" s="62" t="str">
        <f t="shared" si="134"/>
        <v>64510</v>
      </c>
      <c r="G634" s="269">
        <v>10620043</v>
      </c>
      <c r="H634" s="1" t="s">
        <v>382</v>
      </c>
      <c r="I634" s="61">
        <v>32</v>
      </c>
      <c r="J634" s="61">
        <v>3.5</v>
      </c>
      <c r="K634" s="61">
        <v>8.3000000000000007</v>
      </c>
      <c r="L634" s="69">
        <f t="shared" si="135"/>
        <v>1.1200000000000001</v>
      </c>
      <c r="M634" s="69">
        <f t="shared" si="136"/>
        <v>2.6560000000000001</v>
      </c>
      <c r="N634" s="56">
        <f>INDEX(Rate_Chart!$A$1:$AK$127,MATCH(Data!J634,Rate_Chart!$A$1:$A$127,0),MATCH(Data!K634,Rate_Chart!$A$1:$AK$1,0))</f>
        <v>37.670153700000007</v>
      </c>
      <c r="O634" s="57">
        <f t="shared" si="137"/>
        <v>1205.4449184000002</v>
      </c>
      <c r="P634" s="58">
        <f t="shared" si="138"/>
        <v>417.01277158671587</v>
      </c>
      <c r="Q634" s="58">
        <f t="shared" si="139"/>
        <v>278.00851439114393</v>
      </c>
      <c r="R634" s="66">
        <f t="shared" si="140"/>
        <v>21.095286072000007</v>
      </c>
      <c r="S634" s="64">
        <f t="shared" si="141"/>
        <v>120</v>
      </c>
      <c r="T634" s="66">
        <f t="shared" si="142"/>
        <v>1346.5402044720004</v>
      </c>
      <c r="U634" s="68">
        <f t="shared" si="143"/>
        <v>42.079381389750012</v>
      </c>
      <c r="V634" s="68">
        <f t="shared" si="144"/>
        <v>465.82341021863471</v>
      </c>
      <c r="W634" s="68">
        <f t="shared" si="145"/>
        <v>310.54894014575649</v>
      </c>
    </row>
    <row r="635" spans="1:23" x14ac:dyDescent="0.25">
      <c r="A635" s="169" t="s">
        <v>946</v>
      </c>
      <c r="B635" s="61" t="s">
        <v>391</v>
      </c>
      <c r="C635" s="61" t="s">
        <v>585</v>
      </c>
      <c r="D635" s="61" t="s">
        <v>587</v>
      </c>
      <c r="E635" s="1" t="s">
        <v>355</v>
      </c>
      <c r="F635" s="62" t="str">
        <f t="shared" si="134"/>
        <v>64510</v>
      </c>
      <c r="G635" s="269">
        <v>10620043</v>
      </c>
      <c r="H635" s="1" t="s">
        <v>381</v>
      </c>
      <c r="I635" s="61">
        <v>9</v>
      </c>
      <c r="J635" s="61">
        <v>6.4</v>
      </c>
      <c r="K635" s="61">
        <v>9</v>
      </c>
      <c r="L635" s="69">
        <f t="shared" si="135"/>
        <v>0.57600000000000007</v>
      </c>
      <c r="M635" s="69">
        <f t="shared" si="136"/>
        <v>0.81</v>
      </c>
      <c r="N635" s="56">
        <f>INDEX(Rate_Chart!$A$1:$AK$127,MATCH(Data!J635,Rate_Chart!$A$1:$A$127,0),MATCH(Data!K635,Rate_Chart!$A$1:$AK$1,0))</f>
        <v>53.44</v>
      </c>
      <c r="O635" s="57">
        <f t="shared" si="137"/>
        <v>480.96</v>
      </c>
      <c r="P635" s="58">
        <f t="shared" si="138"/>
        <v>430.96774193548384</v>
      </c>
      <c r="Q635" s="58">
        <f t="shared" si="139"/>
        <v>287.31182795698925</v>
      </c>
      <c r="R635" s="66">
        <f t="shared" si="140"/>
        <v>8.4168000000000003</v>
      </c>
      <c r="S635" s="64">
        <f t="shared" si="141"/>
        <v>33.75</v>
      </c>
      <c r="T635" s="66">
        <f t="shared" si="142"/>
        <v>523.1268</v>
      </c>
      <c r="U635" s="68">
        <f t="shared" si="143"/>
        <v>58.1252</v>
      </c>
      <c r="V635" s="68">
        <f t="shared" si="144"/>
        <v>468.7516129032258</v>
      </c>
      <c r="W635" s="68">
        <f t="shared" si="145"/>
        <v>312.5010752688172</v>
      </c>
    </row>
    <row r="636" spans="1:23" x14ac:dyDescent="0.25">
      <c r="A636" s="169" t="s">
        <v>946</v>
      </c>
      <c r="B636" s="61" t="s">
        <v>391</v>
      </c>
      <c r="C636" s="61" t="s">
        <v>585</v>
      </c>
      <c r="D636" s="61" t="s">
        <v>587</v>
      </c>
      <c r="E636" s="1" t="s">
        <v>355</v>
      </c>
      <c r="F636" s="62" t="str">
        <f t="shared" si="134"/>
        <v>64510</v>
      </c>
      <c r="G636" s="269">
        <v>10620043</v>
      </c>
      <c r="H636" s="1" t="s">
        <v>382</v>
      </c>
      <c r="I636" s="61">
        <v>32</v>
      </c>
      <c r="J636" s="61">
        <v>4.0999999999999996</v>
      </c>
      <c r="K636" s="61">
        <v>8.4</v>
      </c>
      <c r="L636" s="69">
        <f t="shared" si="135"/>
        <v>1.3119999999999998</v>
      </c>
      <c r="M636" s="69">
        <f t="shared" si="136"/>
        <v>2.6880000000000002</v>
      </c>
      <c r="N636" s="56">
        <f>INDEX(Rate_Chart!$A$1:$AK$127,MATCH(Data!J636,Rate_Chart!$A$1:$A$127,0),MATCH(Data!K636,Rate_Chart!$A$1:$AK$1,0))</f>
        <v>40.4501676</v>
      </c>
      <c r="O636" s="57">
        <f t="shared" si="137"/>
        <v>1294.4053632</v>
      </c>
      <c r="P636" s="58">
        <f t="shared" si="138"/>
        <v>417.01203711340207</v>
      </c>
      <c r="Q636" s="58">
        <f t="shared" si="139"/>
        <v>278.00802474226805</v>
      </c>
      <c r="R636" s="66">
        <f t="shared" si="140"/>
        <v>22.652093856000004</v>
      </c>
      <c r="S636" s="64">
        <f t="shared" si="141"/>
        <v>120</v>
      </c>
      <c r="T636" s="66">
        <f t="shared" si="142"/>
        <v>1437.057457056</v>
      </c>
      <c r="U636" s="68">
        <f t="shared" si="143"/>
        <v>44.908045532999999</v>
      </c>
      <c r="V636" s="68">
        <f t="shared" si="144"/>
        <v>462.96954157731955</v>
      </c>
      <c r="W636" s="68">
        <f t="shared" si="145"/>
        <v>308.64636105154636</v>
      </c>
    </row>
    <row r="637" spans="1:23" x14ac:dyDescent="0.25">
      <c r="A637" s="169" t="s">
        <v>947</v>
      </c>
      <c r="B637" s="61" t="s">
        <v>390</v>
      </c>
      <c r="C637" s="61" t="s">
        <v>585</v>
      </c>
      <c r="D637" s="61" t="s">
        <v>587</v>
      </c>
      <c r="E637" s="1" t="s">
        <v>355</v>
      </c>
      <c r="F637" s="62" t="str">
        <f t="shared" si="134"/>
        <v>64510</v>
      </c>
      <c r="G637" s="269">
        <v>10620043</v>
      </c>
      <c r="H637" s="1" t="s">
        <v>381</v>
      </c>
      <c r="I637" s="61">
        <v>16</v>
      </c>
      <c r="J637" s="61">
        <v>7.5</v>
      </c>
      <c r="K637" s="61">
        <v>9</v>
      </c>
      <c r="L637" s="69">
        <f t="shared" si="135"/>
        <v>1.2</v>
      </c>
      <c r="M637" s="69">
        <f t="shared" si="136"/>
        <v>1.44</v>
      </c>
      <c r="N637" s="56">
        <f>INDEX(Rate_Chart!$A$1:$AK$127,MATCH(Data!J637,Rate_Chart!$A$1:$A$127,0),MATCH(Data!K637,Rate_Chart!$A$1:$AK$1,0))</f>
        <v>62.625</v>
      </c>
      <c r="O637" s="57">
        <f t="shared" si="137"/>
        <v>1002</v>
      </c>
      <c r="P637" s="58">
        <f t="shared" si="138"/>
        <v>463.88888888888886</v>
      </c>
      <c r="Q637" s="58">
        <f t="shared" si="139"/>
        <v>309.25925925925924</v>
      </c>
      <c r="R637" s="66">
        <f t="shared" si="140"/>
        <v>17.535</v>
      </c>
      <c r="S637" s="64">
        <f t="shared" si="141"/>
        <v>60</v>
      </c>
      <c r="T637" s="66">
        <f t="shared" si="142"/>
        <v>1079.5350000000001</v>
      </c>
      <c r="U637" s="68">
        <f t="shared" si="143"/>
        <v>67.470937500000005</v>
      </c>
      <c r="V637" s="68">
        <f t="shared" si="144"/>
        <v>499.78472222222223</v>
      </c>
      <c r="W637" s="68">
        <f t="shared" si="145"/>
        <v>333.18981481481484</v>
      </c>
    </row>
    <row r="638" spans="1:23" x14ac:dyDescent="0.25">
      <c r="A638" s="169" t="s">
        <v>947</v>
      </c>
      <c r="B638" s="61" t="s">
        <v>390</v>
      </c>
      <c r="C638" s="61" t="s">
        <v>585</v>
      </c>
      <c r="D638" s="61" t="s">
        <v>587</v>
      </c>
      <c r="E638" s="1" t="s">
        <v>355</v>
      </c>
      <c r="F638" s="62" t="str">
        <f t="shared" si="134"/>
        <v>64510</v>
      </c>
      <c r="G638" s="269">
        <v>10620043</v>
      </c>
      <c r="H638" s="1" t="s">
        <v>382</v>
      </c>
      <c r="I638" s="61">
        <v>41</v>
      </c>
      <c r="J638" s="61">
        <v>3.6</v>
      </c>
      <c r="K638" s="61">
        <v>8.4</v>
      </c>
      <c r="L638" s="69">
        <f t="shared" si="135"/>
        <v>1.476</v>
      </c>
      <c r="M638" s="69">
        <f t="shared" si="136"/>
        <v>3.4440000000000004</v>
      </c>
      <c r="N638" s="56">
        <f>INDEX(Rate_Chart!$A$1:$AK$127,MATCH(Data!J638,Rate_Chart!$A$1:$A$127,0),MATCH(Data!K638,Rate_Chart!$A$1:$AK$1,0))</f>
        <v>38.365167600000007</v>
      </c>
      <c r="O638" s="57">
        <f t="shared" si="137"/>
        <v>1572.9718716000002</v>
      </c>
      <c r="P638" s="58">
        <f t="shared" si="138"/>
        <v>417.01269130434792</v>
      </c>
      <c r="Q638" s="58">
        <f t="shared" si="139"/>
        <v>278.00846086956528</v>
      </c>
      <c r="R638" s="66">
        <f t="shared" si="140"/>
        <v>27.527007753000007</v>
      </c>
      <c r="S638" s="64">
        <f t="shared" si="141"/>
        <v>153.75</v>
      </c>
      <c r="T638" s="66">
        <f t="shared" si="142"/>
        <v>1754.2488793530001</v>
      </c>
      <c r="U638" s="68">
        <f t="shared" si="143"/>
        <v>42.786558033000006</v>
      </c>
      <c r="V638" s="68">
        <f t="shared" si="144"/>
        <v>465.07128296739137</v>
      </c>
      <c r="W638" s="68">
        <f t="shared" si="145"/>
        <v>310.04752197826093</v>
      </c>
    </row>
    <row r="639" spans="1:23" x14ac:dyDescent="0.25">
      <c r="A639" s="169" t="s">
        <v>947</v>
      </c>
      <c r="B639" s="61" t="s">
        <v>391</v>
      </c>
      <c r="C639" s="61" t="s">
        <v>585</v>
      </c>
      <c r="D639" s="61" t="s">
        <v>587</v>
      </c>
      <c r="E639" s="1" t="s">
        <v>355</v>
      </c>
      <c r="F639" s="62" t="str">
        <f t="shared" si="134"/>
        <v>64510</v>
      </c>
      <c r="G639" s="269">
        <v>10620043</v>
      </c>
      <c r="H639" s="1" t="s">
        <v>381</v>
      </c>
      <c r="I639" s="61">
        <v>6</v>
      </c>
      <c r="J639" s="61">
        <v>6.3</v>
      </c>
      <c r="K639" s="61">
        <v>9</v>
      </c>
      <c r="L639" s="69">
        <f t="shared" si="135"/>
        <v>0.37799999999999995</v>
      </c>
      <c r="M639" s="69">
        <f t="shared" si="136"/>
        <v>0.54</v>
      </c>
      <c r="N639" s="56">
        <f>INDEX(Rate_Chart!$A$1:$AK$127,MATCH(Data!J639,Rate_Chart!$A$1:$A$127,0),MATCH(Data!K639,Rate_Chart!$A$1:$AK$1,0))</f>
        <v>52.604999999999997</v>
      </c>
      <c r="O639" s="57">
        <f t="shared" si="137"/>
        <v>315.63</v>
      </c>
      <c r="P639" s="58">
        <f t="shared" si="138"/>
        <v>427.6829268292683</v>
      </c>
      <c r="Q639" s="58">
        <f t="shared" si="139"/>
        <v>285.1219512195122</v>
      </c>
      <c r="R639" s="66">
        <f t="shared" si="140"/>
        <v>5.5235250000000002</v>
      </c>
      <c r="S639" s="64">
        <f t="shared" si="141"/>
        <v>22.5</v>
      </c>
      <c r="T639" s="66">
        <f t="shared" si="142"/>
        <v>343.653525</v>
      </c>
      <c r="U639" s="68">
        <f t="shared" si="143"/>
        <v>57.2755875</v>
      </c>
      <c r="V639" s="68">
        <f t="shared" si="144"/>
        <v>465.6551829268293</v>
      </c>
      <c r="W639" s="68">
        <f t="shared" si="145"/>
        <v>310.43678861788618</v>
      </c>
    </row>
    <row r="640" spans="1:23" x14ac:dyDescent="0.25">
      <c r="A640" s="169" t="s">
        <v>947</v>
      </c>
      <c r="B640" s="61" t="s">
        <v>391</v>
      </c>
      <c r="C640" s="61" t="s">
        <v>585</v>
      </c>
      <c r="D640" s="61" t="s">
        <v>587</v>
      </c>
      <c r="E640" s="1" t="s">
        <v>355</v>
      </c>
      <c r="F640" s="62" t="str">
        <f t="shared" si="134"/>
        <v>64510</v>
      </c>
      <c r="G640" s="269">
        <v>10620043</v>
      </c>
      <c r="H640" s="1" t="s">
        <v>382</v>
      </c>
      <c r="I640" s="61">
        <v>30</v>
      </c>
      <c r="J640" s="61">
        <v>3.7</v>
      </c>
      <c r="K640" s="61">
        <v>8.5</v>
      </c>
      <c r="L640" s="69">
        <f t="shared" si="135"/>
        <v>1.1100000000000001</v>
      </c>
      <c r="M640" s="69">
        <f t="shared" si="136"/>
        <v>2.5499999999999998</v>
      </c>
      <c r="N640" s="56">
        <f>INDEX(Rate_Chart!$A$1:$AK$127,MATCH(Data!J640,Rate_Chart!$A$1:$A$127,0),MATCH(Data!K640,Rate_Chart!$A$1:$AK$1,0))</f>
        <v>39.060181500000006</v>
      </c>
      <c r="O640" s="57">
        <f t="shared" si="137"/>
        <v>1171.8054450000002</v>
      </c>
      <c r="P640" s="58">
        <f t="shared" si="138"/>
        <v>417.0126138790036</v>
      </c>
      <c r="Q640" s="58">
        <f t="shared" si="139"/>
        <v>278.00840925266908</v>
      </c>
      <c r="R640" s="66">
        <f t="shared" si="140"/>
        <v>20.506595287500005</v>
      </c>
      <c r="S640" s="64">
        <f t="shared" si="141"/>
        <v>112.5</v>
      </c>
      <c r="T640" s="66">
        <f t="shared" si="142"/>
        <v>1304.8120402875002</v>
      </c>
      <c r="U640" s="68">
        <f t="shared" si="143"/>
        <v>43.493734676250007</v>
      </c>
      <c r="V640" s="68">
        <f t="shared" si="144"/>
        <v>464.34592181049823</v>
      </c>
      <c r="W640" s="68">
        <f t="shared" si="145"/>
        <v>309.56394787366548</v>
      </c>
    </row>
    <row r="641" spans="1:23" x14ac:dyDescent="0.25">
      <c r="A641" s="169" t="s">
        <v>941</v>
      </c>
      <c r="B641" s="61" t="s">
        <v>391</v>
      </c>
      <c r="C641" s="61" t="s">
        <v>585</v>
      </c>
      <c r="D641" s="61" t="s">
        <v>586</v>
      </c>
      <c r="E641" s="1" t="s">
        <v>356</v>
      </c>
      <c r="F641" s="62" t="str">
        <f t="shared" si="134"/>
        <v>64511</v>
      </c>
      <c r="G641" s="269">
        <v>10620057</v>
      </c>
      <c r="H641" s="1" t="s">
        <v>381</v>
      </c>
      <c r="I641" s="61">
        <v>7</v>
      </c>
      <c r="J641" s="61">
        <v>7.3</v>
      </c>
      <c r="K641" s="61">
        <v>9</v>
      </c>
      <c r="L641" s="69">
        <f t="shared" si="135"/>
        <v>0.51100000000000001</v>
      </c>
      <c r="M641" s="69">
        <f t="shared" si="136"/>
        <v>0.63</v>
      </c>
      <c r="N641" s="56">
        <f>INDEX(Rate_Chart!$A$1:$AK$127,MATCH(Data!J641,Rate_Chart!$A$1:$A$127,0),MATCH(Data!K641,Rate_Chart!$A$1:$AK$1,0))</f>
        <v>60.954999999999998</v>
      </c>
      <c r="O641" s="57">
        <f t="shared" si="137"/>
        <v>426.685</v>
      </c>
      <c r="P641" s="58">
        <f t="shared" si="138"/>
        <v>458.30827067669168</v>
      </c>
      <c r="Q641" s="58">
        <f t="shared" si="139"/>
        <v>305.53884711779443</v>
      </c>
      <c r="R641" s="66">
        <f t="shared" si="140"/>
        <v>7.466987500000001</v>
      </c>
      <c r="S641" s="64">
        <f t="shared" si="141"/>
        <v>26.25</v>
      </c>
      <c r="T641" s="66">
        <f t="shared" si="142"/>
        <v>460.40198750000002</v>
      </c>
      <c r="U641" s="68">
        <f t="shared" si="143"/>
        <v>65.771712500000007</v>
      </c>
      <c r="V641" s="68">
        <f t="shared" si="144"/>
        <v>494.52415413533839</v>
      </c>
      <c r="W641" s="68">
        <f t="shared" si="145"/>
        <v>329.68276942355891</v>
      </c>
    </row>
    <row r="642" spans="1:23" x14ac:dyDescent="0.25">
      <c r="A642" s="169" t="s">
        <v>941</v>
      </c>
      <c r="B642" s="61" t="s">
        <v>391</v>
      </c>
      <c r="C642" s="61" t="s">
        <v>585</v>
      </c>
      <c r="D642" s="61" t="s">
        <v>586</v>
      </c>
      <c r="E642" s="1" t="s">
        <v>356</v>
      </c>
      <c r="F642" s="62" t="str">
        <f t="shared" si="134"/>
        <v>64511</v>
      </c>
      <c r="G642" s="269">
        <v>10620057</v>
      </c>
      <c r="H642" s="1" t="s">
        <v>382</v>
      </c>
      <c r="I642" s="61">
        <v>27</v>
      </c>
      <c r="J642" s="61">
        <v>4</v>
      </c>
      <c r="K642" s="61">
        <v>8.5</v>
      </c>
      <c r="L642" s="69">
        <f t="shared" si="135"/>
        <v>1.08</v>
      </c>
      <c r="M642" s="69">
        <f t="shared" si="136"/>
        <v>2.2949999999999999</v>
      </c>
      <c r="N642" s="56">
        <f>INDEX(Rate_Chart!$A$1:$AK$127,MATCH(Data!J642,Rate_Chart!$A$1:$A$127,0),MATCH(Data!K642,Rate_Chart!$A$1:$AK$1,0))</f>
        <v>40.311181500000004</v>
      </c>
      <c r="O642" s="57">
        <f t="shared" si="137"/>
        <v>1088.4019005</v>
      </c>
      <c r="P642" s="58">
        <f t="shared" si="138"/>
        <v>417.0122224137931</v>
      </c>
      <c r="Q642" s="58">
        <f t="shared" si="139"/>
        <v>278.00814827586208</v>
      </c>
      <c r="R642" s="66">
        <f t="shared" si="140"/>
        <v>19.047033258750002</v>
      </c>
      <c r="S642" s="64">
        <f t="shared" si="141"/>
        <v>101.25</v>
      </c>
      <c r="T642" s="66">
        <f t="shared" si="142"/>
        <v>1208.6989337587499</v>
      </c>
      <c r="U642" s="68">
        <f t="shared" si="143"/>
        <v>44.766627176249997</v>
      </c>
      <c r="V642" s="68">
        <f t="shared" si="144"/>
        <v>463.10303975431026</v>
      </c>
      <c r="W642" s="68">
        <f t="shared" si="145"/>
        <v>308.73535983620684</v>
      </c>
    </row>
    <row r="643" spans="1:23" x14ac:dyDescent="0.25">
      <c r="A643" s="169" t="s">
        <v>942</v>
      </c>
      <c r="B643" s="61" t="s">
        <v>390</v>
      </c>
      <c r="C643" s="61" t="s">
        <v>585</v>
      </c>
      <c r="D643" s="61" t="s">
        <v>586</v>
      </c>
      <c r="E643" s="1" t="s">
        <v>356</v>
      </c>
      <c r="F643" s="62" t="str">
        <f t="shared" si="134"/>
        <v>64511</v>
      </c>
      <c r="G643" s="269">
        <v>10620057</v>
      </c>
      <c r="H643" s="1" t="s">
        <v>381</v>
      </c>
      <c r="I643" s="61">
        <v>15</v>
      </c>
      <c r="J643" s="61">
        <v>6.9</v>
      </c>
      <c r="K643" s="61">
        <v>9</v>
      </c>
      <c r="L643" s="69">
        <f t="shared" si="135"/>
        <v>1.0349999999999999</v>
      </c>
      <c r="M643" s="69">
        <f t="shared" si="136"/>
        <v>1.35</v>
      </c>
      <c r="N643" s="56">
        <f>INDEX(Rate_Chart!$A$1:$AK$127,MATCH(Data!J643,Rate_Chart!$A$1:$A$127,0),MATCH(Data!K643,Rate_Chart!$A$1:$AK$1,0))</f>
        <v>57.615000000000002</v>
      </c>
      <c r="O643" s="57">
        <f t="shared" si="137"/>
        <v>864.22500000000002</v>
      </c>
      <c r="P643" s="58">
        <f t="shared" si="138"/>
        <v>446.62790697674421</v>
      </c>
      <c r="Q643" s="58">
        <f t="shared" si="139"/>
        <v>297.75193798449612</v>
      </c>
      <c r="R643" s="66">
        <f t="shared" si="140"/>
        <v>15.123937500000002</v>
      </c>
      <c r="S643" s="64">
        <f t="shared" si="141"/>
        <v>56.25</v>
      </c>
      <c r="T643" s="66">
        <f t="shared" si="142"/>
        <v>935.59893750000003</v>
      </c>
      <c r="U643" s="68">
        <f t="shared" si="143"/>
        <v>62.373262500000003</v>
      </c>
      <c r="V643" s="68">
        <f t="shared" si="144"/>
        <v>483.51366279069771</v>
      </c>
      <c r="W643" s="68">
        <f t="shared" si="145"/>
        <v>322.34244186046516</v>
      </c>
    </row>
    <row r="644" spans="1:23" x14ac:dyDescent="0.25">
      <c r="A644" s="169" t="s">
        <v>942</v>
      </c>
      <c r="B644" s="61" t="s">
        <v>391</v>
      </c>
      <c r="C644" s="61" t="s">
        <v>585</v>
      </c>
      <c r="D644" s="61" t="s">
        <v>586</v>
      </c>
      <c r="E644" s="1" t="s">
        <v>356</v>
      </c>
      <c r="F644" s="62" t="str">
        <f t="shared" si="134"/>
        <v>64511</v>
      </c>
      <c r="G644" s="269">
        <v>10620057</v>
      </c>
      <c r="H644" s="1" t="s">
        <v>381</v>
      </c>
      <c r="I644" s="61">
        <v>13</v>
      </c>
      <c r="J644" s="61">
        <v>8.1</v>
      </c>
      <c r="K644" s="61">
        <v>9</v>
      </c>
      <c r="L644" s="69">
        <f t="shared" si="135"/>
        <v>1.0529999999999999</v>
      </c>
      <c r="M644" s="69">
        <f t="shared" si="136"/>
        <v>1.17</v>
      </c>
      <c r="N644" s="56">
        <f>INDEX(Rate_Chart!$A$1:$AK$127,MATCH(Data!J644,Rate_Chart!$A$1:$A$127,0),MATCH(Data!K644,Rate_Chart!$A$1:$AK$1,0))</f>
        <v>67.635000000000005</v>
      </c>
      <c r="O644" s="57">
        <f t="shared" si="137"/>
        <v>879.25500000000011</v>
      </c>
      <c r="P644" s="58">
        <f t="shared" si="138"/>
        <v>479.68085106382978</v>
      </c>
      <c r="Q644" s="58">
        <f t="shared" si="139"/>
        <v>319.78723404255317</v>
      </c>
      <c r="R644" s="66">
        <f t="shared" si="140"/>
        <v>15.386962500000003</v>
      </c>
      <c r="S644" s="64">
        <f t="shared" si="141"/>
        <v>48.75</v>
      </c>
      <c r="T644" s="66">
        <f t="shared" si="142"/>
        <v>943.39196250000009</v>
      </c>
      <c r="U644" s="68">
        <f t="shared" si="143"/>
        <v>72.5686125</v>
      </c>
      <c r="V644" s="68">
        <f t="shared" si="144"/>
        <v>514.67101063829784</v>
      </c>
      <c r="W644" s="68">
        <f t="shared" si="145"/>
        <v>343.11400709219856</v>
      </c>
    </row>
    <row r="645" spans="1:23" x14ac:dyDescent="0.25">
      <c r="A645" s="169" t="s">
        <v>942</v>
      </c>
      <c r="B645" s="61" t="s">
        <v>391</v>
      </c>
      <c r="C645" s="61" t="s">
        <v>585</v>
      </c>
      <c r="D645" s="61" t="s">
        <v>586</v>
      </c>
      <c r="E645" s="1" t="s">
        <v>356</v>
      </c>
      <c r="F645" s="62" t="str">
        <f t="shared" ref="F645:F708" si="146">MID(E645,2,5)</f>
        <v>64511</v>
      </c>
      <c r="G645" s="269">
        <v>10620057</v>
      </c>
      <c r="H645" s="1" t="s">
        <v>382</v>
      </c>
      <c r="I645" s="61">
        <v>22</v>
      </c>
      <c r="J645" s="61">
        <v>4</v>
      </c>
      <c r="K645" s="61">
        <v>8.5</v>
      </c>
      <c r="L645" s="69">
        <f t="shared" si="135"/>
        <v>0.88</v>
      </c>
      <c r="M645" s="69">
        <f t="shared" si="136"/>
        <v>1.87</v>
      </c>
      <c r="N645" s="56">
        <f>INDEX(Rate_Chart!$A$1:$AK$127,MATCH(Data!J645,Rate_Chart!$A$1:$A$127,0),MATCH(Data!K645,Rate_Chart!$A$1:$AK$1,0))</f>
        <v>40.311181500000004</v>
      </c>
      <c r="O645" s="57">
        <f t="shared" si="137"/>
        <v>886.84599300000013</v>
      </c>
      <c r="P645" s="58">
        <f t="shared" si="138"/>
        <v>417.0122224137931</v>
      </c>
      <c r="Q645" s="58">
        <f t="shared" si="139"/>
        <v>278.00814827586208</v>
      </c>
      <c r="R645" s="66">
        <f t="shared" si="140"/>
        <v>15.519804877500004</v>
      </c>
      <c r="S645" s="64">
        <f t="shared" si="141"/>
        <v>82.5</v>
      </c>
      <c r="T645" s="66">
        <f t="shared" si="142"/>
        <v>984.8657978775002</v>
      </c>
      <c r="U645" s="68">
        <f t="shared" si="143"/>
        <v>44.766627176250012</v>
      </c>
      <c r="V645" s="68">
        <f t="shared" si="144"/>
        <v>463.10303975431043</v>
      </c>
      <c r="W645" s="68">
        <f t="shared" si="145"/>
        <v>308.73535983620695</v>
      </c>
    </row>
    <row r="646" spans="1:23" x14ac:dyDescent="0.25">
      <c r="A646" s="169" t="s">
        <v>943</v>
      </c>
      <c r="B646" s="61" t="s">
        <v>390</v>
      </c>
      <c r="C646" s="61" t="s">
        <v>585</v>
      </c>
      <c r="D646" s="61" t="s">
        <v>586</v>
      </c>
      <c r="E646" s="1" t="s">
        <v>356</v>
      </c>
      <c r="F646" s="62" t="str">
        <f t="shared" si="146"/>
        <v>64511</v>
      </c>
      <c r="G646" s="269">
        <v>10620057</v>
      </c>
      <c r="H646" s="1" t="s">
        <v>381</v>
      </c>
      <c r="I646" s="61">
        <v>29</v>
      </c>
      <c r="J646" s="61">
        <v>6.6</v>
      </c>
      <c r="K646" s="61">
        <v>9</v>
      </c>
      <c r="L646" s="69">
        <f t="shared" si="135"/>
        <v>1.9139999999999997</v>
      </c>
      <c r="M646" s="69">
        <f t="shared" si="136"/>
        <v>2.61</v>
      </c>
      <c r="N646" s="56">
        <f>INDEX(Rate_Chart!$A$1:$AK$127,MATCH(Data!J646,Rate_Chart!$A$1:$A$127,0),MATCH(Data!K646,Rate_Chart!$A$1:$AK$1,0))</f>
        <v>55.11</v>
      </c>
      <c r="O646" s="57">
        <f t="shared" si="137"/>
        <v>1598.19</v>
      </c>
      <c r="P646" s="58">
        <f t="shared" si="138"/>
        <v>437.38095238095235</v>
      </c>
      <c r="Q646" s="58">
        <f t="shared" si="139"/>
        <v>291.58730158730157</v>
      </c>
      <c r="R646" s="66">
        <f t="shared" si="140"/>
        <v>27.968325000000004</v>
      </c>
      <c r="S646" s="64">
        <f t="shared" si="141"/>
        <v>108.75</v>
      </c>
      <c r="T646" s="66">
        <f t="shared" si="142"/>
        <v>1734.9083250000001</v>
      </c>
      <c r="U646" s="68">
        <f t="shared" si="143"/>
        <v>59.824425000000005</v>
      </c>
      <c r="V646" s="68">
        <f t="shared" si="144"/>
        <v>474.79702380952386</v>
      </c>
      <c r="W646" s="68">
        <f t="shared" si="145"/>
        <v>316.53134920634926</v>
      </c>
    </row>
    <row r="647" spans="1:23" x14ac:dyDescent="0.25">
      <c r="A647" s="169" t="s">
        <v>943</v>
      </c>
      <c r="B647" s="61" t="s">
        <v>390</v>
      </c>
      <c r="C647" s="61" t="s">
        <v>585</v>
      </c>
      <c r="D647" s="61" t="s">
        <v>586</v>
      </c>
      <c r="E647" s="1" t="s">
        <v>356</v>
      </c>
      <c r="F647" s="62" t="str">
        <f t="shared" si="146"/>
        <v>64511</v>
      </c>
      <c r="G647" s="269">
        <v>10620057</v>
      </c>
      <c r="H647" s="1" t="s">
        <v>382</v>
      </c>
      <c r="I647" s="61">
        <v>33</v>
      </c>
      <c r="J647" s="61">
        <v>4.2</v>
      </c>
      <c r="K647" s="61">
        <v>8.5</v>
      </c>
      <c r="L647" s="69">
        <f t="shared" si="135"/>
        <v>1.3859999999999999</v>
      </c>
      <c r="M647" s="69">
        <f t="shared" si="136"/>
        <v>2.8050000000000002</v>
      </c>
      <c r="N647" s="56">
        <f>INDEX(Rate_Chart!$A$1:$AK$127,MATCH(Data!J647,Rate_Chart!$A$1:$A$127,0),MATCH(Data!K647,Rate_Chart!$A$1:$AK$1,0))</f>
        <v>41.145181500000007</v>
      </c>
      <c r="O647" s="57">
        <f t="shared" si="137"/>
        <v>1357.7909895000003</v>
      </c>
      <c r="P647" s="58">
        <f t="shared" si="138"/>
        <v>417.01197466216217</v>
      </c>
      <c r="Q647" s="58">
        <f t="shared" si="139"/>
        <v>278.00798310810814</v>
      </c>
      <c r="R647" s="66">
        <f t="shared" si="140"/>
        <v>23.761342316250008</v>
      </c>
      <c r="S647" s="64">
        <f t="shared" si="141"/>
        <v>123.75</v>
      </c>
      <c r="T647" s="66">
        <f t="shared" si="142"/>
        <v>1505.3023318162502</v>
      </c>
      <c r="U647" s="68">
        <f t="shared" si="143"/>
        <v>45.615222176250008</v>
      </c>
      <c r="V647" s="68">
        <f t="shared" si="144"/>
        <v>462.31644097550679</v>
      </c>
      <c r="W647" s="68">
        <f t="shared" si="145"/>
        <v>308.21096065033788</v>
      </c>
    </row>
    <row r="648" spans="1:23" x14ac:dyDescent="0.25">
      <c r="A648" s="169" t="s">
        <v>943</v>
      </c>
      <c r="B648" s="61" t="s">
        <v>391</v>
      </c>
      <c r="C648" s="61" t="s">
        <v>585</v>
      </c>
      <c r="D648" s="61" t="s">
        <v>586</v>
      </c>
      <c r="E648" s="1" t="s">
        <v>356</v>
      </c>
      <c r="F648" s="62" t="str">
        <f t="shared" si="146"/>
        <v>64511</v>
      </c>
      <c r="G648" s="269">
        <v>10620057</v>
      </c>
      <c r="H648" s="1" t="s">
        <v>381</v>
      </c>
      <c r="I648" s="61">
        <v>16</v>
      </c>
      <c r="J648" s="61">
        <v>6.7</v>
      </c>
      <c r="K648" s="61">
        <v>9</v>
      </c>
      <c r="L648" s="69">
        <f t="shared" si="135"/>
        <v>1.0720000000000001</v>
      </c>
      <c r="M648" s="69">
        <f t="shared" si="136"/>
        <v>1.44</v>
      </c>
      <c r="N648" s="56">
        <f>INDEX(Rate_Chart!$A$1:$AK$127,MATCH(Data!J648,Rate_Chart!$A$1:$A$127,0),MATCH(Data!K648,Rate_Chart!$A$1:$AK$1,0))</f>
        <v>55.945</v>
      </c>
      <c r="O648" s="57">
        <f t="shared" si="137"/>
        <v>895.12</v>
      </c>
      <c r="P648" s="58">
        <f t="shared" si="138"/>
        <v>440.51181102362204</v>
      </c>
      <c r="Q648" s="58">
        <f t="shared" si="139"/>
        <v>293.67454068241472</v>
      </c>
      <c r="R648" s="66">
        <f t="shared" si="140"/>
        <v>15.664600000000002</v>
      </c>
      <c r="S648" s="64">
        <f t="shared" si="141"/>
        <v>60</v>
      </c>
      <c r="T648" s="66">
        <f t="shared" si="142"/>
        <v>970.78459999999995</v>
      </c>
      <c r="U648" s="68">
        <f t="shared" si="143"/>
        <v>60.674037499999997</v>
      </c>
      <c r="V648" s="68">
        <f t="shared" si="144"/>
        <v>477.74832677165352</v>
      </c>
      <c r="W648" s="68">
        <f t="shared" si="145"/>
        <v>318.4988845144357</v>
      </c>
    </row>
    <row r="649" spans="1:23" x14ac:dyDescent="0.25">
      <c r="A649" s="169" t="s">
        <v>943</v>
      </c>
      <c r="B649" s="61" t="s">
        <v>391</v>
      </c>
      <c r="C649" s="61" t="s">
        <v>585</v>
      </c>
      <c r="D649" s="61" t="s">
        <v>586</v>
      </c>
      <c r="E649" s="1" t="s">
        <v>356</v>
      </c>
      <c r="F649" s="62" t="str">
        <f t="shared" si="146"/>
        <v>64511</v>
      </c>
      <c r="G649" s="269">
        <v>10620057</v>
      </c>
      <c r="H649" s="1" t="s">
        <v>382</v>
      </c>
      <c r="I649" s="61">
        <v>13</v>
      </c>
      <c r="J649" s="61">
        <v>3.8</v>
      </c>
      <c r="K649" s="61">
        <v>8.5</v>
      </c>
      <c r="L649" s="69">
        <f t="shared" si="135"/>
        <v>0.49399999999999999</v>
      </c>
      <c r="M649" s="69">
        <f t="shared" si="136"/>
        <v>1.105</v>
      </c>
      <c r="N649" s="56">
        <f>INDEX(Rate_Chart!$A$1:$AK$127,MATCH(Data!J649,Rate_Chart!$A$1:$A$127,0),MATCH(Data!K649,Rate_Chart!$A$1:$AK$1,0))</f>
        <v>39.4771815</v>
      </c>
      <c r="O649" s="57">
        <f t="shared" si="137"/>
        <v>513.20335950000003</v>
      </c>
      <c r="P649" s="58">
        <f t="shared" si="138"/>
        <v>417.0124806338028</v>
      </c>
      <c r="Q649" s="58">
        <f t="shared" si="139"/>
        <v>278.00832042253518</v>
      </c>
      <c r="R649" s="66">
        <f t="shared" si="140"/>
        <v>8.9810587912500015</v>
      </c>
      <c r="S649" s="64">
        <f t="shared" si="141"/>
        <v>48.75</v>
      </c>
      <c r="T649" s="66">
        <f t="shared" si="142"/>
        <v>570.93441829125004</v>
      </c>
      <c r="U649" s="68">
        <f t="shared" si="143"/>
        <v>43.918032176250001</v>
      </c>
      <c r="V649" s="68">
        <f t="shared" si="144"/>
        <v>463.92287510123236</v>
      </c>
      <c r="W649" s="68">
        <f t="shared" si="145"/>
        <v>309.28191673415489</v>
      </c>
    </row>
    <row r="650" spans="1:23" x14ac:dyDescent="0.25">
      <c r="A650" s="169" t="s">
        <v>944</v>
      </c>
      <c r="B650" s="61" t="s">
        <v>390</v>
      </c>
      <c r="C650" s="61" t="s">
        <v>585</v>
      </c>
      <c r="D650" s="61" t="s">
        <v>586</v>
      </c>
      <c r="E650" s="1" t="s">
        <v>356</v>
      </c>
      <c r="F650" s="62" t="str">
        <f t="shared" si="146"/>
        <v>64511</v>
      </c>
      <c r="G650" s="269">
        <v>10620057</v>
      </c>
      <c r="H650" s="1" t="s">
        <v>381</v>
      </c>
      <c r="I650" s="61">
        <v>38</v>
      </c>
      <c r="J650" s="61">
        <v>6.5</v>
      </c>
      <c r="K650" s="61">
        <v>9</v>
      </c>
      <c r="L650" s="69">
        <f t="shared" si="135"/>
        <v>2.4700000000000002</v>
      </c>
      <c r="M650" s="69">
        <f t="shared" si="136"/>
        <v>3.42</v>
      </c>
      <c r="N650" s="56">
        <f>INDEX(Rate_Chart!$A$1:$AK$127,MATCH(Data!J650,Rate_Chart!$A$1:$A$127,0),MATCH(Data!K650,Rate_Chart!$A$1:$AK$1,0))</f>
        <v>54.274999999999999</v>
      </c>
      <c r="O650" s="57">
        <f t="shared" si="137"/>
        <v>2062.4499999999998</v>
      </c>
      <c r="P650" s="58">
        <f t="shared" si="138"/>
        <v>434.2</v>
      </c>
      <c r="Q650" s="58">
        <f t="shared" si="139"/>
        <v>289.46666666666664</v>
      </c>
      <c r="R650" s="66">
        <f t="shared" si="140"/>
        <v>36.092874999999999</v>
      </c>
      <c r="S650" s="64">
        <f t="shared" si="141"/>
        <v>142.5</v>
      </c>
      <c r="T650" s="66">
        <f t="shared" si="142"/>
        <v>2241.0428749999996</v>
      </c>
      <c r="U650" s="68">
        <f t="shared" si="143"/>
        <v>58.974812499999992</v>
      </c>
      <c r="V650" s="68">
        <f t="shared" si="144"/>
        <v>471.79849999999993</v>
      </c>
      <c r="W650" s="68">
        <f t="shared" si="145"/>
        <v>314.53233333333327</v>
      </c>
    </row>
    <row r="651" spans="1:23" x14ac:dyDescent="0.25">
      <c r="A651" s="169" t="s">
        <v>944</v>
      </c>
      <c r="B651" s="61" t="s">
        <v>390</v>
      </c>
      <c r="C651" s="61" t="s">
        <v>585</v>
      </c>
      <c r="D651" s="61" t="s">
        <v>586</v>
      </c>
      <c r="E651" s="1" t="s">
        <v>356</v>
      </c>
      <c r="F651" s="62" t="str">
        <f t="shared" si="146"/>
        <v>64511</v>
      </c>
      <c r="G651" s="269">
        <v>10620057</v>
      </c>
      <c r="H651" s="1" t="s">
        <v>382</v>
      </c>
      <c r="I651" s="61">
        <v>41</v>
      </c>
      <c r="J651" s="61">
        <v>4.2</v>
      </c>
      <c r="K651" s="61">
        <v>8.5</v>
      </c>
      <c r="L651" s="69">
        <f t="shared" si="135"/>
        <v>1.7220000000000002</v>
      </c>
      <c r="M651" s="69">
        <f t="shared" si="136"/>
        <v>3.4849999999999999</v>
      </c>
      <c r="N651" s="56">
        <f>INDEX(Rate_Chart!$A$1:$AK$127,MATCH(Data!J651,Rate_Chart!$A$1:$A$127,0),MATCH(Data!K651,Rate_Chart!$A$1:$AK$1,0))</f>
        <v>41.145181500000007</v>
      </c>
      <c r="O651" s="57">
        <f t="shared" si="137"/>
        <v>1686.9524415000003</v>
      </c>
      <c r="P651" s="58">
        <f t="shared" si="138"/>
        <v>417.01197466216217</v>
      </c>
      <c r="Q651" s="58">
        <f t="shared" si="139"/>
        <v>278.00798310810814</v>
      </c>
      <c r="R651" s="66">
        <f t="shared" si="140"/>
        <v>29.521667726250008</v>
      </c>
      <c r="S651" s="64">
        <f t="shared" si="141"/>
        <v>153.75</v>
      </c>
      <c r="T651" s="66">
        <f t="shared" si="142"/>
        <v>1870.2241092262502</v>
      </c>
      <c r="U651" s="68">
        <f t="shared" si="143"/>
        <v>45.615222176250008</v>
      </c>
      <c r="V651" s="68">
        <f t="shared" si="144"/>
        <v>462.31644097550679</v>
      </c>
      <c r="W651" s="68">
        <f t="shared" si="145"/>
        <v>308.21096065033788</v>
      </c>
    </row>
    <row r="652" spans="1:23" x14ac:dyDescent="0.25">
      <c r="A652" s="169" t="s">
        <v>944</v>
      </c>
      <c r="B652" s="61" t="s">
        <v>391</v>
      </c>
      <c r="C652" s="61" t="s">
        <v>585</v>
      </c>
      <c r="D652" s="61" t="s">
        <v>586</v>
      </c>
      <c r="E652" s="1" t="s">
        <v>356</v>
      </c>
      <c r="F652" s="62" t="str">
        <f t="shared" si="146"/>
        <v>64511</v>
      </c>
      <c r="G652" s="269">
        <v>10620057</v>
      </c>
      <c r="H652" s="1" t="s">
        <v>381</v>
      </c>
      <c r="I652" s="61">
        <v>17</v>
      </c>
      <c r="J652" s="61">
        <v>6.6</v>
      </c>
      <c r="K652" s="61">
        <v>9</v>
      </c>
      <c r="L652" s="69">
        <f t="shared" si="135"/>
        <v>1.1219999999999999</v>
      </c>
      <c r="M652" s="69">
        <f t="shared" si="136"/>
        <v>1.53</v>
      </c>
      <c r="N652" s="56">
        <f>INDEX(Rate_Chart!$A$1:$AK$127,MATCH(Data!J652,Rate_Chart!$A$1:$A$127,0),MATCH(Data!K652,Rate_Chart!$A$1:$AK$1,0))</f>
        <v>55.11</v>
      </c>
      <c r="O652" s="57">
        <f t="shared" si="137"/>
        <v>936.87</v>
      </c>
      <c r="P652" s="58">
        <f t="shared" si="138"/>
        <v>437.38095238095235</v>
      </c>
      <c r="Q652" s="58">
        <f t="shared" si="139"/>
        <v>291.58730158730157</v>
      </c>
      <c r="R652" s="66">
        <f t="shared" si="140"/>
        <v>16.395225</v>
      </c>
      <c r="S652" s="64">
        <f t="shared" si="141"/>
        <v>63.75</v>
      </c>
      <c r="T652" s="66">
        <f t="shared" si="142"/>
        <v>1017.015225</v>
      </c>
      <c r="U652" s="68">
        <f t="shared" si="143"/>
        <v>59.824424999999998</v>
      </c>
      <c r="V652" s="68">
        <f t="shared" si="144"/>
        <v>474.79702380952381</v>
      </c>
      <c r="W652" s="68">
        <f t="shared" si="145"/>
        <v>316.5313492063492</v>
      </c>
    </row>
    <row r="653" spans="1:23" x14ac:dyDescent="0.25">
      <c r="A653" s="169" t="s">
        <v>944</v>
      </c>
      <c r="B653" s="61" t="s">
        <v>391</v>
      </c>
      <c r="C653" s="61" t="s">
        <v>585</v>
      </c>
      <c r="D653" s="61" t="s">
        <v>586</v>
      </c>
      <c r="E653" s="1" t="s">
        <v>356</v>
      </c>
      <c r="F653" s="62" t="str">
        <f t="shared" si="146"/>
        <v>64511</v>
      </c>
      <c r="G653" s="269">
        <v>10620057</v>
      </c>
      <c r="H653" s="1" t="s">
        <v>382</v>
      </c>
      <c r="I653" s="61">
        <v>16</v>
      </c>
      <c r="J653" s="61">
        <v>4.5999999999999996</v>
      </c>
      <c r="K653" s="61">
        <v>8.5</v>
      </c>
      <c r="L653" s="69">
        <f t="shared" si="135"/>
        <v>0.73599999999999999</v>
      </c>
      <c r="M653" s="69">
        <f t="shared" si="136"/>
        <v>1.36</v>
      </c>
      <c r="N653" s="56">
        <f>INDEX(Rate_Chart!$A$1:$AK$127,MATCH(Data!J653,Rate_Chart!$A$1:$A$127,0),MATCH(Data!K653,Rate_Chart!$A$1:$AK$1,0))</f>
        <v>42.813181499999999</v>
      </c>
      <c r="O653" s="57">
        <f t="shared" si="137"/>
        <v>685.01090399999998</v>
      </c>
      <c r="P653" s="58">
        <f t="shared" si="138"/>
        <v>417.01150811688308</v>
      </c>
      <c r="Q653" s="58">
        <f t="shared" si="139"/>
        <v>278.00767207792205</v>
      </c>
      <c r="R653" s="66">
        <f t="shared" si="140"/>
        <v>11.987690820000001</v>
      </c>
      <c r="S653" s="64">
        <f t="shared" si="141"/>
        <v>60</v>
      </c>
      <c r="T653" s="66">
        <f t="shared" si="142"/>
        <v>756.99859481999999</v>
      </c>
      <c r="U653" s="68">
        <f t="shared" si="143"/>
        <v>47.31241217625</v>
      </c>
      <c r="V653" s="68">
        <f t="shared" si="144"/>
        <v>460.83518353490257</v>
      </c>
      <c r="W653" s="68">
        <f t="shared" si="145"/>
        <v>307.22345568993507</v>
      </c>
    </row>
    <row r="654" spans="1:23" x14ac:dyDescent="0.25">
      <c r="A654" s="169" t="s">
        <v>945</v>
      </c>
      <c r="B654" s="61" t="s">
        <v>390</v>
      </c>
      <c r="C654" s="61" t="s">
        <v>585</v>
      </c>
      <c r="D654" s="61" t="s">
        <v>586</v>
      </c>
      <c r="E654" s="1" t="s">
        <v>356</v>
      </c>
      <c r="F654" s="62" t="str">
        <f t="shared" si="146"/>
        <v>64511</v>
      </c>
      <c r="G654" s="269">
        <v>10620057</v>
      </c>
      <c r="H654" s="1" t="s">
        <v>381</v>
      </c>
      <c r="I654" s="61">
        <v>39</v>
      </c>
      <c r="J654" s="61">
        <v>6.5</v>
      </c>
      <c r="K654" s="61">
        <v>9</v>
      </c>
      <c r="L654" s="69">
        <f t="shared" si="135"/>
        <v>2.5350000000000001</v>
      </c>
      <c r="M654" s="69">
        <f t="shared" si="136"/>
        <v>3.51</v>
      </c>
      <c r="N654" s="56">
        <f>INDEX(Rate_Chart!$A$1:$AK$127,MATCH(Data!J654,Rate_Chart!$A$1:$A$127,0),MATCH(Data!K654,Rate_Chart!$A$1:$AK$1,0))</f>
        <v>54.274999999999999</v>
      </c>
      <c r="O654" s="57">
        <f t="shared" si="137"/>
        <v>2116.7249999999999</v>
      </c>
      <c r="P654" s="58">
        <f t="shared" si="138"/>
        <v>434.2</v>
      </c>
      <c r="Q654" s="58">
        <f t="shared" si="139"/>
        <v>289.46666666666664</v>
      </c>
      <c r="R654" s="66">
        <f t="shared" si="140"/>
        <v>37.0426875</v>
      </c>
      <c r="S654" s="64">
        <f t="shared" si="141"/>
        <v>146.25</v>
      </c>
      <c r="T654" s="66">
        <f t="shared" si="142"/>
        <v>2300.0176874999997</v>
      </c>
      <c r="U654" s="68">
        <f t="shared" si="143"/>
        <v>58.974812499999992</v>
      </c>
      <c r="V654" s="68">
        <f t="shared" si="144"/>
        <v>471.79849999999993</v>
      </c>
      <c r="W654" s="68">
        <f t="shared" si="145"/>
        <v>314.53233333333327</v>
      </c>
    </row>
    <row r="655" spans="1:23" x14ac:dyDescent="0.25">
      <c r="A655" s="169" t="s">
        <v>945</v>
      </c>
      <c r="B655" s="61" t="s">
        <v>390</v>
      </c>
      <c r="C655" s="61" t="s">
        <v>585</v>
      </c>
      <c r="D655" s="61" t="s">
        <v>586</v>
      </c>
      <c r="E655" s="1" t="s">
        <v>356</v>
      </c>
      <c r="F655" s="62" t="str">
        <f t="shared" si="146"/>
        <v>64511</v>
      </c>
      <c r="G655" s="269">
        <v>10620057</v>
      </c>
      <c r="H655" s="1" t="s">
        <v>382</v>
      </c>
      <c r="I655" s="61">
        <v>40</v>
      </c>
      <c r="J655" s="61">
        <v>4.0999999999999996</v>
      </c>
      <c r="K655" s="61">
        <v>8.3000000000000007</v>
      </c>
      <c r="L655" s="69">
        <f t="shared" si="135"/>
        <v>1.64</v>
      </c>
      <c r="M655" s="69">
        <f t="shared" si="136"/>
        <v>3.32</v>
      </c>
      <c r="N655" s="56">
        <f>INDEX(Rate_Chart!$A$1:$AK$127,MATCH(Data!J655,Rate_Chart!$A$1:$A$127,0),MATCH(Data!K655,Rate_Chart!$A$1:$AK$1,0))</f>
        <v>40.172153700000003</v>
      </c>
      <c r="O655" s="57">
        <f t="shared" si="137"/>
        <v>1606.886148</v>
      </c>
      <c r="P655" s="58">
        <f t="shared" si="138"/>
        <v>417.01197612456752</v>
      </c>
      <c r="Q655" s="58">
        <f t="shared" si="139"/>
        <v>278.00798408304502</v>
      </c>
      <c r="R655" s="66">
        <f t="shared" si="140"/>
        <v>28.120507590000003</v>
      </c>
      <c r="S655" s="64">
        <f t="shared" si="141"/>
        <v>150</v>
      </c>
      <c r="T655" s="66">
        <f t="shared" si="142"/>
        <v>1785.00665559</v>
      </c>
      <c r="U655" s="68">
        <f t="shared" si="143"/>
        <v>44.625166389749999</v>
      </c>
      <c r="V655" s="68">
        <f t="shared" si="144"/>
        <v>463.23702134688585</v>
      </c>
      <c r="W655" s="68">
        <f t="shared" si="145"/>
        <v>308.82468089792388</v>
      </c>
    </row>
    <row r="656" spans="1:23" x14ac:dyDescent="0.25">
      <c r="A656" s="169" t="s">
        <v>945</v>
      </c>
      <c r="B656" s="61" t="s">
        <v>391</v>
      </c>
      <c r="C656" s="61" t="s">
        <v>585</v>
      </c>
      <c r="D656" s="61" t="s">
        <v>586</v>
      </c>
      <c r="E656" s="1" t="s">
        <v>356</v>
      </c>
      <c r="F656" s="62" t="str">
        <f t="shared" si="146"/>
        <v>64511</v>
      </c>
      <c r="G656" s="269">
        <v>10620057</v>
      </c>
      <c r="H656" s="1" t="s">
        <v>381</v>
      </c>
      <c r="I656" s="61">
        <v>12</v>
      </c>
      <c r="J656" s="61">
        <v>7.1</v>
      </c>
      <c r="K656" s="61">
        <v>9</v>
      </c>
      <c r="L656" s="69">
        <f t="shared" si="135"/>
        <v>0.85199999999999987</v>
      </c>
      <c r="M656" s="69">
        <f t="shared" si="136"/>
        <v>1.08</v>
      </c>
      <c r="N656" s="56">
        <f>INDEX(Rate_Chart!$A$1:$AK$127,MATCH(Data!J656,Rate_Chart!$A$1:$A$127,0),MATCH(Data!K656,Rate_Chart!$A$1:$AK$1,0))</f>
        <v>59.284999999999997</v>
      </c>
      <c r="O656" s="57">
        <f t="shared" si="137"/>
        <v>711.42</v>
      </c>
      <c r="P656" s="58">
        <f t="shared" si="138"/>
        <v>452.55725190839689</v>
      </c>
      <c r="Q656" s="58">
        <f t="shared" si="139"/>
        <v>301.70483460559791</v>
      </c>
      <c r="R656" s="66">
        <f t="shared" si="140"/>
        <v>12.44985</v>
      </c>
      <c r="S656" s="64">
        <f t="shared" si="141"/>
        <v>45</v>
      </c>
      <c r="T656" s="66">
        <f t="shared" si="142"/>
        <v>768.86984999999993</v>
      </c>
      <c r="U656" s="68">
        <f t="shared" si="143"/>
        <v>64.072487499999994</v>
      </c>
      <c r="V656" s="68">
        <f t="shared" si="144"/>
        <v>489.10295801526712</v>
      </c>
      <c r="W656" s="68">
        <f t="shared" si="145"/>
        <v>326.06863867684473</v>
      </c>
    </row>
    <row r="657" spans="1:23" x14ac:dyDescent="0.25">
      <c r="A657" s="169" t="s">
        <v>945</v>
      </c>
      <c r="B657" s="61" t="s">
        <v>391</v>
      </c>
      <c r="C657" s="61" t="s">
        <v>585</v>
      </c>
      <c r="D657" s="61" t="s">
        <v>586</v>
      </c>
      <c r="E657" s="1" t="s">
        <v>356</v>
      </c>
      <c r="F657" s="62" t="str">
        <f t="shared" si="146"/>
        <v>64511</v>
      </c>
      <c r="G657" s="269">
        <v>10620057</v>
      </c>
      <c r="H657" s="1" t="s">
        <v>382</v>
      </c>
      <c r="I657" s="61">
        <v>16</v>
      </c>
      <c r="J657" s="61">
        <v>4.2</v>
      </c>
      <c r="K657" s="61">
        <v>8.4</v>
      </c>
      <c r="L657" s="69">
        <f t="shared" si="135"/>
        <v>0.67200000000000004</v>
      </c>
      <c r="M657" s="69">
        <f t="shared" si="136"/>
        <v>1.3440000000000001</v>
      </c>
      <c r="N657" s="56">
        <f>INDEX(Rate_Chart!$A$1:$AK$127,MATCH(Data!J657,Rate_Chart!$A$1:$A$127,0),MATCH(Data!K657,Rate_Chart!$A$1:$AK$1,0))</f>
        <v>40.867167600000002</v>
      </c>
      <c r="O657" s="57">
        <f t="shared" si="137"/>
        <v>653.87468160000003</v>
      </c>
      <c r="P657" s="58">
        <f t="shared" si="138"/>
        <v>417.01191428571428</v>
      </c>
      <c r="Q657" s="58">
        <f t="shared" si="139"/>
        <v>278.00794285714284</v>
      </c>
      <c r="R657" s="66">
        <f t="shared" si="140"/>
        <v>11.442806928000001</v>
      </c>
      <c r="S657" s="64">
        <f t="shared" si="141"/>
        <v>60</v>
      </c>
      <c r="T657" s="66">
        <f t="shared" si="142"/>
        <v>725.31748852800001</v>
      </c>
      <c r="U657" s="68">
        <f t="shared" si="143"/>
        <v>45.332343033000001</v>
      </c>
      <c r="V657" s="68">
        <f t="shared" si="144"/>
        <v>462.57492890816326</v>
      </c>
      <c r="W657" s="68">
        <f t="shared" si="145"/>
        <v>308.38328593877549</v>
      </c>
    </row>
    <row r="658" spans="1:23" x14ac:dyDescent="0.25">
      <c r="A658" s="169" t="s">
        <v>946</v>
      </c>
      <c r="B658" s="61" t="s">
        <v>390</v>
      </c>
      <c r="C658" s="61" t="s">
        <v>585</v>
      </c>
      <c r="D658" s="61" t="s">
        <v>586</v>
      </c>
      <c r="E658" s="1" t="s">
        <v>356</v>
      </c>
      <c r="F658" s="62" t="str">
        <f t="shared" si="146"/>
        <v>64511</v>
      </c>
      <c r="G658" s="269">
        <v>10620057</v>
      </c>
      <c r="H658" s="1" t="s">
        <v>381</v>
      </c>
      <c r="I658" s="61">
        <v>38</v>
      </c>
      <c r="J658" s="61">
        <v>6.5</v>
      </c>
      <c r="K658" s="61">
        <v>9</v>
      </c>
      <c r="L658" s="69">
        <f t="shared" si="135"/>
        <v>2.4700000000000002</v>
      </c>
      <c r="M658" s="69">
        <f t="shared" si="136"/>
        <v>3.42</v>
      </c>
      <c r="N658" s="56">
        <f>INDEX(Rate_Chart!$A$1:$AK$127,MATCH(Data!J658,Rate_Chart!$A$1:$A$127,0),MATCH(Data!K658,Rate_Chart!$A$1:$AK$1,0))</f>
        <v>54.274999999999999</v>
      </c>
      <c r="O658" s="57">
        <f t="shared" si="137"/>
        <v>2062.4499999999998</v>
      </c>
      <c r="P658" s="58">
        <f t="shared" si="138"/>
        <v>434.2</v>
      </c>
      <c r="Q658" s="58">
        <f t="shared" si="139"/>
        <v>289.46666666666664</v>
      </c>
      <c r="R658" s="66">
        <f t="shared" si="140"/>
        <v>36.092874999999999</v>
      </c>
      <c r="S658" s="64">
        <f t="shared" si="141"/>
        <v>142.5</v>
      </c>
      <c r="T658" s="66">
        <f t="shared" si="142"/>
        <v>2241.0428749999996</v>
      </c>
      <c r="U658" s="68">
        <f t="shared" si="143"/>
        <v>58.974812499999992</v>
      </c>
      <c r="V658" s="68">
        <f t="shared" si="144"/>
        <v>471.79849999999993</v>
      </c>
      <c r="W658" s="68">
        <f t="shared" si="145"/>
        <v>314.53233333333327</v>
      </c>
    </row>
    <row r="659" spans="1:23" x14ac:dyDescent="0.25">
      <c r="A659" s="169" t="s">
        <v>946</v>
      </c>
      <c r="B659" s="61" t="s">
        <v>390</v>
      </c>
      <c r="C659" s="61" t="s">
        <v>585</v>
      </c>
      <c r="D659" s="61" t="s">
        <v>586</v>
      </c>
      <c r="E659" s="1" t="s">
        <v>356</v>
      </c>
      <c r="F659" s="62" t="str">
        <f t="shared" si="146"/>
        <v>64511</v>
      </c>
      <c r="G659" s="269">
        <v>10620057</v>
      </c>
      <c r="H659" s="1" t="s">
        <v>382</v>
      </c>
      <c r="I659" s="61">
        <v>40</v>
      </c>
      <c r="J659" s="61">
        <v>3.7</v>
      </c>
      <c r="K659" s="61">
        <v>8.3000000000000007</v>
      </c>
      <c r="L659" s="69">
        <f t="shared" si="135"/>
        <v>1.48</v>
      </c>
      <c r="M659" s="69">
        <f t="shared" si="136"/>
        <v>3.32</v>
      </c>
      <c r="N659" s="56">
        <f>INDEX(Rate_Chart!$A$1:$AK$127,MATCH(Data!J659,Rate_Chart!$A$1:$A$127,0),MATCH(Data!K659,Rate_Chart!$A$1:$AK$1,0))</f>
        <v>38.504153700000003</v>
      </c>
      <c r="O659" s="57">
        <f t="shared" si="137"/>
        <v>1540.1661480000002</v>
      </c>
      <c r="P659" s="58">
        <f t="shared" si="138"/>
        <v>417.01249494584835</v>
      </c>
      <c r="Q659" s="58">
        <f t="shared" si="139"/>
        <v>278.00832996389892</v>
      </c>
      <c r="R659" s="66">
        <f t="shared" si="140"/>
        <v>26.952907590000006</v>
      </c>
      <c r="S659" s="64">
        <f t="shared" si="141"/>
        <v>150</v>
      </c>
      <c r="T659" s="66">
        <f t="shared" si="142"/>
        <v>1717.1190555900002</v>
      </c>
      <c r="U659" s="68">
        <f t="shared" si="143"/>
        <v>42.927976389750008</v>
      </c>
      <c r="V659" s="68">
        <f t="shared" si="144"/>
        <v>464.92393201895305</v>
      </c>
      <c r="W659" s="68">
        <f t="shared" si="145"/>
        <v>309.94928801263535</v>
      </c>
    </row>
    <row r="660" spans="1:23" x14ac:dyDescent="0.25">
      <c r="A660" s="169" t="s">
        <v>946</v>
      </c>
      <c r="B660" s="61" t="s">
        <v>391</v>
      </c>
      <c r="C660" s="61" t="s">
        <v>585</v>
      </c>
      <c r="D660" s="61" t="s">
        <v>586</v>
      </c>
      <c r="E660" s="1" t="s">
        <v>356</v>
      </c>
      <c r="F660" s="62" t="str">
        <f t="shared" si="146"/>
        <v>64511</v>
      </c>
      <c r="G660" s="269">
        <v>10620057</v>
      </c>
      <c r="H660" s="1" t="s">
        <v>381</v>
      </c>
      <c r="I660" s="61">
        <v>13</v>
      </c>
      <c r="J660" s="61">
        <v>6.5</v>
      </c>
      <c r="K660" s="61">
        <v>9</v>
      </c>
      <c r="L660" s="69">
        <f t="shared" si="135"/>
        <v>0.84499999999999997</v>
      </c>
      <c r="M660" s="69">
        <f t="shared" si="136"/>
        <v>1.17</v>
      </c>
      <c r="N660" s="56">
        <f>INDEX(Rate_Chart!$A$1:$AK$127,MATCH(Data!J660,Rate_Chart!$A$1:$A$127,0),MATCH(Data!K660,Rate_Chart!$A$1:$AK$1,0))</f>
        <v>54.274999999999999</v>
      </c>
      <c r="O660" s="57">
        <f t="shared" si="137"/>
        <v>705.57499999999993</v>
      </c>
      <c r="P660" s="58">
        <f t="shared" si="138"/>
        <v>434.2</v>
      </c>
      <c r="Q660" s="58">
        <f t="shared" si="139"/>
        <v>289.46666666666664</v>
      </c>
      <c r="R660" s="66">
        <f t="shared" si="140"/>
        <v>12.3475625</v>
      </c>
      <c r="S660" s="64">
        <f t="shared" si="141"/>
        <v>48.75</v>
      </c>
      <c r="T660" s="66">
        <f t="shared" si="142"/>
        <v>766.67256249999991</v>
      </c>
      <c r="U660" s="68">
        <f t="shared" si="143"/>
        <v>58.974812499999992</v>
      </c>
      <c r="V660" s="68">
        <f t="shared" si="144"/>
        <v>471.79849999999993</v>
      </c>
      <c r="W660" s="68">
        <f t="shared" si="145"/>
        <v>314.53233333333327</v>
      </c>
    </row>
    <row r="661" spans="1:23" x14ac:dyDescent="0.25">
      <c r="A661" s="169" t="s">
        <v>946</v>
      </c>
      <c r="B661" s="61" t="s">
        <v>391</v>
      </c>
      <c r="C661" s="61" t="s">
        <v>585</v>
      </c>
      <c r="D661" s="61" t="s">
        <v>586</v>
      </c>
      <c r="E661" s="1" t="s">
        <v>356</v>
      </c>
      <c r="F661" s="62" t="str">
        <f t="shared" si="146"/>
        <v>64511</v>
      </c>
      <c r="G661" s="269">
        <v>10620057</v>
      </c>
      <c r="H661" s="1" t="s">
        <v>382</v>
      </c>
      <c r="I661" s="61">
        <v>18</v>
      </c>
      <c r="J661" s="61">
        <v>4.3</v>
      </c>
      <c r="K661" s="61">
        <v>8.5</v>
      </c>
      <c r="L661" s="69">
        <f t="shared" si="135"/>
        <v>0.77399999999999991</v>
      </c>
      <c r="M661" s="69">
        <f t="shared" si="136"/>
        <v>1.53</v>
      </c>
      <c r="N661" s="56">
        <f>INDEX(Rate_Chart!$A$1:$AK$127,MATCH(Data!J661,Rate_Chart!$A$1:$A$127,0),MATCH(Data!K661,Rate_Chart!$A$1:$AK$1,0))</f>
        <v>41.562181500000001</v>
      </c>
      <c r="O661" s="57">
        <f t="shared" si="137"/>
        <v>748.11926700000004</v>
      </c>
      <c r="P661" s="58">
        <f t="shared" si="138"/>
        <v>417.01185451505017</v>
      </c>
      <c r="Q661" s="58">
        <f t="shared" si="139"/>
        <v>278.00790301003343</v>
      </c>
      <c r="R661" s="66">
        <f t="shared" si="140"/>
        <v>13.092087172500001</v>
      </c>
      <c r="S661" s="64">
        <f t="shared" si="141"/>
        <v>67.5</v>
      </c>
      <c r="T661" s="66">
        <f t="shared" si="142"/>
        <v>828.71135417250002</v>
      </c>
      <c r="U661" s="68">
        <f t="shared" si="143"/>
        <v>46.039519676250002</v>
      </c>
      <c r="V661" s="68">
        <f t="shared" si="144"/>
        <v>461.93498002926424</v>
      </c>
      <c r="W661" s="68">
        <f t="shared" si="145"/>
        <v>307.95665335284281</v>
      </c>
    </row>
    <row r="662" spans="1:23" x14ac:dyDescent="0.25">
      <c r="A662" s="169" t="s">
        <v>947</v>
      </c>
      <c r="B662" s="61" t="s">
        <v>390</v>
      </c>
      <c r="C662" s="61" t="s">
        <v>585</v>
      </c>
      <c r="D662" s="61" t="s">
        <v>586</v>
      </c>
      <c r="E662" s="1" t="s">
        <v>356</v>
      </c>
      <c r="F662" s="62" t="str">
        <f t="shared" si="146"/>
        <v>64511</v>
      </c>
      <c r="G662" s="269">
        <v>10620057</v>
      </c>
      <c r="H662" s="1" t="s">
        <v>381</v>
      </c>
      <c r="I662" s="61">
        <v>41</v>
      </c>
      <c r="J662" s="61">
        <v>6.1</v>
      </c>
      <c r="K662" s="61">
        <v>9</v>
      </c>
      <c r="L662" s="69">
        <f t="shared" si="135"/>
        <v>2.5009999999999999</v>
      </c>
      <c r="M662" s="69">
        <f t="shared" si="136"/>
        <v>3.69</v>
      </c>
      <c r="N662" s="56">
        <f>INDEX(Rate_Chart!$A$1:$AK$127,MATCH(Data!J662,Rate_Chart!$A$1:$A$127,0),MATCH(Data!K662,Rate_Chart!$A$1:$AK$1,0))</f>
        <v>50.935000000000002</v>
      </c>
      <c r="O662" s="57">
        <f t="shared" si="137"/>
        <v>2088.335</v>
      </c>
      <c r="P662" s="58">
        <f t="shared" si="138"/>
        <v>420.95041322314052</v>
      </c>
      <c r="Q662" s="58">
        <f t="shared" si="139"/>
        <v>280.63360881542701</v>
      </c>
      <c r="R662" s="66">
        <f t="shared" si="140"/>
        <v>36.545862500000005</v>
      </c>
      <c r="S662" s="64">
        <f t="shared" si="141"/>
        <v>153.75</v>
      </c>
      <c r="T662" s="66">
        <f t="shared" si="142"/>
        <v>2278.6308625000001</v>
      </c>
      <c r="U662" s="68">
        <f t="shared" si="143"/>
        <v>55.576362500000002</v>
      </c>
      <c r="V662" s="68">
        <f t="shared" si="144"/>
        <v>459.30878099173555</v>
      </c>
      <c r="W662" s="68">
        <f t="shared" si="145"/>
        <v>306.20585399449038</v>
      </c>
    </row>
    <row r="663" spans="1:23" x14ac:dyDescent="0.25">
      <c r="A663" s="169" t="s">
        <v>947</v>
      </c>
      <c r="B663" s="61" t="s">
        <v>390</v>
      </c>
      <c r="C663" s="61" t="s">
        <v>585</v>
      </c>
      <c r="D663" s="61" t="s">
        <v>586</v>
      </c>
      <c r="E663" s="1" t="s">
        <v>356</v>
      </c>
      <c r="F663" s="62" t="str">
        <f t="shared" si="146"/>
        <v>64511</v>
      </c>
      <c r="G663" s="269">
        <v>10620057</v>
      </c>
      <c r="H663" s="1" t="s">
        <v>382</v>
      </c>
      <c r="I663" s="61">
        <v>40</v>
      </c>
      <c r="J663" s="61">
        <v>4.0999999999999996</v>
      </c>
      <c r="K663" s="61">
        <v>8.5</v>
      </c>
      <c r="L663" s="69">
        <f t="shared" si="135"/>
        <v>1.64</v>
      </c>
      <c r="M663" s="69">
        <f t="shared" si="136"/>
        <v>3.4</v>
      </c>
      <c r="N663" s="56">
        <f>INDEX(Rate_Chart!$A$1:$AK$127,MATCH(Data!J663,Rate_Chart!$A$1:$A$127,0),MATCH(Data!K663,Rate_Chart!$A$1:$AK$1,0))</f>
        <v>40.728181500000005</v>
      </c>
      <c r="O663" s="57">
        <f t="shared" si="137"/>
        <v>1629.1272600000002</v>
      </c>
      <c r="P663" s="58">
        <f t="shared" si="138"/>
        <v>417.01209726962463</v>
      </c>
      <c r="Q663" s="58">
        <f t="shared" si="139"/>
        <v>278.0080648464164</v>
      </c>
      <c r="R663" s="66">
        <f t="shared" si="140"/>
        <v>28.509727050000006</v>
      </c>
      <c r="S663" s="64">
        <f t="shared" si="141"/>
        <v>150</v>
      </c>
      <c r="T663" s="66">
        <f t="shared" si="142"/>
        <v>1807.6369870500002</v>
      </c>
      <c r="U663" s="68">
        <f t="shared" si="143"/>
        <v>45.190924676250006</v>
      </c>
      <c r="V663" s="68">
        <f t="shared" si="144"/>
        <v>462.70571340870316</v>
      </c>
      <c r="W663" s="68">
        <f t="shared" si="145"/>
        <v>308.47047560580211</v>
      </c>
    </row>
    <row r="664" spans="1:23" x14ac:dyDescent="0.25">
      <c r="A664" s="169" t="s">
        <v>947</v>
      </c>
      <c r="B664" s="61" t="s">
        <v>391</v>
      </c>
      <c r="C664" s="61" t="s">
        <v>585</v>
      </c>
      <c r="D664" s="61" t="s">
        <v>586</v>
      </c>
      <c r="E664" s="1" t="s">
        <v>356</v>
      </c>
      <c r="F664" s="62" t="str">
        <f t="shared" si="146"/>
        <v>64511</v>
      </c>
      <c r="G664" s="269">
        <v>10620057</v>
      </c>
      <c r="H664" s="1" t="s">
        <v>381</v>
      </c>
      <c r="I664" s="61">
        <v>11</v>
      </c>
      <c r="J664" s="61">
        <v>6.6</v>
      </c>
      <c r="K664" s="61">
        <v>9</v>
      </c>
      <c r="L664" s="69">
        <f t="shared" si="135"/>
        <v>0.72599999999999998</v>
      </c>
      <c r="M664" s="69">
        <f t="shared" si="136"/>
        <v>0.99</v>
      </c>
      <c r="N664" s="56">
        <f>INDEX(Rate_Chart!$A$1:$AK$127,MATCH(Data!J664,Rate_Chart!$A$1:$A$127,0),MATCH(Data!K664,Rate_Chart!$A$1:$AK$1,0))</f>
        <v>55.11</v>
      </c>
      <c r="O664" s="57">
        <f t="shared" si="137"/>
        <v>606.21</v>
      </c>
      <c r="P664" s="58">
        <f t="shared" si="138"/>
        <v>437.38095238095235</v>
      </c>
      <c r="Q664" s="58">
        <f t="shared" si="139"/>
        <v>291.58730158730157</v>
      </c>
      <c r="R664" s="66">
        <f t="shared" si="140"/>
        <v>10.608675000000002</v>
      </c>
      <c r="S664" s="64">
        <f t="shared" si="141"/>
        <v>41.25</v>
      </c>
      <c r="T664" s="66">
        <f t="shared" si="142"/>
        <v>658.06867499999998</v>
      </c>
      <c r="U664" s="68">
        <f t="shared" si="143"/>
        <v>59.824424999999998</v>
      </c>
      <c r="V664" s="68">
        <f t="shared" si="144"/>
        <v>474.79702380952381</v>
      </c>
      <c r="W664" s="68">
        <f t="shared" si="145"/>
        <v>316.5313492063492</v>
      </c>
    </row>
    <row r="665" spans="1:23" x14ac:dyDescent="0.25">
      <c r="A665" s="169" t="s">
        <v>947</v>
      </c>
      <c r="B665" s="61" t="s">
        <v>391</v>
      </c>
      <c r="C665" s="61" t="s">
        <v>585</v>
      </c>
      <c r="D665" s="61" t="s">
        <v>586</v>
      </c>
      <c r="E665" s="1" t="s">
        <v>356</v>
      </c>
      <c r="F665" s="62" t="str">
        <f t="shared" si="146"/>
        <v>64511</v>
      </c>
      <c r="G665" s="269">
        <v>10620057</v>
      </c>
      <c r="H665" s="1" t="s">
        <v>382</v>
      </c>
      <c r="I665" s="61">
        <v>16</v>
      </c>
      <c r="J665" s="61">
        <v>3.9</v>
      </c>
      <c r="K665" s="61">
        <v>8.5</v>
      </c>
      <c r="L665" s="69">
        <f t="shared" si="135"/>
        <v>0.624</v>
      </c>
      <c r="M665" s="69">
        <f t="shared" si="136"/>
        <v>1.36</v>
      </c>
      <c r="N665" s="56">
        <f>INDEX(Rate_Chart!$A$1:$AK$127,MATCH(Data!J665,Rate_Chart!$A$1:$A$127,0),MATCH(Data!K665,Rate_Chart!$A$1:$AK$1,0))</f>
        <v>39.894181500000002</v>
      </c>
      <c r="O665" s="57">
        <f t="shared" si="137"/>
        <v>638.30690400000003</v>
      </c>
      <c r="P665" s="58">
        <f t="shared" si="138"/>
        <v>417.01235017421601</v>
      </c>
      <c r="Q665" s="58">
        <f t="shared" si="139"/>
        <v>278.00823344947736</v>
      </c>
      <c r="R665" s="66">
        <f t="shared" si="140"/>
        <v>11.170370820000002</v>
      </c>
      <c r="S665" s="64">
        <f t="shared" si="141"/>
        <v>60</v>
      </c>
      <c r="T665" s="66">
        <f t="shared" si="142"/>
        <v>709.47727482000005</v>
      </c>
      <c r="U665" s="68">
        <f t="shared" si="143"/>
        <v>44.342329676250003</v>
      </c>
      <c r="V665" s="68">
        <f t="shared" si="144"/>
        <v>463.50867257404178</v>
      </c>
      <c r="W665" s="68">
        <f t="shared" si="145"/>
        <v>309.00578171602785</v>
      </c>
    </row>
    <row r="666" spans="1:23" x14ac:dyDescent="0.25">
      <c r="A666" s="169" t="s">
        <v>941</v>
      </c>
      <c r="B666" s="61" t="s">
        <v>391</v>
      </c>
      <c r="C666" s="61" t="s">
        <v>585</v>
      </c>
      <c r="D666" s="61" t="s">
        <v>587</v>
      </c>
      <c r="E666" s="1" t="s">
        <v>357</v>
      </c>
      <c r="F666" s="62" t="str">
        <f t="shared" si="146"/>
        <v>64513</v>
      </c>
      <c r="G666" s="269">
        <v>10620044</v>
      </c>
      <c r="H666" s="1" t="s">
        <v>381</v>
      </c>
      <c r="I666" s="61">
        <v>13</v>
      </c>
      <c r="J666" s="61">
        <v>6.9</v>
      </c>
      <c r="K666" s="61">
        <v>9</v>
      </c>
      <c r="L666" s="69">
        <f t="shared" si="135"/>
        <v>0.89700000000000002</v>
      </c>
      <c r="M666" s="69">
        <f t="shared" si="136"/>
        <v>1.17</v>
      </c>
      <c r="N666" s="56">
        <f>INDEX(Rate_Chart!$A$1:$AK$127,MATCH(Data!J666,Rate_Chart!$A$1:$A$127,0),MATCH(Data!K666,Rate_Chart!$A$1:$AK$1,0))</f>
        <v>57.615000000000002</v>
      </c>
      <c r="O666" s="57">
        <f t="shared" si="137"/>
        <v>748.995</v>
      </c>
      <c r="P666" s="58">
        <f t="shared" si="138"/>
        <v>446.62790697674421</v>
      </c>
      <c r="Q666" s="58">
        <f t="shared" si="139"/>
        <v>297.75193798449612</v>
      </c>
      <c r="R666" s="66">
        <f t="shared" si="140"/>
        <v>13.107412500000001</v>
      </c>
      <c r="S666" s="64">
        <f t="shared" si="141"/>
        <v>48.75</v>
      </c>
      <c r="T666" s="66">
        <f t="shared" si="142"/>
        <v>810.85241250000001</v>
      </c>
      <c r="U666" s="68">
        <f t="shared" si="143"/>
        <v>62.373262500000003</v>
      </c>
      <c r="V666" s="68">
        <f t="shared" si="144"/>
        <v>483.51366279069771</v>
      </c>
      <c r="W666" s="68">
        <f t="shared" si="145"/>
        <v>322.34244186046516</v>
      </c>
    </row>
    <row r="667" spans="1:23" x14ac:dyDescent="0.25">
      <c r="A667" s="169" t="s">
        <v>941</v>
      </c>
      <c r="B667" s="61" t="s">
        <v>391</v>
      </c>
      <c r="C667" s="61" t="s">
        <v>585</v>
      </c>
      <c r="D667" s="61" t="s">
        <v>587</v>
      </c>
      <c r="E667" s="1" t="s">
        <v>357</v>
      </c>
      <c r="F667" s="62" t="str">
        <f t="shared" si="146"/>
        <v>64513</v>
      </c>
      <c r="G667" s="269">
        <v>10620044</v>
      </c>
      <c r="H667" s="1" t="s">
        <v>382</v>
      </c>
      <c r="I667" s="61">
        <v>33</v>
      </c>
      <c r="J667" s="61">
        <v>3.7</v>
      </c>
      <c r="K667" s="61">
        <v>8.3000000000000007</v>
      </c>
      <c r="L667" s="69">
        <f t="shared" si="135"/>
        <v>1.2210000000000001</v>
      </c>
      <c r="M667" s="69">
        <f t="shared" si="136"/>
        <v>2.7390000000000003</v>
      </c>
      <c r="N667" s="56">
        <f>INDEX(Rate_Chart!$A$1:$AK$127,MATCH(Data!J667,Rate_Chart!$A$1:$A$127,0),MATCH(Data!K667,Rate_Chart!$A$1:$AK$1,0))</f>
        <v>38.504153700000003</v>
      </c>
      <c r="O667" s="57">
        <f t="shared" si="137"/>
        <v>1270.6370721000001</v>
      </c>
      <c r="P667" s="58">
        <f t="shared" si="138"/>
        <v>417.01249494584835</v>
      </c>
      <c r="Q667" s="58">
        <f t="shared" si="139"/>
        <v>278.00832996389892</v>
      </c>
      <c r="R667" s="66">
        <f t="shared" si="140"/>
        <v>22.236148761750002</v>
      </c>
      <c r="S667" s="64">
        <f t="shared" si="141"/>
        <v>123.75</v>
      </c>
      <c r="T667" s="66">
        <f t="shared" si="142"/>
        <v>1416.62322086175</v>
      </c>
      <c r="U667" s="68">
        <f t="shared" si="143"/>
        <v>42.92797638975</v>
      </c>
      <c r="V667" s="68">
        <f t="shared" si="144"/>
        <v>464.923932018953</v>
      </c>
      <c r="W667" s="68">
        <f t="shared" si="145"/>
        <v>309.94928801263535</v>
      </c>
    </row>
    <row r="668" spans="1:23" x14ac:dyDescent="0.25">
      <c r="A668" s="169" t="s">
        <v>942</v>
      </c>
      <c r="B668" s="61" t="s">
        <v>390</v>
      </c>
      <c r="C668" s="61" t="s">
        <v>585</v>
      </c>
      <c r="D668" s="61" t="s">
        <v>587</v>
      </c>
      <c r="E668" s="1" t="s">
        <v>357</v>
      </c>
      <c r="F668" s="62" t="str">
        <f t="shared" si="146"/>
        <v>64513</v>
      </c>
      <c r="G668" s="269">
        <v>10620044</v>
      </c>
      <c r="H668" s="1" t="s">
        <v>381</v>
      </c>
      <c r="I668" s="61">
        <v>14</v>
      </c>
      <c r="J668" s="61">
        <v>6.3</v>
      </c>
      <c r="K668" s="61">
        <v>9</v>
      </c>
      <c r="L668" s="69">
        <f t="shared" si="135"/>
        <v>0.88200000000000001</v>
      </c>
      <c r="M668" s="69">
        <f t="shared" si="136"/>
        <v>1.26</v>
      </c>
      <c r="N668" s="56">
        <f>INDEX(Rate_Chart!$A$1:$AK$127,MATCH(Data!J668,Rate_Chart!$A$1:$A$127,0),MATCH(Data!K668,Rate_Chart!$A$1:$AK$1,0))</f>
        <v>52.604999999999997</v>
      </c>
      <c r="O668" s="57">
        <f t="shared" si="137"/>
        <v>736.46999999999991</v>
      </c>
      <c r="P668" s="58">
        <f t="shared" si="138"/>
        <v>427.6829268292683</v>
      </c>
      <c r="Q668" s="58">
        <f t="shared" si="139"/>
        <v>285.1219512195122</v>
      </c>
      <c r="R668" s="66">
        <f t="shared" si="140"/>
        <v>12.888225</v>
      </c>
      <c r="S668" s="64">
        <f t="shared" si="141"/>
        <v>52.5</v>
      </c>
      <c r="T668" s="66">
        <f t="shared" si="142"/>
        <v>801.85822499999995</v>
      </c>
      <c r="U668" s="68">
        <f t="shared" si="143"/>
        <v>57.275587499999993</v>
      </c>
      <c r="V668" s="68">
        <f t="shared" si="144"/>
        <v>465.65518292682924</v>
      </c>
      <c r="W668" s="68">
        <f t="shared" si="145"/>
        <v>310.43678861788618</v>
      </c>
    </row>
    <row r="669" spans="1:23" x14ac:dyDescent="0.25">
      <c r="A669" s="169" t="s">
        <v>942</v>
      </c>
      <c r="B669" s="61" t="s">
        <v>390</v>
      </c>
      <c r="C669" s="61" t="s">
        <v>585</v>
      </c>
      <c r="D669" s="61" t="s">
        <v>587</v>
      </c>
      <c r="E669" s="1" t="s">
        <v>357</v>
      </c>
      <c r="F669" s="62" t="str">
        <f t="shared" si="146"/>
        <v>64513</v>
      </c>
      <c r="G669" s="269">
        <v>10620044</v>
      </c>
      <c r="H669" s="1" t="s">
        <v>382</v>
      </c>
      <c r="I669" s="61">
        <v>28</v>
      </c>
      <c r="J669" s="61">
        <v>3.3</v>
      </c>
      <c r="K669" s="61">
        <v>8</v>
      </c>
      <c r="L669" s="69">
        <f t="shared" si="135"/>
        <v>0.92399999999999993</v>
      </c>
      <c r="M669" s="69">
        <f t="shared" si="136"/>
        <v>2.2400000000000002</v>
      </c>
      <c r="N669" s="56">
        <f>INDEX(Rate_Chart!$A$1:$AK$127,MATCH(Data!J669,Rate_Chart!$A$1:$A$127,0),MATCH(Data!K669,Rate_Chart!$A$1:$AK$1,0))</f>
        <v>36.002112000000004</v>
      </c>
      <c r="O669" s="57">
        <f t="shared" si="137"/>
        <v>1008.0591360000001</v>
      </c>
      <c r="P669" s="58">
        <f t="shared" si="138"/>
        <v>417.01288030888031</v>
      </c>
      <c r="Q669" s="58">
        <f t="shared" si="139"/>
        <v>278.00858687258687</v>
      </c>
      <c r="R669" s="66">
        <f t="shared" si="140"/>
        <v>17.641034880000003</v>
      </c>
      <c r="S669" s="64">
        <f t="shared" si="141"/>
        <v>105</v>
      </c>
      <c r="T669" s="66">
        <f t="shared" si="142"/>
        <v>1130.7001708800001</v>
      </c>
      <c r="U669" s="68">
        <f t="shared" si="143"/>
        <v>40.382148960000002</v>
      </c>
      <c r="V669" s="68">
        <f t="shared" si="144"/>
        <v>467.74689915057911</v>
      </c>
      <c r="W669" s="68">
        <f t="shared" si="145"/>
        <v>311.83126610038607</v>
      </c>
    </row>
    <row r="670" spans="1:23" x14ac:dyDescent="0.25">
      <c r="A670" s="169" t="s">
        <v>942</v>
      </c>
      <c r="B670" s="61" t="s">
        <v>391</v>
      </c>
      <c r="C670" s="61" t="s">
        <v>585</v>
      </c>
      <c r="D670" s="61" t="s">
        <v>587</v>
      </c>
      <c r="E670" s="1" t="s">
        <v>357</v>
      </c>
      <c r="F670" s="62" t="str">
        <f t="shared" si="146"/>
        <v>64513</v>
      </c>
      <c r="G670" s="269">
        <v>10620044</v>
      </c>
      <c r="H670" s="1" t="s">
        <v>381</v>
      </c>
      <c r="I670" s="61">
        <v>11</v>
      </c>
      <c r="J670" s="61">
        <v>7</v>
      </c>
      <c r="K670" s="61">
        <v>9</v>
      </c>
      <c r="L670" s="69">
        <f t="shared" si="135"/>
        <v>0.77</v>
      </c>
      <c r="M670" s="69">
        <f t="shared" si="136"/>
        <v>0.99</v>
      </c>
      <c r="N670" s="56">
        <f>INDEX(Rate_Chart!$A$1:$AK$127,MATCH(Data!J670,Rate_Chart!$A$1:$A$127,0),MATCH(Data!K670,Rate_Chart!$A$1:$AK$1,0))</f>
        <v>58.45</v>
      </c>
      <c r="O670" s="57">
        <f t="shared" si="137"/>
        <v>642.95000000000005</v>
      </c>
      <c r="P670" s="58">
        <f t="shared" si="138"/>
        <v>449.61538461538464</v>
      </c>
      <c r="Q670" s="58">
        <f t="shared" si="139"/>
        <v>299.74358974358978</v>
      </c>
      <c r="R670" s="66">
        <f t="shared" si="140"/>
        <v>11.251625000000002</v>
      </c>
      <c r="S670" s="64">
        <f t="shared" si="141"/>
        <v>41.25</v>
      </c>
      <c r="T670" s="66">
        <f t="shared" si="142"/>
        <v>695.45162500000004</v>
      </c>
      <c r="U670" s="68">
        <f t="shared" si="143"/>
        <v>63.222875000000002</v>
      </c>
      <c r="V670" s="68">
        <f t="shared" si="144"/>
        <v>486.32980769230767</v>
      </c>
      <c r="W670" s="68">
        <f t="shared" si="145"/>
        <v>324.21987179487178</v>
      </c>
    </row>
    <row r="671" spans="1:23" x14ac:dyDescent="0.25">
      <c r="A671" s="169" t="s">
        <v>942</v>
      </c>
      <c r="B671" s="61" t="s">
        <v>391</v>
      </c>
      <c r="C671" s="61" t="s">
        <v>585</v>
      </c>
      <c r="D671" s="61" t="s">
        <v>587</v>
      </c>
      <c r="E671" s="1" t="s">
        <v>357</v>
      </c>
      <c r="F671" s="62" t="str">
        <f t="shared" si="146"/>
        <v>64513</v>
      </c>
      <c r="G671" s="269">
        <v>10620044</v>
      </c>
      <c r="H671" s="1" t="s">
        <v>382</v>
      </c>
      <c r="I671" s="61">
        <v>14</v>
      </c>
      <c r="J671" s="61">
        <v>3.6</v>
      </c>
      <c r="K671" s="61">
        <v>8</v>
      </c>
      <c r="L671" s="69">
        <f t="shared" si="135"/>
        <v>0.504</v>
      </c>
      <c r="M671" s="69">
        <f t="shared" si="136"/>
        <v>1.1200000000000001</v>
      </c>
      <c r="N671" s="56">
        <f>INDEX(Rate_Chart!$A$1:$AK$127,MATCH(Data!J671,Rate_Chart!$A$1:$A$127,0),MATCH(Data!K671,Rate_Chart!$A$1:$AK$1,0))</f>
        <v>37.253112000000009</v>
      </c>
      <c r="O671" s="57">
        <f t="shared" si="137"/>
        <v>521.54356800000016</v>
      </c>
      <c r="P671" s="58">
        <f t="shared" si="138"/>
        <v>417.01244776119404</v>
      </c>
      <c r="Q671" s="58">
        <f t="shared" si="139"/>
        <v>278.00829850746271</v>
      </c>
      <c r="R671" s="66">
        <f t="shared" si="140"/>
        <v>9.1270124400000032</v>
      </c>
      <c r="S671" s="64">
        <f t="shared" si="141"/>
        <v>52.5</v>
      </c>
      <c r="T671" s="66">
        <f t="shared" si="142"/>
        <v>583.17058044000021</v>
      </c>
      <c r="U671" s="68">
        <f t="shared" si="143"/>
        <v>41.655041460000014</v>
      </c>
      <c r="V671" s="68">
        <f t="shared" si="144"/>
        <v>466.2877775373135</v>
      </c>
      <c r="W671" s="68">
        <f t="shared" si="145"/>
        <v>310.85851835820898</v>
      </c>
    </row>
    <row r="672" spans="1:23" x14ac:dyDescent="0.25">
      <c r="A672" s="169" t="s">
        <v>943</v>
      </c>
      <c r="B672" s="61" t="s">
        <v>390</v>
      </c>
      <c r="C672" s="61" t="s">
        <v>585</v>
      </c>
      <c r="D672" s="61" t="s">
        <v>587</v>
      </c>
      <c r="E672" s="1" t="s">
        <v>357</v>
      </c>
      <c r="F672" s="62" t="str">
        <f t="shared" si="146"/>
        <v>64513</v>
      </c>
      <c r="G672" s="269">
        <v>10620044</v>
      </c>
      <c r="H672" s="1" t="s">
        <v>381</v>
      </c>
      <c r="I672" s="61">
        <v>26</v>
      </c>
      <c r="J672" s="61">
        <v>5.7</v>
      </c>
      <c r="K672" s="61">
        <v>8.8000000000000007</v>
      </c>
      <c r="L672" s="69">
        <f t="shared" si="135"/>
        <v>1.4820000000000002</v>
      </c>
      <c r="M672" s="69">
        <f t="shared" si="136"/>
        <v>2.2880000000000003</v>
      </c>
      <c r="N672" s="56">
        <f>INDEX(Rate_Chart!$A$1:$AK$127,MATCH(Data!J672,Rate_Chart!$A$1:$A$127,0),MATCH(Data!K672,Rate_Chart!$A$1:$AK$1,0))</f>
        <v>47.119050000000001</v>
      </c>
      <c r="O672" s="57">
        <f t="shared" si="137"/>
        <v>1225.0953</v>
      </c>
      <c r="P672" s="58">
        <f t="shared" si="138"/>
        <v>407.3693083573487</v>
      </c>
      <c r="Q672" s="58">
        <f t="shared" si="139"/>
        <v>271.57953890489915</v>
      </c>
      <c r="R672" s="66">
        <f t="shared" si="140"/>
        <v>21.439167750000003</v>
      </c>
      <c r="S672" s="64">
        <f t="shared" si="141"/>
        <v>97.5</v>
      </c>
      <c r="T672" s="66">
        <f t="shared" si="142"/>
        <v>1344.03446775</v>
      </c>
      <c r="U672" s="68">
        <f t="shared" si="143"/>
        <v>51.693633374999997</v>
      </c>
      <c r="V672" s="68">
        <f t="shared" si="144"/>
        <v>446.91902053314118</v>
      </c>
      <c r="W672" s="68">
        <f t="shared" si="145"/>
        <v>297.94601368876079</v>
      </c>
    </row>
    <row r="673" spans="1:23" x14ac:dyDescent="0.25">
      <c r="A673" s="169" t="s">
        <v>943</v>
      </c>
      <c r="B673" s="61" t="s">
        <v>390</v>
      </c>
      <c r="C673" s="61" t="s">
        <v>585</v>
      </c>
      <c r="D673" s="61" t="s">
        <v>587</v>
      </c>
      <c r="E673" s="1" t="s">
        <v>357</v>
      </c>
      <c r="F673" s="62" t="str">
        <f t="shared" si="146"/>
        <v>64513</v>
      </c>
      <c r="G673" s="269">
        <v>10620044</v>
      </c>
      <c r="H673" s="1" t="s">
        <v>382</v>
      </c>
      <c r="I673" s="61">
        <v>27</v>
      </c>
      <c r="J673" s="61">
        <v>3.3</v>
      </c>
      <c r="K673" s="61">
        <v>8.1</v>
      </c>
      <c r="L673" s="69">
        <f t="shared" si="135"/>
        <v>0.8909999999999999</v>
      </c>
      <c r="M673" s="69">
        <f t="shared" si="136"/>
        <v>2.1869999999999998</v>
      </c>
      <c r="N673" s="56">
        <f>INDEX(Rate_Chart!$A$1:$AK$127,MATCH(Data!J673,Rate_Chart!$A$1:$A$127,0),MATCH(Data!K673,Rate_Chart!$A$1:$AK$1,0))</f>
        <v>36.280125900000002</v>
      </c>
      <c r="O673" s="57">
        <f t="shared" si="137"/>
        <v>979.56339930000001</v>
      </c>
      <c r="P673" s="58">
        <f t="shared" si="138"/>
        <v>417.0129413793104</v>
      </c>
      <c r="Q673" s="58">
        <f t="shared" si="139"/>
        <v>278.00862758620696</v>
      </c>
      <c r="R673" s="66">
        <f t="shared" si="140"/>
        <v>17.142359487750003</v>
      </c>
      <c r="S673" s="64">
        <f t="shared" si="141"/>
        <v>101.25</v>
      </c>
      <c r="T673" s="66">
        <f t="shared" si="142"/>
        <v>1097.95575878775</v>
      </c>
      <c r="U673" s="68">
        <f t="shared" si="143"/>
        <v>40.665028103250002</v>
      </c>
      <c r="V673" s="68">
        <f t="shared" si="144"/>
        <v>467.4141161293104</v>
      </c>
      <c r="W673" s="68">
        <f t="shared" si="145"/>
        <v>311.6094107528736</v>
      </c>
    </row>
    <row r="674" spans="1:23" x14ac:dyDescent="0.25">
      <c r="A674" s="169" t="s">
        <v>943</v>
      </c>
      <c r="B674" s="61" t="s">
        <v>391</v>
      </c>
      <c r="C674" s="61" t="s">
        <v>585</v>
      </c>
      <c r="D674" s="61" t="s">
        <v>587</v>
      </c>
      <c r="E674" s="1" t="s">
        <v>357</v>
      </c>
      <c r="F674" s="62" t="str">
        <f t="shared" si="146"/>
        <v>64513</v>
      </c>
      <c r="G674" s="269">
        <v>10620044</v>
      </c>
      <c r="H674" s="1" t="s">
        <v>381</v>
      </c>
      <c r="I674" s="61">
        <v>11</v>
      </c>
      <c r="J674" s="61">
        <v>7</v>
      </c>
      <c r="K674" s="61">
        <v>9</v>
      </c>
      <c r="L674" s="69">
        <f t="shared" si="135"/>
        <v>0.77</v>
      </c>
      <c r="M674" s="69">
        <f t="shared" si="136"/>
        <v>0.99</v>
      </c>
      <c r="N674" s="56">
        <f>INDEX(Rate_Chart!$A$1:$AK$127,MATCH(Data!J674,Rate_Chart!$A$1:$A$127,0),MATCH(Data!K674,Rate_Chart!$A$1:$AK$1,0))</f>
        <v>58.45</v>
      </c>
      <c r="O674" s="57">
        <f t="shared" si="137"/>
        <v>642.95000000000005</v>
      </c>
      <c r="P674" s="58">
        <f t="shared" si="138"/>
        <v>449.61538461538464</v>
      </c>
      <c r="Q674" s="58">
        <f t="shared" si="139"/>
        <v>299.74358974358978</v>
      </c>
      <c r="R674" s="66">
        <f t="shared" si="140"/>
        <v>11.251625000000002</v>
      </c>
      <c r="S674" s="64">
        <f t="shared" si="141"/>
        <v>41.25</v>
      </c>
      <c r="T674" s="66">
        <f t="shared" si="142"/>
        <v>695.45162500000004</v>
      </c>
      <c r="U674" s="68">
        <f t="shared" si="143"/>
        <v>63.222875000000002</v>
      </c>
      <c r="V674" s="68">
        <f t="shared" si="144"/>
        <v>486.32980769230767</v>
      </c>
      <c r="W674" s="68">
        <f t="shared" si="145"/>
        <v>324.21987179487178</v>
      </c>
    </row>
    <row r="675" spans="1:23" x14ac:dyDescent="0.25">
      <c r="A675" s="169" t="s">
        <v>943</v>
      </c>
      <c r="B675" s="61" t="s">
        <v>391</v>
      </c>
      <c r="C675" s="61" t="s">
        <v>585</v>
      </c>
      <c r="D675" s="61" t="s">
        <v>587</v>
      </c>
      <c r="E675" s="1" t="s">
        <v>357</v>
      </c>
      <c r="F675" s="62" t="str">
        <f t="shared" si="146"/>
        <v>64513</v>
      </c>
      <c r="G675" s="269">
        <v>10620044</v>
      </c>
      <c r="H675" s="1" t="s">
        <v>382</v>
      </c>
      <c r="I675" s="61">
        <v>17</v>
      </c>
      <c r="J675" s="61">
        <v>3.7</v>
      </c>
      <c r="K675" s="61">
        <v>8</v>
      </c>
      <c r="L675" s="69">
        <f t="shared" si="135"/>
        <v>0.629</v>
      </c>
      <c r="M675" s="69">
        <f t="shared" si="136"/>
        <v>1.36</v>
      </c>
      <c r="N675" s="56">
        <f>INDEX(Rate_Chart!$A$1:$AK$127,MATCH(Data!J675,Rate_Chart!$A$1:$A$127,0),MATCH(Data!K675,Rate_Chart!$A$1:$AK$1,0))</f>
        <v>37.670112000000003</v>
      </c>
      <c r="O675" s="57">
        <f t="shared" si="137"/>
        <v>640.39190400000007</v>
      </c>
      <c r="P675" s="58">
        <f t="shared" si="138"/>
        <v>417.0123099630996</v>
      </c>
      <c r="Q675" s="58">
        <f t="shared" si="139"/>
        <v>278.0082066420664</v>
      </c>
      <c r="R675" s="66">
        <f t="shared" si="140"/>
        <v>11.206858320000002</v>
      </c>
      <c r="S675" s="64">
        <f t="shared" si="141"/>
        <v>63.75</v>
      </c>
      <c r="T675" s="66">
        <f t="shared" si="142"/>
        <v>715.34876232000011</v>
      </c>
      <c r="U675" s="68">
        <f t="shared" si="143"/>
        <v>42.079338960000008</v>
      </c>
      <c r="V675" s="68">
        <f t="shared" si="144"/>
        <v>465.82294051660517</v>
      </c>
      <c r="W675" s="68">
        <f t="shared" si="145"/>
        <v>310.5486270110701</v>
      </c>
    </row>
    <row r="676" spans="1:23" x14ac:dyDescent="0.25">
      <c r="A676" s="169" t="s">
        <v>944</v>
      </c>
      <c r="B676" s="61" t="s">
        <v>390</v>
      </c>
      <c r="C676" s="61" t="s">
        <v>585</v>
      </c>
      <c r="D676" s="61" t="s">
        <v>587</v>
      </c>
      <c r="E676" s="1" t="s">
        <v>357</v>
      </c>
      <c r="F676" s="62" t="str">
        <f t="shared" si="146"/>
        <v>64513</v>
      </c>
      <c r="G676" s="269">
        <v>10620044</v>
      </c>
      <c r="H676" s="1" t="s">
        <v>381</v>
      </c>
      <c r="I676" s="61">
        <v>17</v>
      </c>
      <c r="J676" s="61">
        <v>6.2</v>
      </c>
      <c r="K676" s="61">
        <v>9</v>
      </c>
      <c r="L676" s="69">
        <f t="shared" si="135"/>
        <v>1.054</v>
      </c>
      <c r="M676" s="69">
        <f t="shared" si="136"/>
        <v>1.53</v>
      </c>
      <c r="N676" s="56">
        <f>INDEX(Rate_Chart!$A$1:$AK$127,MATCH(Data!J676,Rate_Chart!$A$1:$A$127,0),MATCH(Data!K676,Rate_Chart!$A$1:$AK$1,0))</f>
        <v>51.77</v>
      </c>
      <c r="O676" s="57">
        <f t="shared" si="137"/>
        <v>880.09</v>
      </c>
      <c r="P676" s="58">
        <f t="shared" si="138"/>
        <v>424.34426229508199</v>
      </c>
      <c r="Q676" s="58">
        <f t="shared" si="139"/>
        <v>282.89617486338801</v>
      </c>
      <c r="R676" s="66">
        <f t="shared" si="140"/>
        <v>15.401575000000003</v>
      </c>
      <c r="S676" s="64">
        <f t="shared" si="141"/>
        <v>63.75</v>
      </c>
      <c r="T676" s="66">
        <f t="shared" si="142"/>
        <v>959.24157500000001</v>
      </c>
      <c r="U676" s="68">
        <f t="shared" si="143"/>
        <v>56.425975000000001</v>
      </c>
      <c r="V676" s="68">
        <f t="shared" si="144"/>
        <v>462.50799180327868</v>
      </c>
      <c r="W676" s="68">
        <f t="shared" si="145"/>
        <v>308.33866120218579</v>
      </c>
    </row>
    <row r="677" spans="1:23" x14ac:dyDescent="0.25">
      <c r="A677" s="169" t="s">
        <v>944</v>
      </c>
      <c r="B677" s="61" t="s">
        <v>390</v>
      </c>
      <c r="C677" s="61" t="s">
        <v>585</v>
      </c>
      <c r="D677" s="61" t="s">
        <v>587</v>
      </c>
      <c r="E677" s="1" t="s">
        <v>357</v>
      </c>
      <c r="F677" s="62" t="str">
        <f t="shared" si="146"/>
        <v>64513</v>
      </c>
      <c r="G677" s="269">
        <v>10620044</v>
      </c>
      <c r="H677" s="1" t="s">
        <v>382</v>
      </c>
      <c r="I677" s="61">
        <v>24</v>
      </c>
      <c r="J677" s="61">
        <v>3.3</v>
      </c>
      <c r="K677" s="61">
        <v>8.1</v>
      </c>
      <c r="L677" s="69">
        <f t="shared" si="135"/>
        <v>0.79199999999999993</v>
      </c>
      <c r="M677" s="69">
        <f t="shared" si="136"/>
        <v>1.9439999999999997</v>
      </c>
      <c r="N677" s="56">
        <f>INDEX(Rate_Chart!$A$1:$AK$127,MATCH(Data!J677,Rate_Chart!$A$1:$A$127,0),MATCH(Data!K677,Rate_Chart!$A$1:$AK$1,0))</f>
        <v>36.280125900000002</v>
      </c>
      <c r="O677" s="57">
        <f t="shared" si="137"/>
        <v>870.72302160000004</v>
      </c>
      <c r="P677" s="58">
        <f t="shared" si="138"/>
        <v>417.0129413793104</v>
      </c>
      <c r="Q677" s="58">
        <f t="shared" si="139"/>
        <v>278.00862758620696</v>
      </c>
      <c r="R677" s="66">
        <f t="shared" si="140"/>
        <v>15.237652878000002</v>
      </c>
      <c r="S677" s="64">
        <f t="shared" si="141"/>
        <v>90</v>
      </c>
      <c r="T677" s="66">
        <f t="shared" si="142"/>
        <v>975.9606744780001</v>
      </c>
      <c r="U677" s="68">
        <f t="shared" si="143"/>
        <v>40.665028103250002</v>
      </c>
      <c r="V677" s="68">
        <f t="shared" si="144"/>
        <v>467.4141161293104</v>
      </c>
      <c r="W677" s="68">
        <f t="shared" si="145"/>
        <v>311.6094107528736</v>
      </c>
    </row>
    <row r="678" spans="1:23" x14ac:dyDescent="0.25">
      <c r="A678" s="169" t="s">
        <v>944</v>
      </c>
      <c r="B678" s="61" t="s">
        <v>391</v>
      </c>
      <c r="C678" s="61" t="s">
        <v>585</v>
      </c>
      <c r="D678" s="61" t="s">
        <v>587</v>
      </c>
      <c r="E678" s="1" t="s">
        <v>357</v>
      </c>
      <c r="F678" s="62" t="str">
        <f t="shared" si="146"/>
        <v>64513</v>
      </c>
      <c r="G678" s="269">
        <v>10620044</v>
      </c>
      <c r="H678" s="1" t="s">
        <v>382</v>
      </c>
      <c r="I678" s="61">
        <v>21</v>
      </c>
      <c r="J678" s="61">
        <v>4.9000000000000004</v>
      </c>
      <c r="K678" s="61">
        <v>8.5</v>
      </c>
      <c r="L678" s="69">
        <f t="shared" si="135"/>
        <v>1.0290000000000001</v>
      </c>
      <c r="M678" s="69">
        <f t="shared" si="136"/>
        <v>1.7849999999999999</v>
      </c>
      <c r="N678" s="56">
        <f>INDEX(Rate_Chart!$A$1:$AK$127,MATCH(Data!J678,Rate_Chart!$A$1:$A$127,0),MATCH(Data!K678,Rate_Chart!$A$1:$AK$1,0))</f>
        <v>44.064181500000004</v>
      </c>
      <c r="O678" s="57">
        <f t="shared" si="137"/>
        <v>925.34781150000003</v>
      </c>
      <c r="P678" s="58">
        <f t="shared" si="138"/>
        <v>417.01118138801263</v>
      </c>
      <c r="Q678" s="58">
        <f t="shared" si="139"/>
        <v>278.00745425867507</v>
      </c>
      <c r="R678" s="66">
        <f t="shared" si="140"/>
        <v>16.193586701250002</v>
      </c>
      <c r="S678" s="64">
        <f t="shared" si="141"/>
        <v>78.75</v>
      </c>
      <c r="T678" s="66">
        <f t="shared" si="142"/>
        <v>1020.29139820125</v>
      </c>
      <c r="U678" s="68">
        <f t="shared" si="143"/>
        <v>48.585304676249997</v>
      </c>
      <c r="V678" s="68">
        <f t="shared" si="144"/>
        <v>459.79783605283905</v>
      </c>
      <c r="W678" s="68">
        <f t="shared" si="145"/>
        <v>306.53189070189268</v>
      </c>
    </row>
    <row r="679" spans="1:23" x14ac:dyDescent="0.25">
      <c r="A679" s="169" t="s">
        <v>945</v>
      </c>
      <c r="B679" s="61" t="s">
        <v>390</v>
      </c>
      <c r="C679" s="61" t="s">
        <v>585</v>
      </c>
      <c r="D679" s="61" t="s">
        <v>587</v>
      </c>
      <c r="E679" s="1" t="s">
        <v>357</v>
      </c>
      <c r="F679" s="62" t="str">
        <f t="shared" si="146"/>
        <v>64513</v>
      </c>
      <c r="G679" s="269">
        <v>10620044</v>
      </c>
      <c r="H679" s="1" t="s">
        <v>381</v>
      </c>
      <c r="I679" s="61">
        <v>25</v>
      </c>
      <c r="J679" s="61">
        <v>6</v>
      </c>
      <c r="K679" s="61">
        <v>9</v>
      </c>
      <c r="L679" s="69">
        <f t="shared" si="135"/>
        <v>1.5</v>
      </c>
      <c r="M679" s="69">
        <f t="shared" si="136"/>
        <v>2.25</v>
      </c>
      <c r="N679" s="56">
        <f>INDEX(Rate_Chart!$A$1:$AK$127,MATCH(Data!J679,Rate_Chart!$A$1:$A$127,0),MATCH(Data!K679,Rate_Chart!$A$1:$AK$1,0))</f>
        <v>50.1</v>
      </c>
      <c r="O679" s="57">
        <f t="shared" si="137"/>
        <v>1252.5</v>
      </c>
      <c r="P679" s="58">
        <f t="shared" si="138"/>
        <v>417.5</v>
      </c>
      <c r="Q679" s="58">
        <f t="shared" si="139"/>
        <v>278.33333333333331</v>
      </c>
      <c r="R679" s="66">
        <f t="shared" si="140"/>
        <v>21.918750000000003</v>
      </c>
      <c r="S679" s="64">
        <f t="shared" si="141"/>
        <v>93.75</v>
      </c>
      <c r="T679" s="66">
        <f t="shared" si="142"/>
        <v>1368.16875</v>
      </c>
      <c r="U679" s="68">
        <f t="shared" si="143"/>
        <v>54.726750000000003</v>
      </c>
      <c r="V679" s="68">
        <f t="shared" si="144"/>
        <v>456.05625000000003</v>
      </c>
      <c r="W679" s="68">
        <f t="shared" si="145"/>
        <v>304.03750000000002</v>
      </c>
    </row>
    <row r="680" spans="1:23" x14ac:dyDescent="0.25">
      <c r="A680" s="169" t="s">
        <v>945</v>
      </c>
      <c r="B680" s="61" t="s">
        <v>390</v>
      </c>
      <c r="C680" s="61" t="s">
        <v>585</v>
      </c>
      <c r="D680" s="61" t="s">
        <v>587</v>
      </c>
      <c r="E680" s="1" t="s">
        <v>357</v>
      </c>
      <c r="F680" s="62" t="str">
        <f t="shared" si="146"/>
        <v>64513</v>
      </c>
      <c r="G680" s="269">
        <v>10620044</v>
      </c>
      <c r="H680" s="1" t="s">
        <v>382</v>
      </c>
      <c r="I680" s="61">
        <v>17</v>
      </c>
      <c r="J680" s="61">
        <v>3.3</v>
      </c>
      <c r="K680" s="61">
        <v>8.1</v>
      </c>
      <c r="L680" s="69">
        <f t="shared" si="135"/>
        <v>0.56099999999999994</v>
      </c>
      <c r="M680" s="69">
        <f t="shared" si="136"/>
        <v>1.3769999999999998</v>
      </c>
      <c r="N680" s="56">
        <f>INDEX(Rate_Chart!$A$1:$AK$127,MATCH(Data!J680,Rate_Chart!$A$1:$A$127,0),MATCH(Data!K680,Rate_Chart!$A$1:$AK$1,0))</f>
        <v>36.280125900000002</v>
      </c>
      <c r="O680" s="57">
        <f t="shared" si="137"/>
        <v>616.76214030000006</v>
      </c>
      <c r="P680" s="58">
        <f t="shared" si="138"/>
        <v>417.0129413793104</v>
      </c>
      <c r="Q680" s="58">
        <f t="shared" si="139"/>
        <v>278.00862758620696</v>
      </c>
      <c r="R680" s="66">
        <f t="shared" si="140"/>
        <v>10.793337455250002</v>
      </c>
      <c r="S680" s="64">
        <f t="shared" si="141"/>
        <v>63.75</v>
      </c>
      <c r="T680" s="66">
        <f t="shared" si="142"/>
        <v>691.30547775525008</v>
      </c>
      <c r="U680" s="68">
        <f t="shared" si="143"/>
        <v>40.665028103250002</v>
      </c>
      <c r="V680" s="68">
        <f t="shared" si="144"/>
        <v>467.4141161293104</v>
      </c>
      <c r="W680" s="68">
        <f t="shared" si="145"/>
        <v>311.6094107528736</v>
      </c>
    </row>
    <row r="681" spans="1:23" x14ac:dyDescent="0.25">
      <c r="A681" s="169" t="s">
        <v>945</v>
      </c>
      <c r="B681" s="61" t="s">
        <v>391</v>
      </c>
      <c r="C681" s="61" t="s">
        <v>585</v>
      </c>
      <c r="D681" s="61" t="s">
        <v>587</v>
      </c>
      <c r="E681" s="1" t="s">
        <v>357</v>
      </c>
      <c r="F681" s="62" t="str">
        <f t="shared" si="146"/>
        <v>64513</v>
      </c>
      <c r="G681" s="269">
        <v>10620044</v>
      </c>
      <c r="H681" s="1" t="s">
        <v>381</v>
      </c>
      <c r="I681" s="61">
        <v>14</v>
      </c>
      <c r="J681" s="61">
        <v>6.7</v>
      </c>
      <c r="K681" s="61">
        <v>9</v>
      </c>
      <c r="L681" s="69">
        <f t="shared" si="135"/>
        <v>0.93799999999999994</v>
      </c>
      <c r="M681" s="69">
        <f t="shared" si="136"/>
        <v>1.26</v>
      </c>
      <c r="N681" s="56">
        <f>INDEX(Rate_Chart!$A$1:$AK$127,MATCH(Data!J681,Rate_Chart!$A$1:$A$127,0),MATCH(Data!K681,Rate_Chart!$A$1:$AK$1,0))</f>
        <v>55.945</v>
      </c>
      <c r="O681" s="57">
        <f t="shared" si="137"/>
        <v>783.23</v>
      </c>
      <c r="P681" s="58">
        <f t="shared" si="138"/>
        <v>440.51181102362204</v>
      </c>
      <c r="Q681" s="58">
        <f t="shared" si="139"/>
        <v>293.67454068241472</v>
      </c>
      <c r="R681" s="66">
        <f t="shared" si="140"/>
        <v>13.706525000000001</v>
      </c>
      <c r="S681" s="64">
        <f t="shared" si="141"/>
        <v>52.5</v>
      </c>
      <c r="T681" s="66">
        <f t="shared" si="142"/>
        <v>849.43652500000007</v>
      </c>
      <c r="U681" s="68">
        <f t="shared" si="143"/>
        <v>60.674037500000004</v>
      </c>
      <c r="V681" s="68">
        <f t="shared" si="144"/>
        <v>477.74832677165358</v>
      </c>
      <c r="W681" s="68">
        <f t="shared" si="145"/>
        <v>318.4988845144357</v>
      </c>
    </row>
    <row r="682" spans="1:23" x14ac:dyDescent="0.25">
      <c r="A682" s="169" t="s">
        <v>945</v>
      </c>
      <c r="B682" s="61" t="s">
        <v>391</v>
      </c>
      <c r="C682" s="61" t="s">
        <v>585</v>
      </c>
      <c r="D682" s="61" t="s">
        <v>587</v>
      </c>
      <c r="E682" s="1" t="s">
        <v>357</v>
      </c>
      <c r="F682" s="62" t="str">
        <f t="shared" si="146"/>
        <v>64513</v>
      </c>
      <c r="G682" s="269">
        <v>10620044</v>
      </c>
      <c r="H682" s="1" t="s">
        <v>382</v>
      </c>
      <c r="I682" s="61">
        <v>14</v>
      </c>
      <c r="J682" s="61">
        <v>3.4</v>
      </c>
      <c r="K682" s="61">
        <v>8</v>
      </c>
      <c r="L682" s="69">
        <f t="shared" si="135"/>
        <v>0.47600000000000003</v>
      </c>
      <c r="M682" s="69">
        <f t="shared" si="136"/>
        <v>1.1200000000000001</v>
      </c>
      <c r="N682" s="56">
        <f>INDEX(Rate_Chart!$A$1:$AK$127,MATCH(Data!J682,Rate_Chart!$A$1:$A$127,0),MATCH(Data!K682,Rate_Chart!$A$1:$AK$1,0))</f>
        <v>36.419112000000005</v>
      </c>
      <c r="O682" s="57">
        <f t="shared" si="137"/>
        <v>509.86756800000006</v>
      </c>
      <c r="P682" s="58">
        <f t="shared" si="138"/>
        <v>417.01273282442747</v>
      </c>
      <c r="Q682" s="58">
        <f t="shared" si="139"/>
        <v>278.00848854961833</v>
      </c>
      <c r="R682" s="66">
        <f t="shared" si="140"/>
        <v>8.9226824400000027</v>
      </c>
      <c r="S682" s="64">
        <f t="shared" si="141"/>
        <v>52.5</v>
      </c>
      <c r="T682" s="66">
        <f t="shared" si="142"/>
        <v>571.29025044000002</v>
      </c>
      <c r="U682" s="68">
        <f t="shared" si="143"/>
        <v>40.806446460000004</v>
      </c>
      <c r="V682" s="68">
        <f t="shared" si="144"/>
        <v>467.24938694656487</v>
      </c>
      <c r="W682" s="68">
        <f t="shared" si="145"/>
        <v>311.49959129770991</v>
      </c>
    </row>
    <row r="683" spans="1:23" x14ac:dyDescent="0.25">
      <c r="A683" s="169" t="s">
        <v>946</v>
      </c>
      <c r="B683" s="61" t="s">
        <v>390</v>
      </c>
      <c r="C683" s="61" t="s">
        <v>585</v>
      </c>
      <c r="D683" s="61" t="s">
        <v>587</v>
      </c>
      <c r="E683" s="1" t="s">
        <v>357</v>
      </c>
      <c r="F683" s="62" t="str">
        <f t="shared" si="146"/>
        <v>64513</v>
      </c>
      <c r="G683" s="269">
        <v>10620044</v>
      </c>
      <c r="H683" s="1" t="s">
        <v>381</v>
      </c>
      <c r="I683" s="61">
        <v>14</v>
      </c>
      <c r="J683" s="61">
        <v>6</v>
      </c>
      <c r="K683" s="61">
        <v>9</v>
      </c>
      <c r="L683" s="69">
        <f t="shared" si="135"/>
        <v>0.84</v>
      </c>
      <c r="M683" s="69">
        <f t="shared" si="136"/>
        <v>1.26</v>
      </c>
      <c r="N683" s="56">
        <f>INDEX(Rate_Chart!$A$1:$AK$127,MATCH(Data!J683,Rate_Chart!$A$1:$A$127,0),MATCH(Data!K683,Rate_Chart!$A$1:$AK$1,0))</f>
        <v>50.1</v>
      </c>
      <c r="O683" s="57">
        <f t="shared" si="137"/>
        <v>701.4</v>
      </c>
      <c r="P683" s="58">
        <f t="shared" si="138"/>
        <v>417.5</v>
      </c>
      <c r="Q683" s="58">
        <f t="shared" si="139"/>
        <v>278.33333333333331</v>
      </c>
      <c r="R683" s="66">
        <f t="shared" si="140"/>
        <v>12.274500000000002</v>
      </c>
      <c r="S683" s="64">
        <f t="shared" si="141"/>
        <v>52.5</v>
      </c>
      <c r="T683" s="66">
        <f t="shared" si="142"/>
        <v>766.17449999999997</v>
      </c>
      <c r="U683" s="68">
        <f t="shared" si="143"/>
        <v>54.726749999999996</v>
      </c>
      <c r="V683" s="68">
        <f t="shared" si="144"/>
        <v>456.05624999999998</v>
      </c>
      <c r="W683" s="68">
        <f t="shared" si="145"/>
        <v>304.03749999999997</v>
      </c>
    </row>
    <row r="684" spans="1:23" x14ac:dyDescent="0.25">
      <c r="A684" s="169" t="s">
        <v>946</v>
      </c>
      <c r="B684" s="61" t="s">
        <v>390</v>
      </c>
      <c r="C684" s="61" t="s">
        <v>585</v>
      </c>
      <c r="D684" s="61" t="s">
        <v>587</v>
      </c>
      <c r="E684" s="1" t="s">
        <v>357</v>
      </c>
      <c r="F684" s="62" t="str">
        <f t="shared" si="146"/>
        <v>64513</v>
      </c>
      <c r="G684" s="269">
        <v>10620044</v>
      </c>
      <c r="H684" s="1" t="s">
        <v>382</v>
      </c>
      <c r="I684" s="61">
        <v>27</v>
      </c>
      <c r="J684" s="61">
        <v>3.6</v>
      </c>
      <c r="K684" s="61">
        <v>8.3000000000000007</v>
      </c>
      <c r="L684" s="69">
        <f t="shared" si="135"/>
        <v>0.97199999999999998</v>
      </c>
      <c r="M684" s="69">
        <f t="shared" si="136"/>
        <v>2.2410000000000001</v>
      </c>
      <c r="N684" s="56">
        <f>INDEX(Rate_Chart!$A$1:$AK$127,MATCH(Data!J684,Rate_Chart!$A$1:$A$127,0),MATCH(Data!K684,Rate_Chart!$A$1:$AK$1,0))</f>
        <v>38.087153700000009</v>
      </c>
      <c r="O684" s="57">
        <f t="shared" si="137"/>
        <v>1028.3531499000003</v>
      </c>
      <c r="P684" s="58">
        <f t="shared" si="138"/>
        <v>417.01263175182481</v>
      </c>
      <c r="Q684" s="58">
        <f t="shared" si="139"/>
        <v>278.00842116788323</v>
      </c>
      <c r="R684" s="66">
        <f t="shared" si="140"/>
        <v>17.996180123250006</v>
      </c>
      <c r="S684" s="64">
        <f t="shared" si="141"/>
        <v>101.25</v>
      </c>
      <c r="T684" s="66">
        <f t="shared" si="142"/>
        <v>1147.5993300232503</v>
      </c>
      <c r="U684" s="68">
        <f t="shared" si="143"/>
        <v>42.503678889750013</v>
      </c>
      <c r="V684" s="68">
        <f t="shared" si="144"/>
        <v>465.36874696806575</v>
      </c>
      <c r="W684" s="68">
        <f t="shared" si="145"/>
        <v>310.24583131204383</v>
      </c>
    </row>
    <row r="685" spans="1:23" x14ac:dyDescent="0.25">
      <c r="A685" s="169" t="s">
        <v>946</v>
      </c>
      <c r="B685" s="61" t="s">
        <v>391</v>
      </c>
      <c r="C685" s="61" t="s">
        <v>585</v>
      </c>
      <c r="D685" s="61" t="s">
        <v>587</v>
      </c>
      <c r="E685" s="1" t="s">
        <v>357</v>
      </c>
      <c r="F685" s="62" t="str">
        <f t="shared" si="146"/>
        <v>64513</v>
      </c>
      <c r="G685" s="269">
        <v>10620044</v>
      </c>
      <c r="H685" s="1" t="s">
        <v>381</v>
      </c>
      <c r="I685" s="61">
        <v>18</v>
      </c>
      <c r="J685" s="61">
        <v>6.2</v>
      </c>
      <c r="K685" s="61">
        <v>8.6</v>
      </c>
      <c r="L685" s="69">
        <f t="shared" si="135"/>
        <v>1.1160000000000001</v>
      </c>
      <c r="M685" s="69">
        <f t="shared" si="136"/>
        <v>1.5479999999999998</v>
      </c>
      <c r="N685" s="56">
        <f>INDEX(Rate_Chart!$A$1:$AK$127,MATCH(Data!J685,Rate_Chart!$A$1:$A$127,0),MATCH(Data!K685,Rate_Chart!$A$1:$AK$1,0))</f>
        <v>50.7346</v>
      </c>
      <c r="O685" s="57">
        <f t="shared" si="137"/>
        <v>913.22280000000001</v>
      </c>
      <c r="P685" s="58">
        <f t="shared" si="138"/>
        <v>425.15027932960902</v>
      </c>
      <c r="Q685" s="58">
        <f t="shared" si="139"/>
        <v>283.4335195530727</v>
      </c>
      <c r="R685" s="66">
        <f t="shared" si="140"/>
        <v>15.981399000000001</v>
      </c>
      <c r="S685" s="64">
        <f t="shared" si="141"/>
        <v>67.5</v>
      </c>
      <c r="T685" s="66">
        <f t="shared" si="142"/>
        <v>996.70419900000002</v>
      </c>
      <c r="U685" s="68">
        <f t="shared" si="143"/>
        <v>55.372455500000001</v>
      </c>
      <c r="V685" s="68">
        <f t="shared" si="144"/>
        <v>464.01499022346377</v>
      </c>
      <c r="W685" s="68">
        <f t="shared" si="145"/>
        <v>309.34332681564251</v>
      </c>
    </row>
    <row r="686" spans="1:23" x14ac:dyDescent="0.25">
      <c r="A686" s="169" t="s">
        <v>946</v>
      </c>
      <c r="B686" s="61" t="s">
        <v>391</v>
      </c>
      <c r="C686" s="61" t="s">
        <v>585</v>
      </c>
      <c r="D686" s="61" t="s">
        <v>587</v>
      </c>
      <c r="E686" s="1" t="s">
        <v>357</v>
      </c>
      <c r="F686" s="62" t="str">
        <f t="shared" si="146"/>
        <v>64513</v>
      </c>
      <c r="G686" s="269">
        <v>10620044</v>
      </c>
      <c r="H686" s="1" t="s">
        <v>382</v>
      </c>
      <c r="I686" s="61">
        <v>16</v>
      </c>
      <c r="J686" s="61">
        <v>3.2</v>
      </c>
      <c r="K686" s="61">
        <v>8.1</v>
      </c>
      <c r="L686" s="69">
        <f t="shared" si="135"/>
        <v>0.51200000000000001</v>
      </c>
      <c r="M686" s="69">
        <f t="shared" si="136"/>
        <v>1.296</v>
      </c>
      <c r="N686" s="56">
        <f>INDEX(Rate_Chart!$A$1:$AK$127,MATCH(Data!J686,Rate_Chart!$A$1:$A$127,0),MATCH(Data!K686,Rate_Chart!$A$1:$AK$1,0))</f>
        <v>35.8631259</v>
      </c>
      <c r="O686" s="57">
        <f t="shared" si="137"/>
        <v>573.8100144</v>
      </c>
      <c r="P686" s="58">
        <f t="shared" si="138"/>
        <v>417.01309186046512</v>
      </c>
      <c r="Q686" s="58">
        <f t="shared" si="139"/>
        <v>278.00872790697673</v>
      </c>
      <c r="R686" s="66">
        <f t="shared" si="140"/>
        <v>10.041675252000001</v>
      </c>
      <c r="S686" s="64">
        <f t="shared" si="141"/>
        <v>60</v>
      </c>
      <c r="T686" s="66">
        <f t="shared" si="142"/>
        <v>643.851689652</v>
      </c>
      <c r="U686" s="68">
        <f t="shared" si="143"/>
        <v>40.24073060325</v>
      </c>
      <c r="V686" s="68">
        <f t="shared" si="144"/>
        <v>467.91547213081401</v>
      </c>
      <c r="W686" s="68">
        <f t="shared" si="145"/>
        <v>311.94364808720934</v>
      </c>
    </row>
    <row r="687" spans="1:23" x14ac:dyDescent="0.25">
      <c r="A687" s="169" t="s">
        <v>947</v>
      </c>
      <c r="B687" s="61" t="s">
        <v>390</v>
      </c>
      <c r="C687" s="61" t="s">
        <v>585</v>
      </c>
      <c r="D687" s="61" t="s">
        <v>587</v>
      </c>
      <c r="E687" s="1" t="s">
        <v>357</v>
      </c>
      <c r="F687" s="62" t="str">
        <f t="shared" si="146"/>
        <v>64513</v>
      </c>
      <c r="G687" s="269">
        <v>10620044</v>
      </c>
      <c r="H687" s="1" t="s">
        <v>381</v>
      </c>
      <c r="I687" s="61">
        <v>21</v>
      </c>
      <c r="J687" s="61">
        <v>5.8</v>
      </c>
      <c r="K687" s="61">
        <v>9</v>
      </c>
      <c r="L687" s="69">
        <f t="shared" si="135"/>
        <v>1.218</v>
      </c>
      <c r="M687" s="69">
        <f t="shared" si="136"/>
        <v>1.89</v>
      </c>
      <c r="N687" s="56">
        <f>INDEX(Rate_Chart!$A$1:$AK$127,MATCH(Data!J687,Rate_Chart!$A$1:$A$127,0),MATCH(Data!K687,Rate_Chart!$A$1:$AK$1,0))</f>
        <v>48.43</v>
      </c>
      <c r="O687" s="57">
        <f t="shared" si="137"/>
        <v>1017.03</v>
      </c>
      <c r="P687" s="58">
        <f t="shared" si="138"/>
        <v>410.42372881355936</v>
      </c>
      <c r="Q687" s="58">
        <f t="shared" si="139"/>
        <v>273.61581920903956</v>
      </c>
      <c r="R687" s="66">
        <f t="shared" si="140"/>
        <v>17.798025000000003</v>
      </c>
      <c r="S687" s="64">
        <f t="shared" si="141"/>
        <v>78.75</v>
      </c>
      <c r="T687" s="66">
        <f t="shared" si="142"/>
        <v>1113.578025</v>
      </c>
      <c r="U687" s="68">
        <f t="shared" si="143"/>
        <v>53.027525000000004</v>
      </c>
      <c r="V687" s="68">
        <f t="shared" si="144"/>
        <v>449.38580508474581</v>
      </c>
      <c r="W687" s="68">
        <f t="shared" si="145"/>
        <v>299.59053672316389</v>
      </c>
    </row>
    <row r="688" spans="1:23" x14ac:dyDescent="0.25">
      <c r="A688" s="169" t="s">
        <v>947</v>
      </c>
      <c r="B688" s="61" t="s">
        <v>390</v>
      </c>
      <c r="C688" s="61" t="s">
        <v>585</v>
      </c>
      <c r="D688" s="61" t="s">
        <v>587</v>
      </c>
      <c r="E688" s="1" t="s">
        <v>357</v>
      </c>
      <c r="F688" s="62" t="str">
        <f t="shared" si="146"/>
        <v>64513</v>
      </c>
      <c r="G688" s="269">
        <v>10620044</v>
      </c>
      <c r="H688" s="1" t="s">
        <v>382</v>
      </c>
      <c r="I688" s="61">
        <v>26</v>
      </c>
      <c r="J688" s="61">
        <v>3.3</v>
      </c>
      <c r="K688" s="61">
        <v>8.1</v>
      </c>
      <c r="L688" s="69">
        <f t="shared" ref="L688:L751" si="147">J688*I688/100</f>
        <v>0.85799999999999998</v>
      </c>
      <c r="M688" s="69">
        <f t="shared" ref="M688:M751" si="148">K688*I688/100</f>
        <v>2.1059999999999999</v>
      </c>
      <c r="N688" s="56">
        <f>INDEX(Rate_Chart!$A$1:$AK$127,MATCH(Data!J688,Rate_Chart!$A$1:$A$127,0),MATCH(Data!K688,Rate_Chart!$A$1:$AK$1,0))</f>
        <v>36.280125900000002</v>
      </c>
      <c r="O688" s="57">
        <f t="shared" ref="O688:O751" si="149">N688*I688</f>
        <v>943.2832734000001</v>
      </c>
      <c r="P688" s="58">
        <f t="shared" ref="P688:P751" si="150">N688/(J688%+K688%*2/3)</f>
        <v>417.0129413793104</v>
      </c>
      <c r="Q688" s="58">
        <f t="shared" ref="Q688:Q751" si="151">P688*2/3</f>
        <v>278.00862758620696</v>
      </c>
      <c r="R688" s="66">
        <f t="shared" ref="R688:R751" si="152">O688*1.75%</f>
        <v>16.507457284500003</v>
      </c>
      <c r="S688" s="64">
        <f t="shared" ref="S688:S751" si="153">I688*3.75</f>
        <v>97.5</v>
      </c>
      <c r="T688" s="66">
        <f t="shared" ref="T688:T751" si="154">R688+S688+O688</f>
        <v>1057.2907306845002</v>
      </c>
      <c r="U688" s="68">
        <f t="shared" ref="U688:U751" si="155">T688/I688</f>
        <v>40.665028103250009</v>
      </c>
      <c r="V688" s="68">
        <f t="shared" ref="V688:V751" si="156">U688/(J688%+K688%*2/3)</f>
        <v>467.41411612931046</v>
      </c>
      <c r="W688" s="68">
        <f t="shared" ref="W688:W751" si="157">V688*2/3</f>
        <v>311.60941075287366</v>
      </c>
    </row>
    <row r="689" spans="1:23" x14ac:dyDescent="0.25">
      <c r="A689" s="169" t="s">
        <v>947</v>
      </c>
      <c r="B689" s="61" t="s">
        <v>391</v>
      </c>
      <c r="C689" s="61" t="s">
        <v>585</v>
      </c>
      <c r="D689" s="61" t="s">
        <v>587</v>
      </c>
      <c r="E689" s="1" t="s">
        <v>357</v>
      </c>
      <c r="F689" s="62" t="str">
        <f t="shared" si="146"/>
        <v>64513</v>
      </c>
      <c r="G689" s="269">
        <v>10620044</v>
      </c>
      <c r="H689" s="1" t="s">
        <v>381</v>
      </c>
      <c r="I689" s="61">
        <v>12</v>
      </c>
      <c r="J689" s="61">
        <v>6</v>
      </c>
      <c r="K689" s="61">
        <v>9</v>
      </c>
      <c r="L689" s="69">
        <f t="shared" si="147"/>
        <v>0.72</v>
      </c>
      <c r="M689" s="69">
        <f t="shared" si="148"/>
        <v>1.08</v>
      </c>
      <c r="N689" s="56">
        <f>INDEX(Rate_Chart!$A$1:$AK$127,MATCH(Data!J689,Rate_Chart!$A$1:$A$127,0),MATCH(Data!K689,Rate_Chart!$A$1:$AK$1,0))</f>
        <v>50.1</v>
      </c>
      <c r="O689" s="57">
        <f t="shared" si="149"/>
        <v>601.20000000000005</v>
      </c>
      <c r="P689" s="58">
        <f t="shared" si="150"/>
        <v>417.5</v>
      </c>
      <c r="Q689" s="58">
        <f t="shared" si="151"/>
        <v>278.33333333333331</v>
      </c>
      <c r="R689" s="66">
        <f t="shared" si="152"/>
        <v>10.521000000000003</v>
      </c>
      <c r="S689" s="64">
        <f t="shared" si="153"/>
        <v>45</v>
      </c>
      <c r="T689" s="66">
        <f t="shared" si="154"/>
        <v>656.721</v>
      </c>
      <c r="U689" s="68">
        <f t="shared" si="155"/>
        <v>54.726750000000003</v>
      </c>
      <c r="V689" s="68">
        <f t="shared" si="156"/>
        <v>456.05625000000003</v>
      </c>
      <c r="W689" s="68">
        <f t="shared" si="157"/>
        <v>304.03750000000002</v>
      </c>
    </row>
    <row r="690" spans="1:23" x14ac:dyDescent="0.25">
      <c r="A690" s="169" t="s">
        <v>947</v>
      </c>
      <c r="B690" s="61" t="s">
        <v>391</v>
      </c>
      <c r="C690" s="61" t="s">
        <v>585</v>
      </c>
      <c r="D690" s="61" t="s">
        <v>587</v>
      </c>
      <c r="E690" s="1" t="s">
        <v>357</v>
      </c>
      <c r="F690" s="62" t="str">
        <f t="shared" si="146"/>
        <v>64513</v>
      </c>
      <c r="G690" s="269">
        <v>10620044</v>
      </c>
      <c r="H690" s="1" t="s">
        <v>382</v>
      </c>
      <c r="I690" s="61">
        <v>11</v>
      </c>
      <c r="J690" s="61">
        <v>3.3</v>
      </c>
      <c r="K690" s="61">
        <v>8.1</v>
      </c>
      <c r="L690" s="69">
        <f t="shared" si="147"/>
        <v>0.36299999999999999</v>
      </c>
      <c r="M690" s="69">
        <f t="shared" si="148"/>
        <v>0.8909999999999999</v>
      </c>
      <c r="N690" s="56">
        <f>INDEX(Rate_Chart!$A$1:$AK$127,MATCH(Data!J690,Rate_Chart!$A$1:$A$127,0),MATCH(Data!K690,Rate_Chart!$A$1:$AK$1,0))</f>
        <v>36.280125900000002</v>
      </c>
      <c r="O690" s="57">
        <f t="shared" si="149"/>
        <v>399.08138489999999</v>
      </c>
      <c r="P690" s="58">
        <f t="shared" si="150"/>
        <v>417.0129413793104</v>
      </c>
      <c r="Q690" s="58">
        <f t="shared" si="151"/>
        <v>278.00862758620696</v>
      </c>
      <c r="R690" s="66">
        <f t="shared" si="152"/>
        <v>6.9839242357500009</v>
      </c>
      <c r="S690" s="64">
        <f t="shared" si="153"/>
        <v>41.25</v>
      </c>
      <c r="T690" s="66">
        <f t="shared" si="154"/>
        <v>447.31530913575</v>
      </c>
      <c r="U690" s="68">
        <f t="shared" si="155"/>
        <v>40.665028103250002</v>
      </c>
      <c r="V690" s="68">
        <f t="shared" si="156"/>
        <v>467.4141161293104</v>
      </c>
      <c r="W690" s="68">
        <f t="shared" si="157"/>
        <v>311.6094107528736</v>
      </c>
    </row>
    <row r="691" spans="1:23" x14ac:dyDescent="0.25">
      <c r="A691" s="169" t="s">
        <v>941</v>
      </c>
      <c r="B691" s="61" t="s">
        <v>390</v>
      </c>
      <c r="C691" s="61" t="s">
        <v>585</v>
      </c>
      <c r="D691" s="61" t="s">
        <v>588</v>
      </c>
      <c r="E691" s="1" t="s">
        <v>358</v>
      </c>
      <c r="F691" s="62" t="str">
        <f t="shared" si="146"/>
        <v>64514</v>
      </c>
      <c r="G691" s="269">
        <v>10620030</v>
      </c>
      <c r="H691" s="1" t="s">
        <v>381</v>
      </c>
      <c r="I691" s="61">
        <v>13</v>
      </c>
      <c r="J691" s="61">
        <v>8.5</v>
      </c>
      <c r="K691" s="61">
        <v>9</v>
      </c>
      <c r="L691" s="69">
        <f t="shared" si="147"/>
        <v>1.105</v>
      </c>
      <c r="M691" s="69">
        <f t="shared" si="148"/>
        <v>1.17</v>
      </c>
      <c r="N691" s="56">
        <f>INDEX(Rate_Chart!$A$1:$AK$127,MATCH(Data!J691,Rate_Chart!$A$1:$A$127,0),MATCH(Data!K691,Rate_Chart!$A$1:$AK$1,0))</f>
        <v>70.975000000000009</v>
      </c>
      <c r="O691" s="57">
        <f t="shared" si="149"/>
        <v>922.67500000000007</v>
      </c>
      <c r="P691" s="58">
        <f t="shared" si="150"/>
        <v>489.48275862068965</v>
      </c>
      <c r="Q691" s="58">
        <f t="shared" si="151"/>
        <v>326.32183908045977</v>
      </c>
      <c r="R691" s="66">
        <f t="shared" si="152"/>
        <v>16.146812500000003</v>
      </c>
      <c r="S691" s="64">
        <f t="shared" si="153"/>
        <v>48.75</v>
      </c>
      <c r="T691" s="66">
        <f t="shared" si="154"/>
        <v>987.57181250000008</v>
      </c>
      <c r="U691" s="68">
        <f t="shared" si="155"/>
        <v>75.967062500000011</v>
      </c>
      <c r="V691" s="68">
        <f t="shared" si="156"/>
        <v>523.91077586206893</v>
      </c>
      <c r="W691" s="68">
        <f t="shared" si="157"/>
        <v>349.27385057471264</v>
      </c>
    </row>
    <row r="692" spans="1:23" x14ac:dyDescent="0.25">
      <c r="A692" s="169" t="s">
        <v>941</v>
      </c>
      <c r="B692" s="61" t="s">
        <v>391</v>
      </c>
      <c r="C692" s="61" t="s">
        <v>585</v>
      </c>
      <c r="D692" s="61" t="s">
        <v>588</v>
      </c>
      <c r="E692" s="1" t="s">
        <v>358</v>
      </c>
      <c r="F692" s="62" t="str">
        <f t="shared" si="146"/>
        <v>64514</v>
      </c>
      <c r="G692" s="269">
        <v>10620030</v>
      </c>
      <c r="H692" s="1" t="s">
        <v>381</v>
      </c>
      <c r="I692" s="61">
        <v>72</v>
      </c>
      <c r="J692" s="61">
        <v>5.9</v>
      </c>
      <c r="K692" s="61">
        <v>8.8000000000000007</v>
      </c>
      <c r="L692" s="69">
        <f t="shared" si="147"/>
        <v>4.2480000000000002</v>
      </c>
      <c r="M692" s="69">
        <f t="shared" si="148"/>
        <v>6.3360000000000003</v>
      </c>
      <c r="N692" s="56">
        <f>INDEX(Rate_Chart!$A$1:$AK$127,MATCH(Data!J692,Rate_Chart!$A$1:$A$127,0),MATCH(Data!K692,Rate_Chart!$A$1:$AK$1,0))</f>
        <v>48.772350000000003</v>
      </c>
      <c r="O692" s="57">
        <f t="shared" si="149"/>
        <v>3511.6092000000003</v>
      </c>
      <c r="P692" s="58">
        <f t="shared" si="150"/>
        <v>414.49589235127479</v>
      </c>
      <c r="Q692" s="58">
        <f t="shared" si="151"/>
        <v>276.33059490084986</v>
      </c>
      <c r="R692" s="66">
        <f t="shared" si="152"/>
        <v>61.453161000000009</v>
      </c>
      <c r="S692" s="64">
        <f t="shared" si="153"/>
        <v>270</v>
      </c>
      <c r="T692" s="66">
        <f t="shared" si="154"/>
        <v>3843.0623610000002</v>
      </c>
      <c r="U692" s="68">
        <f t="shared" si="155"/>
        <v>53.375866125000002</v>
      </c>
      <c r="V692" s="68">
        <f t="shared" si="156"/>
        <v>453.61925885269125</v>
      </c>
      <c r="W692" s="68">
        <f t="shared" si="157"/>
        <v>302.41283923512748</v>
      </c>
    </row>
    <row r="693" spans="1:23" x14ac:dyDescent="0.25">
      <c r="A693" s="169" t="s">
        <v>941</v>
      </c>
      <c r="B693" s="61" t="s">
        <v>391</v>
      </c>
      <c r="C693" s="61" t="s">
        <v>585</v>
      </c>
      <c r="D693" s="61" t="s">
        <v>588</v>
      </c>
      <c r="E693" s="1" t="s">
        <v>358</v>
      </c>
      <c r="F693" s="62" t="str">
        <f t="shared" si="146"/>
        <v>64514</v>
      </c>
      <c r="G693" s="269">
        <v>10620030</v>
      </c>
      <c r="H693" s="1" t="s">
        <v>382</v>
      </c>
      <c r="I693" s="61">
        <v>27</v>
      </c>
      <c r="J693" s="61">
        <v>3.2</v>
      </c>
      <c r="K693" s="61">
        <v>8.3000000000000007</v>
      </c>
      <c r="L693" s="69">
        <f t="shared" si="147"/>
        <v>0.8640000000000001</v>
      </c>
      <c r="M693" s="69">
        <f t="shared" si="148"/>
        <v>2.2410000000000001</v>
      </c>
      <c r="N693" s="56">
        <f>INDEX(Rate_Chart!$A$1:$AK$127,MATCH(Data!J693,Rate_Chart!$A$1:$A$127,0),MATCH(Data!K693,Rate_Chart!$A$1:$AK$1,0))</f>
        <v>36.419153700000003</v>
      </c>
      <c r="O693" s="57">
        <f t="shared" si="149"/>
        <v>983.31714990000012</v>
      </c>
      <c r="P693" s="58">
        <f t="shared" si="150"/>
        <v>417.01321030534348</v>
      </c>
      <c r="Q693" s="58">
        <f t="shared" si="151"/>
        <v>278.00880687022897</v>
      </c>
      <c r="R693" s="66">
        <f t="shared" si="152"/>
        <v>17.208050123250004</v>
      </c>
      <c r="S693" s="64">
        <f t="shared" si="153"/>
        <v>101.25</v>
      </c>
      <c r="T693" s="66">
        <f t="shared" si="154"/>
        <v>1101.7752000232501</v>
      </c>
      <c r="U693" s="68">
        <f t="shared" si="155"/>
        <v>40.806488889750007</v>
      </c>
      <c r="V693" s="68">
        <f t="shared" si="156"/>
        <v>467.24987278339694</v>
      </c>
      <c r="W693" s="68">
        <f t="shared" si="157"/>
        <v>311.49991518893131</v>
      </c>
    </row>
    <row r="694" spans="1:23" x14ac:dyDescent="0.25">
      <c r="A694" s="169" t="s">
        <v>942</v>
      </c>
      <c r="B694" s="61" t="s">
        <v>390</v>
      </c>
      <c r="C694" s="61" t="s">
        <v>585</v>
      </c>
      <c r="D694" s="61" t="s">
        <v>588</v>
      </c>
      <c r="E694" s="1" t="s">
        <v>358</v>
      </c>
      <c r="F694" s="62" t="str">
        <f t="shared" si="146"/>
        <v>64514</v>
      </c>
      <c r="G694" s="269">
        <v>10620030</v>
      </c>
      <c r="H694" s="1" t="s">
        <v>381</v>
      </c>
      <c r="I694" s="61">
        <v>30</v>
      </c>
      <c r="J694" s="61">
        <v>7</v>
      </c>
      <c r="K694" s="61">
        <v>9</v>
      </c>
      <c r="L694" s="69">
        <f t="shared" si="147"/>
        <v>2.1</v>
      </c>
      <c r="M694" s="69">
        <f t="shared" si="148"/>
        <v>2.7</v>
      </c>
      <c r="N694" s="56">
        <f>INDEX(Rate_Chart!$A$1:$AK$127,MATCH(Data!J694,Rate_Chart!$A$1:$A$127,0),MATCH(Data!K694,Rate_Chart!$A$1:$AK$1,0))</f>
        <v>58.45</v>
      </c>
      <c r="O694" s="57">
        <f t="shared" si="149"/>
        <v>1753.5</v>
      </c>
      <c r="P694" s="58">
        <f t="shared" si="150"/>
        <v>449.61538461538464</v>
      </c>
      <c r="Q694" s="58">
        <f t="shared" si="151"/>
        <v>299.74358974358978</v>
      </c>
      <c r="R694" s="66">
        <f t="shared" si="152"/>
        <v>30.686250000000005</v>
      </c>
      <c r="S694" s="64">
        <f t="shared" si="153"/>
        <v>112.5</v>
      </c>
      <c r="T694" s="66">
        <f t="shared" si="154"/>
        <v>1896.68625</v>
      </c>
      <c r="U694" s="68">
        <f t="shared" si="155"/>
        <v>63.222875000000002</v>
      </c>
      <c r="V694" s="68">
        <f t="shared" si="156"/>
        <v>486.32980769230767</v>
      </c>
      <c r="W694" s="68">
        <f t="shared" si="157"/>
        <v>324.21987179487178</v>
      </c>
    </row>
    <row r="695" spans="1:23" x14ac:dyDescent="0.25">
      <c r="A695" s="169" t="s">
        <v>942</v>
      </c>
      <c r="B695" s="61" t="s">
        <v>390</v>
      </c>
      <c r="C695" s="61" t="s">
        <v>585</v>
      </c>
      <c r="D695" s="61" t="s">
        <v>588</v>
      </c>
      <c r="E695" s="1" t="s">
        <v>358</v>
      </c>
      <c r="F695" s="62" t="str">
        <f t="shared" si="146"/>
        <v>64514</v>
      </c>
      <c r="G695" s="269">
        <v>10620030</v>
      </c>
      <c r="H695" s="1" t="s">
        <v>382</v>
      </c>
      <c r="I695" s="61">
        <v>21</v>
      </c>
      <c r="J695" s="61">
        <v>3.5</v>
      </c>
      <c r="K695" s="61">
        <v>8.1999999999999993</v>
      </c>
      <c r="L695" s="69">
        <f t="shared" si="147"/>
        <v>0.73499999999999999</v>
      </c>
      <c r="M695" s="69">
        <f t="shared" si="148"/>
        <v>1.722</v>
      </c>
      <c r="N695" s="56">
        <f>INDEX(Rate_Chart!$A$1:$AK$127,MATCH(Data!J695,Rate_Chart!$A$1:$A$127,0),MATCH(Data!K695,Rate_Chart!$A$1:$AK$1,0))</f>
        <v>37.392139800000002</v>
      </c>
      <c r="O695" s="57">
        <f t="shared" si="149"/>
        <v>785.23493580000002</v>
      </c>
      <c r="P695" s="58">
        <f t="shared" si="150"/>
        <v>417.01271152416359</v>
      </c>
      <c r="Q695" s="58">
        <f t="shared" si="151"/>
        <v>278.00847434944239</v>
      </c>
      <c r="R695" s="66">
        <f t="shared" si="152"/>
        <v>13.741611376500002</v>
      </c>
      <c r="S695" s="64">
        <f t="shared" si="153"/>
        <v>78.75</v>
      </c>
      <c r="T695" s="66">
        <f t="shared" si="154"/>
        <v>877.72654717650005</v>
      </c>
      <c r="U695" s="68">
        <f t="shared" si="155"/>
        <v>41.796502246500005</v>
      </c>
      <c r="V695" s="68">
        <f t="shared" si="156"/>
        <v>466.13199531412641</v>
      </c>
      <c r="W695" s="68">
        <f t="shared" si="157"/>
        <v>310.75466354275096</v>
      </c>
    </row>
    <row r="696" spans="1:23" x14ac:dyDescent="0.25">
      <c r="A696" s="169" t="s">
        <v>942</v>
      </c>
      <c r="B696" s="61" t="s">
        <v>391</v>
      </c>
      <c r="C696" s="61" t="s">
        <v>585</v>
      </c>
      <c r="D696" s="61" t="s">
        <v>588</v>
      </c>
      <c r="E696" s="1" t="s">
        <v>358</v>
      </c>
      <c r="F696" s="62" t="str">
        <f t="shared" si="146"/>
        <v>64514</v>
      </c>
      <c r="G696" s="269">
        <v>10620030</v>
      </c>
      <c r="H696" s="1" t="s">
        <v>381</v>
      </c>
      <c r="I696" s="61">
        <v>31</v>
      </c>
      <c r="J696" s="61">
        <v>6.9</v>
      </c>
      <c r="K696" s="61">
        <v>9</v>
      </c>
      <c r="L696" s="69">
        <f t="shared" si="147"/>
        <v>2.1390000000000002</v>
      </c>
      <c r="M696" s="69">
        <f t="shared" si="148"/>
        <v>2.79</v>
      </c>
      <c r="N696" s="56">
        <f>INDEX(Rate_Chart!$A$1:$AK$127,MATCH(Data!J696,Rate_Chart!$A$1:$A$127,0),MATCH(Data!K696,Rate_Chart!$A$1:$AK$1,0))</f>
        <v>57.615000000000002</v>
      </c>
      <c r="O696" s="57">
        <f t="shared" si="149"/>
        <v>1786.0650000000001</v>
      </c>
      <c r="P696" s="58">
        <f t="shared" si="150"/>
        <v>446.62790697674421</v>
      </c>
      <c r="Q696" s="58">
        <f t="shared" si="151"/>
        <v>297.75193798449612</v>
      </c>
      <c r="R696" s="66">
        <f t="shared" si="152"/>
        <v>31.256137500000005</v>
      </c>
      <c r="S696" s="64">
        <f t="shared" si="153"/>
        <v>116.25</v>
      </c>
      <c r="T696" s="66">
        <f t="shared" si="154"/>
        <v>1933.5711375000001</v>
      </c>
      <c r="U696" s="68">
        <f t="shared" si="155"/>
        <v>62.373262500000003</v>
      </c>
      <c r="V696" s="68">
        <f t="shared" si="156"/>
        <v>483.51366279069771</v>
      </c>
      <c r="W696" s="68">
        <f t="shared" si="157"/>
        <v>322.34244186046516</v>
      </c>
    </row>
    <row r="697" spans="1:23" x14ac:dyDescent="0.25">
      <c r="A697" s="169" t="s">
        <v>942</v>
      </c>
      <c r="B697" s="61" t="s">
        <v>391</v>
      </c>
      <c r="C697" s="61" t="s">
        <v>585</v>
      </c>
      <c r="D697" s="61" t="s">
        <v>588</v>
      </c>
      <c r="E697" s="1" t="s">
        <v>358</v>
      </c>
      <c r="F697" s="62" t="str">
        <f t="shared" si="146"/>
        <v>64514</v>
      </c>
      <c r="G697" s="269">
        <v>10620030</v>
      </c>
      <c r="H697" s="1" t="s">
        <v>382</v>
      </c>
      <c r="I697" s="61">
        <v>30</v>
      </c>
      <c r="J697" s="61">
        <v>3.5</v>
      </c>
      <c r="K697" s="61">
        <v>8.3000000000000007</v>
      </c>
      <c r="L697" s="69">
        <f t="shared" si="147"/>
        <v>1.05</v>
      </c>
      <c r="M697" s="69">
        <f t="shared" si="148"/>
        <v>2.4900000000000002</v>
      </c>
      <c r="N697" s="56">
        <f>INDEX(Rate_Chart!$A$1:$AK$127,MATCH(Data!J697,Rate_Chart!$A$1:$A$127,0),MATCH(Data!K697,Rate_Chart!$A$1:$AK$1,0))</f>
        <v>37.670153700000007</v>
      </c>
      <c r="O697" s="57">
        <f t="shared" si="149"/>
        <v>1130.1046110000002</v>
      </c>
      <c r="P697" s="58">
        <f t="shared" si="150"/>
        <v>417.01277158671587</v>
      </c>
      <c r="Q697" s="58">
        <f t="shared" si="151"/>
        <v>278.00851439114393</v>
      </c>
      <c r="R697" s="66">
        <f t="shared" si="152"/>
        <v>19.776830692500006</v>
      </c>
      <c r="S697" s="64">
        <f t="shared" si="153"/>
        <v>112.5</v>
      </c>
      <c r="T697" s="66">
        <f t="shared" si="154"/>
        <v>1262.3814416925002</v>
      </c>
      <c r="U697" s="68">
        <f t="shared" si="155"/>
        <v>42.079381389750004</v>
      </c>
      <c r="V697" s="68">
        <f t="shared" si="156"/>
        <v>465.82341021863465</v>
      </c>
      <c r="W697" s="68">
        <f t="shared" si="157"/>
        <v>310.54894014575643</v>
      </c>
    </row>
    <row r="698" spans="1:23" x14ac:dyDescent="0.25">
      <c r="A698" s="169" t="s">
        <v>943</v>
      </c>
      <c r="B698" s="61" t="s">
        <v>390</v>
      </c>
      <c r="C698" s="61" t="s">
        <v>585</v>
      </c>
      <c r="D698" s="61" t="s">
        <v>588</v>
      </c>
      <c r="E698" s="1" t="s">
        <v>358</v>
      </c>
      <c r="F698" s="62" t="str">
        <f t="shared" si="146"/>
        <v>64514</v>
      </c>
      <c r="G698" s="269">
        <v>10620030</v>
      </c>
      <c r="H698" s="1" t="s">
        <v>381</v>
      </c>
      <c r="I698" s="61">
        <v>25</v>
      </c>
      <c r="J698" s="61">
        <v>7.5</v>
      </c>
      <c r="K698" s="61">
        <v>9</v>
      </c>
      <c r="L698" s="69">
        <f t="shared" si="147"/>
        <v>1.875</v>
      </c>
      <c r="M698" s="69">
        <f t="shared" si="148"/>
        <v>2.25</v>
      </c>
      <c r="N698" s="56">
        <f>INDEX(Rate_Chart!$A$1:$AK$127,MATCH(Data!J698,Rate_Chart!$A$1:$A$127,0),MATCH(Data!K698,Rate_Chart!$A$1:$AK$1,0))</f>
        <v>62.625</v>
      </c>
      <c r="O698" s="57">
        <f t="shared" si="149"/>
        <v>1565.625</v>
      </c>
      <c r="P698" s="58">
        <f t="shared" si="150"/>
        <v>463.88888888888886</v>
      </c>
      <c r="Q698" s="58">
        <f t="shared" si="151"/>
        <v>309.25925925925924</v>
      </c>
      <c r="R698" s="66">
        <f t="shared" si="152"/>
        <v>27.398437500000004</v>
      </c>
      <c r="S698" s="64">
        <f t="shared" si="153"/>
        <v>93.75</v>
      </c>
      <c r="T698" s="66">
        <f t="shared" si="154"/>
        <v>1686.7734375</v>
      </c>
      <c r="U698" s="68">
        <f t="shared" si="155"/>
        <v>67.470937500000005</v>
      </c>
      <c r="V698" s="68">
        <f t="shared" si="156"/>
        <v>499.78472222222223</v>
      </c>
      <c r="W698" s="68">
        <f t="shared" si="157"/>
        <v>333.18981481481484</v>
      </c>
    </row>
    <row r="699" spans="1:23" x14ac:dyDescent="0.25">
      <c r="A699" s="169" t="s">
        <v>943</v>
      </c>
      <c r="B699" s="61" t="s">
        <v>390</v>
      </c>
      <c r="C699" s="61" t="s">
        <v>585</v>
      </c>
      <c r="D699" s="61" t="s">
        <v>588</v>
      </c>
      <c r="E699" s="1" t="s">
        <v>358</v>
      </c>
      <c r="F699" s="62" t="str">
        <f t="shared" si="146"/>
        <v>64514</v>
      </c>
      <c r="G699" s="269">
        <v>10620030</v>
      </c>
      <c r="H699" s="1" t="s">
        <v>382</v>
      </c>
      <c r="I699" s="61">
        <v>25</v>
      </c>
      <c r="J699" s="61">
        <v>3.4</v>
      </c>
      <c r="K699" s="61">
        <v>8.1</v>
      </c>
      <c r="L699" s="69">
        <f t="shared" si="147"/>
        <v>0.85</v>
      </c>
      <c r="M699" s="69">
        <f t="shared" si="148"/>
        <v>2.0249999999999999</v>
      </c>
      <c r="N699" s="56">
        <f>INDEX(Rate_Chart!$A$1:$AK$127,MATCH(Data!J699,Rate_Chart!$A$1:$A$127,0),MATCH(Data!K699,Rate_Chart!$A$1:$AK$1,0))</f>
        <v>36.697125900000003</v>
      </c>
      <c r="O699" s="57">
        <f t="shared" si="149"/>
        <v>917.42814750000002</v>
      </c>
      <c r="P699" s="58">
        <f t="shared" si="150"/>
        <v>417.01279431818188</v>
      </c>
      <c r="Q699" s="58">
        <f t="shared" si="151"/>
        <v>278.00852954545456</v>
      </c>
      <c r="R699" s="66">
        <f t="shared" si="152"/>
        <v>16.054992581250001</v>
      </c>
      <c r="S699" s="64">
        <f t="shared" si="153"/>
        <v>93.75</v>
      </c>
      <c r="T699" s="66">
        <f t="shared" si="154"/>
        <v>1027.23314008125</v>
      </c>
      <c r="U699" s="68">
        <f t="shared" si="155"/>
        <v>41.089325603249996</v>
      </c>
      <c r="V699" s="68">
        <f t="shared" si="156"/>
        <v>466.92415458238634</v>
      </c>
      <c r="W699" s="68">
        <f t="shared" si="157"/>
        <v>311.28276972159091</v>
      </c>
    </row>
    <row r="700" spans="1:23" x14ac:dyDescent="0.25">
      <c r="A700" s="169" t="s">
        <v>943</v>
      </c>
      <c r="B700" s="61" t="s">
        <v>391</v>
      </c>
      <c r="C700" s="61" t="s">
        <v>585</v>
      </c>
      <c r="D700" s="61" t="s">
        <v>588</v>
      </c>
      <c r="E700" s="1" t="s">
        <v>358</v>
      </c>
      <c r="F700" s="62" t="str">
        <f t="shared" si="146"/>
        <v>64514</v>
      </c>
      <c r="G700" s="269">
        <v>10620030</v>
      </c>
      <c r="H700" s="1" t="s">
        <v>381</v>
      </c>
      <c r="I700" s="61">
        <v>16</v>
      </c>
      <c r="J700" s="61">
        <v>5.7</v>
      </c>
      <c r="K700" s="61">
        <v>8.8000000000000007</v>
      </c>
      <c r="L700" s="69">
        <f t="shared" si="147"/>
        <v>0.91200000000000003</v>
      </c>
      <c r="M700" s="69">
        <f t="shared" si="148"/>
        <v>1.4080000000000001</v>
      </c>
      <c r="N700" s="56">
        <f>INDEX(Rate_Chart!$A$1:$AK$127,MATCH(Data!J700,Rate_Chart!$A$1:$A$127,0),MATCH(Data!K700,Rate_Chart!$A$1:$AK$1,0))</f>
        <v>47.119050000000001</v>
      </c>
      <c r="O700" s="57">
        <f t="shared" si="149"/>
        <v>753.90480000000002</v>
      </c>
      <c r="P700" s="58">
        <f t="shared" si="150"/>
        <v>407.3693083573487</v>
      </c>
      <c r="Q700" s="58">
        <f t="shared" si="151"/>
        <v>271.57953890489915</v>
      </c>
      <c r="R700" s="66">
        <f t="shared" si="152"/>
        <v>13.193334000000002</v>
      </c>
      <c r="S700" s="64">
        <f t="shared" si="153"/>
        <v>60</v>
      </c>
      <c r="T700" s="66">
        <f t="shared" si="154"/>
        <v>827.09813400000007</v>
      </c>
      <c r="U700" s="68">
        <f t="shared" si="155"/>
        <v>51.693633375000005</v>
      </c>
      <c r="V700" s="68">
        <f t="shared" si="156"/>
        <v>446.91902053314124</v>
      </c>
      <c r="W700" s="68">
        <f t="shared" si="157"/>
        <v>297.94601368876084</v>
      </c>
    </row>
    <row r="701" spans="1:23" x14ac:dyDescent="0.25">
      <c r="A701" s="169" t="s">
        <v>943</v>
      </c>
      <c r="B701" s="61" t="s">
        <v>391</v>
      </c>
      <c r="C701" s="61" t="s">
        <v>585</v>
      </c>
      <c r="D701" s="61" t="s">
        <v>588</v>
      </c>
      <c r="E701" s="1" t="s">
        <v>358</v>
      </c>
      <c r="F701" s="62" t="str">
        <f t="shared" si="146"/>
        <v>64514</v>
      </c>
      <c r="G701" s="269">
        <v>10620030</v>
      </c>
      <c r="H701" s="1" t="s">
        <v>382</v>
      </c>
      <c r="I701" s="61">
        <v>28</v>
      </c>
      <c r="J701" s="61">
        <v>3.5</v>
      </c>
      <c r="K701" s="61">
        <v>8.1</v>
      </c>
      <c r="L701" s="69">
        <f t="shared" si="147"/>
        <v>0.98</v>
      </c>
      <c r="M701" s="69">
        <f t="shared" si="148"/>
        <v>2.2679999999999998</v>
      </c>
      <c r="N701" s="56">
        <f>INDEX(Rate_Chart!$A$1:$AK$127,MATCH(Data!J701,Rate_Chart!$A$1:$A$127,0),MATCH(Data!K701,Rate_Chart!$A$1:$AK$1,0))</f>
        <v>37.114125900000005</v>
      </c>
      <c r="O701" s="57">
        <f t="shared" si="149"/>
        <v>1039.1955252000002</v>
      </c>
      <c r="P701" s="58">
        <f t="shared" si="150"/>
        <v>417.01265056179784</v>
      </c>
      <c r="Q701" s="58">
        <f t="shared" si="151"/>
        <v>278.00843370786521</v>
      </c>
      <c r="R701" s="66">
        <f t="shared" si="152"/>
        <v>18.185921691000004</v>
      </c>
      <c r="S701" s="64">
        <f t="shared" si="153"/>
        <v>105</v>
      </c>
      <c r="T701" s="66">
        <f t="shared" si="154"/>
        <v>1162.3814468910002</v>
      </c>
      <c r="U701" s="68">
        <f t="shared" si="155"/>
        <v>41.513623103250005</v>
      </c>
      <c r="V701" s="68">
        <f t="shared" si="156"/>
        <v>466.44520340730344</v>
      </c>
      <c r="W701" s="68">
        <f t="shared" si="157"/>
        <v>310.96346893820231</v>
      </c>
    </row>
    <row r="702" spans="1:23" x14ac:dyDescent="0.25">
      <c r="A702" s="169" t="s">
        <v>944</v>
      </c>
      <c r="B702" s="61" t="s">
        <v>390</v>
      </c>
      <c r="C702" s="61" t="s">
        <v>585</v>
      </c>
      <c r="D702" s="61" t="s">
        <v>588</v>
      </c>
      <c r="E702" s="1" t="s">
        <v>358</v>
      </c>
      <c r="F702" s="62" t="str">
        <f t="shared" si="146"/>
        <v>64514</v>
      </c>
      <c r="G702" s="269">
        <v>10620030</v>
      </c>
      <c r="H702" s="1" t="s">
        <v>381</v>
      </c>
      <c r="I702" s="61">
        <v>36</v>
      </c>
      <c r="J702" s="61">
        <v>7.2</v>
      </c>
      <c r="K702" s="61">
        <v>9</v>
      </c>
      <c r="L702" s="69">
        <f t="shared" si="147"/>
        <v>2.5920000000000001</v>
      </c>
      <c r="M702" s="69">
        <f t="shared" si="148"/>
        <v>3.24</v>
      </c>
      <c r="N702" s="56">
        <f>INDEX(Rate_Chart!$A$1:$AK$127,MATCH(Data!J702,Rate_Chart!$A$1:$A$127,0),MATCH(Data!K702,Rate_Chart!$A$1:$AK$1,0))</f>
        <v>60.120000000000005</v>
      </c>
      <c r="O702" s="57">
        <f t="shared" si="149"/>
        <v>2164.3200000000002</v>
      </c>
      <c r="P702" s="58">
        <f t="shared" si="150"/>
        <v>455.4545454545455</v>
      </c>
      <c r="Q702" s="58">
        <f t="shared" si="151"/>
        <v>303.63636363636368</v>
      </c>
      <c r="R702" s="66">
        <f t="shared" si="152"/>
        <v>37.875600000000006</v>
      </c>
      <c r="S702" s="64">
        <f t="shared" si="153"/>
        <v>135</v>
      </c>
      <c r="T702" s="66">
        <f t="shared" si="154"/>
        <v>2337.1956</v>
      </c>
      <c r="U702" s="68">
        <f t="shared" si="155"/>
        <v>64.9221</v>
      </c>
      <c r="V702" s="68">
        <f t="shared" si="156"/>
        <v>491.83409090909089</v>
      </c>
      <c r="W702" s="68">
        <f t="shared" si="157"/>
        <v>327.88939393939393</v>
      </c>
    </row>
    <row r="703" spans="1:23" x14ac:dyDescent="0.25">
      <c r="A703" s="169" t="s">
        <v>944</v>
      </c>
      <c r="B703" s="61" t="s">
        <v>390</v>
      </c>
      <c r="C703" s="61" t="s">
        <v>585</v>
      </c>
      <c r="D703" s="61" t="s">
        <v>588</v>
      </c>
      <c r="E703" s="1" t="s">
        <v>358</v>
      </c>
      <c r="F703" s="62" t="str">
        <f t="shared" si="146"/>
        <v>64514</v>
      </c>
      <c r="G703" s="269">
        <v>10620030</v>
      </c>
      <c r="H703" s="1" t="s">
        <v>382</v>
      </c>
      <c r="I703" s="61">
        <v>25</v>
      </c>
      <c r="J703" s="61">
        <v>3.4</v>
      </c>
      <c r="K703" s="61">
        <v>8.3000000000000007</v>
      </c>
      <c r="L703" s="69">
        <f t="shared" si="147"/>
        <v>0.85</v>
      </c>
      <c r="M703" s="69">
        <f t="shared" si="148"/>
        <v>2.0750000000000002</v>
      </c>
      <c r="N703" s="56">
        <f>INDEX(Rate_Chart!$A$1:$AK$127,MATCH(Data!J703,Rate_Chart!$A$1:$A$127,0),MATCH(Data!K703,Rate_Chart!$A$1:$AK$1,0))</f>
        <v>37.253153700000006</v>
      </c>
      <c r="O703" s="57">
        <f t="shared" si="149"/>
        <v>931.32884250000018</v>
      </c>
      <c r="P703" s="58">
        <f t="shared" si="150"/>
        <v>417.01291455223878</v>
      </c>
      <c r="Q703" s="58">
        <f t="shared" si="151"/>
        <v>278.0086097014925</v>
      </c>
      <c r="R703" s="66">
        <f t="shared" si="152"/>
        <v>16.298254743750004</v>
      </c>
      <c r="S703" s="64">
        <f t="shared" si="153"/>
        <v>93.75</v>
      </c>
      <c r="T703" s="66">
        <f t="shared" si="154"/>
        <v>1041.3770972437501</v>
      </c>
      <c r="U703" s="68">
        <f t="shared" si="155"/>
        <v>41.655083889750003</v>
      </c>
      <c r="V703" s="68">
        <f t="shared" si="156"/>
        <v>466.28825249720143</v>
      </c>
      <c r="W703" s="68">
        <f t="shared" si="157"/>
        <v>310.85883499813428</v>
      </c>
    </row>
    <row r="704" spans="1:23" x14ac:dyDescent="0.25">
      <c r="A704" s="169" t="s">
        <v>944</v>
      </c>
      <c r="B704" s="61" t="s">
        <v>391</v>
      </c>
      <c r="C704" s="61" t="s">
        <v>585</v>
      </c>
      <c r="D704" s="61" t="s">
        <v>588</v>
      </c>
      <c r="E704" s="1" t="s">
        <v>358</v>
      </c>
      <c r="F704" s="62" t="str">
        <f t="shared" si="146"/>
        <v>64514</v>
      </c>
      <c r="G704" s="269">
        <v>10620030</v>
      </c>
      <c r="H704" s="1" t="s">
        <v>381</v>
      </c>
      <c r="I704" s="61">
        <v>36</v>
      </c>
      <c r="J704" s="61">
        <v>6.7</v>
      </c>
      <c r="K704" s="61">
        <v>9</v>
      </c>
      <c r="L704" s="69">
        <f t="shared" si="147"/>
        <v>2.4120000000000004</v>
      </c>
      <c r="M704" s="69">
        <f t="shared" si="148"/>
        <v>3.24</v>
      </c>
      <c r="N704" s="56">
        <f>INDEX(Rate_Chart!$A$1:$AK$127,MATCH(Data!J704,Rate_Chart!$A$1:$A$127,0),MATCH(Data!K704,Rate_Chart!$A$1:$AK$1,0))</f>
        <v>55.945</v>
      </c>
      <c r="O704" s="57">
        <f t="shared" si="149"/>
        <v>2014.02</v>
      </c>
      <c r="P704" s="58">
        <f t="shared" si="150"/>
        <v>440.51181102362204</v>
      </c>
      <c r="Q704" s="58">
        <f t="shared" si="151"/>
        <v>293.67454068241472</v>
      </c>
      <c r="R704" s="66">
        <f t="shared" si="152"/>
        <v>35.245350000000002</v>
      </c>
      <c r="S704" s="64">
        <f t="shared" si="153"/>
        <v>135</v>
      </c>
      <c r="T704" s="66">
        <f t="shared" si="154"/>
        <v>2184.2653500000001</v>
      </c>
      <c r="U704" s="68">
        <f t="shared" si="155"/>
        <v>60.674037500000004</v>
      </c>
      <c r="V704" s="68">
        <f t="shared" si="156"/>
        <v>477.74832677165358</v>
      </c>
      <c r="W704" s="68">
        <f t="shared" si="157"/>
        <v>318.4988845144357</v>
      </c>
    </row>
    <row r="705" spans="1:23" x14ac:dyDescent="0.25">
      <c r="A705" s="169" t="s">
        <v>944</v>
      </c>
      <c r="B705" s="61" t="s">
        <v>391</v>
      </c>
      <c r="C705" s="61" t="s">
        <v>585</v>
      </c>
      <c r="D705" s="61" t="s">
        <v>588</v>
      </c>
      <c r="E705" s="1" t="s">
        <v>358</v>
      </c>
      <c r="F705" s="62" t="str">
        <f t="shared" si="146"/>
        <v>64514</v>
      </c>
      <c r="G705" s="269">
        <v>10620030</v>
      </c>
      <c r="H705" s="1" t="s">
        <v>382</v>
      </c>
      <c r="I705" s="61">
        <v>20</v>
      </c>
      <c r="J705" s="61">
        <v>3.9</v>
      </c>
      <c r="K705" s="61">
        <v>8.1999999999999993</v>
      </c>
      <c r="L705" s="69">
        <f t="shared" si="147"/>
        <v>0.78</v>
      </c>
      <c r="M705" s="69">
        <f t="shared" si="148"/>
        <v>1.64</v>
      </c>
      <c r="N705" s="56">
        <f>INDEX(Rate_Chart!$A$1:$AK$127,MATCH(Data!J705,Rate_Chart!$A$1:$A$127,0),MATCH(Data!K705,Rate_Chart!$A$1:$AK$1,0))</f>
        <v>39.060139800000002</v>
      </c>
      <c r="O705" s="57">
        <f t="shared" si="149"/>
        <v>781.20279600000003</v>
      </c>
      <c r="P705" s="58">
        <f t="shared" si="150"/>
        <v>417.01216868327407</v>
      </c>
      <c r="Q705" s="58">
        <f t="shared" si="151"/>
        <v>278.00811245551603</v>
      </c>
      <c r="R705" s="66">
        <f t="shared" si="152"/>
        <v>13.671048930000001</v>
      </c>
      <c r="S705" s="64">
        <f t="shared" si="153"/>
        <v>75</v>
      </c>
      <c r="T705" s="66">
        <f t="shared" si="154"/>
        <v>869.87384493000002</v>
      </c>
      <c r="U705" s="68">
        <f t="shared" si="155"/>
        <v>43.493692246500004</v>
      </c>
      <c r="V705" s="68">
        <f t="shared" si="156"/>
        <v>464.34546882384348</v>
      </c>
      <c r="W705" s="68">
        <f t="shared" si="157"/>
        <v>309.5636458825623</v>
      </c>
    </row>
    <row r="706" spans="1:23" x14ac:dyDescent="0.25">
      <c r="A706" s="169" t="s">
        <v>945</v>
      </c>
      <c r="B706" s="61" t="s">
        <v>390</v>
      </c>
      <c r="C706" s="61" t="s">
        <v>585</v>
      </c>
      <c r="D706" s="61" t="s">
        <v>588</v>
      </c>
      <c r="E706" s="1" t="s">
        <v>358</v>
      </c>
      <c r="F706" s="62" t="str">
        <f t="shared" si="146"/>
        <v>64514</v>
      </c>
      <c r="G706" s="269">
        <v>10620030</v>
      </c>
      <c r="H706" s="1" t="s">
        <v>381</v>
      </c>
      <c r="I706" s="61">
        <v>31</v>
      </c>
      <c r="J706" s="61">
        <v>7.2</v>
      </c>
      <c r="K706" s="61">
        <v>9</v>
      </c>
      <c r="L706" s="69">
        <f t="shared" si="147"/>
        <v>2.2320000000000002</v>
      </c>
      <c r="M706" s="69">
        <f t="shared" si="148"/>
        <v>2.79</v>
      </c>
      <c r="N706" s="56">
        <f>INDEX(Rate_Chart!$A$1:$AK$127,MATCH(Data!J706,Rate_Chart!$A$1:$A$127,0),MATCH(Data!K706,Rate_Chart!$A$1:$AK$1,0))</f>
        <v>60.120000000000005</v>
      </c>
      <c r="O706" s="57">
        <f t="shared" si="149"/>
        <v>1863.7200000000003</v>
      </c>
      <c r="P706" s="58">
        <f t="shared" si="150"/>
        <v>455.4545454545455</v>
      </c>
      <c r="Q706" s="58">
        <f t="shared" si="151"/>
        <v>303.63636363636368</v>
      </c>
      <c r="R706" s="66">
        <f t="shared" si="152"/>
        <v>32.615100000000005</v>
      </c>
      <c r="S706" s="64">
        <f t="shared" si="153"/>
        <v>116.25</v>
      </c>
      <c r="T706" s="66">
        <f t="shared" si="154"/>
        <v>2012.5851000000002</v>
      </c>
      <c r="U706" s="68">
        <f t="shared" si="155"/>
        <v>64.922100000000015</v>
      </c>
      <c r="V706" s="68">
        <f t="shared" si="156"/>
        <v>491.834090909091</v>
      </c>
      <c r="W706" s="68">
        <f t="shared" si="157"/>
        <v>327.88939393939398</v>
      </c>
    </row>
    <row r="707" spans="1:23" x14ac:dyDescent="0.25">
      <c r="A707" s="169" t="s">
        <v>945</v>
      </c>
      <c r="B707" s="61" t="s">
        <v>390</v>
      </c>
      <c r="C707" s="61" t="s">
        <v>585</v>
      </c>
      <c r="D707" s="61" t="s">
        <v>588</v>
      </c>
      <c r="E707" s="1" t="s">
        <v>358</v>
      </c>
      <c r="F707" s="62" t="str">
        <f t="shared" si="146"/>
        <v>64514</v>
      </c>
      <c r="G707" s="269">
        <v>10620030</v>
      </c>
      <c r="H707" s="1" t="s">
        <v>382</v>
      </c>
      <c r="I707" s="61">
        <v>25</v>
      </c>
      <c r="J707" s="61">
        <v>3.6</v>
      </c>
      <c r="K707" s="61">
        <v>8.4</v>
      </c>
      <c r="L707" s="69">
        <f t="shared" si="147"/>
        <v>0.9</v>
      </c>
      <c r="M707" s="69">
        <f t="shared" si="148"/>
        <v>2.1</v>
      </c>
      <c r="N707" s="56">
        <f>INDEX(Rate_Chart!$A$1:$AK$127,MATCH(Data!J707,Rate_Chart!$A$1:$A$127,0),MATCH(Data!K707,Rate_Chart!$A$1:$AK$1,0))</f>
        <v>38.365167600000007</v>
      </c>
      <c r="O707" s="57">
        <f t="shared" si="149"/>
        <v>959.12919000000011</v>
      </c>
      <c r="P707" s="58">
        <f t="shared" si="150"/>
        <v>417.01269130434792</v>
      </c>
      <c r="Q707" s="58">
        <f t="shared" si="151"/>
        <v>278.00846086956528</v>
      </c>
      <c r="R707" s="66">
        <f t="shared" si="152"/>
        <v>16.784760825000003</v>
      </c>
      <c r="S707" s="64">
        <f t="shared" si="153"/>
        <v>93.75</v>
      </c>
      <c r="T707" s="66">
        <f t="shared" si="154"/>
        <v>1069.663950825</v>
      </c>
      <c r="U707" s="68">
        <f t="shared" si="155"/>
        <v>42.786558032999999</v>
      </c>
      <c r="V707" s="68">
        <f t="shared" si="156"/>
        <v>465.07128296739131</v>
      </c>
      <c r="W707" s="68">
        <f t="shared" si="157"/>
        <v>310.04752197826087</v>
      </c>
    </row>
    <row r="708" spans="1:23" x14ac:dyDescent="0.25">
      <c r="A708" s="169" t="s">
        <v>945</v>
      </c>
      <c r="B708" s="61" t="s">
        <v>391</v>
      </c>
      <c r="C708" s="61" t="s">
        <v>585</v>
      </c>
      <c r="D708" s="61" t="s">
        <v>588</v>
      </c>
      <c r="E708" s="1" t="s">
        <v>358</v>
      </c>
      <c r="F708" s="62" t="str">
        <f t="shared" si="146"/>
        <v>64514</v>
      </c>
      <c r="G708" s="269">
        <v>10620030</v>
      </c>
      <c r="H708" s="1" t="s">
        <v>381</v>
      </c>
      <c r="I708" s="61">
        <v>40</v>
      </c>
      <c r="J708" s="61">
        <v>7.1</v>
      </c>
      <c r="K708" s="61">
        <v>9</v>
      </c>
      <c r="L708" s="69">
        <f t="shared" si="147"/>
        <v>2.84</v>
      </c>
      <c r="M708" s="69">
        <f t="shared" si="148"/>
        <v>3.6</v>
      </c>
      <c r="N708" s="56">
        <f>INDEX(Rate_Chart!$A$1:$AK$127,MATCH(Data!J708,Rate_Chart!$A$1:$A$127,0),MATCH(Data!K708,Rate_Chart!$A$1:$AK$1,0))</f>
        <v>59.284999999999997</v>
      </c>
      <c r="O708" s="57">
        <f t="shared" si="149"/>
        <v>2371.3999999999996</v>
      </c>
      <c r="P708" s="58">
        <f t="shared" si="150"/>
        <v>452.55725190839689</v>
      </c>
      <c r="Q708" s="58">
        <f t="shared" si="151"/>
        <v>301.70483460559791</v>
      </c>
      <c r="R708" s="66">
        <f t="shared" si="152"/>
        <v>41.499499999999998</v>
      </c>
      <c r="S708" s="64">
        <f t="shared" si="153"/>
        <v>150</v>
      </c>
      <c r="T708" s="66">
        <f t="shared" si="154"/>
        <v>2562.8994999999995</v>
      </c>
      <c r="U708" s="68">
        <f t="shared" si="155"/>
        <v>64.072487499999994</v>
      </c>
      <c r="V708" s="68">
        <f t="shared" si="156"/>
        <v>489.10295801526712</v>
      </c>
      <c r="W708" s="68">
        <f t="shared" si="157"/>
        <v>326.06863867684473</v>
      </c>
    </row>
    <row r="709" spans="1:23" x14ac:dyDescent="0.25">
      <c r="A709" s="169" t="s">
        <v>945</v>
      </c>
      <c r="B709" s="61" t="s">
        <v>391</v>
      </c>
      <c r="C709" s="61" t="s">
        <v>585</v>
      </c>
      <c r="D709" s="61" t="s">
        <v>588</v>
      </c>
      <c r="E709" s="1" t="s">
        <v>358</v>
      </c>
      <c r="F709" s="62" t="str">
        <f t="shared" ref="F709:F772" si="158">MID(E709,2,5)</f>
        <v>64514</v>
      </c>
      <c r="G709" s="269">
        <v>10620030</v>
      </c>
      <c r="H709" s="1" t="s">
        <v>382</v>
      </c>
      <c r="I709" s="61">
        <v>33</v>
      </c>
      <c r="J709" s="61">
        <v>4</v>
      </c>
      <c r="K709" s="61">
        <v>8.4</v>
      </c>
      <c r="L709" s="69">
        <f t="shared" si="147"/>
        <v>1.32</v>
      </c>
      <c r="M709" s="69">
        <f t="shared" si="148"/>
        <v>2.7719999999999998</v>
      </c>
      <c r="N709" s="56">
        <f>INDEX(Rate_Chart!$A$1:$AK$127,MATCH(Data!J709,Rate_Chart!$A$1:$A$127,0),MATCH(Data!K709,Rate_Chart!$A$1:$AK$1,0))</f>
        <v>40.033167600000006</v>
      </c>
      <c r="O709" s="57">
        <f t="shared" si="149"/>
        <v>1321.0945308000003</v>
      </c>
      <c r="P709" s="58">
        <f t="shared" si="150"/>
        <v>417.01216250000004</v>
      </c>
      <c r="Q709" s="58">
        <f t="shared" si="151"/>
        <v>278.00810833333338</v>
      </c>
      <c r="R709" s="66">
        <f t="shared" si="152"/>
        <v>23.119154289000008</v>
      </c>
      <c r="S709" s="64">
        <f t="shared" si="153"/>
        <v>123.75</v>
      </c>
      <c r="T709" s="66">
        <f t="shared" si="154"/>
        <v>1467.9636850890001</v>
      </c>
      <c r="U709" s="68">
        <f t="shared" si="155"/>
        <v>44.483748033000005</v>
      </c>
      <c r="V709" s="68">
        <f t="shared" si="156"/>
        <v>463.37237534375004</v>
      </c>
      <c r="W709" s="68">
        <f t="shared" si="157"/>
        <v>308.91491689583336</v>
      </c>
    </row>
    <row r="710" spans="1:23" x14ac:dyDescent="0.25">
      <c r="A710" s="169" t="s">
        <v>946</v>
      </c>
      <c r="B710" s="61" t="s">
        <v>390</v>
      </c>
      <c r="C710" s="61" t="s">
        <v>585</v>
      </c>
      <c r="D710" s="61" t="s">
        <v>588</v>
      </c>
      <c r="E710" s="1" t="s">
        <v>358</v>
      </c>
      <c r="F710" s="62" t="str">
        <f t="shared" si="158"/>
        <v>64514</v>
      </c>
      <c r="G710" s="269">
        <v>10620030</v>
      </c>
      <c r="H710" s="1" t="s">
        <v>381</v>
      </c>
      <c r="I710" s="61">
        <v>100</v>
      </c>
      <c r="J710" s="61">
        <v>6.5</v>
      </c>
      <c r="K710" s="61">
        <v>9</v>
      </c>
      <c r="L710" s="69">
        <f t="shared" si="147"/>
        <v>6.5</v>
      </c>
      <c r="M710" s="69">
        <f t="shared" si="148"/>
        <v>9</v>
      </c>
      <c r="N710" s="56">
        <f>INDEX(Rate_Chart!$A$1:$AK$127,MATCH(Data!J710,Rate_Chart!$A$1:$A$127,0),MATCH(Data!K710,Rate_Chart!$A$1:$AK$1,0))</f>
        <v>54.274999999999999</v>
      </c>
      <c r="O710" s="57">
        <f t="shared" si="149"/>
        <v>5427.5</v>
      </c>
      <c r="P710" s="58">
        <f t="shared" si="150"/>
        <v>434.2</v>
      </c>
      <c r="Q710" s="58">
        <f t="shared" si="151"/>
        <v>289.46666666666664</v>
      </c>
      <c r="R710" s="66">
        <f t="shared" si="152"/>
        <v>94.981250000000003</v>
      </c>
      <c r="S710" s="64">
        <f t="shared" si="153"/>
        <v>375</v>
      </c>
      <c r="T710" s="66">
        <f t="shared" si="154"/>
        <v>5897.4812499999998</v>
      </c>
      <c r="U710" s="68">
        <f t="shared" si="155"/>
        <v>58.974812499999999</v>
      </c>
      <c r="V710" s="68">
        <f t="shared" si="156"/>
        <v>471.79849999999999</v>
      </c>
      <c r="W710" s="68">
        <f t="shared" si="157"/>
        <v>314.53233333333333</v>
      </c>
    </row>
    <row r="711" spans="1:23" x14ac:dyDescent="0.25">
      <c r="A711" s="169" t="s">
        <v>946</v>
      </c>
      <c r="B711" s="61" t="s">
        <v>390</v>
      </c>
      <c r="C711" s="61" t="s">
        <v>585</v>
      </c>
      <c r="D711" s="61" t="s">
        <v>588</v>
      </c>
      <c r="E711" s="1" t="s">
        <v>358</v>
      </c>
      <c r="F711" s="62" t="str">
        <f t="shared" si="158"/>
        <v>64514</v>
      </c>
      <c r="G711" s="269">
        <v>10620030</v>
      </c>
      <c r="H711" s="1" t="s">
        <v>382</v>
      </c>
      <c r="I711" s="61">
        <v>33</v>
      </c>
      <c r="J711" s="61">
        <v>3.8</v>
      </c>
      <c r="K711" s="61">
        <v>8.4</v>
      </c>
      <c r="L711" s="69">
        <f t="shared" si="147"/>
        <v>1.254</v>
      </c>
      <c r="M711" s="69">
        <f t="shared" si="148"/>
        <v>2.7719999999999998</v>
      </c>
      <c r="N711" s="56">
        <f>INDEX(Rate_Chart!$A$1:$AK$127,MATCH(Data!J711,Rate_Chart!$A$1:$A$127,0),MATCH(Data!K711,Rate_Chart!$A$1:$AK$1,0))</f>
        <v>39.19916760000001</v>
      </c>
      <c r="O711" s="57">
        <f t="shared" si="149"/>
        <v>1293.5725308000003</v>
      </c>
      <c r="P711" s="58">
        <f t="shared" si="150"/>
        <v>417.01242127659583</v>
      </c>
      <c r="Q711" s="58">
        <f t="shared" si="151"/>
        <v>278.00828085106389</v>
      </c>
      <c r="R711" s="66">
        <f t="shared" si="152"/>
        <v>22.637519289000007</v>
      </c>
      <c r="S711" s="64">
        <f t="shared" si="153"/>
        <v>123.75</v>
      </c>
      <c r="T711" s="66">
        <f t="shared" si="154"/>
        <v>1439.9600500890003</v>
      </c>
      <c r="U711" s="68">
        <f t="shared" si="155"/>
        <v>43.635153033000009</v>
      </c>
      <c r="V711" s="68">
        <f t="shared" si="156"/>
        <v>464.20375567021284</v>
      </c>
      <c r="W711" s="68">
        <f t="shared" si="157"/>
        <v>309.46917044680856</v>
      </c>
    </row>
    <row r="712" spans="1:23" x14ac:dyDescent="0.25">
      <c r="A712" s="169" t="s">
        <v>946</v>
      </c>
      <c r="B712" s="61" t="s">
        <v>391</v>
      </c>
      <c r="C712" s="61" t="s">
        <v>585</v>
      </c>
      <c r="D712" s="61" t="s">
        <v>588</v>
      </c>
      <c r="E712" s="1" t="s">
        <v>358</v>
      </c>
      <c r="F712" s="62" t="str">
        <f t="shared" si="158"/>
        <v>64514</v>
      </c>
      <c r="G712" s="269">
        <v>10620030</v>
      </c>
      <c r="H712" s="1" t="s">
        <v>381</v>
      </c>
      <c r="I712" s="61">
        <v>40</v>
      </c>
      <c r="J712" s="61">
        <v>6.7</v>
      </c>
      <c r="K712" s="61">
        <v>9</v>
      </c>
      <c r="L712" s="69">
        <f t="shared" si="147"/>
        <v>2.68</v>
      </c>
      <c r="M712" s="69">
        <f t="shared" si="148"/>
        <v>3.6</v>
      </c>
      <c r="N712" s="56">
        <f>INDEX(Rate_Chart!$A$1:$AK$127,MATCH(Data!J712,Rate_Chart!$A$1:$A$127,0),MATCH(Data!K712,Rate_Chart!$A$1:$AK$1,0))</f>
        <v>55.945</v>
      </c>
      <c r="O712" s="57">
        <f t="shared" si="149"/>
        <v>2237.8000000000002</v>
      </c>
      <c r="P712" s="58">
        <f t="shared" si="150"/>
        <v>440.51181102362204</v>
      </c>
      <c r="Q712" s="58">
        <f t="shared" si="151"/>
        <v>293.67454068241472</v>
      </c>
      <c r="R712" s="66">
        <f t="shared" si="152"/>
        <v>39.161500000000004</v>
      </c>
      <c r="S712" s="64">
        <f t="shared" si="153"/>
        <v>150</v>
      </c>
      <c r="T712" s="66">
        <f t="shared" si="154"/>
        <v>2426.9615000000003</v>
      </c>
      <c r="U712" s="68">
        <f t="shared" si="155"/>
        <v>60.674037500000011</v>
      </c>
      <c r="V712" s="68">
        <f t="shared" si="156"/>
        <v>477.74832677165364</v>
      </c>
      <c r="W712" s="68">
        <f t="shared" si="157"/>
        <v>318.49888451443576</v>
      </c>
    </row>
    <row r="713" spans="1:23" x14ac:dyDescent="0.25">
      <c r="A713" s="169" t="s">
        <v>946</v>
      </c>
      <c r="B713" s="61" t="s">
        <v>391</v>
      </c>
      <c r="C713" s="61" t="s">
        <v>585</v>
      </c>
      <c r="D713" s="61" t="s">
        <v>588</v>
      </c>
      <c r="E713" s="1" t="s">
        <v>358</v>
      </c>
      <c r="F713" s="62" t="str">
        <f t="shared" si="158"/>
        <v>64514</v>
      </c>
      <c r="G713" s="269">
        <v>10620030</v>
      </c>
      <c r="H713" s="1" t="s">
        <v>382</v>
      </c>
      <c r="I713" s="61">
        <v>32</v>
      </c>
      <c r="J713" s="61">
        <v>4</v>
      </c>
      <c r="K713" s="61">
        <v>8.5</v>
      </c>
      <c r="L713" s="69">
        <f t="shared" si="147"/>
        <v>1.28</v>
      </c>
      <c r="M713" s="69">
        <f t="shared" si="148"/>
        <v>2.72</v>
      </c>
      <c r="N713" s="56">
        <f>INDEX(Rate_Chart!$A$1:$AK$127,MATCH(Data!J713,Rate_Chart!$A$1:$A$127,0),MATCH(Data!K713,Rate_Chart!$A$1:$AK$1,0))</f>
        <v>40.311181500000004</v>
      </c>
      <c r="O713" s="57">
        <f t="shared" si="149"/>
        <v>1289.9578080000001</v>
      </c>
      <c r="P713" s="58">
        <f t="shared" si="150"/>
        <v>417.0122224137931</v>
      </c>
      <c r="Q713" s="58">
        <f t="shared" si="151"/>
        <v>278.00814827586208</v>
      </c>
      <c r="R713" s="66">
        <f t="shared" si="152"/>
        <v>22.574261640000003</v>
      </c>
      <c r="S713" s="64">
        <f t="shared" si="153"/>
        <v>120</v>
      </c>
      <c r="T713" s="66">
        <f t="shared" si="154"/>
        <v>1432.5320696400001</v>
      </c>
      <c r="U713" s="68">
        <f t="shared" si="155"/>
        <v>44.766627176250005</v>
      </c>
      <c r="V713" s="68">
        <f t="shared" si="156"/>
        <v>463.10303975431032</v>
      </c>
      <c r="W713" s="68">
        <f t="shared" si="157"/>
        <v>308.7353598362069</v>
      </c>
    </row>
    <row r="714" spans="1:23" x14ac:dyDescent="0.25">
      <c r="A714" s="169" t="s">
        <v>947</v>
      </c>
      <c r="B714" s="61" t="s">
        <v>390</v>
      </c>
      <c r="C714" s="61" t="s">
        <v>585</v>
      </c>
      <c r="D714" s="61" t="s">
        <v>588</v>
      </c>
      <c r="E714" s="1" t="s">
        <v>358</v>
      </c>
      <c r="F714" s="62" t="str">
        <f t="shared" si="158"/>
        <v>64514</v>
      </c>
      <c r="G714" s="269">
        <v>10620030</v>
      </c>
      <c r="H714" s="1" t="s">
        <v>381</v>
      </c>
      <c r="I714" s="61">
        <v>100</v>
      </c>
      <c r="J714" s="61">
        <v>6.5</v>
      </c>
      <c r="K714" s="61">
        <v>9</v>
      </c>
      <c r="L714" s="69">
        <f t="shared" si="147"/>
        <v>6.5</v>
      </c>
      <c r="M714" s="69">
        <f t="shared" si="148"/>
        <v>9</v>
      </c>
      <c r="N714" s="56">
        <f>INDEX(Rate_Chart!$A$1:$AK$127,MATCH(Data!J714,Rate_Chart!$A$1:$A$127,0),MATCH(Data!K714,Rate_Chart!$A$1:$AK$1,0))</f>
        <v>54.274999999999999</v>
      </c>
      <c r="O714" s="57">
        <f t="shared" si="149"/>
        <v>5427.5</v>
      </c>
      <c r="P714" s="58">
        <f t="shared" si="150"/>
        <v>434.2</v>
      </c>
      <c r="Q714" s="58">
        <f t="shared" si="151"/>
        <v>289.46666666666664</v>
      </c>
      <c r="R714" s="66">
        <f t="shared" si="152"/>
        <v>94.981250000000003</v>
      </c>
      <c r="S714" s="64">
        <f t="shared" si="153"/>
        <v>375</v>
      </c>
      <c r="T714" s="66">
        <f t="shared" si="154"/>
        <v>5897.4812499999998</v>
      </c>
      <c r="U714" s="68">
        <f t="shared" si="155"/>
        <v>58.974812499999999</v>
      </c>
      <c r="V714" s="68">
        <f t="shared" si="156"/>
        <v>471.79849999999999</v>
      </c>
      <c r="W714" s="68">
        <f t="shared" si="157"/>
        <v>314.53233333333333</v>
      </c>
    </row>
    <row r="715" spans="1:23" x14ac:dyDescent="0.25">
      <c r="A715" s="169" t="s">
        <v>947</v>
      </c>
      <c r="B715" s="61" t="s">
        <v>390</v>
      </c>
      <c r="C715" s="61" t="s">
        <v>585</v>
      </c>
      <c r="D715" s="61" t="s">
        <v>588</v>
      </c>
      <c r="E715" s="1" t="s">
        <v>358</v>
      </c>
      <c r="F715" s="62" t="str">
        <f t="shared" si="158"/>
        <v>64514</v>
      </c>
      <c r="G715" s="269">
        <v>10620030</v>
      </c>
      <c r="H715" s="1" t="s">
        <v>382</v>
      </c>
      <c r="I715" s="61">
        <v>24</v>
      </c>
      <c r="J715" s="61">
        <v>3.7</v>
      </c>
      <c r="K715" s="61">
        <v>8.4</v>
      </c>
      <c r="L715" s="69">
        <f t="shared" si="147"/>
        <v>0.88800000000000012</v>
      </c>
      <c r="M715" s="69">
        <f t="shared" si="148"/>
        <v>2.016</v>
      </c>
      <c r="N715" s="56">
        <f>INDEX(Rate_Chart!$A$1:$AK$127,MATCH(Data!J715,Rate_Chart!$A$1:$A$127,0),MATCH(Data!K715,Rate_Chart!$A$1:$AK$1,0))</f>
        <v>38.782167600000008</v>
      </c>
      <c r="O715" s="57">
        <f t="shared" si="149"/>
        <v>930.7720224000002</v>
      </c>
      <c r="P715" s="58">
        <f t="shared" si="150"/>
        <v>417.01255483870978</v>
      </c>
      <c r="Q715" s="58">
        <f t="shared" si="151"/>
        <v>278.00836989247318</v>
      </c>
      <c r="R715" s="66">
        <f t="shared" si="152"/>
        <v>16.288510392000006</v>
      </c>
      <c r="S715" s="64">
        <f t="shared" si="153"/>
        <v>90</v>
      </c>
      <c r="T715" s="66">
        <f t="shared" si="154"/>
        <v>1037.0605327920002</v>
      </c>
      <c r="U715" s="68">
        <f t="shared" si="155"/>
        <v>43.210855533000007</v>
      </c>
      <c r="V715" s="68">
        <f t="shared" si="156"/>
        <v>464.63285519354849</v>
      </c>
      <c r="W715" s="68">
        <f t="shared" si="157"/>
        <v>309.75523679569898</v>
      </c>
    </row>
    <row r="716" spans="1:23" x14ac:dyDescent="0.25">
      <c r="A716" s="169" t="s">
        <v>947</v>
      </c>
      <c r="B716" s="61" t="s">
        <v>391</v>
      </c>
      <c r="C716" s="61" t="s">
        <v>585</v>
      </c>
      <c r="D716" s="61" t="s">
        <v>588</v>
      </c>
      <c r="E716" s="1" t="s">
        <v>358</v>
      </c>
      <c r="F716" s="62" t="str">
        <f t="shared" si="158"/>
        <v>64514</v>
      </c>
      <c r="G716" s="269">
        <v>10620030</v>
      </c>
      <c r="H716" s="1" t="s">
        <v>381</v>
      </c>
      <c r="I716" s="61">
        <v>35</v>
      </c>
      <c r="J716" s="61">
        <v>6.8</v>
      </c>
      <c r="K716" s="61">
        <v>9</v>
      </c>
      <c r="L716" s="69">
        <f t="shared" si="147"/>
        <v>2.38</v>
      </c>
      <c r="M716" s="69">
        <f t="shared" si="148"/>
        <v>3.15</v>
      </c>
      <c r="N716" s="56">
        <f>INDEX(Rate_Chart!$A$1:$AK$127,MATCH(Data!J716,Rate_Chart!$A$1:$A$127,0),MATCH(Data!K716,Rate_Chart!$A$1:$AK$1,0))</f>
        <v>56.78</v>
      </c>
      <c r="O716" s="57">
        <f t="shared" si="149"/>
        <v>1987.3</v>
      </c>
      <c r="P716" s="58">
        <f t="shared" si="150"/>
        <v>443.59375</v>
      </c>
      <c r="Q716" s="58">
        <f t="shared" si="151"/>
        <v>295.72916666666669</v>
      </c>
      <c r="R716" s="66">
        <f t="shared" si="152"/>
        <v>34.777750000000005</v>
      </c>
      <c r="S716" s="64">
        <f t="shared" si="153"/>
        <v>131.25</v>
      </c>
      <c r="T716" s="66">
        <f t="shared" si="154"/>
        <v>2153.3277499999999</v>
      </c>
      <c r="U716" s="68">
        <f t="shared" si="155"/>
        <v>61.523649999999996</v>
      </c>
      <c r="V716" s="68">
        <f t="shared" si="156"/>
        <v>480.65351562499995</v>
      </c>
      <c r="W716" s="68">
        <f t="shared" si="157"/>
        <v>320.4356770833333</v>
      </c>
    </row>
    <row r="717" spans="1:23" x14ac:dyDescent="0.25">
      <c r="A717" s="169" t="s">
        <v>947</v>
      </c>
      <c r="B717" s="61" t="s">
        <v>391</v>
      </c>
      <c r="C717" s="61" t="s">
        <v>585</v>
      </c>
      <c r="D717" s="61" t="s">
        <v>588</v>
      </c>
      <c r="E717" s="1" t="s">
        <v>358</v>
      </c>
      <c r="F717" s="62" t="str">
        <f t="shared" si="158"/>
        <v>64514</v>
      </c>
      <c r="G717" s="269">
        <v>10620030</v>
      </c>
      <c r="H717" s="1" t="s">
        <v>382</v>
      </c>
      <c r="I717" s="61">
        <v>36</v>
      </c>
      <c r="J717" s="61">
        <v>4.0999999999999996</v>
      </c>
      <c r="K717" s="61">
        <v>8.5</v>
      </c>
      <c r="L717" s="69">
        <f t="shared" si="147"/>
        <v>1.476</v>
      </c>
      <c r="M717" s="69">
        <f t="shared" si="148"/>
        <v>3.06</v>
      </c>
      <c r="N717" s="56">
        <f>INDEX(Rate_Chart!$A$1:$AK$127,MATCH(Data!J717,Rate_Chart!$A$1:$A$127,0),MATCH(Data!K717,Rate_Chart!$A$1:$AK$1,0))</f>
        <v>40.728181500000005</v>
      </c>
      <c r="O717" s="57">
        <f t="shared" si="149"/>
        <v>1466.2145340000002</v>
      </c>
      <c r="P717" s="58">
        <f t="shared" si="150"/>
        <v>417.01209726962463</v>
      </c>
      <c r="Q717" s="58">
        <f t="shared" si="151"/>
        <v>278.0080648464164</v>
      </c>
      <c r="R717" s="66">
        <f t="shared" si="152"/>
        <v>25.658754345000006</v>
      </c>
      <c r="S717" s="64">
        <f t="shared" si="153"/>
        <v>135</v>
      </c>
      <c r="T717" s="66">
        <f t="shared" si="154"/>
        <v>1626.8732883450002</v>
      </c>
      <c r="U717" s="68">
        <f t="shared" si="155"/>
        <v>45.190924676250006</v>
      </c>
      <c r="V717" s="68">
        <f t="shared" si="156"/>
        <v>462.70571340870316</v>
      </c>
      <c r="W717" s="68">
        <f t="shared" si="157"/>
        <v>308.47047560580211</v>
      </c>
    </row>
    <row r="718" spans="1:23" x14ac:dyDescent="0.25">
      <c r="A718" s="169" t="s">
        <v>941</v>
      </c>
      <c r="B718" s="61" t="s">
        <v>391</v>
      </c>
      <c r="C718" s="61" t="s">
        <v>585</v>
      </c>
      <c r="D718" s="61" t="s">
        <v>589</v>
      </c>
      <c r="E718" s="1" t="s">
        <v>359</v>
      </c>
      <c r="F718" s="62" t="str">
        <f t="shared" si="158"/>
        <v>64515</v>
      </c>
      <c r="G718" s="269">
        <v>10620012</v>
      </c>
      <c r="H718" s="1" t="s">
        <v>381</v>
      </c>
      <c r="I718" s="61">
        <v>7</v>
      </c>
      <c r="J718" s="61">
        <v>5.6</v>
      </c>
      <c r="K718" s="61">
        <v>8.8000000000000007</v>
      </c>
      <c r="L718" s="69">
        <f t="shared" si="147"/>
        <v>0.39199999999999996</v>
      </c>
      <c r="M718" s="69">
        <f t="shared" si="148"/>
        <v>0.6160000000000001</v>
      </c>
      <c r="N718" s="56">
        <f>INDEX(Rate_Chart!$A$1:$AK$127,MATCH(Data!J718,Rate_Chart!$A$1:$A$127,0),MATCH(Data!K718,Rate_Chart!$A$1:$AK$1,0))</f>
        <v>46.292400000000001</v>
      </c>
      <c r="O718" s="57">
        <f t="shared" si="149"/>
        <v>324.04680000000002</v>
      </c>
      <c r="P718" s="58">
        <f t="shared" si="150"/>
        <v>403.71279069767445</v>
      </c>
      <c r="Q718" s="58">
        <f t="shared" si="151"/>
        <v>269.14186046511628</v>
      </c>
      <c r="R718" s="66">
        <f t="shared" si="152"/>
        <v>5.6708190000000007</v>
      </c>
      <c r="S718" s="64">
        <f t="shared" si="153"/>
        <v>26.25</v>
      </c>
      <c r="T718" s="66">
        <f t="shared" si="154"/>
        <v>355.96761900000001</v>
      </c>
      <c r="U718" s="68">
        <f t="shared" si="155"/>
        <v>50.852516999999999</v>
      </c>
      <c r="V718" s="68">
        <f t="shared" si="156"/>
        <v>443.48125290697675</v>
      </c>
      <c r="W718" s="68">
        <f t="shared" si="157"/>
        <v>295.65416860465115</v>
      </c>
    </row>
    <row r="719" spans="1:23" x14ac:dyDescent="0.25">
      <c r="A719" s="169" t="s">
        <v>941</v>
      </c>
      <c r="B719" s="61" t="s">
        <v>391</v>
      </c>
      <c r="C719" s="61" t="s">
        <v>585</v>
      </c>
      <c r="D719" s="61" t="s">
        <v>589</v>
      </c>
      <c r="E719" s="1" t="s">
        <v>359</v>
      </c>
      <c r="F719" s="62" t="str">
        <f t="shared" si="158"/>
        <v>64515</v>
      </c>
      <c r="G719" s="269">
        <v>10620012</v>
      </c>
      <c r="H719" s="1" t="s">
        <v>382</v>
      </c>
      <c r="I719" s="61">
        <v>39</v>
      </c>
      <c r="J719" s="61">
        <v>4.9000000000000004</v>
      </c>
      <c r="K719" s="61">
        <v>8.5</v>
      </c>
      <c r="L719" s="69">
        <f t="shared" si="147"/>
        <v>1.9110000000000003</v>
      </c>
      <c r="M719" s="69">
        <f t="shared" si="148"/>
        <v>3.3149999999999999</v>
      </c>
      <c r="N719" s="56">
        <f>INDEX(Rate_Chart!$A$1:$AK$127,MATCH(Data!J719,Rate_Chart!$A$1:$A$127,0),MATCH(Data!K719,Rate_Chart!$A$1:$AK$1,0))</f>
        <v>44.064181500000004</v>
      </c>
      <c r="O719" s="57">
        <f t="shared" si="149"/>
        <v>1718.5030785000001</v>
      </c>
      <c r="P719" s="58">
        <f t="shared" si="150"/>
        <v>417.01118138801263</v>
      </c>
      <c r="Q719" s="58">
        <f t="shared" si="151"/>
        <v>278.00745425867507</v>
      </c>
      <c r="R719" s="66">
        <f t="shared" si="152"/>
        <v>30.073803873750006</v>
      </c>
      <c r="S719" s="64">
        <f t="shared" si="153"/>
        <v>146.25</v>
      </c>
      <c r="T719" s="66">
        <f t="shared" si="154"/>
        <v>1894.8268823737501</v>
      </c>
      <c r="U719" s="68">
        <f t="shared" si="155"/>
        <v>48.585304676250004</v>
      </c>
      <c r="V719" s="68">
        <f t="shared" si="156"/>
        <v>459.79783605283916</v>
      </c>
      <c r="W719" s="68">
        <f t="shared" si="157"/>
        <v>306.53189070189279</v>
      </c>
    </row>
    <row r="720" spans="1:23" x14ac:dyDescent="0.25">
      <c r="A720" s="169" t="s">
        <v>942</v>
      </c>
      <c r="B720" s="61" t="s">
        <v>390</v>
      </c>
      <c r="C720" s="61" t="s">
        <v>585</v>
      </c>
      <c r="D720" s="61" t="s">
        <v>589</v>
      </c>
      <c r="E720" s="1" t="s">
        <v>359</v>
      </c>
      <c r="F720" s="62" t="str">
        <f t="shared" si="158"/>
        <v>64515</v>
      </c>
      <c r="G720" s="269">
        <v>10620012</v>
      </c>
      <c r="H720" s="1" t="s">
        <v>381</v>
      </c>
      <c r="I720" s="61">
        <v>37</v>
      </c>
      <c r="J720" s="61">
        <v>7.5</v>
      </c>
      <c r="K720" s="61">
        <v>9</v>
      </c>
      <c r="L720" s="69">
        <f t="shared" si="147"/>
        <v>2.7749999999999999</v>
      </c>
      <c r="M720" s="69">
        <f t="shared" si="148"/>
        <v>3.33</v>
      </c>
      <c r="N720" s="56">
        <f>INDEX(Rate_Chart!$A$1:$AK$127,MATCH(Data!J720,Rate_Chart!$A$1:$A$127,0),MATCH(Data!K720,Rate_Chart!$A$1:$AK$1,0))</f>
        <v>62.625</v>
      </c>
      <c r="O720" s="57">
        <f t="shared" si="149"/>
        <v>2317.125</v>
      </c>
      <c r="P720" s="58">
        <f t="shared" si="150"/>
        <v>463.88888888888886</v>
      </c>
      <c r="Q720" s="58">
        <f t="shared" si="151"/>
        <v>309.25925925925924</v>
      </c>
      <c r="R720" s="66">
        <f t="shared" si="152"/>
        <v>40.549687500000005</v>
      </c>
      <c r="S720" s="64">
        <f t="shared" si="153"/>
        <v>138.75</v>
      </c>
      <c r="T720" s="66">
        <f t="shared" si="154"/>
        <v>2496.4246874999999</v>
      </c>
      <c r="U720" s="68">
        <f t="shared" si="155"/>
        <v>67.470937499999991</v>
      </c>
      <c r="V720" s="68">
        <f t="shared" si="156"/>
        <v>499.78472222222211</v>
      </c>
      <c r="W720" s="68">
        <f t="shared" si="157"/>
        <v>333.18981481481472</v>
      </c>
    </row>
    <row r="721" spans="1:23" x14ac:dyDescent="0.25">
      <c r="A721" s="169" t="s">
        <v>942</v>
      </c>
      <c r="B721" s="61" t="s">
        <v>390</v>
      </c>
      <c r="C721" s="61" t="s">
        <v>585</v>
      </c>
      <c r="D721" s="61" t="s">
        <v>589</v>
      </c>
      <c r="E721" s="1" t="s">
        <v>359</v>
      </c>
      <c r="F721" s="62" t="str">
        <f t="shared" si="158"/>
        <v>64515</v>
      </c>
      <c r="G721" s="269">
        <v>10620012</v>
      </c>
      <c r="H721" s="1" t="s">
        <v>382</v>
      </c>
      <c r="I721" s="61">
        <v>36</v>
      </c>
      <c r="J721" s="61">
        <v>3.8</v>
      </c>
      <c r="K721" s="61">
        <v>8.1999999999999993</v>
      </c>
      <c r="L721" s="69">
        <f t="shared" si="147"/>
        <v>1.3679999999999999</v>
      </c>
      <c r="M721" s="69">
        <f t="shared" si="148"/>
        <v>2.952</v>
      </c>
      <c r="N721" s="56">
        <f>INDEX(Rate_Chart!$A$1:$AK$127,MATCH(Data!J721,Rate_Chart!$A$1:$A$127,0),MATCH(Data!K721,Rate_Chart!$A$1:$AK$1,0))</f>
        <v>38.6431398</v>
      </c>
      <c r="O721" s="57">
        <f t="shared" si="149"/>
        <v>1391.1530327999999</v>
      </c>
      <c r="P721" s="58">
        <f t="shared" si="150"/>
        <v>417.01230000000004</v>
      </c>
      <c r="Q721" s="58">
        <f t="shared" si="151"/>
        <v>278.00820000000004</v>
      </c>
      <c r="R721" s="66">
        <f t="shared" si="152"/>
        <v>24.345178074</v>
      </c>
      <c r="S721" s="64">
        <f t="shared" si="153"/>
        <v>135</v>
      </c>
      <c r="T721" s="66">
        <f t="shared" si="154"/>
        <v>1550.4982108739998</v>
      </c>
      <c r="U721" s="68">
        <f t="shared" si="155"/>
        <v>43.069394746499995</v>
      </c>
      <c r="V721" s="68">
        <f t="shared" si="156"/>
        <v>464.77764114928056</v>
      </c>
      <c r="W721" s="68">
        <f t="shared" si="157"/>
        <v>309.85176076618706</v>
      </c>
    </row>
    <row r="722" spans="1:23" x14ac:dyDescent="0.25">
      <c r="A722" s="169" t="s">
        <v>942</v>
      </c>
      <c r="B722" s="61" t="s">
        <v>391</v>
      </c>
      <c r="C722" s="61" t="s">
        <v>585</v>
      </c>
      <c r="D722" s="61" t="s">
        <v>589</v>
      </c>
      <c r="E722" s="1" t="s">
        <v>359</v>
      </c>
      <c r="F722" s="62" t="str">
        <f t="shared" si="158"/>
        <v>64515</v>
      </c>
      <c r="G722" s="269">
        <v>10620012</v>
      </c>
      <c r="H722" s="1" t="s">
        <v>381</v>
      </c>
      <c r="I722" s="61">
        <v>40</v>
      </c>
      <c r="J722" s="61">
        <v>5.6</v>
      </c>
      <c r="K722" s="61">
        <v>8.6</v>
      </c>
      <c r="L722" s="69">
        <f t="shared" si="147"/>
        <v>2.2400000000000002</v>
      </c>
      <c r="M722" s="69">
        <f t="shared" si="148"/>
        <v>3.44</v>
      </c>
      <c r="N722" s="56">
        <f>INDEX(Rate_Chart!$A$1:$AK$127,MATCH(Data!J722,Rate_Chart!$A$1:$A$127,0),MATCH(Data!K722,Rate_Chart!$A$1:$AK$1,0))</f>
        <v>45.824799999999996</v>
      </c>
      <c r="O722" s="57">
        <f t="shared" si="149"/>
        <v>1832.9919999999997</v>
      </c>
      <c r="P722" s="58">
        <f t="shared" si="150"/>
        <v>404.33647058823533</v>
      </c>
      <c r="Q722" s="58">
        <f t="shared" si="151"/>
        <v>269.55764705882353</v>
      </c>
      <c r="R722" s="66">
        <f t="shared" si="152"/>
        <v>32.077359999999999</v>
      </c>
      <c r="S722" s="64">
        <f t="shared" si="153"/>
        <v>150</v>
      </c>
      <c r="T722" s="66">
        <f t="shared" si="154"/>
        <v>2015.0693599999997</v>
      </c>
      <c r="U722" s="68">
        <f t="shared" si="155"/>
        <v>50.376733999999992</v>
      </c>
      <c r="V722" s="68">
        <f t="shared" si="156"/>
        <v>444.50059411764704</v>
      </c>
      <c r="W722" s="68">
        <f t="shared" si="157"/>
        <v>296.33372941176469</v>
      </c>
    </row>
    <row r="723" spans="1:23" x14ac:dyDescent="0.25">
      <c r="A723" s="169" t="s">
        <v>943</v>
      </c>
      <c r="B723" s="61" t="s">
        <v>390</v>
      </c>
      <c r="C723" s="61" t="s">
        <v>585</v>
      </c>
      <c r="D723" s="61" t="s">
        <v>589</v>
      </c>
      <c r="E723" s="1" t="s">
        <v>359</v>
      </c>
      <c r="F723" s="62" t="str">
        <f t="shared" si="158"/>
        <v>64515</v>
      </c>
      <c r="G723" s="269">
        <v>10620012</v>
      </c>
      <c r="H723" s="1" t="s">
        <v>381</v>
      </c>
      <c r="I723" s="61">
        <v>22</v>
      </c>
      <c r="J723" s="61">
        <v>6.4</v>
      </c>
      <c r="K723" s="61">
        <v>9</v>
      </c>
      <c r="L723" s="69">
        <f t="shared" si="147"/>
        <v>1.4080000000000001</v>
      </c>
      <c r="M723" s="69">
        <f t="shared" si="148"/>
        <v>1.98</v>
      </c>
      <c r="N723" s="56">
        <f>INDEX(Rate_Chart!$A$1:$AK$127,MATCH(Data!J723,Rate_Chart!$A$1:$A$127,0),MATCH(Data!K723,Rate_Chart!$A$1:$AK$1,0))</f>
        <v>53.44</v>
      </c>
      <c r="O723" s="57">
        <f t="shared" si="149"/>
        <v>1175.6799999999998</v>
      </c>
      <c r="P723" s="58">
        <f t="shared" si="150"/>
        <v>430.96774193548384</v>
      </c>
      <c r="Q723" s="58">
        <f t="shared" si="151"/>
        <v>287.31182795698925</v>
      </c>
      <c r="R723" s="66">
        <f t="shared" si="152"/>
        <v>20.574400000000001</v>
      </c>
      <c r="S723" s="64">
        <f t="shared" si="153"/>
        <v>82.5</v>
      </c>
      <c r="T723" s="66">
        <f t="shared" si="154"/>
        <v>1278.7543999999998</v>
      </c>
      <c r="U723" s="68">
        <f t="shared" si="155"/>
        <v>58.125199999999992</v>
      </c>
      <c r="V723" s="68">
        <f t="shared" si="156"/>
        <v>468.75161290322575</v>
      </c>
      <c r="W723" s="68">
        <f t="shared" si="157"/>
        <v>312.50107526881715</v>
      </c>
    </row>
    <row r="724" spans="1:23" x14ac:dyDescent="0.25">
      <c r="A724" s="169" t="s">
        <v>943</v>
      </c>
      <c r="B724" s="61" t="s">
        <v>391</v>
      </c>
      <c r="C724" s="61" t="s">
        <v>585</v>
      </c>
      <c r="D724" s="61" t="s">
        <v>589</v>
      </c>
      <c r="E724" s="1" t="s">
        <v>359</v>
      </c>
      <c r="F724" s="62" t="str">
        <f t="shared" si="158"/>
        <v>64515</v>
      </c>
      <c r="G724" s="269">
        <v>10620012</v>
      </c>
      <c r="H724" s="1" t="s">
        <v>381</v>
      </c>
      <c r="I724" s="61">
        <v>31</v>
      </c>
      <c r="J724" s="61">
        <v>6</v>
      </c>
      <c r="K724" s="61">
        <v>8.8000000000000007</v>
      </c>
      <c r="L724" s="69">
        <f t="shared" si="147"/>
        <v>1.86</v>
      </c>
      <c r="M724" s="69">
        <f t="shared" si="148"/>
        <v>2.7280000000000002</v>
      </c>
      <c r="N724" s="56">
        <f>INDEX(Rate_Chart!$A$1:$AK$127,MATCH(Data!J724,Rate_Chart!$A$1:$A$127,0),MATCH(Data!K724,Rate_Chart!$A$1:$AK$1,0))</f>
        <v>49.599000000000004</v>
      </c>
      <c r="O724" s="57">
        <f t="shared" si="149"/>
        <v>1537.5690000000002</v>
      </c>
      <c r="P724" s="58">
        <f t="shared" si="150"/>
        <v>417.96910112359552</v>
      </c>
      <c r="Q724" s="58">
        <f t="shared" si="151"/>
        <v>278.64606741573033</v>
      </c>
      <c r="R724" s="66">
        <f t="shared" si="152"/>
        <v>26.907457500000007</v>
      </c>
      <c r="S724" s="64">
        <f t="shared" si="153"/>
        <v>116.25</v>
      </c>
      <c r="T724" s="66">
        <f t="shared" si="154"/>
        <v>1680.7264575000002</v>
      </c>
      <c r="U724" s="68">
        <f t="shared" si="155"/>
        <v>54.216982500000007</v>
      </c>
      <c r="V724" s="68">
        <f t="shared" si="156"/>
        <v>456.8846839887641</v>
      </c>
      <c r="W724" s="68">
        <f t="shared" si="157"/>
        <v>304.58978932584273</v>
      </c>
    </row>
    <row r="725" spans="1:23" x14ac:dyDescent="0.25">
      <c r="A725" s="169" t="s">
        <v>943</v>
      </c>
      <c r="B725" s="61" t="s">
        <v>391</v>
      </c>
      <c r="C725" s="61" t="s">
        <v>585</v>
      </c>
      <c r="D725" s="61" t="s">
        <v>589</v>
      </c>
      <c r="E725" s="1" t="s">
        <v>359</v>
      </c>
      <c r="F725" s="62" t="str">
        <f t="shared" si="158"/>
        <v>64515</v>
      </c>
      <c r="G725" s="269">
        <v>10620012</v>
      </c>
      <c r="H725" s="1" t="s">
        <v>382</v>
      </c>
      <c r="I725" s="61">
        <v>11</v>
      </c>
      <c r="J725" s="61">
        <v>3.5</v>
      </c>
      <c r="K725" s="61">
        <v>8.1</v>
      </c>
      <c r="L725" s="69">
        <f t="shared" si="147"/>
        <v>0.38500000000000001</v>
      </c>
      <c r="M725" s="69">
        <f t="shared" si="148"/>
        <v>0.8909999999999999</v>
      </c>
      <c r="N725" s="56">
        <f>INDEX(Rate_Chart!$A$1:$AK$127,MATCH(Data!J725,Rate_Chart!$A$1:$A$127,0),MATCH(Data!K725,Rate_Chart!$A$1:$AK$1,0))</f>
        <v>37.114125900000005</v>
      </c>
      <c r="O725" s="57">
        <f t="shared" si="149"/>
        <v>408.25538490000008</v>
      </c>
      <c r="P725" s="58">
        <f t="shared" si="150"/>
        <v>417.01265056179784</v>
      </c>
      <c r="Q725" s="58">
        <f t="shared" si="151"/>
        <v>278.00843370786521</v>
      </c>
      <c r="R725" s="66">
        <f t="shared" si="152"/>
        <v>7.1444692357500017</v>
      </c>
      <c r="S725" s="64">
        <f t="shared" si="153"/>
        <v>41.25</v>
      </c>
      <c r="T725" s="66">
        <f t="shared" si="154"/>
        <v>456.6498541357501</v>
      </c>
      <c r="U725" s="68">
        <f t="shared" si="155"/>
        <v>41.513623103250012</v>
      </c>
      <c r="V725" s="68">
        <f t="shared" si="156"/>
        <v>466.44520340730355</v>
      </c>
      <c r="W725" s="68">
        <f t="shared" si="157"/>
        <v>310.96346893820237</v>
      </c>
    </row>
    <row r="726" spans="1:23" x14ac:dyDescent="0.25">
      <c r="A726" s="169" t="s">
        <v>944</v>
      </c>
      <c r="B726" s="61" t="s">
        <v>390</v>
      </c>
      <c r="C726" s="61" t="s">
        <v>585</v>
      </c>
      <c r="D726" s="61" t="s">
        <v>589</v>
      </c>
      <c r="E726" s="1" t="s">
        <v>359</v>
      </c>
      <c r="F726" s="62" t="str">
        <f t="shared" si="158"/>
        <v>64515</v>
      </c>
      <c r="G726" s="269">
        <v>10620012</v>
      </c>
      <c r="H726" s="1" t="s">
        <v>381</v>
      </c>
      <c r="I726" s="61">
        <v>41</v>
      </c>
      <c r="J726" s="61">
        <v>6.7</v>
      </c>
      <c r="K726" s="61">
        <v>9</v>
      </c>
      <c r="L726" s="69">
        <f t="shared" si="147"/>
        <v>2.7469999999999999</v>
      </c>
      <c r="M726" s="69">
        <f t="shared" si="148"/>
        <v>3.69</v>
      </c>
      <c r="N726" s="56">
        <f>INDEX(Rate_Chart!$A$1:$AK$127,MATCH(Data!J726,Rate_Chart!$A$1:$A$127,0),MATCH(Data!K726,Rate_Chart!$A$1:$AK$1,0))</f>
        <v>55.945</v>
      </c>
      <c r="O726" s="57">
        <f t="shared" si="149"/>
        <v>2293.7449999999999</v>
      </c>
      <c r="P726" s="58">
        <f t="shared" si="150"/>
        <v>440.51181102362204</v>
      </c>
      <c r="Q726" s="58">
        <f t="shared" si="151"/>
        <v>293.67454068241472</v>
      </c>
      <c r="R726" s="66">
        <f t="shared" si="152"/>
        <v>40.140537500000001</v>
      </c>
      <c r="S726" s="64">
        <f t="shared" si="153"/>
        <v>153.75</v>
      </c>
      <c r="T726" s="66">
        <f t="shared" si="154"/>
        <v>2487.6355374999998</v>
      </c>
      <c r="U726" s="68">
        <f t="shared" si="155"/>
        <v>60.674037499999997</v>
      </c>
      <c r="V726" s="68">
        <f t="shared" si="156"/>
        <v>477.74832677165352</v>
      </c>
      <c r="W726" s="68">
        <f t="shared" si="157"/>
        <v>318.4988845144357</v>
      </c>
    </row>
    <row r="727" spans="1:23" x14ac:dyDescent="0.25">
      <c r="A727" s="169" t="s">
        <v>944</v>
      </c>
      <c r="B727" s="61" t="s">
        <v>390</v>
      </c>
      <c r="C727" s="61" t="s">
        <v>585</v>
      </c>
      <c r="D727" s="61" t="s">
        <v>589</v>
      </c>
      <c r="E727" s="1" t="s">
        <v>359</v>
      </c>
      <c r="F727" s="62" t="str">
        <f t="shared" si="158"/>
        <v>64515</v>
      </c>
      <c r="G727" s="269">
        <v>10620012</v>
      </c>
      <c r="H727" s="1" t="s">
        <v>382</v>
      </c>
      <c r="I727" s="61">
        <v>27</v>
      </c>
      <c r="J727" s="61">
        <v>3.9</v>
      </c>
      <c r="K727" s="61">
        <v>8.1999999999999993</v>
      </c>
      <c r="L727" s="69">
        <f t="shared" si="147"/>
        <v>1.0529999999999999</v>
      </c>
      <c r="M727" s="69">
        <f t="shared" si="148"/>
        <v>2.214</v>
      </c>
      <c r="N727" s="56">
        <f>INDEX(Rate_Chart!$A$1:$AK$127,MATCH(Data!J727,Rate_Chart!$A$1:$A$127,0),MATCH(Data!K727,Rate_Chart!$A$1:$AK$1,0))</f>
        <v>39.060139800000002</v>
      </c>
      <c r="O727" s="57">
        <f t="shared" si="149"/>
        <v>1054.6237746000002</v>
      </c>
      <c r="P727" s="58">
        <f t="shared" si="150"/>
        <v>417.01216868327407</v>
      </c>
      <c r="Q727" s="58">
        <f t="shared" si="151"/>
        <v>278.00811245551603</v>
      </c>
      <c r="R727" s="66">
        <f t="shared" si="152"/>
        <v>18.455916055500005</v>
      </c>
      <c r="S727" s="64">
        <f t="shared" si="153"/>
        <v>101.25</v>
      </c>
      <c r="T727" s="66">
        <f t="shared" si="154"/>
        <v>1174.3296906555001</v>
      </c>
      <c r="U727" s="68">
        <f t="shared" si="155"/>
        <v>43.493692246500004</v>
      </c>
      <c r="V727" s="68">
        <f t="shared" si="156"/>
        <v>464.34546882384348</v>
      </c>
      <c r="W727" s="68">
        <f t="shared" si="157"/>
        <v>309.5636458825623</v>
      </c>
    </row>
    <row r="728" spans="1:23" x14ac:dyDescent="0.25">
      <c r="A728" s="169" t="s">
        <v>944</v>
      </c>
      <c r="B728" s="61" t="s">
        <v>391</v>
      </c>
      <c r="C728" s="61" t="s">
        <v>585</v>
      </c>
      <c r="D728" s="61" t="s">
        <v>589</v>
      </c>
      <c r="E728" s="1" t="s">
        <v>359</v>
      </c>
      <c r="F728" s="62" t="str">
        <f t="shared" si="158"/>
        <v>64515</v>
      </c>
      <c r="G728" s="269">
        <v>10620012</v>
      </c>
      <c r="H728" s="1" t="s">
        <v>381</v>
      </c>
      <c r="I728" s="61">
        <v>29</v>
      </c>
      <c r="J728" s="61">
        <v>5.6</v>
      </c>
      <c r="K728" s="61">
        <v>8.6</v>
      </c>
      <c r="L728" s="69">
        <f t="shared" si="147"/>
        <v>1.6239999999999997</v>
      </c>
      <c r="M728" s="69">
        <f t="shared" si="148"/>
        <v>2.4939999999999998</v>
      </c>
      <c r="N728" s="56">
        <f>INDEX(Rate_Chart!$A$1:$AK$127,MATCH(Data!J728,Rate_Chart!$A$1:$A$127,0),MATCH(Data!K728,Rate_Chart!$A$1:$AK$1,0))</f>
        <v>45.824799999999996</v>
      </c>
      <c r="O728" s="57">
        <f t="shared" si="149"/>
        <v>1328.9191999999998</v>
      </c>
      <c r="P728" s="58">
        <f t="shared" si="150"/>
        <v>404.33647058823533</v>
      </c>
      <c r="Q728" s="58">
        <f t="shared" si="151"/>
        <v>269.55764705882353</v>
      </c>
      <c r="R728" s="66">
        <f t="shared" si="152"/>
        <v>23.256086</v>
      </c>
      <c r="S728" s="64">
        <f t="shared" si="153"/>
        <v>108.75</v>
      </c>
      <c r="T728" s="66">
        <f t="shared" si="154"/>
        <v>1460.9252859999999</v>
      </c>
      <c r="U728" s="68">
        <f t="shared" si="155"/>
        <v>50.376733999999999</v>
      </c>
      <c r="V728" s="68">
        <f t="shared" si="156"/>
        <v>444.50059411764715</v>
      </c>
      <c r="W728" s="68">
        <f t="shared" si="157"/>
        <v>296.33372941176475</v>
      </c>
    </row>
    <row r="729" spans="1:23" x14ac:dyDescent="0.25">
      <c r="A729" s="169" t="s">
        <v>945</v>
      </c>
      <c r="B729" s="61" t="s">
        <v>390</v>
      </c>
      <c r="C729" s="61" t="s">
        <v>585</v>
      </c>
      <c r="D729" s="61" t="s">
        <v>589</v>
      </c>
      <c r="E729" s="1" t="s">
        <v>359</v>
      </c>
      <c r="F729" s="62" t="str">
        <f t="shared" si="158"/>
        <v>64515</v>
      </c>
      <c r="G729" s="269">
        <v>10620012</v>
      </c>
      <c r="H729" s="1" t="s">
        <v>381</v>
      </c>
      <c r="I729" s="61">
        <v>40</v>
      </c>
      <c r="J729" s="61">
        <v>6.6</v>
      </c>
      <c r="K729" s="61">
        <v>9</v>
      </c>
      <c r="L729" s="69">
        <f t="shared" si="147"/>
        <v>2.64</v>
      </c>
      <c r="M729" s="69">
        <f t="shared" si="148"/>
        <v>3.6</v>
      </c>
      <c r="N729" s="56">
        <f>INDEX(Rate_Chart!$A$1:$AK$127,MATCH(Data!J729,Rate_Chart!$A$1:$A$127,0),MATCH(Data!K729,Rate_Chart!$A$1:$AK$1,0))</f>
        <v>55.11</v>
      </c>
      <c r="O729" s="57">
        <f t="shared" si="149"/>
        <v>2204.4</v>
      </c>
      <c r="P729" s="58">
        <f t="shared" si="150"/>
        <v>437.38095238095235</v>
      </c>
      <c r="Q729" s="58">
        <f t="shared" si="151"/>
        <v>291.58730158730157</v>
      </c>
      <c r="R729" s="66">
        <f t="shared" si="152"/>
        <v>38.577000000000005</v>
      </c>
      <c r="S729" s="64">
        <f t="shared" si="153"/>
        <v>150</v>
      </c>
      <c r="T729" s="66">
        <f t="shared" si="154"/>
        <v>2392.9769999999999</v>
      </c>
      <c r="U729" s="68">
        <f t="shared" si="155"/>
        <v>59.824424999999998</v>
      </c>
      <c r="V729" s="68">
        <f t="shared" si="156"/>
        <v>474.79702380952381</v>
      </c>
      <c r="W729" s="68">
        <f t="shared" si="157"/>
        <v>316.5313492063492</v>
      </c>
    </row>
    <row r="730" spans="1:23" x14ac:dyDescent="0.25">
      <c r="A730" s="169" t="s">
        <v>945</v>
      </c>
      <c r="B730" s="61" t="s">
        <v>390</v>
      </c>
      <c r="C730" s="61" t="s">
        <v>585</v>
      </c>
      <c r="D730" s="61" t="s">
        <v>589</v>
      </c>
      <c r="E730" s="1" t="s">
        <v>359</v>
      </c>
      <c r="F730" s="62" t="str">
        <f t="shared" si="158"/>
        <v>64515</v>
      </c>
      <c r="G730" s="269">
        <v>10620012</v>
      </c>
      <c r="H730" s="1" t="s">
        <v>382</v>
      </c>
      <c r="I730" s="61">
        <v>36</v>
      </c>
      <c r="J730" s="61">
        <v>3.3</v>
      </c>
      <c r="K730" s="61">
        <v>8.1999999999999993</v>
      </c>
      <c r="L730" s="69">
        <f t="shared" si="147"/>
        <v>1.1879999999999999</v>
      </c>
      <c r="M730" s="69">
        <f t="shared" si="148"/>
        <v>2.952</v>
      </c>
      <c r="N730" s="56">
        <f>INDEX(Rate_Chart!$A$1:$AK$127,MATCH(Data!J730,Rate_Chart!$A$1:$A$127,0),MATCH(Data!K730,Rate_Chart!$A$1:$AK$1,0))</f>
        <v>36.558139799999999</v>
      </c>
      <c r="O730" s="57">
        <f t="shared" si="149"/>
        <v>1316.0930327999999</v>
      </c>
      <c r="P730" s="58">
        <f t="shared" si="150"/>
        <v>417.0130015209125</v>
      </c>
      <c r="Q730" s="58">
        <f t="shared" si="151"/>
        <v>278.00866768060831</v>
      </c>
      <c r="R730" s="66">
        <f t="shared" si="152"/>
        <v>23.031628074</v>
      </c>
      <c r="S730" s="64">
        <f t="shared" si="153"/>
        <v>135</v>
      </c>
      <c r="T730" s="66">
        <f t="shared" si="154"/>
        <v>1474.124660874</v>
      </c>
      <c r="U730" s="68">
        <f t="shared" si="155"/>
        <v>40.947907246500002</v>
      </c>
      <c r="V730" s="68">
        <f t="shared" si="156"/>
        <v>467.08639444676805</v>
      </c>
      <c r="W730" s="68">
        <f t="shared" si="157"/>
        <v>311.39092963117872</v>
      </c>
    </row>
    <row r="731" spans="1:23" x14ac:dyDescent="0.25">
      <c r="A731" s="169" t="s">
        <v>945</v>
      </c>
      <c r="B731" s="61" t="s">
        <v>391</v>
      </c>
      <c r="C731" s="61" t="s">
        <v>585</v>
      </c>
      <c r="D731" s="61" t="s">
        <v>589</v>
      </c>
      <c r="E731" s="1" t="s">
        <v>359</v>
      </c>
      <c r="F731" s="62" t="str">
        <f t="shared" si="158"/>
        <v>64515</v>
      </c>
      <c r="G731" s="269">
        <v>10620012</v>
      </c>
      <c r="H731" s="1" t="s">
        <v>381</v>
      </c>
      <c r="I731" s="61">
        <v>27</v>
      </c>
      <c r="J731" s="61">
        <v>6.5</v>
      </c>
      <c r="K731" s="61">
        <v>9</v>
      </c>
      <c r="L731" s="69">
        <f t="shared" si="147"/>
        <v>1.7549999999999999</v>
      </c>
      <c r="M731" s="69">
        <f t="shared" si="148"/>
        <v>2.4300000000000002</v>
      </c>
      <c r="N731" s="56">
        <f>INDEX(Rate_Chart!$A$1:$AK$127,MATCH(Data!J731,Rate_Chart!$A$1:$A$127,0),MATCH(Data!K731,Rate_Chart!$A$1:$AK$1,0))</f>
        <v>54.274999999999999</v>
      </c>
      <c r="O731" s="57">
        <f t="shared" si="149"/>
        <v>1465.425</v>
      </c>
      <c r="P731" s="58">
        <f t="shared" si="150"/>
        <v>434.2</v>
      </c>
      <c r="Q731" s="58">
        <f t="shared" si="151"/>
        <v>289.46666666666664</v>
      </c>
      <c r="R731" s="66">
        <f t="shared" si="152"/>
        <v>25.644937500000001</v>
      </c>
      <c r="S731" s="64">
        <f t="shared" si="153"/>
        <v>101.25</v>
      </c>
      <c r="T731" s="66">
        <f t="shared" si="154"/>
        <v>1592.3199374999999</v>
      </c>
      <c r="U731" s="68">
        <f t="shared" si="155"/>
        <v>58.974812499999999</v>
      </c>
      <c r="V731" s="68">
        <f t="shared" si="156"/>
        <v>471.79849999999999</v>
      </c>
      <c r="W731" s="68">
        <f t="shared" si="157"/>
        <v>314.53233333333333</v>
      </c>
    </row>
    <row r="732" spans="1:23" x14ac:dyDescent="0.25">
      <c r="A732" s="169" t="s">
        <v>945</v>
      </c>
      <c r="B732" s="61" t="s">
        <v>391</v>
      </c>
      <c r="C732" s="61" t="s">
        <v>585</v>
      </c>
      <c r="D732" s="61" t="s">
        <v>589</v>
      </c>
      <c r="E732" s="1" t="s">
        <v>359</v>
      </c>
      <c r="F732" s="62" t="str">
        <f t="shared" si="158"/>
        <v>64515</v>
      </c>
      <c r="G732" s="269">
        <v>10620012</v>
      </c>
      <c r="H732" s="1" t="s">
        <v>382</v>
      </c>
      <c r="I732" s="61">
        <v>16</v>
      </c>
      <c r="J732" s="61">
        <v>3.5</v>
      </c>
      <c r="K732" s="61">
        <v>8.1</v>
      </c>
      <c r="L732" s="69">
        <f t="shared" si="147"/>
        <v>0.56000000000000005</v>
      </c>
      <c r="M732" s="69">
        <f t="shared" si="148"/>
        <v>1.296</v>
      </c>
      <c r="N732" s="56">
        <f>INDEX(Rate_Chart!$A$1:$AK$127,MATCH(Data!J732,Rate_Chart!$A$1:$A$127,0),MATCH(Data!K732,Rate_Chart!$A$1:$AK$1,0))</f>
        <v>37.114125900000005</v>
      </c>
      <c r="O732" s="57">
        <f t="shared" si="149"/>
        <v>593.82601440000008</v>
      </c>
      <c r="P732" s="58">
        <f t="shared" si="150"/>
        <v>417.01265056179784</v>
      </c>
      <c r="Q732" s="58">
        <f t="shared" si="151"/>
        <v>278.00843370786521</v>
      </c>
      <c r="R732" s="66">
        <f t="shared" si="152"/>
        <v>10.391955252000002</v>
      </c>
      <c r="S732" s="64">
        <f t="shared" si="153"/>
        <v>60</v>
      </c>
      <c r="T732" s="66">
        <f t="shared" si="154"/>
        <v>664.21796965200008</v>
      </c>
      <c r="U732" s="68">
        <f t="shared" si="155"/>
        <v>41.513623103250005</v>
      </c>
      <c r="V732" s="68">
        <f t="shared" si="156"/>
        <v>466.44520340730344</v>
      </c>
      <c r="W732" s="68">
        <f t="shared" si="157"/>
        <v>310.96346893820231</v>
      </c>
    </row>
    <row r="733" spans="1:23" x14ac:dyDescent="0.25">
      <c r="A733" s="169" t="s">
        <v>946</v>
      </c>
      <c r="B733" s="61" t="s">
        <v>390</v>
      </c>
      <c r="C733" s="61" t="s">
        <v>585</v>
      </c>
      <c r="D733" s="61" t="s">
        <v>589</v>
      </c>
      <c r="E733" s="1" t="s">
        <v>359</v>
      </c>
      <c r="F733" s="62" t="str">
        <f t="shared" si="158"/>
        <v>64515</v>
      </c>
      <c r="G733" s="269">
        <v>10620012</v>
      </c>
      <c r="H733" s="1" t="s">
        <v>381</v>
      </c>
      <c r="I733" s="61">
        <v>31</v>
      </c>
      <c r="J733" s="61">
        <v>6.9</v>
      </c>
      <c r="K733" s="61">
        <v>9</v>
      </c>
      <c r="L733" s="69">
        <f t="shared" si="147"/>
        <v>2.1390000000000002</v>
      </c>
      <c r="M733" s="69">
        <f t="shared" si="148"/>
        <v>2.79</v>
      </c>
      <c r="N733" s="56">
        <f>INDEX(Rate_Chart!$A$1:$AK$127,MATCH(Data!J733,Rate_Chart!$A$1:$A$127,0),MATCH(Data!K733,Rate_Chart!$A$1:$AK$1,0))</f>
        <v>57.615000000000002</v>
      </c>
      <c r="O733" s="57">
        <f t="shared" si="149"/>
        <v>1786.0650000000001</v>
      </c>
      <c r="P733" s="58">
        <f t="shared" si="150"/>
        <v>446.62790697674421</v>
      </c>
      <c r="Q733" s="58">
        <f t="shared" si="151"/>
        <v>297.75193798449612</v>
      </c>
      <c r="R733" s="66">
        <f t="shared" si="152"/>
        <v>31.256137500000005</v>
      </c>
      <c r="S733" s="64">
        <f t="shared" si="153"/>
        <v>116.25</v>
      </c>
      <c r="T733" s="66">
        <f t="shared" si="154"/>
        <v>1933.5711375000001</v>
      </c>
      <c r="U733" s="68">
        <f t="shared" si="155"/>
        <v>62.373262500000003</v>
      </c>
      <c r="V733" s="68">
        <f t="shared" si="156"/>
        <v>483.51366279069771</v>
      </c>
      <c r="W733" s="68">
        <f t="shared" si="157"/>
        <v>322.34244186046516</v>
      </c>
    </row>
    <row r="734" spans="1:23" x14ac:dyDescent="0.25">
      <c r="A734" s="169" t="s">
        <v>946</v>
      </c>
      <c r="B734" s="61" t="s">
        <v>390</v>
      </c>
      <c r="C734" s="61" t="s">
        <v>585</v>
      </c>
      <c r="D734" s="61" t="s">
        <v>589</v>
      </c>
      <c r="E734" s="1" t="s">
        <v>359</v>
      </c>
      <c r="F734" s="62" t="str">
        <f t="shared" si="158"/>
        <v>64515</v>
      </c>
      <c r="G734" s="269">
        <v>10620012</v>
      </c>
      <c r="H734" s="1" t="s">
        <v>382</v>
      </c>
      <c r="I734" s="61">
        <v>39</v>
      </c>
      <c r="J734" s="61">
        <v>3.9</v>
      </c>
      <c r="K734" s="61">
        <v>8.4</v>
      </c>
      <c r="L734" s="69">
        <f t="shared" si="147"/>
        <v>1.5209999999999999</v>
      </c>
      <c r="M734" s="69">
        <f t="shared" si="148"/>
        <v>3.2760000000000002</v>
      </c>
      <c r="N734" s="56">
        <f>INDEX(Rate_Chart!$A$1:$AK$127,MATCH(Data!J734,Rate_Chart!$A$1:$A$127,0),MATCH(Data!K734,Rate_Chart!$A$1:$AK$1,0))</f>
        <v>39.616167600000011</v>
      </c>
      <c r="O734" s="57">
        <f t="shared" si="149"/>
        <v>1545.0305364000005</v>
      </c>
      <c r="P734" s="58">
        <f t="shared" si="150"/>
        <v>417.01229052631589</v>
      </c>
      <c r="Q734" s="58">
        <f t="shared" si="151"/>
        <v>278.0081936842106</v>
      </c>
      <c r="R734" s="66">
        <f t="shared" si="152"/>
        <v>27.03803438700001</v>
      </c>
      <c r="S734" s="64">
        <f t="shared" si="153"/>
        <v>146.25</v>
      </c>
      <c r="T734" s="66">
        <f t="shared" si="154"/>
        <v>1718.3185707870005</v>
      </c>
      <c r="U734" s="68">
        <f t="shared" si="155"/>
        <v>44.05945053300001</v>
      </c>
      <c r="V734" s="68">
        <f t="shared" si="156"/>
        <v>463.78368982105275</v>
      </c>
      <c r="W734" s="68">
        <f t="shared" si="157"/>
        <v>309.18912654736852</v>
      </c>
    </row>
    <row r="735" spans="1:23" x14ac:dyDescent="0.25">
      <c r="A735" s="169" t="s">
        <v>946</v>
      </c>
      <c r="B735" s="61" t="s">
        <v>391</v>
      </c>
      <c r="C735" s="61" t="s">
        <v>585</v>
      </c>
      <c r="D735" s="61" t="s">
        <v>589</v>
      </c>
      <c r="E735" s="1" t="s">
        <v>359</v>
      </c>
      <c r="F735" s="62" t="str">
        <f t="shared" si="158"/>
        <v>64515</v>
      </c>
      <c r="G735" s="269">
        <v>10620012</v>
      </c>
      <c r="H735" s="1" t="s">
        <v>381</v>
      </c>
      <c r="I735" s="61">
        <v>27</v>
      </c>
      <c r="J735" s="61">
        <v>7.8</v>
      </c>
      <c r="K735" s="61">
        <v>9</v>
      </c>
      <c r="L735" s="69">
        <f t="shared" si="147"/>
        <v>2.1059999999999999</v>
      </c>
      <c r="M735" s="69">
        <f t="shared" si="148"/>
        <v>2.4300000000000002</v>
      </c>
      <c r="N735" s="56">
        <f>INDEX(Rate_Chart!$A$1:$AK$127,MATCH(Data!J735,Rate_Chart!$A$1:$A$127,0),MATCH(Data!K735,Rate_Chart!$A$1:$AK$1,0))</f>
        <v>65.13</v>
      </c>
      <c r="O735" s="57">
        <f t="shared" si="149"/>
        <v>1758.5099999999998</v>
      </c>
      <c r="P735" s="58">
        <f t="shared" si="150"/>
        <v>471.95652173913038</v>
      </c>
      <c r="Q735" s="58">
        <f t="shared" si="151"/>
        <v>314.63768115942025</v>
      </c>
      <c r="R735" s="66">
        <f t="shared" si="152"/>
        <v>30.773924999999998</v>
      </c>
      <c r="S735" s="64">
        <f t="shared" si="153"/>
        <v>101.25</v>
      </c>
      <c r="T735" s="66">
        <f t="shared" si="154"/>
        <v>1890.5339249999997</v>
      </c>
      <c r="U735" s="68">
        <f t="shared" si="155"/>
        <v>70.019774999999996</v>
      </c>
      <c r="V735" s="68">
        <f t="shared" si="156"/>
        <v>507.3896739130434</v>
      </c>
      <c r="W735" s="68">
        <f t="shared" si="157"/>
        <v>338.25978260869562</v>
      </c>
    </row>
    <row r="736" spans="1:23" x14ac:dyDescent="0.25">
      <c r="A736" s="169" t="s">
        <v>946</v>
      </c>
      <c r="B736" s="61" t="s">
        <v>391</v>
      </c>
      <c r="C736" s="61" t="s">
        <v>585</v>
      </c>
      <c r="D736" s="61" t="s">
        <v>589</v>
      </c>
      <c r="E736" s="1" t="s">
        <v>359</v>
      </c>
      <c r="F736" s="62" t="str">
        <f t="shared" si="158"/>
        <v>64515</v>
      </c>
      <c r="G736" s="269">
        <v>10620012</v>
      </c>
      <c r="H736" s="1" t="s">
        <v>382</v>
      </c>
      <c r="I736" s="61">
        <v>26</v>
      </c>
      <c r="J736" s="61">
        <v>3.6</v>
      </c>
      <c r="K736" s="61">
        <v>8.1999999999999993</v>
      </c>
      <c r="L736" s="69">
        <f t="shared" si="147"/>
        <v>0.93600000000000005</v>
      </c>
      <c r="M736" s="69">
        <f t="shared" si="148"/>
        <v>2.1319999999999997</v>
      </c>
      <c r="N736" s="56">
        <f>INDEX(Rate_Chart!$A$1:$AK$127,MATCH(Data!J736,Rate_Chart!$A$1:$A$127,0),MATCH(Data!K736,Rate_Chart!$A$1:$AK$1,0))</f>
        <v>37.809139800000004</v>
      </c>
      <c r="O736" s="57">
        <f t="shared" si="149"/>
        <v>983.03763480000009</v>
      </c>
      <c r="P736" s="58">
        <f t="shared" si="150"/>
        <v>417.01257132352941</v>
      </c>
      <c r="Q736" s="58">
        <f t="shared" si="151"/>
        <v>278.00838088235292</v>
      </c>
      <c r="R736" s="66">
        <f t="shared" si="152"/>
        <v>17.203158609000003</v>
      </c>
      <c r="S736" s="64">
        <f t="shared" si="153"/>
        <v>97.5</v>
      </c>
      <c r="T736" s="66">
        <f t="shared" si="154"/>
        <v>1097.7407934090002</v>
      </c>
      <c r="U736" s="68">
        <f t="shared" si="155"/>
        <v>42.220799746500006</v>
      </c>
      <c r="V736" s="68">
        <f t="shared" si="156"/>
        <v>465.67058543933825</v>
      </c>
      <c r="W736" s="68">
        <f t="shared" si="157"/>
        <v>310.44705695955884</v>
      </c>
    </row>
    <row r="737" spans="1:23" x14ac:dyDescent="0.25">
      <c r="A737" s="169" t="s">
        <v>947</v>
      </c>
      <c r="B737" s="61" t="s">
        <v>390</v>
      </c>
      <c r="C737" s="61" t="s">
        <v>585</v>
      </c>
      <c r="D737" s="61" t="s">
        <v>589</v>
      </c>
      <c r="E737" s="1" t="s">
        <v>359</v>
      </c>
      <c r="F737" s="62" t="str">
        <f t="shared" si="158"/>
        <v>64515</v>
      </c>
      <c r="G737" s="269">
        <v>10620012</v>
      </c>
      <c r="H737" s="1" t="s">
        <v>381</v>
      </c>
      <c r="I737" s="61">
        <v>28</v>
      </c>
      <c r="J737" s="61">
        <v>7</v>
      </c>
      <c r="K737" s="61">
        <v>9</v>
      </c>
      <c r="L737" s="69">
        <f t="shared" si="147"/>
        <v>1.96</v>
      </c>
      <c r="M737" s="69">
        <f t="shared" si="148"/>
        <v>2.52</v>
      </c>
      <c r="N737" s="56">
        <f>INDEX(Rate_Chart!$A$1:$AK$127,MATCH(Data!J737,Rate_Chart!$A$1:$A$127,0),MATCH(Data!K737,Rate_Chart!$A$1:$AK$1,0))</f>
        <v>58.45</v>
      </c>
      <c r="O737" s="57">
        <f t="shared" si="149"/>
        <v>1636.6000000000001</v>
      </c>
      <c r="P737" s="58">
        <f t="shared" si="150"/>
        <v>449.61538461538464</v>
      </c>
      <c r="Q737" s="58">
        <f t="shared" si="151"/>
        <v>299.74358974358978</v>
      </c>
      <c r="R737" s="66">
        <f t="shared" si="152"/>
        <v>28.640500000000007</v>
      </c>
      <c r="S737" s="64">
        <f t="shared" si="153"/>
        <v>105</v>
      </c>
      <c r="T737" s="66">
        <f t="shared" si="154"/>
        <v>1770.2405000000001</v>
      </c>
      <c r="U737" s="68">
        <f t="shared" si="155"/>
        <v>63.222875000000002</v>
      </c>
      <c r="V737" s="68">
        <f t="shared" si="156"/>
        <v>486.32980769230767</v>
      </c>
      <c r="W737" s="68">
        <f t="shared" si="157"/>
        <v>324.21987179487178</v>
      </c>
    </row>
    <row r="738" spans="1:23" x14ac:dyDescent="0.25">
      <c r="A738" s="169" t="s">
        <v>947</v>
      </c>
      <c r="B738" s="61" t="s">
        <v>390</v>
      </c>
      <c r="C738" s="61" t="s">
        <v>585</v>
      </c>
      <c r="D738" s="61" t="s">
        <v>589</v>
      </c>
      <c r="E738" s="1" t="s">
        <v>359</v>
      </c>
      <c r="F738" s="62" t="str">
        <f t="shared" si="158"/>
        <v>64515</v>
      </c>
      <c r="G738" s="269">
        <v>10620012</v>
      </c>
      <c r="H738" s="1" t="s">
        <v>382</v>
      </c>
      <c r="I738" s="61">
        <v>41</v>
      </c>
      <c r="J738" s="61">
        <v>4.0999999999999996</v>
      </c>
      <c r="K738" s="61">
        <v>8.5</v>
      </c>
      <c r="L738" s="69">
        <f t="shared" si="147"/>
        <v>1.681</v>
      </c>
      <c r="M738" s="69">
        <f t="shared" si="148"/>
        <v>3.4849999999999999</v>
      </c>
      <c r="N738" s="56">
        <f>INDEX(Rate_Chart!$A$1:$AK$127,MATCH(Data!J738,Rate_Chart!$A$1:$A$127,0),MATCH(Data!K738,Rate_Chart!$A$1:$AK$1,0))</f>
        <v>40.728181500000005</v>
      </c>
      <c r="O738" s="57">
        <f t="shared" si="149"/>
        <v>1669.8554415000003</v>
      </c>
      <c r="P738" s="58">
        <f t="shared" si="150"/>
        <v>417.01209726962463</v>
      </c>
      <c r="Q738" s="58">
        <f t="shared" si="151"/>
        <v>278.0080648464164</v>
      </c>
      <c r="R738" s="66">
        <f t="shared" si="152"/>
        <v>29.22247022625001</v>
      </c>
      <c r="S738" s="64">
        <f t="shared" si="153"/>
        <v>153.75</v>
      </c>
      <c r="T738" s="66">
        <f t="shared" si="154"/>
        <v>1852.8279117262502</v>
      </c>
      <c r="U738" s="68">
        <f t="shared" si="155"/>
        <v>45.190924676250006</v>
      </c>
      <c r="V738" s="68">
        <f t="shared" si="156"/>
        <v>462.70571340870316</v>
      </c>
      <c r="W738" s="68">
        <f t="shared" si="157"/>
        <v>308.47047560580211</v>
      </c>
    </row>
    <row r="739" spans="1:23" x14ac:dyDescent="0.25">
      <c r="A739" s="169" t="s">
        <v>947</v>
      </c>
      <c r="B739" s="61" t="s">
        <v>391</v>
      </c>
      <c r="C739" s="61" t="s">
        <v>585</v>
      </c>
      <c r="D739" s="61" t="s">
        <v>589</v>
      </c>
      <c r="E739" s="1" t="s">
        <v>359</v>
      </c>
      <c r="F739" s="62" t="str">
        <f t="shared" si="158"/>
        <v>64515</v>
      </c>
      <c r="G739" s="269">
        <v>10620012</v>
      </c>
      <c r="H739" s="1" t="s">
        <v>381</v>
      </c>
      <c r="I739" s="61">
        <v>26</v>
      </c>
      <c r="J739" s="61">
        <v>7.3</v>
      </c>
      <c r="K739" s="61">
        <v>9</v>
      </c>
      <c r="L739" s="69">
        <f t="shared" si="147"/>
        <v>1.8979999999999999</v>
      </c>
      <c r="M739" s="69">
        <f t="shared" si="148"/>
        <v>2.34</v>
      </c>
      <c r="N739" s="56">
        <f>INDEX(Rate_Chart!$A$1:$AK$127,MATCH(Data!J739,Rate_Chart!$A$1:$A$127,0),MATCH(Data!K739,Rate_Chart!$A$1:$AK$1,0))</f>
        <v>60.954999999999998</v>
      </c>
      <c r="O739" s="57">
        <f t="shared" si="149"/>
        <v>1584.83</v>
      </c>
      <c r="P739" s="58">
        <f t="shared" si="150"/>
        <v>458.30827067669168</v>
      </c>
      <c r="Q739" s="58">
        <f t="shared" si="151"/>
        <v>305.53884711779443</v>
      </c>
      <c r="R739" s="66">
        <f t="shared" si="152"/>
        <v>27.734525000000001</v>
      </c>
      <c r="S739" s="64">
        <f t="shared" si="153"/>
        <v>97.5</v>
      </c>
      <c r="T739" s="66">
        <f t="shared" si="154"/>
        <v>1710.064525</v>
      </c>
      <c r="U739" s="68">
        <f t="shared" si="155"/>
        <v>65.771712500000007</v>
      </c>
      <c r="V739" s="68">
        <f t="shared" si="156"/>
        <v>494.52415413533839</v>
      </c>
      <c r="W739" s="68">
        <f t="shared" si="157"/>
        <v>329.68276942355891</v>
      </c>
    </row>
    <row r="740" spans="1:23" x14ac:dyDescent="0.25">
      <c r="A740" s="169" t="s">
        <v>947</v>
      </c>
      <c r="B740" s="61" t="s">
        <v>391</v>
      </c>
      <c r="C740" s="61" t="s">
        <v>585</v>
      </c>
      <c r="D740" s="61" t="s">
        <v>589</v>
      </c>
      <c r="E740" s="1" t="s">
        <v>359</v>
      </c>
      <c r="F740" s="62" t="str">
        <f t="shared" si="158"/>
        <v>64515</v>
      </c>
      <c r="G740" s="269">
        <v>10620012</v>
      </c>
      <c r="H740" s="1" t="s">
        <v>382</v>
      </c>
      <c r="I740" s="61">
        <v>22</v>
      </c>
      <c r="J740" s="61">
        <v>3.5</v>
      </c>
      <c r="K740" s="61">
        <v>8.1</v>
      </c>
      <c r="L740" s="69">
        <f t="shared" si="147"/>
        <v>0.77</v>
      </c>
      <c r="M740" s="69">
        <f t="shared" si="148"/>
        <v>1.7819999999999998</v>
      </c>
      <c r="N740" s="56">
        <f>INDEX(Rate_Chart!$A$1:$AK$127,MATCH(Data!J740,Rate_Chart!$A$1:$A$127,0),MATCH(Data!K740,Rate_Chart!$A$1:$AK$1,0))</f>
        <v>37.114125900000005</v>
      </c>
      <c r="O740" s="57">
        <f t="shared" si="149"/>
        <v>816.51076980000016</v>
      </c>
      <c r="P740" s="58">
        <f t="shared" si="150"/>
        <v>417.01265056179784</v>
      </c>
      <c r="Q740" s="58">
        <f t="shared" si="151"/>
        <v>278.00843370786521</v>
      </c>
      <c r="R740" s="66">
        <f t="shared" si="152"/>
        <v>14.288938471500003</v>
      </c>
      <c r="S740" s="64">
        <f t="shared" si="153"/>
        <v>82.5</v>
      </c>
      <c r="T740" s="66">
        <f t="shared" si="154"/>
        <v>913.29970827150021</v>
      </c>
      <c r="U740" s="68">
        <f t="shared" si="155"/>
        <v>41.513623103250012</v>
      </c>
      <c r="V740" s="68">
        <f t="shared" si="156"/>
        <v>466.44520340730355</v>
      </c>
      <c r="W740" s="68">
        <f t="shared" si="157"/>
        <v>310.96346893820237</v>
      </c>
    </row>
    <row r="741" spans="1:23" x14ac:dyDescent="0.25">
      <c r="A741" s="169" t="s">
        <v>941</v>
      </c>
      <c r="B741" s="61" t="s">
        <v>390</v>
      </c>
      <c r="C741" s="61" t="s">
        <v>585</v>
      </c>
      <c r="D741" s="61" t="s">
        <v>587</v>
      </c>
      <c r="E741" s="1" t="s">
        <v>360</v>
      </c>
      <c r="F741" s="62" t="str">
        <f t="shared" si="158"/>
        <v>64517</v>
      </c>
      <c r="G741" s="269">
        <v>10620049</v>
      </c>
      <c r="H741" s="1" t="s">
        <v>381</v>
      </c>
      <c r="I741" s="61">
        <v>7</v>
      </c>
      <c r="J741" s="61">
        <v>5.5</v>
      </c>
      <c r="K741" s="61">
        <v>8.5</v>
      </c>
      <c r="L741" s="69">
        <f t="shared" si="147"/>
        <v>0.38500000000000001</v>
      </c>
      <c r="M741" s="69">
        <f t="shared" si="148"/>
        <v>0.59499999999999997</v>
      </c>
      <c r="N741" s="56">
        <f>INDEX(Rate_Chart!$A$1:$AK$127,MATCH(Data!J741,Rate_Chart!$A$1:$A$127,0),MATCH(Data!K741,Rate_Chart!$A$1:$AK$1,0))</f>
        <v>46.566181499999999</v>
      </c>
      <c r="O741" s="57">
        <f t="shared" si="149"/>
        <v>325.96327050000002</v>
      </c>
      <c r="P741" s="58">
        <f t="shared" si="150"/>
        <v>417.01058059701495</v>
      </c>
      <c r="Q741" s="58">
        <f t="shared" si="151"/>
        <v>278.00705373134332</v>
      </c>
      <c r="R741" s="66">
        <f t="shared" si="152"/>
        <v>5.7043572337500006</v>
      </c>
      <c r="S741" s="64">
        <f t="shared" si="153"/>
        <v>26.25</v>
      </c>
      <c r="T741" s="66">
        <f t="shared" si="154"/>
        <v>357.91762773375001</v>
      </c>
      <c r="U741" s="68">
        <f t="shared" si="155"/>
        <v>51.131089676249999</v>
      </c>
      <c r="V741" s="68">
        <f t="shared" si="156"/>
        <v>457.89035530970148</v>
      </c>
      <c r="W741" s="68">
        <f t="shared" si="157"/>
        <v>305.26023687313432</v>
      </c>
    </row>
    <row r="742" spans="1:23" x14ac:dyDescent="0.25">
      <c r="A742" s="169" t="s">
        <v>941</v>
      </c>
      <c r="B742" s="61" t="s">
        <v>390</v>
      </c>
      <c r="C742" s="61" t="s">
        <v>585</v>
      </c>
      <c r="D742" s="61" t="s">
        <v>587</v>
      </c>
      <c r="E742" s="1" t="s">
        <v>360</v>
      </c>
      <c r="F742" s="62" t="str">
        <f t="shared" si="158"/>
        <v>64517</v>
      </c>
      <c r="G742" s="269">
        <v>10620049</v>
      </c>
      <c r="H742" s="1" t="s">
        <v>382</v>
      </c>
      <c r="I742" s="61">
        <v>13</v>
      </c>
      <c r="J742" s="61">
        <v>3</v>
      </c>
      <c r="K742" s="61">
        <v>8</v>
      </c>
      <c r="L742" s="69">
        <f t="shared" si="147"/>
        <v>0.39</v>
      </c>
      <c r="M742" s="69">
        <f t="shared" si="148"/>
        <v>1.04</v>
      </c>
      <c r="N742" s="56">
        <f>INDEX(Rate_Chart!$A$1:$AK$127,MATCH(Data!J742,Rate_Chart!$A$1:$A$127,0),MATCH(Data!K742,Rate_Chart!$A$1:$AK$1,0))</f>
        <v>34.751112000000006</v>
      </c>
      <c r="O742" s="57">
        <f t="shared" si="149"/>
        <v>451.76445600000011</v>
      </c>
      <c r="P742" s="58">
        <f t="shared" si="150"/>
        <v>417.01334400000002</v>
      </c>
      <c r="Q742" s="58">
        <f t="shared" si="151"/>
        <v>278.00889599999999</v>
      </c>
      <c r="R742" s="66">
        <f t="shared" si="152"/>
        <v>7.9058779800000023</v>
      </c>
      <c r="S742" s="64">
        <f t="shared" si="153"/>
        <v>48.75</v>
      </c>
      <c r="T742" s="66">
        <f t="shared" si="154"/>
        <v>508.42033398000012</v>
      </c>
      <c r="U742" s="68">
        <f t="shared" si="155"/>
        <v>39.109256460000012</v>
      </c>
      <c r="V742" s="68">
        <f t="shared" si="156"/>
        <v>469.31107752000008</v>
      </c>
      <c r="W742" s="68">
        <f t="shared" si="157"/>
        <v>312.87405168000004</v>
      </c>
    </row>
    <row r="743" spans="1:23" x14ac:dyDescent="0.25">
      <c r="A743" s="169" t="s">
        <v>941</v>
      </c>
      <c r="B743" s="61" t="s">
        <v>391</v>
      </c>
      <c r="C743" s="61" t="s">
        <v>585</v>
      </c>
      <c r="D743" s="61" t="s">
        <v>587</v>
      </c>
      <c r="E743" s="1" t="s">
        <v>360</v>
      </c>
      <c r="F743" s="62" t="str">
        <f t="shared" si="158"/>
        <v>64517</v>
      </c>
      <c r="G743" s="269">
        <v>10620049</v>
      </c>
      <c r="H743" s="1" t="s">
        <v>381</v>
      </c>
      <c r="I743" s="61">
        <v>16</v>
      </c>
      <c r="J743" s="61">
        <v>5.6</v>
      </c>
      <c r="K743" s="61">
        <v>8.8000000000000007</v>
      </c>
      <c r="L743" s="69">
        <f t="shared" si="147"/>
        <v>0.89599999999999991</v>
      </c>
      <c r="M743" s="69">
        <f t="shared" si="148"/>
        <v>1.4080000000000001</v>
      </c>
      <c r="N743" s="56">
        <f>INDEX(Rate_Chart!$A$1:$AK$127,MATCH(Data!J743,Rate_Chart!$A$1:$A$127,0),MATCH(Data!K743,Rate_Chart!$A$1:$AK$1,0))</f>
        <v>46.292400000000001</v>
      </c>
      <c r="O743" s="57">
        <f t="shared" si="149"/>
        <v>740.67840000000001</v>
      </c>
      <c r="P743" s="58">
        <f t="shared" si="150"/>
        <v>403.71279069767445</v>
      </c>
      <c r="Q743" s="58">
        <f t="shared" si="151"/>
        <v>269.14186046511628</v>
      </c>
      <c r="R743" s="66">
        <f t="shared" si="152"/>
        <v>12.961872000000001</v>
      </c>
      <c r="S743" s="64">
        <f t="shared" si="153"/>
        <v>60</v>
      </c>
      <c r="T743" s="66">
        <f t="shared" si="154"/>
        <v>813.64027199999998</v>
      </c>
      <c r="U743" s="68">
        <f t="shared" si="155"/>
        <v>50.852516999999999</v>
      </c>
      <c r="V743" s="68">
        <f t="shared" si="156"/>
        <v>443.48125290697675</v>
      </c>
      <c r="W743" s="68">
        <f t="shared" si="157"/>
        <v>295.65416860465115</v>
      </c>
    </row>
    <row r="744" spans="1:23" x14ac:dyDescent="0.25">
      <c r="A744" s="169" t="s">
        <v>941</v>
      </c>
      <c r="B744" s="61" t="s">
        <v>391</v>
      </c>
      <c r="C744" s="61" t="s">
        <v>585</v>
      </c>
      <c r="D744" s="61" t="s">
        <v>587</v>
      </c>
      <c r="E744" s="1" t="s">
        <v>360</v>
      </c>
      <c r="F744" s="62" t="str">
        <f t="shared" si="158"/>
        <v>64517</v>
      </c>
      <c r="G744" s="269">
        <v>10620049</v>
      </c>
      <c r="H744" s="1" t="s">
        <v>382</v>
      </c>
      <c r="I744" s="61">
        <v>29</v>
      </c>
      <c r="J744" s="61">
        <v>3.7</v>
      </c>
      <c r="K744" s="61">
        <v>8.1</v>
      </c>
      <c r="L744" s="69">
        <f t="shared" si="147"/>
        <v>1.0730000000000002</v>
      </c>
      <c r="M744" s="69">
        <f t="shared" si="148"/>
        <v>2.3489999999999998</v>
      </c>
      <c r="N744" s="56">
        <f>INDEX(Rate_Chart!$A$1:$AK$127,MATCH(Data!J744,Rate_Chart!$A$1:$A$127,0),MATCH(Data!K744,Rate_Chart!$A$1:$AK$1,0))</f>
        <v>37.948125900000008</v>
      </c>
      <c r="O744" s="57">
        <f t="shared" si="149"/>
        <v>1100.4956511000003</v>
      </c>
      <c r="P744" s="58">
        <f t="shared" si="150"/>
        <v>417.01237252747262</v>
      </c>
      <c r="Q744" s="58">
        <f t="shared" si="151"/>
        <v>278.00824835164843</v>
      </c>
      <c r="R744" s="66">
        <f t="shared" si="152"/>
        <v>19.258673894250006</v>
      </c>
      <c r="S744" s="64">
        <f t="shared" si="153"/>
        <v>108.75</v>
      </c>
      <c r="T744" s="66">
        <f t="shared" si="154"/>
        <v>1228.5043249942503</v>
      </c>
      <c r="U744" s="68">
        <f t="shared" si="155"/>
        <v>42.362218103250008</v>
      </c>
      <c r="V744" s="68">
        <f t="shared" si="156"/>
        <v>465.51888025549459</v>
      </c>
      <c r="W744" s="68">
        <f t="shared" si="157"/>
        <v>310.34592017032975</v>
      </c>
    </row>
    <row r="745" spans="1:23" x14ac:dyDescent="0.25">
      <c r="A745" s="169" t="s">
        <v>942</v>
      </c>
      <c r="B745" s="61" t="s">
        <v>390</v>
      </c>
      <c r="C745" s="61" t="s">
        <v>585</v>
      </c>
      <c r="D745" s="61" t="s">
        <v>587</v>
      </c>
      <c r="E745" s="1" t="s">
        <v>360</v>
      </c>
      <c r="F745" s="62" t="str">
        <f t="shared" si="158"/>
        <v>64517</v>
      </c>
      <c r="G745" s="269">
        <v>10620049</v>
      </c>
      <c r="H745" s="1" t="s">
        <v>381</v>
      </c>
      <c r="I745" s="61">
        <v>27</v>
      </c>
      <c r="J745" s="61">
        <v>6</v>
      </c>
      <c r="K745" s="61">
        <v>9</v>
      </c>
      <c r="L745" s="69">
        <f t="shared" si="147"/>
        <v>1.62</v>
      </c>
      <c r="M745" s="69">
        <f t="shared" si="148"/>
        <v>2.4300000000000002</v>
      </c>
      <c r="N745" s="56">
        <f>INDEX(Rate_Chart!$A$1:$AK$127,MATCH(Data!J745,Rate_Chart!$A$1:$A$127,0),MATCH(Data!K745,Rate_Chart!$A$1:$AK$1,0))</f>
        <v>50.1</v>
      </c>
      <c r="O745" s="57">
        <f t="shared" si="149"/>
        <v>1352.7</v>
      </c>
      <c r="P745" s="58">
        <f t="shared" si="150"/>
        <v>417.5</v>
      </c>
      <c r="Q745" s="58">
        <f t="shared" si="151"/>
        <v>278.33333333333331</v>
      </c>
      <c r="R745" s="66">
        <f t="shared" si="152"/>
        <v>23.672250000000002</v>
      </c>
      <c r="S745" s="64">
        <f t="shared" si="153"/>
        <v>101.25</v>
      </c>
      <c r="T745" s="66">
        <f t="shared" si="154"/>
        <v>1477.6222500000001</v>
      </c>
      <c r="U745" s="68">
        <f t="shared" si="155"/>
        <v>54.726750000000003</v>
      </c>
      <c r="V745" s="68">
        <f t="shared" si="156"/>
        <v>456.05625000000003</v>
      </c>
      <c r="W745" s="68">
        <f t="shared" si="157"/>
        <v>304.03750000000002</v>
      </c>
    </row>
    <row r="746" spans="1:23" x14ac:dyDescent="0.25">
      <c r="A746" s="169" t="s">
        <v>942</v>
      </c>
      <c r="B746" s="61" t="s">
        <v>390</v>
      </c>
      <c r="C746" s="61" t="s">
        <v>585</v>
      </c>
      <c r="D746" s="61" t="s">
        <v>587</v>
      </c>
      <c r="E746" s="1" t="s">
        <v>360</v>
      </c>
      <c r="F746" s="62" t="str">
        <f t="shared" si="158"/>
        <v>64517</v>
      </c>
      <c r="G746" s="269">
        <v>10620049</v>
      </c>
      <c r="H746" s="1" t="s">
        <v>382</v>
      </c>
      <c r="I746" s="61">
        <v>39</v>
      </c>
      <c r="J746" s="61">
        <v>3.6</v>
      </c>
      <c r="K746" s="61">
        <v>8.1</v>
      </c>
      <c r="L746" s="69">
        <f t="shared" si="147"/>
        <v>1.4040000000000001</v>
      </c>
      <c r="M746" s="69">
        <f t="shared" si="148"/>
        <v>3.1589999999999998</v>
      </c>
      <c r="N746" s="56">
        <f>INDEX(Rate_Chart!$A$1:$AK$127,MATCH(Data!J746,Rate_Chart!$A$1:$A$127,0),MATCH(Data!K746,Rate_Chart!$A$1:$AK$1,0))</f>
        <v>37.531125900000006</v>
      </c>
      <c r="O746" s="57">
        <f t="shared" si="149"/>
        <v>1463.7139101000002</v>
      </c>
      <c r="P746" s="58">
        <f t="shared" si="150"/>
        <v>417.01251000000008</v>
      </c>
      <c r="Q746" s="58">
        <f t="shared" si="151"/>
        <v>278.00834000000003</v>
      </c>
      <c r="R746" s="66">
        <f t="shared" si="152"/>
        <v>25.614993426750008</v>
      </c>
      <c r="S746" s="64">
        <f t="shared" si="153"/>
        <v>146.25</v>
      </c>
      <c r="T746" s="66">
        <f t="shared" si="154"/>
        <v>1635.5789035267503</v>
      </c>
      <c r="U746" s="68">
        <f t="shared" si="155"/>
        <v>41.937920603250006</v>
      </c>
      <c r="V746" s="68">
        <f t="shared" si="156"/>
        <v>465.97689559166673</v>
      </c>
      <c r="W746" s="68">
        <f t="shared" si="157"/>
        <v>310.6512637277778</v>
      </c>
    </row>
    <row r="747" spans="1:23" x14ac:dyDescent="0.25">
      <c r="A747" s="169" t="s">
        <v>942</v>
      </c>
      <c r="B747" s="61" t="s">
        <v>391</v>
      </c>
      <c r="C747" s="61" t="s">
        <v>585</v>
      </c>
      <c r="D747" s="61" t="s">
        <v>587</v>
      </c>
      <c r="E747" s="1" t="s">
        <v>360</v>
      </c>
      <c r="F747" s="62" t="str">
        <f t="shared" si="158"/>
        <v>64517</v>
      </c>
      <c r="G747" s="269">
        <v>10620049</v>
      </c>
      <c r="H747" s="1" t="s">
        <v>381</v>
      </c>
      <c r="I747" s="61">
        <v>16</v>
      </c>
      <c r="J747" s="61">
        <v>5.9</v>
      </c>
      <c r="K747" s="61">
        <v>9</v>
      </c>
      <c r="L747" s="69">
        <f t="shared" si="147"/>
        <v>0.94400000000000006</v>
      </c>
      <c r="M747" s="69">
        <f t="shared" si="148"/>
        <v>1.44</v>
      </c>
      <c r="N747" s="56">
        <f>INDEX(Rate_Chart!$A$1:$AK$127,MATCH(Data!J747,Rate_Chart!$A$1:$A$127,0),MATCH(Data!K747,Rate_Chart!$A$1:$AK$1,0))</f>
        <v>49.265000000000001</v>
      </c>
      <c r="O747" s="57">
        <f t="shared" si="149"/>
        <v>788.24</v>
      </c>
      <c r="P747" s="58">
        <f t="shared" si="150"/>
        <v>413.99159663865549</v>
      </c>
      <c r="Q747" s="58">
        <f t="shared" si="151"/>
        <v>275.99439775910366</v>
      </c>
      <c r="R747" s="66">
        <f t="shared" si="152"/>
        <v>13.794200000000002</v>
      </c>
      <c r="S747" s="64">
        <f t="shared" si="153"/>
        <v>60</v>
      </c>
      <c r="T747" s="66">
        <f t="shared" si="154"/>
        <v>862.03420000000006</v>
      </c>
      <c r="U747" s="68">
        <f t="shared" si="155"/>
        <v>53.877137500000003</v>
      </c>
      <c r="V747" s="68">
        <f t="shared" si="156"/>
        <v>452.74905462184881</v>
      </c>
      <c r="W747" s="68">
        <f t="shared" si="157"/>
        <v>301.83270308123252</v>
      </c>
    </row>
    <row r="748" spans="1:23" x14ac:dyDescent="0.25">
      <c r="A748" s="169" t="s">
        <v>942</v>
      </c>
      <c r="B748" s="61" t="s">
        <v>391</v>
      </c>
      <c r="C748" s="61" t="s">
        <v>585</v>
      </c>
      <c r="D748" s="61" t="s">
        <v>587</v>
      </c>
      <c r="E748" s="1" t="s">
        <v>360</v>
      </c>
      <c r="F748" s="62" t="str">
        <f t="shared" si="158"/>
        <v>64517</v>
      </c>
      <c r="G748" s="269">
        <v>10620049</v>
      </c>
      <c r="H748" s="1" t="s">
        <v>382</v>
      </c>
      <c r="I748" s="61">
        <v>22</v>
      </c>
      <c r="J748" s="61">
        <v>3.6</v>
      </c>
      <c r="K748" s="61">
        <v>8.1</v>
      </c>
      <c r="L748" s="69">
        <f t="shared" si="147"/>
        <v>0.79200000000000004</v>
      </c>
      <c r="M748" s="69">
        <f t="shared" si="148"/>
        <v>1.7819999999999998</v>
      </c>
      <c r="N748" s="56">
        <f>INDEX(Rate_Chart!$A$1:$AK$127,MATCH(Data!J748,Rate_Chart!$A$1:$A$127,0),MATCH(Data!K748,Rate_Chart!$A$1:$AK$1,0))</f>
        <v>37.531125900000006</v>
      </c>
      <c r="O748" s="57">
        <f t="shared" si="149"/>
        <v>825.68476980000014</v>
      </c>
      <c r="P748" s="58">
        <f t="shared" si="150"/>
        <v>417.01251000000008</v>
      </c>
      <c r="Q748" s="58">
        <f t="shared" si="151"/>
        <v>278.00834000000003</v>
      </c>
      <c r="R748" s="66">
        <f t="shared" si="152"/>
        <v>14.449483471500004</v>
      </c>
      <c r="S748" s="64">
        <f t="shared" si="153"/>
        <v>82.5</v>
      </c>
      <c r="T748" s="66">
        <f t="shared" si="154"/>
        <v>922.63425327150014</v>
      </c>
      <c r="U748" s="68">
        <f t="shared" si="155"/>
        <v>41.937920603250006</v>
      </c>
      <c r="V748" s="68">
        <f t="shared" si="156"/>
        <v>465.97689559166673</v>
      </c>
      <c r="W748" s="68">
        <f t="shared" si="157"/>
        <v>310.6512637277778</v>
      </c>
    </row>
    <row r="749" spans="1:23" x14ac:dyDescent="0.25">
      <c r="A749" s="169" t="s">
        <v>943</v>
      </c>
      <c r="B749" s="61" t="s">
        <v>390</v>
      </c>
      <c r="C749" s="61" t="s">
        <v>585</v>
      </c>
      <c r="D749" s="61" t="s">
        <v>587</v>
      </c>
      <c r="E749" s="1" t="s">
        <v>360</v>
      </c>
      <c r="F749" s="62" t="str">
        <f t="shared" si="158"/>
        <v>64517</v>
      </c>
      <c r="G749" s="269">
        <v>10620049</v>
      </c>
      <c r="H749" s="1" t="s">
        <v>381</v>
      </c>
      <c r="I749" s="61">
        <v>25</v>
      </c>
      <c r="J749" s="61">
        <v>5.6</v>
      </c>
      <c r="K749" s="61">
        <v>8.8000000000000007</v>
      </c>
      <c r="L749" s="69">
        <f t="shared" si="147"/>
        <v>1.4</v>
      </c>
      <c r="M749" s="69">
        <f t="shared" si="148"/>
        <v>2.2000000000000002</v>
      </c>
      <c r="N749" s="56">
        <f>INDEX(Rate_Chart!$A$1:$AK$127,MATCH(Data!J749,Rate_Chart!$A$1:$A$127,0),MATCH(Data!K749,Rate_Chart!$A$1:$AK$1,0))</f>
        <v>46.292400000000001</v>
      </c>
      <c r="O749" s="57">
        <f t="shared" si="149"/>
        <v>1157.31</v>
      </c>
      <c r="P749" s="58">
        <f t="shared" si="150"/>
        <v>403.71279069767445</v>
      </c>
      <c r="Q749" s="58">
        <f t="shared" si="151"/>
        <v>269.14186046511628</v>
      </c>
      <c r="R749" s="66">
        <f t="shared" si="152"/>
        <v>20.252925000000001</v>
      </c>
      <c r="S749" s="64">
        <f t="shared" si="153"/>
        <v>93.75</v>
      </c>
      <c r="T749" s="66">
        <f t="shared" si="154"/>
        <v>1271.312925</v>
      </c>
      <c r="U749" s="68">
        <f t="shared" si="155"/>
        <v>50.852516999999999</v>
      </c>
      <c r="V749" s="68">
        <f t="shared" si="156"/>
        <v>443.48125290697675</v>
      </c>
      <c r="W749" s="68">
        <f t="shared" si="157"/>
        <v>295.65416860465115</v>
      </c>
    </row>
    <row r="750" spans="1:23" x14ac:dyDescent="0.25">
      <c r="A750" s="169" t="s">
        <v>943</v>
      </c>
      <c r="B750" s="61" t="s">
        <v>390</v>
      </c>
      <c r="C750" s="61" t="s">
        <v>585</v>
      </c>
      <c r="D750" s="61" t="s">
        <v>587</v>
      </c>
      <c r="E750" s="1" t="s">
        <v>360</v>
      </c>
      <c r="F750" s="62" t="str">
        <f t="shared" si="158"/>
        <v>64517</v>
      </c>
      <c r="G750" s="269">
        <v>10620049</v>
      </c>
      <c r="H750" s="1" t="s">
        <v>382</v>
      </c>
      <c r="I750" s="61">
        <v>38</v>
      </c>
      <c r="J750" s="61">
        <v>3.6</v>
      </c>
      <c r="K750" s="61">
        <v>8.1</v>
      </c>
      <c r="L750" s="69">
        <f t="shared" si="147"/>
        <v>1.3680000000000001</v>
      </c>
      <c r="M750" s="69">
        <f t="shared" si="148"/>
        <v>3.0780000000000003</v>
      </c>
      <c r="N750" s="56">
        <f>INDEX(Rate_Chart!$A$1:$AK$127,MATCH(Data!J750,Rate_Chart!$A$1:$A$127,0),MATCH(Data!K750,Rate_Chart!$A$1:$AK$1,0))</f>
        <v>37.531125900000006</v>
      </c>
      <c r="O750" s="57">
        <f t="shared" si="149"/>
        <v>1426.1827842000002</v>
      </c>
      <c r="P750" s="58">
        <f t="shared" si="150"/>
        <v>417.01251000000008</v>
      </c>
      <c r="Q750" s="58">
        <f t="shared" si="151"/>
        <v>278.00834000000003</v>
      </c>
      <c r="R750" s="66">
        <f t="shared" si="152"/>
        <v>24.958198723500008</v>
      </c>
      <c r="S750" s="64">
        <f t="shared" si="153"/>
        <v>142.5</v>
      </c>
      <c r="T750" s="66">
        <f t="shared" si="154"/>
        <v>1593.6409829235004</v>
      </c>
      <c r="U750" s="68">
        <f t="shared" si="155"/>
        <v>41.937920603250006</v>
      </c>
      <c r="V750" s="68">
        <f t="shared" si="156"/>
        <v>465.97689559166673</v>
      </c>
      <c r="W750" s="68">
        <f t="shared" si="157"/>
        <v>310.6512637277778</v>
      </c>
    </row>
    <row r="751" spans="1:23" x14ac:dyDescent="0.25">
      <c r="A751" s="169" t="s">
        <v>943</v>
      </c>
      <c r="B751" s="61" t="s">
        <v>391</v>
      </c>
      <c r="C751" s="61" t="s">
        <v>585</v>
      </c>
      <c r="D751" s="61" t="s">
        <v>587</v>
      </c>
      <c r="E751" s="1" t="s">
        <v>360</v>
      </c>
      <c r="F751" s="62" t="str">
        <f t="shared" si="158"/>
        <v>64517</v>
      </c>
      <c r="G751" s="269">
        <v>10620049</v>
      </c>
      <c r="H751" s="1" t="s">
        <v>381</v>
      </c>
      <c r="I751" s="61">
        <v>13</v>
      </c>
      <c r="J751" s="61">
        <v>5.9</v>
      </c>
      <c r="K751" s="61">
        <v>8.8000000000000007</v>
      </c>
      <c r="L751" s="69">
        <f t="shared" si="147"/>
        <v>0.76700000000000002</v>
      </c>
      <c r="M751" s="69">
        <f t="shared" si="148"/>
        <v>1.1440000000000001</v>
      </c>
      <c r="N751" s="56">
        <f>INDEX(Rate_Chart!$A$1:$AK$127,MATCH(Data!J751,Rate_Chart!$A$1:$A$127,0),MATCH(Data!K751,Rate_Chart!$A$1:$AK$1,0))</f>
        <v>48.772350000000003</v>
      </c>
      <c r="O751" s="57">
        <f t="shared" si="149"/>
        <v>634.04055000000005</v>
      </c>
      <c r="P751" s="58">
        <f t="shared" si="150"/>
        <v>414.49589235127479</v>
      </c>
      <c r="Q751" s="58">
        <f t="shared" si="151"/>
        <v>276.33059490084986</v>
      </c>
      <c r="R751" s="66">
        <f t="shared" si="152"/>
        <v>11.095709625000001</v>
      </c>
      <c r="S751" s="64">
        <f t="shared" si="153"/>
        <v>48.75</v>
      </c>
      <c r="T751" s="66">
        <f t="shared" si="154"/>
        <v>693.88625962500009</v>
      </c>
      <c r="U751" s="68">
        <f t="shared" si="155"/>
        <v>53.375866125000009</v>
      </c>
      <c r="V751" s="68">
        <f t="shared" si="156"/>
        <v>453.6192588526913</v>
      </c>
      <c r="W751" s="68">
        <f t="shared" si="157"/>
        <v>302.41283923512754</v>
      </c>
    </row>
    <row r="752" spans="1:23" x14ac:dyDescent="0.25">
      <c r="A752" s="169" t="s">
        <v>943</v>
      </c>
      <c r="B752" s="61" t="s">
        <v>391</v>
      </c>
      <c r="C752" s="61" t="s">
        <v>585</v>
      </c>
      <c r="D752" s="61" t="s">
        <v>587</v>
      </c>
      <c r="E752" s="1" t="s">
        <v>360</v>
      </c>
      <c r="F752" s="62" t="str">
        <f t="shared" si="158"/>
        <v>64517</v>
      </c>
      <c r="G752" s="269">
        <v>10620049</v>
      </c>
      <c r="H752" s="1" t="s">
        <v>382</v>
      </c>
      <c r="I752" s="61">
        <v>22</v>
      </c>
      <c r="J752" s="61">
        <v>3.6</v>
      </c>
      <c r="K752" s="61">
        <v>8.1</v>
      </c>
      <c r="L752" s="69">
        <f t="shared" ref="L752:L815" si="159">J752*I752/100</f>
        <v>0.79200000000000004</v>
      </c>
      <c r="M752" s="69">
        <f t="shared" ref="M752:M815" si="160">K752*I752/100</f>
        <v>1.7819999999999998</v>
      </c>
      <c r="N752" s="56">
        <f>INDEX(Rate_Chart!$A$1:$AK$127,MATCH(Data!J752,Rate_Chart!$A$1:$A$127,0),MATCH(Data!K752,Rate_Chart!$A$1:$AK$1,0))</f>
        <v>37.531125900000006</v>
      </c>
      <c r="O752" s="57">
        <f t="shared" ref="O752:O815" si="161">N752*I752</f>
        <v>825.68476980000014</v>
      </c>
      <c r="P752" s="58">
        <f t="shared" ref="P752:P815" si="162">N752/(J752%+K752%*2/3)</f>
        <v>417.01251000000008</v>
      </c>
      <c r="Q752" s="58">
        <f t="shared" ref="Q752:Q815" si="163">P752*2/3</f>
        <v>278.00834000000003</v>
      </c>
      <c r="R752" s="66">
        <f t="shared" ref="R752:R815" si="164">O752*1.75%</f>
        <v>14.449483471500004</v>
      </c>
      <c r="S752" s="64">
        <f t="shared" ref="S752:S815" si="165">I752*3.75</f>
        <v>82.5</v>
      </c>
      <c r="T752" s="66">
        <f t="shared" ref="T752:T815" si="166">R752+S752+O752</f>
        <v>922.63425327150014</v>
      </c>
      <c r="U752" s="68">
        <f t="shared" ref="U752:U815" si="167">T752/I752</f>
        <v>41.937920603250006</v>
      </c>
      <c r="V752" s="68">
        <f t="shared" ref="V752:V815" si="168">U752/(J752%+K752%*2/3)</f>
        <v>465.97689559166673</v>
      </c>
      <c r="W752" s="68">
        <f t="shared" ref="W752:W815" si="169">V752*2/3</f>
        <v>310.6512637277778</v>
      </c>
    </row>
    <row r="753" spans="1:23" x14ac:dyDescent="0.25">
      <c r="A753" s="169" t="s">
        <v>944</v>
      </c>
      <c r="B753" s="61" t="s">
        <v>390</v>
      </c>
      <c r="C753" s="61" t="s">
        <v>585</v>
      </c>
      <c r="D753" s="61" t="s">
        <v>587</v>
      </c>
      <c r="E753" s="1" t="s">
        <v>360</v>
      </c>
      <c r="F753" s="62" t="str">
        <f t="shared" si="158"/>
        <v>64517</v>
      </c>
      <c r="G753" s="269">
        <v>10620049</v>
      </c>
      <c r="H753" s="1" t="s">
        <v>381</v>
      </c>
      <c r="I753" s="61">
        <v>29</v>
      </c>
      <c r="J753" s="61">
        <v>5.6</v>
      </c>
      <c r="K753" s="61">
        <v>9</v>
      </c>
      <c r="L753" s="69">
        <f t="shared" si="159"/>
        <v>1.6239999999999997</v>
      </c>
      <c r="M753" s="69">
        <f t="shared" si="160"/>
        <v>2.61</v>
      </c>
      <c r="N753" s="56">
        <f>INDEX(Rate_Chart!$A$1:$AK$127,MATCH(Data!J753,Rate_Chart!$A$1:$A$127,0),MATCH(Data!K753,Rate_Chart!$A$1:$AK$1,0))</f>
        <v>46.76</v>
      </c>
      <c r="O753" s="57">
        <f t="shared" si="161"/>
        <v>1356.04</v>
      </c>
      <c r="P753" s="58">
        <f t="shared" si="162"/>
        <v>403.10344827586209</v>
      </c>
      <c r="Q753" s="58">
        <f t="shared" si="163"/>
        <v>268.73563218390808</v>
      </c>
      <c r="R753" s="66">
        <f t="shared" si="164"/>
        <v>23.730700000000002</v>
      </c>
      <c r="S753" s="64">
        <f t="shared" si="165"/>
        <v>108.75</v>
      </c>
      <c r="T753" s="66">
        <f t="shared" si="166"/>
        <v>1488.5207</v>
      </c>
      <c r="U753" s="68">
        <f t="shared" si="167"/>
        <v>51.328299999999999</v>
      </c>
      <c r="V753" s="68">
        <f t="shared" si="168"/>
        <v>442.48534482758623</v>
      </c>
      <c r="W753" s="68">
        <f t="shared" si="169"/>
        <v>294.99022988505749</v>
      </c>
    </row>
    <row r="754" spans="1:23" x14ac:dyDescent="0.25">
      <c r="A754" s="169" t="s">
        <v>944</v>
      </c>
      <c r="B754" s="61" t="s">
        <v>390</v>
      </c>
      <c r="C754" s="61" t="s">
        <v>585</v>
      </c>
      <c r="D754" s="61" t="s">
        <v>587</v>
      </c>
      <c r="E754" s="1" t="s">
        <v>360</v>
      </c>
      <c r="F754" s="62" t="str">
        <f t="shared" si="158"/>
        <v>64517</v>
      </c>
      <c r="G754" s="269">
        <v>10620049</v>
      </c>
      <c r="H754" s="1" t="s">
        <v>382</v>
      </c>
      <c r="I754" s="61">
        <v>33</v>
      </c>
      <c r="J754" s="61">
        <v>3.4</v>
      </c>
      <c r="K754" s="61">
        <v>8.1</v>
      </c>
      <c r="L754" s="69">
        <f t="shared" si="159"/>
        <v>1.1220000000000001</v>
      </c>
      <c r="M754" s="69">
        <f t="shared" si="160"/>
        <v>2.673</v>
      </c>
      <c r="N754" s="56">
        <f>INDEX(Rate_Chart!$A$1:$AK$127,MATCH(Data!J754,Rate_Chart!$A$1:$A$127,0),MATCH(Data!K754,Rate_Chart!$A$1:$AK$1,0))</f>
        <v>36.697125900000003</v>
      </c>
      <c r="O754" s="57">
        <f t="shared" si="161"/>
        <v>1211.0051547</v>
      </c>
      <c r="P754" s="58">
        <f t="shared" si="162"/>
        <v>417.01279431818188</v>
      </c>
      <c r="Q754" s="58">
        <f t="shared" si="163"/>
        <v>278.00852954545456</v>
      </c>
      <c r="R754" s="66">
        <f t="shared" si="164"/>
        <v>21.192590207250003</v>
      </c>
      <c r="S754" s="64">
        <f t="shared" si="165"/>
        <v>123.75</v>
      </c>
      <c r="T754" s="66">
        <f t="shared" si="166"/>
        <v>1355.9477449072501</v>
      </c>
      <c r="U754" s="68">
        <f t="shared" si="167"/>
        <v>41.089325603250003</v>
      </c>
      <c r="V754" s="68">
        <f t="shared" si="168"/>
        <v>466.92415458238645</v>
      </c>
      <c r="W754" s="68">
        <f t="shared" si="169"/>
        <v>311.28276972159097</v>
      </c>
    </row>
    <row r="755" spans="1:23" x14ac:dyDescent="0.25">
      <c r="A755" s="169" t="s">
        <v>944</v>
      </c>
      <c r="B755" s="61" t="s">
        <v>391</v>
      </c>
      <c r="C755" s="61" t="s">
        <v>585</v>
      </c>
      <c r="D755" s="61" t="s">
        <v>587</v>
      </c>
      <c r="E755" s="1" t="s">
        <v>360</v>
      </c>
      <c r="F755" s="62" t="str">
        <f t="shared" si="158"/>
        <v>64517</v>
      </c>
      <c r="G755" s="269">
        <v>10620049</v>
      </c>
      <c r="H755" s="1" t="s">
        <v>381</v>
      </c>
      <c r="I755" s="61">
        <v>17</v>
      </c>
      <c r="J755" s="61">
        <v>6</v>
      </c>
      <c r="K755" s="61">
        <v>9</v>
      </c>
      <c r="L755" s="69">
        <f t="shared" si="159"/>
        <v>1.02</v>
      </c>
      <c r="M755" s="69">
        <f t="shared" si="160"/>
        <v>1.53</v>
      </c>
      <c r="N755" s="56">
        <f>INDEX(Rate_Chart!$A$1:$AK$127,MATCH(Data!J755,Rate_Chart!$A$1:$A$127,0),MATCH(Data!K755,Rate_Chart!$A$1:$AK$1,0))</f>
        <v>50.1</v>
      </c>
      <c r="O755" s="57">
        <f t="shared" si="161"/>
        <v>851.7</v>
      </c>
      <c r="P755" s="58">
        <f t="shared" si="162"/>
        <v>417.5</v>
      </c>
      <c r="Q755" s="58">
        <f t="shared" si="163"/>
        <v>278.33333333333331</v>
      </c>
      <c r="R755" s="66">
        <f t="shared" si="164"/>
        <v>14.904750000000002</v>
      </c>
      <c r="S755" s="64">
        <f t="shared" si="165"/>
        <v>63.75</v>
      </c>
      <c r="T755" s="66">
        <f t="shared" si="166"/>
        <v>930.35475000000008</v>
      </c>
      <c r="U755" s="68">
        <f t="shared" si="167"/>
        <v>54.726750000000003</v>
      </c>
      <c r="V755" s="68">
        <f t="shared" si="168"/>
        <v>456.05625000000003</v>
      </c>
      <c r="W755" s="68">
        <f t="shared" si="169"/>
        <v>304.03750000000002</v>
      </c>
    </row>
    <row r="756" spans="1:23" x14ac:dyDescent="0.25">
      <c r="A756" s="169" t="s">
        <v>944</v>
      </c>
      <c r="B756" s="61" t="s">
        <v>391</v>
      </c>
      <c r="C756" s="61" t="s">
        <v>585</v>
      </c>
      <c r="D756" s="61" t="s">
        <v>587</v>
      </c>
      <c r="E756" s="1" t="s">
        <v>360</v>
      </c>
      <c r="F756" s="62" t="str">
        <f t="shared" si="158"/>
        <v>64517</v>
      </c>
      <c r="G756" s="269">
        <v>10620049</v>
      </c>
      <c r="H756" s="1" t="s">
        <v>382</v>
      </c>
      <c r="I756" s="61">
        <v>15</v>
      </c>
      <c r="J756" s="61">
        <v>3.2</v>
      </c>
      <c r="K756" s="61">
        <v>8</v>
      </c>
      <c r="L756" s="69">
        <f t="shared" si="159"/>
        <v>0.48</v>
      </c>
      <c r="M756" s="69">
        <f t="shared" si="160"/>
        <v>1.2</v>
      </c>
      <c r="N756" s="56">
        <f>INDEX(Rate_Chart!$A$1:$AK$127,MATCH(Data!J756,Rate_Chart!$A$1:$A$127,0),MATCH(Data!K756,Rate_Chart!$A$1:$AK$1,0))</f>
        <v>35.585112000000002</v>
      </c>
      <c r="O756" s="57">
        <f t="shared" si="161"/>
        <v>533.77668000000006</v>
      </c>
      <c r="P756" s="58">
        <f t="shared" si="162"/>
        <v>417.01303124999998</v>
      </c>
      <c r="Q756" s="58">
        <f t="shared" si="163"/>
        <v>278.00868750000001</v>
      </c>
      <c r="R756" s="66">
        <f t="shared" si="164"/>
        <v>9.3410919000000021</v>
      </c>
      <c r="S756" s="64">
        <f t="shared" si="165"/>
        <v>56.25</v>
      </c>
      <c r="T756" s="66">
        <f t="shared" si="166"/>
        <v>599.36777190000009</v>
      </c>
      <c r="U756" s="68">
        <f t="shared" si="167"/>
        <v>39.957851460000008</v>
      </c>
      <c r="V756" s="68">
        <f t="shared" si="168"/>
        <v>468.25607179687501</v>
      </c>
      <c r="W756" s="68">
        <f t="shared" si="169"/>
        <v>312.17071453124998</v>
      </c>
    </row>
    <row r="757" spans="1:23" x14ac:dyDescent="0.25">
      <c r="A757" s="169" t="s">
        <v>945</v>
      </c>
      <c r="B757" s="61" t="s">
        <v>390</v>
      </c>
      <c r="C757" s="61" t="s">
        <v>585</v>
      </c>
      <c r="D757" s="61" t="s">
        <v>587</v>
      </c>
      <c r="E757" s="1" t="s">
        <v>360</v>
      </c>
      <c r="F757" s="62" t="str">
        <f t="shared" si="158"/>
        <v>64517</v>
      </c>
      <c r="G757" s="269">
        <v>10620049</v>
      </c>
      <c r="H757" s="1" t="s">
        <v>381</v>
      </c>
      <c r="I757" s="61">
        <v>29</v>
      </c>
      <c r="J757" s="61">
        <v>5.6</v>
      </c>
      <c r="K757" s="61">
        <v>9</v>
      </c>
      <c r="L757" s="69">
        <f t="shared" si="159"/>
        <v>1.6239999999999997</v>
      </c>
      <c r="M757" s="69">
        <f t="shared" si="160"/>
        <v>2.61</v>
      </c>
      <c r="N757" s="56">
        <f>INDEX(Rate_Chart!$A$1:$AK$127,MATCH(Data!J757,Rate_Chart!$A$1:$A$127,0),MATCH(Data!K757,Rate_Chart!$A$1:$AK$1,0))</f>
        <v>46.76</v>
      </c>
      <c r="O757" s="57">
        <f t="shared" si="161"/>
        <v>1356.04</v>
      </c>
      <c r="P757" s="58">
        <f t="shared" si="162"/>
        <v>403.10344827586209</v>
      </c>
      <c r="Q757" s="58">
        <f t="shared" si="163"/>
        <v>268.73563218390808</v>
      </c>
      <c r="R757" s="66">
        <f t="shared" si="164"/>
        <v>23.730700000000002</v>
      </c>
      <c r="S757" s="64">
        <f t="shared" si="165"/>
        <v>108.75</v>
      </c>
      <c r="T757" s="66">
        <f t="shared" si="166"/>
        <v>1488.5207</v>
      </c>
      <c r="U757" s="68">
        <f t="shared" si="167"/>
        <v>51.328299999999999</v>
      </c>
      <c r="V757" s="68">
        <f t="shared" si="168"/>
        <v>442.48534482758623</v>
      </c>
      <c r="W757" s="68">
        <f t="shared" si="169"/>
        <v>294.99022988505749</v>
      </c>
    </row>
    <row r="758" spans="1:23" x14ac:dyDescent="0.25">
      <c r="A758" s="169" t="s">
        <v>945</v>
      </c>
      <c r="B758" s="61" t="s">
        <v>390</v>
      </c>
      <c r="C758" s="61" t="s">
        <v>585</v>
      </c>
      <c r="D758" s="61" t="s">
        <v>587</v>
      </c>
      <c r="E758" s="1" t="s">
        <v>360</v>
      </c>
      <c r="F758" s="62" t="str">
        <f t="shared" si="158"/>
        <v>64517</v>
      </c>
      <c r="G758" s="269">
        <v>10620049</v>
      </c>
      <c r="H758" s="1" t="s">
        <v>382</v>
      </c>
      <c r="I758" s="61">
        <v>36</v>
      </c>
      <c r="J758" s="61">
        <v>3.2</v>
      </c>
      <c r="K758" s="61">
        <v>8.1999999999999993</v>
      </c>
      <c r="L758" s="69">
        <f t="shared" si="159"/>
        <v>1.1520000000000001</v>
      </c>
      <c r="M758" s="69">
        <f t="shared" si="160"/>
        <v>2.952</v>
      </c>
      <c r="N758" s="56">
        <f>INDEX(Rate_Chart!$A$1:$AK$127,MATCH(Data!J758,Rate_Chart!$A$1:$A$127,0),MATCH(Data!K758,Rate_Chart!$A$1:$AK$1,0))</f>
        <v>36.141139799999998</v>
      </c>
      <c r="O758" s="57">
        <f t="shared" si="161"/>
        <v>1301.0810328</v>
      </c>
      <c r="P758" s="58">
        <f t="shared" si="162"/>
        <v>417.0131515384615</v>
      </c>
      <c r="Q758" s="58">
        <f t="shared" si="163"/>
        <v>278.00876769230769</v>
      </c>
      <c r="R758" s="66">
        <f t="shared" si="164"/>
        <v>22.768918074000002</v>
      </c>
      <c r="S758" s="64">
        <f t="shared" si="165"/>
        <v>135</v>
      </c>
      <c r="T758" s="66">
        <f t="shared" si="166"/>
        <v>1458.8499508740001</v>
      </c>
      <c r="U758" s="68">
        <f t="shared" si="167"/>
        <v>40.5236097465</v>
      </c>
      <c r="V758" s="68">
        <f t="shared" si="168"/>
        <v>467.58011245961535</v>
      </c>
      <c r="W758" s="68">
        <f t="shared" si="169"/>
        <v>311.72007497307692</v>
      </c>
    </row>
    <row r="759" spans="1:23" x14ac:dyDescent="0.25">
      <c r="A759" s="169" t="s">
        <v>945</v>
      </c>
      <c r="B759" s="61" t="s">
        <v>391</v>
      </c>
      <c r="C759" s="61" t="s">
        <v>585</v>
      </c>
      <c r="D759" s="61" t="s">
        <v>587</v>
      </c>
      <c r="E759" s="1" t="s">
        <v>360</v>
      </c>
      <c r="F759" s="62" t="str">
        <f t="shared" si="158"/>
        <v>64517</v>
      </c>
      <c r="G759" s="269">
        <v>10620049</v>
      </c>
      <c r="H759" s="1" t="s">
        <v>381</v>
      </c>
      <c r="I759" s="61">
        <v>8</v>
      </c>
      <c r="J759" s="61">
        <v>7</v>
      </c>
      <c r="K759" s="61">
        <v>9</v>
      </c>
      <c r="L759" s="69">
        <f t="shared" si="159"/>
        <v>0.56000000000000005</v>
      </c>
      <c r="M759" s="69">
        <f t="shared" si="160"/>
        <v>0.72</v>
      </c>
      <c r="N759" s="56">
        <f>INDEX(Rate_Chart!$A$1:$AK$127,MATCH(Data!J759,Rate_Chart!$A$1:$A$127,0),MATCH(Data!K759,Rate_Chart!$A$1:$AK$1,0))</f>
        <v>58.45</v>
      </c>
      <c r="O759" s="57">
        <f t="shared" si="161"/>
        <v>467.6</v>
      </c>
      <c r="P759" s="58">
        <f t="shared" si="162"/>
        <v>449.61538461538464</v>
      </c>
      <c r="Q759" s="58">
        <f t="shared" si="163"/>
        <v>299.74358974358978</v>
      </c>
      <c r="R759" s="66">
        <f t="shared" si="164"/>
        <v>8.1830000000000016</v>
      </c>
      <c r="S759" s="64">
        <f t="shared" si="165"/>
        <v>30</v>
      </c>
      <c r="T759" s="66">
        <f t="shared" si="166"/>
        <v>505.78300000000002</v>
      </c>
      <c r="U759" s="68">
        <f t="shared" si="167"/>
        <v>63.222875000000002</v>
      </c>
      <c r="V759" s="68">
        <f t="shared" si="168"/>
        <v>486.32980769230767</v>
      </c>
      <c r="W759" s="68">
        <f t="shared" si="169"/>
        <v>324.21987179487178</v>
      </c>
    </row>
    <row r="760" spans="1:23" x14ac:dyDescent="0.25">
      <c r="A760" s="169" t="s">
        <v>945</v>
      </c>
      <c r="B760" s="61" t="s">
        <v>391</v>
      </c>
      <c r="C760" s="61" t="s">
        <v>585</v>
      </c>
      <c r="D760" s="61" t="s">
        <v>587</v>
      </c>
      <c r="E760" s="1" t="s">
        <v>360</v>
      </c>
      <c r="F760" s="62" t="str">
        <f t="shared" si="158"/>
        <v>64517</v>
      </c>
      <c r="G760" s="269">
        <v>10620049</v>
      </c>
      <c r="H760" s="1" t="s">
        <v>382</v>
      </c>
      <c r="I760" s="61">
        <v>25</v>
      </c>
      <c r="J760" s="61">
        <v>3.8</v>
      </c>
      <c r="K760" s="61">
        <v>8.1</v>
      </c>
      <c r="L760" s="69">
        <f t="shared" si="159"/>
        <v>0.95</v>
      </c>
      <c r="M760" s="69">
        <f t="shared" si="160"/>
        <v>2.0249999999999999</v>
      </c>
      <c r="N760" s="56">
        <f>INDEX(Rate_Chart!$A$1:$AK$127,MATCH(Data!J760,Rate_Chart!$A$1:$A$127,0),MATCH(Data!K760,Rate_Chart!$A$1:$AK$1,0))</f>
        <v>38.365125900000002</v>
      </c>
      <c r="O760" s="57">
        <f t="shared" si="161"/>
        <v>959.12814750000007</v>
      </c>
      <c r="P760" s="58">
        <f t="shared" si="162"/>
        <v>417.01223804347831</v>
      </c>
      <c r="Q760" s="58">
        <f t="shared" si="163"/>
        <v>278.00815869565218</v>
      </c>
      <c r="R760" s="66">
        <f t="shared" si="164"/>
        <v>16.784742581250004</v>
      </c>
      <c r="S760" s="64">
        <f t="shared" si="165"/>
        <v>93.75</v>
      </c>
      <c r="T760" s="66">
        <f t="shared" si="166"/>
        <v>1069.66289008125</v>
      </c>
      <c r="U760" s="68">
        <f t="shared" si="167"/>
        <v>42.786515603250002</v>
      </c>
      <c r="V760" s="68">
        <f t="shared" si="168"/>
        <v>465.07082177445653</v>
      </c>
      <c r="W760" s="68">
        <f t="shared" si="169"/>
        <v>310.04721451630434</v>
      </c>
    </row>
    <row r="761" spans="1:23" x14ac:dyDescent="0.25">
      <c r="A761" s="169" t="s">
        <v>946</v>
      </c>
      <c r="B761" s="61" t="s">
        <v>390</v>
      </c>
      <c r="C761" s="61" t="s">
        <v>585</v>
      </c>
      <c r="D761" s="61" t="s">
        <v>587</v>
      </c>
      <c r="E761" s="1" t="s">
        <v>360</v>
      </c>
      <c r="F761" s="62" t="str">
        <f t="shared" si="158"/>
        <v>64517</v>
      </c>
      <c r="G761" s="269">
        <v>10620049</v>
      </c>
      <c r="H761" s="1" t="s">
        <v>381</v>
      </c>
      <c r="I761" s="61">
        <v>28</v>
      </c>
      <c r="J761" s="61">
        <v>5.6</v>
      </c>
      <c r="K761" s="61">
        <v>9</v>
      </c>
      <c r="L761" s="69">
        <f t="shared" si="159"/>
        <v>1.5679999999999998</v>
      </c>
      <c r="M761" s="69">
        <f t="shared" si="160"/>
        <v>2.52</v>
      </c>
      <c r="N761" s="56">
        <f>INDEX(Rate_Chart!$A$1:$AK$127,MATCH(Data!J761,Rate_Chart!$A$1:$A$127,0),MATCH(Data!K761,Rate_Chart!$A$1:$AK$1,0))</f>
        <v>46.76</v>
      </c>
      <c r="O761" s="57">
        <f t="shared" si="161"/>
        <v>1309.28</v>
      </c>
      <c r="P761" s="58">
        <f t="shared" si="162"/>
        <v>403.10344827586209</v>
      </c>
      <c r="Q761" s="58">
        <f t="shared" si="163"/>
        <v>268.73563218390808</v>
      </c>
      <c r="R761" s="66">
        <f t="shared" si="164"/>
        <v>22.912400000000002</v>
      </c>
      <c r="S761" s="64">
        <f t="shared" si="165"/>
        <v>105</v>
      </c>
      <c r="T761" s="66">
        <f t="shared" si="166"/>
        <v>1437.1923999999999</v>
      </c>
      <c r="U761" s="68">
        <f t="shared" si="167"/>
        <v>51.328299999999999</v>
      </c>
      <c r="V761" s="68">
        <f t="shared" si="168"/>
        <v>442.48534482758623</v>
      </c>
      <c r="W761" s="68">
        <f t="shared" si="169"/>
        <v>294.99022988505749</v>
      </c>
    </row>
    <row r="762" spans="1:23" x14ac:dyDescent="0.25">
      <c r="A762" s="169" t="s">
        <v>946</v>
      </c>
      <c r="B762" s="61" t="s">
        <v>390</v>
      </c>
      <c r="C762" s="61" t="s">
        <v>585</v>
      </c>
      <c r="D762" s="61" t="s">
        <v>587</v>
      </c>
      <c r="E762" s="1" t="s">
        <v>360</v>
      </c>
      <c r="F762" s="62" t="str">
        <f t="shared" si="158"/>
        <v>64517</v>
      </c>
      <c r="G762" s="269">
        <v>10620049</v>
      </c>
      <c r="H762" s="1" t="s">
        <v>382</v>
      </c>
      <c r="I762" s="61">
        <v>35</v>
      </c>
      <c r="J762" s="61">
        <v>3.2</v>
      </c>
      <c r="K762" s="61">
        <v>8.1</v>
      </c>
      <c r="L762" s="69">
        <f t="shared" si="159"/>
        <v>1.1200000000000001</v>
      </c>
      <c r="M762" s="69">
        <f t="shared" si="160"/>
        <v>2.835</v>
      </c>
      <c r="N762" s="56">
        <f>INDEX(Rate_Chart!$A$1:$AK$127,MATCH(Data!J762,Rate_Chart!$A$1:$A$127,0),MATCH(Data!K762,Rate_Chart!$A$1:$AK$1,0))</f>
        <v>35.8631259</v>
      </c>
      <c r="O762" s="57">
        <f t="shared" si="161"/>
        <v>1255.2094065000001</v>
      </c>
      <c r="P762" s="58">
        <f t="shared" si="162"/>
        <v>417.01309186046512</v>
      </c>
      <c r="Q762" s="58">
        <f t="shared" si="163"/>
        <v>278.00872790697673</v>
      </c>
      <c r="R762" s="66">
        <f t="shared" si="164"/>
        <v>21.966164613750003</v>
      </c>
      <c r="S762" s="64">
        <f t="shared" si="165"/>
        <v>131.25</v>
      </c>
      <c r="T762" s="66">
        <f t="shared" si="166"/>
        <v>1408.42557111375</v>
      </c>
      <c r="U762" s="68">
        <f t="shared" si="167"/>
        <v>40.24073060325</v>
      </c>
      <c r="V762" s="68">
        <f t="shared" si="168"/>
        <v>467.91547213081401</v>
      </c>
      <c r="W762" s="68">
        <f t="shared" si="169"/>
        <v>311.94364808720934</v>
      </c>
    </row>
    <row r="763" spans="1:23" x14ac:dyDescent="0.25">
      <c r="A763" s="169" t="s">
        <v>946</v>
      </c>
      <c r="B763" s="61" t="s">
        <v>391</v>
      </c>
      <c r="C763" s="61" t="s">
        <v>585</v>
      </c>
      <c r="D763" s="61" t="s">
        <v>587</v>
      </c>
      <c r="E763" s="1" t="s">
        <v>360</v>
      </c>
      <c r="F763" s="62" t="str">
        <f t="shared" si="158"/>
        <v>64517</v>
      </c>
      <c r="G763" s="269">
        <v>10620049</v>
      </c>
      <c r="H763" s="1" t="s">
        <v>381</v>
      </c>
      <c r="I763" s="61">
        <v>15</v>
      </c>
      <c r="J763" s="61">
        <v>5.7</v>
      </c>
      <c r="K763" s="61">
        <v>9</v>
      </c>
      <c r="L763" s="69">
        <f t="shared" si="159"/>
        <v>0.85499999999999998</v>
      </c>
      <c r="M763" s="69">
        <f t="shared" si="160"/>
        <v>1.35</v>
      </c>
      <c r="N763" s="56">
        <f>INDEX(Rate_Chart!$A$1:$AK$127,MATCH(Data!J763,Rate_Chart!$A$1:$A$127,0),MATCH(Data!K763,Rate_Chart!$A$1:$AK$1,0))</f>
        <v>47.594999999999999</v>
      </c>
      <c r="O763" s="57">
        <f t="shared" si="161"/>
        <v>713.92499999999995</v>
      </c>
      <c r="P763" s="58">
        <f t="shared" si="162"/>
        <v>406.79487179487182</v>
      </c>
      <c r="Q763" s="58">
        <f t="shared" si="163"/>
        <v>271.19658119658123</v>
      </c>
      <c r="R763" s="66">
        <f t="shared" si="164"/>
        <v>12.4936875</v>
      </c>
      <c r="S763" s="64">
        <f t="shared" si="165"/>
        <v>56.25</v>
      </c>
      <c r="T763" s="66">
        <f t="shared" si="166"/>
        <v>782.66868749999992</v>
      </c>
      <c r="U763" s="68">
        <f t="shared" si="167"/>
        <v>52.177912499999998</v>
      </c>
      <c r="V763" s="68">
        <f t="shared" si="168"/>
        <v>445.9650641025641</v>
      </c>
      <c r="W763" s="68">
        <f t="shared" si="169"/>
        <v>297.31004273504271</v>
      </c>
    </row>
    <row r="764" spans="1:23" x14ac:dyDescent="0.25">
      <c r="A764" s="169" t="s">
        <v>946</v>
      </c>
      <c r="B764" s="61" t="s">
        <v>391</v>
      </c>
      <c r="C764" s="61" t="s">
        <v>585</v>
      </c>
      <c r="D764" s="61" t="s">
        <v>587</v>
      </c>
      <c r="E764" s="1" t="s">
        <v>360</v>
      </c>
      <c r="F764" s="62" t="str">
        <f t="shared" si="158"/>
        <v>64517</v>
      </c>
      <c r="G764" s="269">
        <v>10620049</v>
      </c>
      <c r="H764" s="1" t="s">
        <v>382</v>
      </c>
      <c r="I764" s="61">
        <v>15</v>
      </c>
      <c r="J764" s="61">
        <v>3.6</v>
      </c>
      <c r="K764" s="61">
        <v>8.1</v>
      </c>
      <c r="L764" s="69">
        <f t="shared" si="159"/>
        <v>0.54</v>
      </c>
      <c r="M764" s="69">
        <f t="shared" si="160"/>
        <v>1.2150000000000001</v>
      </c>
      <c r="N764" s="56">
        <f>INDEX(Rate_Chart!$A$1:$AK$127,MATCH(Data!J764,Rate_Chart!$A$1:$A$127,0),MATCH(Data!K764,Rate_Chart!$A$1:$AK$1,0))</f>
        <v>37.531125900000006</v>
      </c>
      <c r="O764" s="57">
        <f t="shared" si="161"/>
        <v>562.9668885000001</v>
      </c>
      <c r="P764" s="58">
        <f t="shared" si="162"/>
        <v>417.01251000000008</v>
      </c>
      <c r="Q764" s="58">
        <f t="shared" si="163"/>
        <v>278.00834000000003</v>
      </c>
      <c r="R764" s="66">
        <f t="shared" si="164"/>
        <v>9.8519205487500034</v>
      </c>
      <c r="S764" s="64">
        <f t="shared" si="165"/>
        <v>56.25</v>
      </c>
      <c r="T764" s="66">
        <f t="shared" si="166"/>
        <v>629.06880904875015</v>
      </c>
      <c r="U764" s="68">
        <f t="shared" si="167"/>
        <v>41.937920603250014</v>
      </c>
      <c r="V764" s="68">
        <f t="shared" si="168"/>
        <v>465.97689559166685</v>
      </c>
      <c r="W764" s="68">
        <f t="shared" si="169"/>
        <v>310.65126372777792</v>
      </c>
    </row>
    <row r="765" spans="1:23" x14ac:dyDescent="0.25">
      <c r="A765" s="169" t="s">
        <v>947</v>
      </c>
      <c r="B765" s="61" t="s">
        <v>390</v>
      </c>
      <c r="C765" s="61" t="s">
        <v>585</v>
      </c>
      <c r="D765" s="61" t="s">
        <v>587</v>
      </c>
      <c r="E765" s="1" t="s">
        <v>360</v>
      </c>
      <c r="F765" s="62" t="str">
        <f t="shared" si="158"/>
        <v>64517</v>
      </c>
      <c r="G765" s="269">
        <v>10620049</v>
      </c>
      <c r="H765" s="1" t="s">
        <v>381</v>
      </c>
      <c r="I765" s="61">
        <v>29</v>
      </c>
      <c r="J765" s="61">
        <v>5.5</v>
      </c>
      <c r="K765" s="61">
        <v>9</v>
      </c>
      <c r="L765" s="69">
        <f t="shared" si="159"/>
        <v>1.595</v>
      </c>
      <c r="M765" s="69">
        <f t="shared" si="160"/>
        <v>2.61</v>
      </c>
      <c r="N765" s="56">
        <f>INDEX(Rate_Chart!$A$1:$AK$127,MATCH(Data!J765,Rate_Chart!$A$1:$A$127,0),MATCH(Data!K765,Rate_Chart!$A$1:$AK$1,0))</f>
        <v>46.566181499999999</v>
      </c>
      <c r="O765" s="57">
        <f t="shared" si="161"/>
        <v>1350.4192634999999</v>
      </c>
      <c r="P765" s="58">
        <f t="shared" si="162"/>
        <v>404.92331739130435</v>
      </c>
      <c r="Q765" s="58">
        <f t="shared" si="163"/>
        <v>269.94887826086955</v>
      </c>
      <c r="R765" s="66">
        <f t="shared" si="164"/>
        <v>23.632337111250003</v>
      </c>
      <c r="S765" s="64">
        <f t="shared" si="165"/>
        <v>108.75</v>
      </c>
      <c r="T765" s="66">
        <f t="shared" si="166"/>
        <v>1482.80160061125</v>
      </c>
      <c r="U765" s="68">
        <f t="shared" si="167"/>
        <v>51.131089676249999</v>
      </c>
      <c r="V765" s="68">
        <f t="shared" si="168"/>
        <v>444.61817109782612</v>
      </c>
      <c r="W765" s="68">
        <f t="shared" si="169"/>
        <v>296.41211406521739</v>
      </c>
    </row>
    <row r="766" spans="1:23" x14ac:dyDescent="0.25">
      <c r="A766" s="169" t="s">
        <v>947</v>
      </c>
      <c r="B766" s="61" t="s">
        <v>390</v>
      </c>
      <c r="C766" s="61" t="s">
        <v>585</v>
      </c>
      <c r="D766" s="61" t="s">
        <v>587</v>
      </c>
      <c r="E766" s="1" t="s">
        <v>360</v>
      </c>
      <c r="F766" s="62" t="str">
        <f t="shared" si="158"/>
        <v>64517</v>
      </c>
      <c r="G766" s="269">
        <v>10620049</v>
      </c>
      <c r="H766" s="1" t="s">
        <v>382</v>
      </c>
      <c r="I766" s="61">
        <v>35</v>
      </c>
      <c r="J766" s="61">
        <v>3.5</v>
      </c>
      <c r="K766" s="61">
        <v>8.1</v>
      </c>
      <c r="L766" s="69">
        <f t="shared" si="159"/>
        <v>1.2250000000000001</v>
      </c>
      <c r="M766" s="69">
        <f t="shared" si="160"/>
        <v>2.835</v>
      </c>
      <c r="N766" s="56">
        <f>INDEX(Rate_Chart!$A$1:$AK$127,MATCH(Data!J766,Rate_Chart!$A$1:$A$127,0),MATCH(Data!K766,Rate_Chart!$A$1:$AK$1,0))</f>
        <v>37.114125900000005</v>
      </c>
      <c r="O766" s="57">
        <f t="shared" si="161"/>
        <v>1298.9944065000002</v>
      </c>
      <c r="P766" s="58">
        <f t="shared" si="162"/>
        <v>417.01265056179784</v>
      </c>
      <c r="Q766" s="58">
        <f t="shared" si="163"/>
        <v>278.00843370786521</v>
      </c>
      <c r="R766" s="66">
        <f t="shared" si="164"/>
        <v>22.732402113750005</v>
      </c>
      <c r="S766" s="64">
        <f t="shared" si="165"/>
        <v>131.25</v>
      </c>
      <c r="T766" s="66">
        <f t="shared" si="166"/>
        <v>1452.9768086137501</v>
      </c>
      <c r="U766" s="68">
        <f t="shared" si="167"/>
        <v>41.513623103250005</v>
      </c>
      <c r="V766" s="68">
        <f t="shared" si="168"/>
        <v>466.44520340730344</v>
      </c>
      <c r="W766" s="68">
        <f t="shared" si="169"/>
        <v>310.96346893820231</v>
      </c>
    </row>
    <row r="767" spans="1:23" x14ac:dyDescent="0.25">
      <c r="A767" s="169" t="s">
        <v>947</v>
      </c>
      <c r="B767" s="61" t="s">
        <v>391</v>
      </c>
      <c r="C767" s="61" t="s">
        <v>585</v>
      </c>
      <c r="D767" s="61" t="s">
        <v>587</v>
      </c>
      <c r="E767" s="1" t="s">
        <v>360</v>
      </c>
      <c r="F767" s="62" t="str">
        <f t="shared" si="158"/>
        <v>64517</v>
      </c>
      <c r="G767" s="269">
        <v>10620049</v>
      </c>
      <c r="H767" s="1" t="s">
        <v>381</v>
      </c>
      <c r="I767" s="61">
        <v>14</v>
      </c>
      <c r="J767" s="61">
        <v>5.8</v>
      </c>
      <c r="K767" s="61">
        <v>8.8000000000000007</v>
      </c>
      <c r="L767" s="69">
        <f t="shared" si="159"/>
        <v>0.81200000000000006</v>
      </c>
      <c r="M767" s="69">
        <f t="shared" si="160"/>
        <v>1.2320000000000002</v>
      </c>
      <c r="N767" s="56">
        <f>INDEX(Rate_Chart!$A$1:$AK$127,MATCH(Data!J767,Rate_Chart!$A$1:$A$127,0),MATCH(Data!K767,Rate_Chart!$A$1:$AK$1,0))</f>
        <v>47.945700000000002</v>
      </c>
      <c r="O767" s="57">
        <f t="shared" si="161"/>
        <v>671.23980000000006</v>
      </c>
      <c r="P767" s="58">
        <f t="shared" si="162"/>
        <v>410.96314285714288</v>
      </c>
      <c r="Q767" s="58">
        <f t="shared" si="163"/>
        <v>273.97542857142861</v>
      </c>
      <c r="R767" s="66">
        <f t="shared" si="164"/>
        <v>11.746696500000002</v>
      </c>
      <c r="S767" s="64">
        <f t="shared" si="165"/>
        <v>52.5</v>
      </c>
      <c r="T767" s="66">
        <f t="shared" si="166"/>
        <v>735.48649650000004</v>
      </c>
      <c r="U767" s="68">
        <f t="shared" si="167"/>
        <v>52.534749750000003</v>
      </c>
      <c r="V767" s="68">
        <f t="shared" si="168"/>
        <v>450.29785500000003</v>
      </c>
      <c r="W767" s="68">
        <f t="shared" si="169"/>
        <v>300.19857000000002</v>
      </c>
    </row>
    <row r="768" spans="1:23" x14ac:dyDescent="0.25">
      <c r="A768" s="169" t="s">
        <v>947</v>
      </c>
      <c r="B768" s="61" t="s">
        <v>391</v>
      </c>
      <c r="C768" s="61" t="s">
        <v>585</v>
      </c>
      <c r="D768" s="61" t="s">
        <v>587</v>
      </c>
      <c r="E768" s="1" t="s">
        <v>360</v>
      </c>
      <c r="F768" s="62" t="str">
        <f t="shared" si="158"/>
        <v>64517</v>
      </c>
      <c r="G768" s="269">
        <v>10620049</v>
      </c>
      <c r="H768" s="1" t="s">
        <v>382</v>
      </c>
      <c r="I768" s="61">
        <v>16</v>
      </c>
      <c r="J768" s="61">
        <v>3.5</v>
      </c>
      <c r="K768" s="61">
        <v>8</v>
      </c>
      <c r="L768" s="69">
        <f t="shared" si="159"/>
        <v>0.56000000000000005</v>
      </c>
      <c r="M768" s="69">
        <f t="shared" si="160"/>
        <v>1.28</v>
      </c>
      <c r="N768" s="56">
        <f>INDEX(Rate_Chart!$A$1:$AK$127,MATCH(Data!J768,Rate_Chart!$A$1:$A$127,0),MATCH(Data!K768,Rate_Chart!$A$1:$AK$1,0))</f>
        <v>36.836112000000007</v>
      </c>
      <c r="O768" s="57">
        <f t="shared" si="161"/>
        <v>589.37779200000011</v>
      </c>
      <c r="P768" s="58">
        <f t="shared" si="162"/>
        <v>417.01258867924531</v>
      </c>
      <c r="Q768" s="58">
        <f t="shared" si="163"/>
        <v>278.00839245283021</v>
      </c>
      <c r="R768" s="66">
        <f t="shared" si="164"/>
        <v>10.314111360000004</v>
      </c>
      <c r="S768" s="64">
        <f t="shared" si="165"/>
        <v>60</v>
      </c>
      <c r="T768" s="66">
        <f t="shared" si="166"/>
        <v>659.69190336000008</v>
      </c>
      <c r="U768" s="68">
        <f t="shared" si="167"/>
        <v>41.230743960000005</v>
      </c>
      <c r="V768" s="68">
        <f t="shared" si="168"/>
        <v>466.76313916981132</v>
      </c>
      <c r="W768" s="68">
        <f t="shared" si="169"/>
        <v>311.17542611320755</v>
      </c>
    </row>
    <row r="769" spans="1:23" x14ac:dyDescent="0.25">
      <c r="A769" s="169" t="s">
        <v>941</v>
      </c>
      <c r="B769" s="61" t="s">
        <v>390</v>
      </c>
      <c r="C769" s="61" t="s">
        <v>585</v>
      </c>
      <c r="D769" s="61" t="s">
        <v>589</v>
      </c>
      <c r="E769" s="1" t="s">
        <v>361</v>
      </c>
      <c r="F769" s="62" t="str">
        <f t="shared" si="158"/>
        <v>64522</v>
      </c>
      <c r="G769" s="269">
        <v>10620016</v>
      </c>
      <c r="H769" s="1" t="s">
        <v>381</v>
      </c>
      <c r="I769" s="61">
        <v>7</v>
      </c>
      <c r="J769" s="61">
        <v>8.8000000000000007</v>
      </c>
      <c r="K769" s="61">
        <v>9</v>
      </c>
      <c r="L769" s="69">
        <f t="shared" si="159"/>
        <v>0.6160000000000001</v>
      </c>
      <c r="M769" s="69">
        <f t="shared" si="160"/>
        <v>0.63</v>
      </c>
      <c r="N769" s="56">
        <f>INDEX(Rate_Chart!$A$1:$AK$127,MATCH(Data!J769,Rate_Chart!$A$1:$A$127,0),MATCH(Data!K769,Rate_Chart!$A$1:$AK$1,0))</f>
        <v>73.48</v>
      </c>
      <c r="O769" s="57">
        <f t="shared" si="161"/>
        <v>514.36</v>
      </c>
      <c r="P769" s="58">
        <f t="shared" si="162"/>
        <v>496.48648648648646</v>
      </c>
      <c r="Q769" s="58">
        <f t="shared" si="163"/>
        <v>330.99099099099095</v>
      </c>
      <c r="R769" s="66">
        <f t="shared" si="164"/>
        <v>9.0013000000000005</v>
      </c>
      <c r="S769" s="64">
        <f t="shared" si="165"/>
        <v>26.25</v>
      </c>
      <c r="T769" s="66">
        <f t="shared" si="166"/>
        <v>549.61130000000003</v>
      </c>
      <c r="U769" s="68">
        <f t="shared" si="167"/>
        <v>78.515900000000002</v>
      </c>
      <c r="V769" s="68">
        <f t="shared" si="168"/>
        <v>530.51283783783776</v>
      </c>
      <c r="W769" s="68">
        <f t="shared" si="169"/>
        <v>353.67522522522518</v>
      </c>
    </row>
    <row r="770" spans="1:23" x14ac:dyDescent="0.25">
      <c r="A770" s="169" t="s">
        <v>941</v>
      </c>
      <c r="B770" s="61" t="s">
        <v>391</v>
      </c>
      <c r="C770" s="61" t="s">
        <v>585</v>
      </c>
      <c r="D770" s="61" t="s">
        <v>589</v>
      </c>
      <c r="E770" s="1" t="s">
        <v>361</v>
      </c>
      <c r="F770" s="62" t="str">
        <f t="shared" si="158"/>
        <v>64522</v>
      </c>
      <c r="G770" s="269">
        <v>10620016</v>
      </c>
      <c r="H770" s="1" t="s">
        <v>381</v>
      </c>
      <c r="I770" s="61">
        <v>17</v>
      </c>
      <c r="J770" s="61">
        <v>5.6</v>
      </c>
      <c r="K770" s="61">
        <v>8.8000000000000007</v>
      </c>
      <c r="L770" s="69">
        <f t="shared" si="159"/>
        <v>0.95199999999999985</v>
      </c>
      <c r="M770" s="69">
        <f t="shared" si="160"/>
        <v>1.4960000000000002</v>
      </c>
      <c r="N770" s="56">
        <f>INDEX(Rate_Chart!$A$1:$AK$127,MATCH(Data!J770,Rate_Chart!$A$1:$A$127,0),MATCH(Data!K770,Rate_Chart!$A$1:$AK$1,0))</f>
        <v>46.292400000000001</v>
      </c>
      <c r="O770" s="57">
        <f t="shared" si="161"/>
        <v>786.97080000000005</v>
      </c>
      <c r="P770" s="58">
        <f t="shared" si="162"/>
        <v>403.71279069767445</v>
      </c>
      <c r="Q770" s="58">
        <f t="shared" si="163"/>
        <v>269.14186046511628</v>
      </c>
      <c r="R770" s="66">
        <f t="shared" si="164"/>
        <v>13.771989000000001</v>
      </c>
      <c r="S770" s="64">
        <f t="shared" si="165"/>
        <v>63.75</v>
      </c>
      <c r="T770" s="66">
        <f t="shared" si="166"/>
        <v>864.49278900000002</v>
      </c>
      <c r="U770" s="68">
        <f t="shared" si="167"/>
        <v>50.852516999999999</v>
      </c>
      <c r="V770" s="68">
        <f t="shared" si="168"/>
        <v>443.48125290697675</v>
      </c>
      <c r="W770" s="68">
        <f t="shared" si="169"/>
        <v>295.65416860465115</v>
      </c>
    </row>
    <row r="771" spans="1:23" x14ac:dyDescent="0.25">
      <c r="A771" s="169" t="s">
        <v>942</v>
      </c>
      <c r="B771" s="61" t="s">
        <v>390</v>
      </c>
      <c r="C771" s="61" t="s">
        <v>585</v>
      </c>
      <c r="D771" s="61" t="s">
        <v>589</v>
      </c>
      <c r="E771" s="1" t="s">
        <v>361</v>
      </c>
      <c r="F771" s="62" t="str">
        <f t="shared" si="158"/>
        <v>64522</v>
      </c>
      <c r="G771" s="269">
        <v>10620016</v>
      </c>
      <c r="H771" s="1" t="s">
        <v>381</v>
      </c>
      <c r="I771" s="61">
        <v>46</v>
      </c>
      <c r="J771" s="61">
        <v>6.3</v>
      </c>
      <c r="K771" s="61">
        <v>9</v>
      </c>
      <c r="L771" s="69">
        <f t="shared" si="159"/>
        <v>2.8980000000000001</v>
      </c>
      <c r="M771" s="69">
        <f t="shared" si="160"/>
        <v>4.1399999999999997</v>
      </c>
      <c r="N771" s="56">
        <f>INDEX(Rate_Chart!$A$1:$AK$127,MATCH(Data!J771,Rate_Chart!$A$1:$A$127,0),MATCH(Data!K771,Rate_Chart!$A$1:$AK$1,0))</f>
        <v>52.604999999999997</v>
      </c>
      <c r="O771" s="57">
        <f t="shared" si="161"/>
        <v>2419.83</v>
      </c>
      <c r="P771" s="58">
        <f t="shared" si="162"/>
        <v>427.6829268292683</v>
      </c>
      <c r="Q771" s="58">
        <f t="shared" si="163"/>
        <v>285.1219512195122</v>
      </c>
      <c r="R771" s="66">
        <f t="shared" si="164"/>
        <v>42.347025000000002</v>
      </c>
      <c r="S771" s="64">
        <f t="shared" si="165"/>
        <v>172.5</v>
      </c>
      <c r="T771" s="66">
        <f t="shared" si="166"/>
        <v>2634.677025</v>
      </c>
      <c r="U771" s="68">
        <f t="shared" si="167"/>
        <v>57.2755875</v>
      </c>
      <c r="V771" s="68">
        <f t="shared" si="168"/>
        <v>465.6551829268293</v>
      </c>
      <c r="W771" s="68">
        <f t="shared" si="169"/>
        <v>310.43678861788618</v>
      </c>
    </row>
    <row r="772" spans="1:23" x14ac:dyDescent="0.25">
      <c r="A772" s="169" t="s">
        <v>942</v>
      </c>
      <c r="B772" s="61" t="s">
        <v>391</v>
      </c>
      <c r="C772" s="61" t="s">
        <v>585</v>
      </c>
      <c r="D772" s="61" t="s">
        <v>589</v>
      </c>
      <c r="E772" s="1" t="s">
        <v>361</v>
      </c>
      <c r="F772" s="62" t="str">
        <f t="shared" si="158"/>
        <v>64522</v>
      </c>
      <c r="G772" s="269">
        <v>10620016</v>
      </c>
      <c r="H772" s="1" t="s">
        <v>381</v>
      </c>
      <c r="I772" s="61">
        <v>15</v>
      </c>
      <c r="J772" s="61">
        <v>6</v>
      </c>
      <c r="K772" s="61">
        <v>9</v>
      </c>
      <c r="L772" s="69">
        <f t="shared" si="159"/>
        <v>0.9</v>
      </c>
      <c r="M772" s="69">
        <f t="shared" si="160"/>
        <v>1.35</v>
      </c>
      <c r="N772" s="56">
        <f>INDEX(Rate_Chart!$A$1:$AK$127,MATCH(Data!J772,Rate_Chart!$A$1:$A$127,0),MATCH(Data!K772,Rate_Chart!$A$1:$AK$1,0))</f>
        <v>50.1</v>
      </c>
      <c r="O772" s="57">
        <f t="shared" si="161"/>
        <v>751.5</v>
      </c>
      <c r="P772" s="58">
        <f t="shared" si="162"/>
        <v>417.5</v>
      </c>
      <c r="Q772" s="58">
        <f t="shared" si="163"/>
        <v>278.33333333333331</v>
      </c>
      <c r="R772" s="66">
        <f t="shared" si="164"/>
        <v>13.151250000000001</v>
      </c>
      <c r="S772" s="64">
        <f t="shared" si="165"/>
        <v>56.25</v>
      </c>
      <c r="T772" s="66">
        <f t="shared" si="166"/>
        <v>820.90125</v>
      </c>
      <c r="U772" s="68">
        <f t="shared" si="167"/>
        <v>54.726750000000003</v>
      </c>
      <c r="V772" s="68">
        <f t="shared" si="168"/>
        <v>456.05625000000003</v>
      </c>
      <c r="W772" s="68">
        <f t="shared" si="169"/>
        <v>304.03750000000002</v>
      </c>
    </row>
    <row r="773" spans="1:23" x14ac:dyDescent="0.25">
      <c r="A773" s="169" t="s">
        <v>943</v>
      </c>
      <c r="B773" s="61" t="s">
        <v>390</v>
      </c>
      <c r="C773" s="61" t="s">
        <v>585</v>
      </c>
      <c r="D773" s="61" t="s">
        <v>589</v>
      </c>
      <c r="E773" s="1" t="s">
        <v>361</v>
      </c>
      <c r="F773" s="62" t="str">
        <f t="shared" ref="F773:F836" si="170">MID(E773,2,5)</f>
        <v>64522</v>
      </c>
      <c r="G773" s="269">
        <v>10620016</v>
      </c>
      <c r="H773" s="1" t="s">
        <v>381</v>
      </c>
      <c r="I773" s="61">
        <v>46</v>
      </c>
      <c r="J773" s="61">
        <v>6</v>
      </c>
      <c r="K773" s="61">
        <v>9</v>
      </c>
      <c r="L773" s="69">
        <f t="shared" si="159"/>
        <v>2.76</v>
      </c>
      <c r="M773" s="69">
        <f t="shared" si="160"/>
        <v>4.1399999999999997</v>
      </c>
      <c r="N773" s="56">
        <f>INDEX(Rate_Chart!$A$1:$AK$127,MATCH(Data!J773,Rate_Chart!$A$1:$A$127,0),MATCH(Data!K773,Rate_Chart!$A$1:$AK$1,0))</f>
        <v>50.1</v>
      </c>
      <c r="O773" s="57">
        <f t="shared" si="161"/>
        <v>2304.6</v>
      </c>
      <c r="P773" s="58">
        <f t="shared" si="162"/>
        <v>417.5</v>
      </c>
      <c r="Q773" s="58">
        <f t="shared" si="163"/>
        <v>278.33333333333331</v>
      </c>
      <c r="R773" s="66">
        <f t="shared" si="164"/>
        <v>40.330500000000001</v>
      </c>
      <c r="S773" s="64">
        <f t="shared" si="165"/>
        <v>172.5</v>
      </c>
      <c r="T773" s="66">
        <f t="shared" si="166"/>
        <v>2517.4304999999999</v>
      </c>
      <c r="U773" s="68">
        <f t="shared" si="167"/>
        <v>54.726749999999996</v>
      </c>
      <c r="V773" s="68">
        <f t="shared" si="168"/>
        <v>456.05624999999998</v>
      </c>
      <c r="W773" s="68">
        <f t="shared" si="169"/>
        <v>304.03749999999997</v>
      </c>
    </row>
    <row r="774" spans="1:23" x14ac:dyDescent="0.25">
      <c r="A774" s="169" t="s">
        <v>943</v>
      </c>
      <c r="B774" s="61" t="s">
        <v>391</v>
      </c>
      <c r="C774" s="61" t="s">
        <v>585</v>
      </c>
      <c r="D774" s="61" t="s">
        <v>589</v>
      </c>
      <c r="E774" s="1" t="s">
        <v>361</v>
      </c>
      <c r="F774" s="62" t="str">
        <f t="shared" si="170"/>
        <v>64522</v>
      </c>
      <c r="G774" s="269">
        <v>10620016</v>
      </c>
      <c r="H774" s="1" t="s">
        <v>381</v>
      </c>
      <c r="I774" s="61">
        <v>16</v>
      </c>
      <c r="J774" s="61">
        <v>6.1</v>
      </c>
      <c r="K774" s="61">
        <v>9</v>
      </c>
      <c r="L774" s="69">
        <f t="shared" si="159"/>
        <v>0.97599999999999998</v>
      </c>
      <c r="M774" s="69">
        <f t="shared" si="160"/>
        <v>1.44</v>
      </c>
      <c r="N774" s="56">
        <f>INDEX(Rate_Chart!$A$1:$AK$127,MATCH(Data!J774,Rate_Chart!$A$1:$A$127,0),MATCH(Data!K774,Rate_Chart!$A$1:$AK$1,0))</f>
        <v>50.935000000000002</v>
      </c>
      <c r="O774" s="57">
        <f t="shared" si="161"/>
        <v>814.96</v>
      </c>
      <c r="P774" s="58">
        <f t="shared" si="162"/>
        <v>420.95041322314052</v>
      </c>
      <c r="Q774" s="58">
        <f t="shared" si="163"/>
        <v>280.63360881542701</v>
      </c>
      <c r="R774" s="66">
        <f t="shared" si="164"/>
        <v>14.261800000000003</v>
      </c>
      <c r="S774" s="64">
        <f t="shared" si="165"/>
        <v>60</v>
      </c>
      <c r="T774" s="66">
        <f t="shared" si="166"/>
        <v>889.22180000000003</v>
      </c>
      <c r="U774" s="68">
        <f t="shared" si="167"/>
        <v>55.576362500000002</v>
      </c>
      <c r="V774" s="68">
        <f t="shared" si="168"/>
        <v>459.30878099173555</v>
      </c>
      <c r="W774" s="68">
        <f t="shared" si="169"/>
        <v>306.20585399449038</v>
      </c>
    </row>
    <row r="775" spans="1:23" x14ac:dyDescent="0.25">
      <c r="A775" s="169" t="s">
        <v>944</v>
      </c>
      <c r="B775" s="61" t="s">
        <v>390</v>
      </c>
      <c r="C775" s="61" t="s">
        <v>585</v>
      </c>
      <c r="D775" s="61" t="s">
        <v>589</v>
      </c>
      <c r="E775" s="1" t="s">
        <v>361</v>
      </c>
      <c r="F775" s="62" t="str">
        <f t="shared" si="170"/>
        <v>64522</v>
      </c>
      <c r="G775" s="269">
        <v>10620016</v>
      </c>
      <c r="H775" s="1" t="s">
        <v>381</v>
      </c>
      <c r="I775" s="61">
        <v>53</v>
      </c>
      <c r="J775" s="61">
        <v>6.8</v>
      </c>
      <c r="K775" s="61">
        <v>9</v>
      </c>
      <c r="L775" s="69">
        <f t="shared" si="159"/>
        <v>3.6039999999999996</v>
      </c>
      <c r="M775" s="69">
        <f t="shared" si="160"/>
        <v>4.7699999999999996</v>
      </c>
      <c r="N775" s="56">
        <f>INDEX(Rate_Chart!$A$1:$AK$127,MATCH(Data!J775,Rate_Chart!$A$1:$A$127,0),MATCH(Data!K775,Rate_Chart!$A$1:$AK$1,0))</f>
        <v>56.78</v>
      </c>
      <c r="O775" s="57">
        <f t="shared" si="161"/>
        <v>3009.34</v>
      </c>
      <c r="P775" s="58">
        <f t="shared" si="162"/>
        <v>443.59375</v>
      </c>
      <c r="Q775" s="58">
        <f t="shared" si="163"/>
        <v>295.72916666666669</v>
      </c>
      <c r="R775" s="66">
        <f t="shared" si="164"/>
        <v>52.663450000000005</v>
      </c>
      <c r="S775" s="64">
        <f t="shared" si="165"/>
        <v>198.75</v>
      </c>
      <c r="T775" s="66">
        <f t="shared" si="166"/>
        <v>3260.7534500000002</v>
      </c>
      <c r="U775" s="68">
        <f t="shared" si="167"/>
        <v>61.523650000000004</v>
      </c>
      <c r="V775" s="68">
        <f t="shared" si="168"/>
        <v>480.65351562500001</v>
      </c>
      <c r="W775" s="68">
        <f t="shared" si="169"/>
        <v>320.43567708333336</v>
      </c>
    </row>
    <row r="776" spans="1:23" x14ac:dyDescent="0.25">
      <c r="A776" s="169" t="s">
        <v>944</v>
      </c>
      <c r="B776" s="61" t="s">
        <v>391</v>
      </c>
      <c r="C776" s="61" t="s">
        <v>585</v>
      </c>
      <c r="D776" s="61" t="s">
        <v>589</v>
      </c>
      <c r="E776" s="1" t="s">
        <v>361</v>
      </c>
      <c r="F776" s="62" t="str">
        <f t="shared" si="170"/>
        <v>64522</v>
      </c>
      <c r="G776" s="269">
        <v>10620016</v>
      </c>
      <c r="H776" s="1" t="s">
        <v>381</v>
      </c>
      <c r="I776" s="61">
        <v>15</v>
      </c>
      <c r="J776" s="61">
        <v>6.8</v>
      </c>
      <c r="K776" s="61">
        <v>9</v>
      </c>
      <c r="L776" s="69">
        <f t="shared" si="159"/>
        <v>1.02</v>
      </c>
      <c r="M776" s="69">
        <f t="shared" si="160"/>
        <v>1.35</v>
      </c>
      <c r="N776" s="56">
        <f>INDEX(Rate_Chart!$A$1:$AK$127,MATCH(Data!J776,Rate_Chart!$A$1:$A$127,0),MATCH(Data!K776,Rate_Chart!$A$1:$AK$1,0))</f>
        <v>56.78</v>
      </c>
      <c r="O776" s="57">
        <f t="shared" si="161"/>
        <v>851.7</v>
      </c>
      <c r="P776" s="58">
        <f t="shared" si="162"/>
        <v>443.59375</v>
      </c>
      <c r="Q776" s="58">
        <f t="shared" si="163"/>
        <v>295.72916666666669</v>
      </c>
      <c r="R776" s="66">
        <f t="shared" si="164"/>
        <v>14.904750000000002</v>
      </c>
      <c r="S776" s="64">
        <f t="shared" si="165"/>
        <v>56.25</v>
      </c>
      <c r="T776" s="66">
        <f t="shared" si="166"/>
        <v>922.85475000000008</v>
      </c>
      <c r="U776" s="68">
        <f t="shared" si="167"/>
        <v>61.523650000000004</v>
      </c>
      <c r="V776" s="68">
        <f t="shared" si="168"/>
        <v>480.65351562500001</v>
      </c>
      <c r="W776" s="68">
        <f t="shared" si="169"/>
        <v>320.43567708333336</v>
      </c>
    </row>
    <row r="777" spans="1:23" x14ac:dyDescent="0.25">
      <c r="A777" s="169" t="s">
        <v>945</v>
      </c>
      <c r="B777" s="61" t="s">
        <v>390</v>
      </c>
      <c r="C777" s="61" t="s">
        <v>585</v>
      </c>
      <c r="D777" s="61" t="s">
        <v>589</v>
      </c>
      <c r="E777" s="1" t="s">
        <v>361</v>
      </c>
      <c r="F777" s="62" t="str">
        <f t="shared" si="170"/>
        <v>64522</v>
      </c>
      <c r="G777" s="269">
        <v>10620016</v>
      </c>
      <c r="H777" s="1" t="s">
        <v>381</v>
      </c>
      <c r="I777" s="61">
        <v>20</v>
      </c>
      <c r="J777" s="61">
        <v>7.3</v>
      </c>
      <c r="K777" s="61">
        <v>9</v>
      </c>
      <c r="L777" s="69">
        <f t="shared" si="159"/>
        <v>1.46</v>
      </c>
      <c r="M777" s="69">
        <f t="shared" si="160"/>
        <v>1.8</v>
      </c>
      <c r="N777" s="56">
        <f>INDEX(Rate_Chart!$A$1:$AK$127,MATCH(Data!J777,Rate_Chart!$A$1:$A$127,0),MATCH(Data!K777,Rate_Chart!$A$1:$AK$1,0))</f>
        <v>60.954999999999998</v>
      </c>
      <c r="O777" s="57">
        <f t="shared" si="161"/>
        <v>1219.0999999999999</v>
      </c>
      <c r="P777" s="58">
        <f t="shared" si="162"/>
        <v>458.30827067669168</v>
      </c>
      <c r="Q777" s="58">
        <f t="shared" si="163"/>
        <v>305.53884711779443</v>
      </c>
      <c r="R777" s="66">
        <f t="shared" si="164"/>
        <v>21.334250000000001</v>
      </c>
      <c r="S777" s="64">
        <f t="shared" si="165"/>
        <v>75</v>
      </c>
      <c r="T777" s="66">
        <f t="shared" si="166"/>
        <v>1315.4342499999998</v>
      </c>
      <c r="U777" s="68">
        <f t="shared" si="167"/>
        <v>65.771712499999992</v>
      </c>
      <c r="V777" s="68">
        <f t="shared" si="168"/>
        <v>494.52415413533828</v>
      </c>
      <c r="W777" s="68">
        <f t="shared" si="169"/>
        <v>329.68276942355885</v>
      </c>
    </row>
    <row r="778" spans="1:23" x14ac:dyDescent="0.25">
      <c r="A778" s="169" t="s">
        <v>945</v>
      </c>
      <c r="B778" s="61" t="s">
        <v>391</v>
      </c>
      <c r="C778" s="61" t="s">
        <v>585</v>
      </c>
      <c r="D778" s="61" t="s">
        <v>589</v>
      </c>
      <c r="E778" s="1" t="s">
        <v>361</v>
      </c>
      <c r="F778" s="62" t="str">
        <f t="shared" si="170"/>
        <v>64522</v>
      </c>
      <c r="G778" s="269">
        <v>10620016</v>
      </c>
      <c r="H778" s="1" t="s">
        <v>381</v>
      </c>
      <c r="I778" s="61">
        <v>20</v>
      </c>
      <c r="J778" s="61">
        <v>6.5</v>
      </c>
      <c r="K778" s="61">
        <v>9</v>
      </c>
      <c r="L778" s="69">
        <f t="shared" si="159"/>
        <v>1.3</v>
      </c>
      <c r="M778" s="69">
        <f t="shared" si="160"/>
        <v>1.8</v>
      </c>
      <c r="N778" s="56">
        <f>INDEX(Rate_Chart!$A$1:$AK$127,MATCH(Data!J778,Rate_Chart!$A$1:$A$127,0),MATCH(Data!K778,Rate_Chart!$A$1:$AK$1,0))</f>
        <v>54.274999999999999</v>
      </c>
      <c r="O778" s="57">
        <f t="shared" si="161"/>
        <v>1085.5</v>
      </c>
      <c r="P778" s="58">
        <f t="shared" si="162"/>
        <v>434.2</v>
      </c>
      <c r="Q778" s="58">
        <f t="shared" si="163"/>
        <v>289.46666666666664</v>
      </c>
      <c r="R778" s="66">
        <f t="shared" si="164"/>
        <v>18.996250000000003</v>
      </c>
      <c r="S778" s="64">
        <f t="shared" si="165"/>
        <v>75</v>
      </c>
      <c r="T778" s="66">
        <f t="shared" si="166"/>
        <v>1179.4962499999999</v>
      </c>
      <c r="U778" s="68">
        <f t="shared" si="167"/>
        <v>58.974812499999999</v>
      </c>
      <c r="V778" s="68">
        <f t="shared" si="168"/>
        <v>471.79849999999999</v>
      </c>
      <c r="W778" s="68">
        <f t="shared" si="169"/>
        <v>314.53233333333333</v>
      </c>
    </row>
    <row r="779" spans="1:23" x14ac:dyDescent="0.25">
      <c r="A779" s="169" t="s">
        <v>946</v>
      </c>
      <c r="B779" s="61" t="s">
        <v>390</v>
      </c>
      <c r="C779" s="61" t="s">
        <v>585</v>
      </c>
      <c r="D779" s="61" t="s">
        <v>589</v>
      </c>
      <c r="E779" s="1" t="s">
        <v>361</v>
      </c>
      <c r="F779" s="62" t="str">
        <f t="shared" si="170"/>
        <v>64522</v>
      </c>
      <c r="G779" s="269">
        <v>10620016</v>
      </c>
      <c r="H779" s="1" t="s">
        <v>381</v>
      </c>
      <c r="I779" s="61">
        <v>60</v>
      </c>
      <c r="J779" s="61">
        <v>6.4</v>
      </c>
      <c r="K779" s="61">
        <v>9</v>
      </c>
      <c r="L779" s="69">
        <f t="shared" si="159"/>
        <v>3.84</v>
      </c>
      <c r="M779" s="69">
        <f t="shared" si="160"/>
        <v>5.4</v>
      </c>
      <c r="N779" s="56">
        <f>INDEX(Rate_Chart!$A$1:$AK$127,MATCH(Data!J779,Rate_Chart!$A$1:$A$127,0),MATCH(Data!K779,Rate_Chart!$A$1:$AK$1,0))</f>
        <v>53.44</v>
      </c>
      <c r="O779" s="57">
        <f t="shared" si="161"/>
        <v>3206.3999999999996</v>
      </c>
      <c r="P779" s="58">
        <f t="shared" si="162"/>
        <v>430.96774193548384</v>
      </c>
      <c r="Q779" s="58">
        <f t="shared" si="163"/>
        <v>287.31182795698925</v>
      </c>
      <c r="R779" s="66">
        <f t="shared" si="164"/>
        <v>56.112000000000002</v>
      </c>
      <c r="S779" s="64">
        <f t="shared" si="165"/>
        <v>225</v>
      </c>
      <c r="T779" s="66">
        <f t="shared" si="166"/>
        <v>3487.5119999999997</v>
      </c>
      <c r="U779" s="68">
        <f t="shared" si="167"/>
        <v>58.125199999999992</v>
      </c>
      <c r="V779" s="68">
        <f t="shared" si="168"/>
        <v>468.75161290322575</v>
      </c>
      <c r="W779" s="68">
        <f t="shared" si="169"/>
        <v>312.50107526881715</v>
      </c>
    </row>
    <row r="780" spans="1:23" x14ac:dyDescent="0.25">
      <c r="A780" s="169" t="s">
        <v>946</v>
      </c>
      <c r="B780" s="61" t="s">
        <v>391</v>
      </c>
      <c r="C780" s="61" t="s">
        <v>585</v>
      </c>
      <c r="D780" s="61" t="s">
        <v>589</v>
      </c>
      <c r="E780" s="1" t="s">
        <v>361</v>
      </c>
      <c r="F780" s="62" t="str">
        <f t="shared" si="170"/>
        <v>64522</v>
      </c>
      <c r="G780" s="269">
        <v>10620016</v>
      </c>
      <c r="H780" s="1" t="s">
        <v>381</v>
      </c>
      <c r="I780" s="61">
        <v>11</v>
      </c>
      <c r="J780" s="61">
        <v>6.9</v>
      </c>
      <c r="K780" s="61">
        <v>9</v>
      </c>
      <c r="L780" s="69">
        <f t="shared" si="159"/>
        <v>0.75900000000000001</v>
      </c>
      <c r="M780" s="69">
        <f t="shared" si="160"/>
        <v>0.99</v>
      </c>
      <c r="N780" s="56">
        <f>INDEX(Rate_Chart!$A$1:$AK$127,MATCH(Data!J780,Rate_Chart!$A$1:$A$127,0),MATCH(Data!K780,Rate_Chart!$A$1:$AK$1,0))</f>
        <v>57.615000000000002</v>
      </c>
      <c r="O780" s="57">
        <f t="shared" si="161"/>
        <v>633.76499999999999</v>
      </c>
      <c r="P780" s="58">
        <f t="shared" si="162"/>
        <v>446.62790697674421</v>
      </c>
      <c r="Q780" s="58">
        <f t="shared" si="163"/>
        <v>297.75193798449612</v>
      </c>
      <c r="R780" s="66">
        <f t="shared" si="164"/>
        <v>11.090887500000001</v>
      </c>
      <c r="S780" s="64">
        <f t="shared" si="165"/>
        <v>41.25</v>
      </c>
      <c r="T780" s="66">
        <f t="shared" si="166"/>
        <v>686.10588749999999</v>
      </c>
      <c r="U780" s="68">
        <f t="shared" si="167"/>
        <v>62.373262500000003</v>
      </c>
      <c r="V780" s="68">
        <f t="shared" si="168"/>
        <v>483.51366279069771</v>
      </c>
      <c r="W780" s="68">
        <f t="shared" si="169"/>
        <v>322.34244186046516</v>
      </c>
    </row>
    <row r="781" spans="1:23" x14ac:dyDescent="0.25">
      <c r="A781" s="169" t="s">
        <v>947</v>
      </c>
      <c r="B781" s="61" t="s">
        <v>390</v>
      </c>
      <c r="C781" s="61" t="s">
        <v>585</v>
      </c>
      <c r="D781" s="61" t="s">
        <v>589</v>
      </c>
      <c r="E781" s="1" t="s">
        <v>361</v>
      </c>
      <c r="F781" s="62" t="str">
        <f t="shared" si="170"/>
        <v>64522</v>
      </c>
      <c r="G781" s="269">
        <v>10620016</v>
      </c>
      <c r="H781" s="1" t="s">
        <v>381</v>
      </c>
      <c r="I781" s="61">
        <v>58</v>
      </c>
      <c r="J781" s="61">
        <v>6.3</v>
      </c>
      <c r="K781" s="61">
        <v>9</v>
      </c>
      <c r="L781" s="69">
        <f t="shared" si="159"/>
        <v>3.6539999999999999</v>
      </c>
      <c r="M781" s="69">
        <f t="shared" si="160"/>
        <v>5.22</v>
      </c>
      <c r="N781" s="56">
        <f>INDEX(Rate_Chart!$A$1:$AK$127,MATCH(Data!J781,Rate_Chart!$A$1:$A$127,0),MATCH(Data!K781,Rate_Chart!$A$1:$AK$1,0))</f>
        <v>52.604999999999997</v>
      </c>
      <c r="O781" s="57">
        <f t="shared" si="161"/>
        <v>3051.0899999999997</v>
      </c>
      <c r="P781" s="58">
        <f t="shared" si="162"/>
        <v>427.6829268292683</v>
      </c>
      <c r="Q781" s="58">
        <f t="shared" si="163"/>
        <v>285.1219512195122</v>
      </c>
      <c r="R781" s="66">
        <f t="shared" si="164"/>
        <v>53.394075000000001</v>
      </c>
      <c r="S781" s="64">
        <f t="shared" si="165"/>
        <v>217.5</v>
      </c>
      <c r="T781" s="66">
        <f t="shared" si="166"/>
        <v>3321.9840749999998</v>
      </c>
      <c r="U781" s="68">
        <f t="shared" si="167"/>
        <v>57.2755875</v>
      </c>
      <c r="V781" s="68">
        <f t="shared" si="168"/>
        <v>465.6551829268293</v>
      </c>
      <c r="W781" s="68">
        <f t="shared" si="169"/>
        <v>310.43678861788618</v>
      </c>
    </row>
    <row r="782" spans="1:23" x14ac:dyDescent="0.25">
      <c r="A782" s="169" t="s">
        <v>947</v>
      </c>
      <c r="B782" s="61" t="s">
        <v>391</v>
      </c>
      <c r="C782" s="61" t="s">
        <v>585</v>
      </c>
      <c r="D782" s="61" t="s">
        <v>589</v>
      </c>
      <c r="E782" s="1" t="s">
        <v>361</v>
      </c>
      <c r="F782" s="62" t="str">
        <f t="shared" si="170"/>
        <v>64522</v>
      </c>
      <c r="G782" s="269">
        <v>10620016</v>
      </c>
      <c r="H782" s="1" t="s">
        <v>381</v>
      </c>
      <c r="I782" s="61">
        <v>12</v>
      </c>
      <c r="J782" s="61">
        <v>6.4</v>
      </c>
      <c r="K782" s="61">
        <v>9</v>
      </c>
      <c r="L782" s="69">
        <f t="shared" si="159"/>
        <v>0.76800000000000013</v>
      </c>
      <c r="M782" s="69">
        <f t="shared" si="160"/>
        <v>1.08</v>
      </c>
      <c r="N782" s="56">
        <f>INDEX(Rate_Chart!$A$1:$AK$127,MATCH(Data!J782,Rate_Chart!$A$1:$A$127,0),MATCH(Data!K782,Rate_Chart!$A$1:$AK$1,0))</f>
        <v>53.44</v>
      </c>
      <c r="O782" s="57">
        <f t="shared" si="161"/>
        <v>641.28</v>
      </c>
      <c r="P782" s="58">
        <f t="shared" si="162"/>
        <v>430.96774193548384</v>
      </c>
      <c r="Q782" s="58">
        <f t="shared" si="163"/>
        <v>287.31182795698925</v>
      </c>
      <c r="R782" s="66">
        <f t="shared" si="164"/>
        <v>11.2224</v>
      </c>
      <c r="S782" s="64">
        <f t="shared" si="165"/>
        <v>45</v>
      </c>
      <c r="T782" s="66">
        <f t="shared" si="166"/>
        <v>697.50239999999997</v>
      </c>
      <c r="U782" s="68">
        <f t="shared" si="167"/>
        <v>58.1252</v>
      </c>
      <c r="V782" s="68">
        <f t="shared" si="168"/>
        <v>468.7516129032258</v>
      </c>
      <c r="W782" s="68">
        <f t="shared" si="169"/>
        <v>312.5010752688172</v>
      </c>
    </row>
    <row r="783" spans="1:23" x14ac:dyDescent="0.25">
      <c r="A783" s="169" t="s">
        <v>941</v>
      </c>
      <c r="B783" s="61" t="s">
        <v>390</v>
      </c>
      <c r="C783" s="61" t="s">
        <v>585</v>
      </c>
      <c r="D783" s="61" t="s">
        <v>589</v>
      </c>
      <c r="E783" s="1" t="s">
        <v>362</v>
      </c>
      <c r="F783" s="62" t="str">
        <f t="shared" si="170"/>
        <v>64523</v>
      </c>
      <c r="G783" s="269">
        <v>10620013</v>
      </c>
      <c r="H783" s="1" t="s">
        <v>381</v>
      </c>
      <c r="I783" s="61">
        <v>11</v>
      </c>
      <c r="J783" s="61">
        <v>8.8000000000000007</v>
      </c>
      <c r="K783" s="61">
        <v>9</v>
      </c>
      <c r="L783" s="69">
        <f t="shared" si="159"/>
        <v>0.96800000000000008</v>
      </c>
      <c r="M783" s="69">
        <f t="shared" si="160"/>
        <v>0.99</v>
      </c>
      <c r="N783" s="56">
        <f>INDEX(Rate_Chart!$A$1:$AK$127,MATCH(Data!J783,Rate_Chart!$A$1:$A$127,0),MATCH(Data!K783,Rate_Chart!$A$1:$AK$1,0))</f>
        <v>73.48</v>
      </c>
      <c r="O783" s="57">
        <f t="shared" si="161"/>
        <v>808.28000000000009</v>
      </c>
      <c r="P783" s="58">
        <f t="shared" si="162"/>
        <v>496.48648648648646</v>
      </c>
      <c r="Q783" s="58">
        <f t="shared" si="163"/>
        <v>330.99099099099095</v>
      </c>
      <c r="R783" s="66">
        <f t="shared" si="164"/>
        <v>14.144900000000003</v>
      </c>
      <c r="S783" s="64">
        <f t="shared" si="165"/>
        <v>41.25</v>
      </c>
      <c r="T783" s="66">
        <f t="shared" si="166"/>
        <v>863.67490000000009</v>
      </c>
      <c r="U783" s="68">
        <f t="shared" si="167"/>
        <v>78.515900000000002</v>
      </c>
      <c r="V783" s="68">
        <f t="shared" si="168"/>
        <v>530.51283783783776</v>
      </c>
      <c r="W783" s="68">
        <f t="shared" si="169"/>
        <v>353.67522522522518</v>
      </c>
    </row>
    <row r="784" spans="1:23" x14ac:dyDescent="0.25">
      <c r="A784" s="169" t="s">
        <v>941</v>
      </c>
      <c r="B784" s="61" t="s">
        <v>391</v>
      </c>
      <c r="C784" s="61" t="s">
        <v>585</v>
      </c>
      <c r="D784" s="61" t="s">
        <v>589</v>
      </c>
      <c r="E784" s="1" t="s">
        <v>362</v>
      </c>
      <c r="F784" s="62" t="str">
        <f t="shared" si="170"/>
        <v>64523</v>
      </c>
      <c r="G784" s="269">
        <v>10620013</v>
      </c>
      <c r="H784" s="1" t="s">
        <v>381</v>
      </c>
      <c r="I784" s="61">
        <v>4</v>
      </c>
      <c r="J784" s="61">
        <v>7.5</v>
      </c>
      <c r="K784" s="61">
        <v>9</v>
      </c>
      <c r="L784" s="69">
        <f t="shared" si="159"/>
        <v>0.3</v>
      </c>
      <c r="M784" s="69">
        <f t="shared" si="160"/>
        <v>0.36</v>
      </c>
      <c r="N784" s="56">
        <f>INDEX(Rate_Chart!$A$1:$AK$127,MATCH(Data!J784,Rate_Chart!$A$1:$A$127,0),MATCH(Data!K784,Rate_Chart!$A$1:$AK$1,0))</f>
        <v>62.625</v>
      </c>
      <c r="O784" s="57">
        <f t="shared" si="161"/>
        <v>250.5</v>
      </c>
      <c r="P784" s="58">
        <f t="shared" si="162"/>
        <v>463.88888888888886</v>
      </c>
      <c r="Q784" s="58">
        <f t="shared" si="163"/>
        <v>309.25925925925924</v>
      </c>
      <c r="R784" s="66">
        <f t="shared" si="164"/>
        <v>4.38375</v>
      </c>
      <c r="S784" s="64">
        <f t="shared" si="165"/>
        <v>15</v>
      </c>
      <c r="T784" s="66">
        <f t="shared" si="166"/>
        <v>269.88375000000002</v>
      </c>
      <c r="U784" s="68">
        <f t="shared" si="167"/>
        <v>67.470937500000005</v>
      </c>
      <c r="V784" s="68">
        <f t="shared" si="168"/>
        <v>499.78472222222223</v>
      </c>
      <c r="W784" s="68">
        <f t="shared" si="169"/>
        <v>333.18981481481484</v>
      </c>
    </row>
    <row r="785" spans="1:23" x14ac:dyDescent="0.25">
      <c r="A785" s="169" t="s">
        <v>942</v>
      </c>
      <c r="B785" s="61" t="s">
        <v>390</v>
      </c>
      <c r="C785" s="61" t="s">
        <v>585</v>
      </c>
      <c r="D785" s="61" t="s">
        <v>589</v>
      </c>
      <c r="E785" s="1" t="s">
        <v>362</v>
      </c>
      <c r="F785" s="62" t="str">
        <f t="shared" si="170"/>
        <v>64523</v>
      </c>
      <c r="G785" s="269">
        <v>10620013</v>
      </c>
      <c r="H785" s="1" t="s">
        <v>381</v>
      </c>
      <c r="I785" s="61">
        <v>15</v>
      </c>
      <c r="J785" s="61">
        <v>8</v>
      </c>
      <c r="K785" s="61">
        <v>9</v>
      </c>
      <c r="L785" s="69">
        <f t="shared" si="159"/>
        <v>1.2</v>
      </c>
      <c r="M785" s="69">
        <f t="shared" si="160"/>
        <v>1.35</v>
      </c>
      <c r="N785" s="56">
        <f>INDEX(Rate_Chart!$A$1:$AK$127,MATCH(Data!J785,Rate_Chart!$A$1:$A$127,0),MATCH(Data!K785,Rate_Chart!$A$1:$AK$1,0))</f>
        <v>66.8</v>
      </c>
      <c r="O785" s="57">
        <f t="shared" si="161"/>
        <v>1002</v>
      </c>
      <c r="P785" s="58">
        <f t="shared" si="162"/>
        <v>477.14285714285705</v>
      </c>
      <c r="Q785" s="58">
        <f t="shared" si="163"/>
        <v>318.09523809523802</v>
      </c>
      <c r="R785" s="66">
        <f t="shared" si="164"/>
        <v>17.535</v>
      </c>
      <c r="S785" s="64">
        <f t="shared" si="165"/>
        <v>56.25</v>
      </c>
      <c r="T785" s="66">
        <f t="shared" si="166"/>
        <v>1075.7850000000001</v>
      </c>
      <c r="U785" s="68">
        <f t="shared" si="167"/>
        <v>71.719000000000008</v>
      </c>
      <c r="V785" s="68">
        <f t="shared" si="168"/>
        <v>512.27857142857147</v>
      </c>
      <c r="W785" s="68">
        <f t="shared" si="169"/>
        <v>341.51904761904763</v>
      </c>
    </row>
    <row r="786" spans="1:23" x14ac:dyDescent="0.25">
      <c r="A786" s="169" t="s">
        <v>942</v>
      </c>
      <c r="B786" s="61" t="s">
        <v>391</v>
      </c>
      <c r="C786" s="61" t="s">
        <v>585</v>
      </c>
      <c r="D786" s="61" t="s">
        <v>589</v>
      </c>
      <c r="E786" s="1" t="s">
        <v>362</v>
      </c>
      <c r="F786" s="62" t="str">
        <f t="shared" si="170"/>
        <v>64523</v>
      </c>
      <c r="G786" s="269">
        <v>10620013</v>
      </c>
      <c r="H786" s="1" t="s">
        <v>381</v>
      </c>
      <c r="I786" s="61">
        <v>5</v>
      </c>
      <c r="J786" s="61">
        <v>7.5</v>
      </c>
      <c r="K786" s="61">
        <v>9</v>
      </c>
      <c r="L786" s="69">
        <f t="shared" si="159"/>
        <v>0.375</v>
      </c>
      <c r="M786" s="69">
        <f t="shared" si="160"/>
        <v>0.45</v>
      </c>
      <c r="N786" s="56">
        <f>INDEX(Rate_Chart!$A$1:$AK$127,MATCH(Data!J786,Rate_Chart!$A$1:$A$127,0),MATCH(Data!K786,Rate_Chart!$A$1:$AK$1,0))</f>
        <v>62.625</v>
      </c>
      <c r="O786" s="57">
        <f t="shared" si="161"/>
        <v>313.125</v>
      </c>
      <c r="P786" s="58">
        <f t="shared" si="162"/>
        <v>463.88888888888886</v>
      </c>
      <c r="Q786" s="58">
        <f t="shared" si="163"/>
        <v>309.25925925925924</v>
      </c>
      <c r="R786" s="66">
        <f t="shared" si="164"/>
        <v>5.4796875000000007</v>
      </c>
      <c r="S786" s="64">
        <f t="shared" si="165"/>
        <v>18.75</v>
      </c>
      <c r="T786" s="66">
        <f t="shared" si="166"/>
        <v>337.35468750000001</v>
      </c>
      <c r="U786" s="68">
        <f t="shared" si="167"/>
        <v>67.470937500000005</v>
      </c>
      <c r="V786" s="68">
        <f t="shared" si="168"/>
        <v>499.78472222222223</v>
      </c>
      <c r="W786" s="68">
        <f t="shared" si="169"/>
        <v>333.18981481481484</v>
      </c>
    </row>
    <row r="787" spans="1:23" x14ac:dyDescent="0.25">
      <c r="A787" s="169" t="s">
        <v>943</v>
      </c>
      <c r="B787" s="61" t="s">
        <v>390</v>
      </c>
      <c r="C787" s="61" t="s">
        <v>585</v>
      </c>
      <c r="D787" s="61" t="s">
        <v>589</v>
      </c>
      <c r="E787" s="1" t="s">
        <v>362</v>
      </c>
      <c r="F787" s="62" t="str">
        <f t="shared" si="170"/>
        <v>64523</v>
      </c>
      <c r="G787" s="269">
        <v>10620013</v>
      </c>
      <c r="H787" s="1" t="s">
        <v>381</v>
      </c>
      <c r="I787" s="61">
        <v>17</v>
      </c>
      <c r="J787" s="61">
        <v>8</v>
      </c>
      <c r="K787" s="61">
        <v>9</v>
      </c>
      <c r="L787" s="69">
        <f t="shared" si="159"/>
        <v>1.36</v>
      </c>
      <c r="M787" s="69">
        <f t="shared" si="160"/>
        <v>1.53</v>
      </c>
      <c r="N787" s="56">
        <f>INDEX(Rate_Chart!$A$1:$AK$127,MATCH(Data!J787,Rate_Chart!$A$1:$A$127,0),MATCH(Data!K787,Rate_Chart!$A$1:$AK$1,0))</f>
        <v>66.8</v>
      </c>
      <c r="O787" s="57">
        <f t="shared" si="161"/>
        <v>1135.5999999999999</v>
      </c>
      <c r="P787" s="58">
        <f t="shared" si="162"/>
        <v>477.14285714285705</v>
      </c>
      <c r="Q787" s="58">
        <f t="shared" si="163"/>
        <v>318.09523809523802</v>
      </c>
      <c r="R787" s="66">
        <f t="shared" si="164"/>
        <v>19.873000000000001</v>
      </c>
      <c r="S787" s="64">
        <f t="shared" si="165"/>
        <v>63.75</v>
      </c>
      <c r="T787" s="66">
        <f t="shared" si="166"/>
        <v>1219.223</v>
      </c>
      <c r="U787" s="68">
        <f t="shared" si="167"/>
        <v>71.718999999999994</v>
      </c>
      <c r="V787" s="68">
        <f t="shared" si="168"/>
        <v>512.27857142857135</v>
      </c>
      <c r="W787" s="68">
        <f t="shared" si="169"/>
        <v>341.51904761904757</v>
      </c>
    </row>
    <row r="788" spans="1:23" x14ac:dyDescent="0.25">
      <c r="A788" s="169" t="s">
        <v>943</v>
      </c>
      <c r="B788" s="61" t="s">
        <v>391</v>
      </c>
      <c r="C788" s="61" t="s">
        <v>585</v>
      </c>
      <c r="D788" s="61" t="s">
        <v>589</v>
      </c>
      <c r="E788" s="1" t="s">
        <v>362</v>
      </c>
      <c r="F788" s="62" t="str">
        <f t="shared" si="170"/>
        <v>64523</v>
      </c>
      <c r="G788" s="269">
        <v>10620013</v>
      </c>
      <c r="H788" s="1" t="s">
        <v>381</v>
      </c>
      <c r="I788" s="61">
        <v>6</v>
      </c>
      <c r="J788" s="61">
        <v>7.7</v>
      </c>
      <c r="K788" s="61">
        <v>9</v>
      </c>
      <c r="L788" s="69">
        <f t="shared" si="159"/>
        <v>0.46200000000000002</v>
      </c>
      <c r="M788" s="69">
        <f t="shared" si="160"/>
        <v>0.54</v>
      </c>
      <c r="N788" s="56">
        <f>INDEX(Rate_Chart!$A$1:$AK$127,MATCH(Data!J788,Rate_Chart!$A$1:$A$127,0),MATCH(Data!K788,Rate_Chart!$A$1:$AK$1,0))</f>
        <v>64.295000000000002</v>
      </c>
      <c r="O788" s="57">
        <f t="shared" si="161"/>
        <v>385.77</v>
      </c>
      <c r="P788" s="58">
        <f t="shared" si="162"/>
        <v>469.30656934306569</v>
      </c>
      <c r="Q788" s="58">
        <f t="shared" si="163"/>
        <v>312.87104622871044</v>
      </c>
      <c r="R788" s="66">
        <f t="shared" si="164"/>
        <v>6.7509750000000004</v>
      </c>
      <c r="S788" s="64">
        <f t="shared" si="165"/>
        <v>22.5</v>
      </c>
      <c r="T788" s="66">
        <f t="shared" si="166"/>
        <v>415.02097499999996</v>
      </c>
      <c r="U788" s="68">
        <f t="shared" si="167"/>
        <v>69.170162499999989</v>
      </c>
      <c r="V788" s="68">
        <f t="shared" si="168"/>
        <v>504.89169708029186</v>
      </c>
      <c r="W788" s="68">
        <f t="shared" si="169"/>
        <v>336.59446472019459</v>
      </c>
    </row>
    <row r="789" spans="1:23" x14ac:dyDescent="0.25">
      <c r="A789" s="169" t="s">
        <v>944</v>
      </c>
      <c r="B789" s="61" t="s">
        <v>390</v>
      </c>
      <c r="C789" s="61" t="s">
        <v>585</v>
      </c>
      <c r="D789" s="61" t="s">
        <v>589</v>
      </c>
      <c r="E789" s="1" t="s">
        <v>362</v>
      </c>
      <c r="F789" s="62" t="str">
        <f t="shared" si="170"/>
        <v>64523</v>
      </c>
      <c r="G789" s="269">
        <v>10620013</v>
      </c>
      <c r="H789" s="1" t="s">
        <v>381</v>
      </c>
      <c r="I789" s="61">
        <v>18</v>
      </c>
      <c r="J789" s="61">
        <v>8.1999999999999993</v>
      </c>
      <c r="K789" s="61">
        <v>9</v>
      </c>
      <c r="L789" s="69">
        <f t="shared" si="159"/>
        <v>1.476</v>
      </c>
      <c r="M789" s="69">
        <f t="shared" si="160"/>
        <v>1.62</v>
      </c>
      <c r="N789" s="56">
        <f>INDEX(Rate_Chart!$A$1:$AK$127,MATCH(Data!J789,Rate_Chart!$A$1:$A$127,0),MATCH(Data!K789,Rate_Chart!$A$1:$AK$1,0))</f>
        <v>68.469999999999985</v>
      </c>
      <c r="O789" s="57">
        <f t="shared" si="161"/>
        <v>1232.4599999999998</v>
      </c>
      <c r="P789" s="58">
        <f t="shared" si="162"/>
        <v>482.18309859154925</v>
      </c>
      <c r="Q789" s="58">
        <f t="shared" si="163"/>
        <v>321.45539906103284</v>
      </c>
      <c r="R789" s="66">
        <f t="shared" si="164"/>
        <v>21.568049999999999</v>
      </c>
      <c r="S789" s="64">
        <f t="shared" si="165"/>
        <v>67.5</v>
      </c>
      <c r="T789" s="66">
        <f t="shared" si="166"/>
        <v>1321.5280499999999</v>
      </c>
      <c r="U789" s="68">
        <f t="shared" si="167"/>
        <v>73.418224999999993</v>
      </c>
      <c r="V789" s="68">
        <f t="shared" si="168"/>
        <v>517.02975352112674</v>
      </c>
      <c r="W789" s="68">
        <f t="shared" si="169"/>
        <v>344.68650234741784</v>
      </c>
    </row>
    <row r="790" spans="1:23" x14ac:dyDescent="0.25">
      <c r="A790" s="169" t="s">
        <v>944</v>
      </c>
      <c r="B790" s="61" t="s">
        <v>391</v>
      </c>
      <c r="C790" s="61" t="s">
        <v>585</v>
      </c>
      <c r="D790" s="61" t="s">
        <v>589</v>
      </c>
      <c r="E790" s="1" t="s">
        <v>362</v>
      </c>
      <c r="F790" s="62" t="str">
        <f t="shared" si="170"/>
        <v>64523</v>
      </c>
      <c r="G790" s="269">
        <v>10620013</v>
      </c>
      <c r="H790" s="1" t="s">
        <v>381</v>
      </c>
      <c r="I790" s="61">
        <v>3</v>
      </c>
      <c r="J790" s="61">
        <v>8.1999999999999993</v>
      </c>
      <c r="K790" s="61">
        <v>9</v>
      </c>
      <c r="L790" s="69">
        <f t="shared" si="159"/>
        <v>0.24599999999999997</v>
      </c>
      <c r="M790" s="69">
        <f t="shared" si="160"/>
        <v>0.27</v>
      </c>
      <c r="N790" s="56">
        <f>INDEX(Rate_Chart!$A$1:$AK$127,MATCH(Data!J790,Rate_Chart!$A$1:$A$127,0),MATCH(Data!K790,Rate_Chart!$A$1:$AK$1,0))</f>
        <v>68.469999999999985</v>
      </c>
      <c r="O790" s="57">
        <f t="shared" si="161"/>
        <v>205.40999999999997</v>
      </c>
      <c r="P790" s="58">
        <f t="shared" si="162"/>
        <v>482.18309859154925</v>
      </c>
      <c r="Q790" s="58">
        <f t="shared" si="163"/>
        <v>321.45539906103284</v>
      </c>
      <c r="R790" s="66">
        <f t="shared" si="164"/>
        <v>3.5946749999999996</v>
      </c>
      <c r="S790" s="64">
        <f t="shared" si="165"/>
        <v>11.25</v>
      </c>
      <c r="T790" s="66">
        <f t="shared" si="166"/>
        <v>220.25467499999996</v>
      </c>
      <c r="U790" s="68">
        <f t="shared" si="167"/>
        <v>73.418224999999993</v>
      </c>
      <c r="V790" s="68">
        <f t="shared" si="168"/>
        <v>517.02975352112674</v>
      </c>
      <c r="W790" s="68">
        <f t="shared" si="169"/>
        <v>344.68650234741784</v>
      </c>
    </row>
    <row r="791" spans="1:23" x14ac:dyDescent="0.25">
      <c r="A791" s="169" t="s">
        <v>945</v>
      </c>
      <c r="B791" s="61" t="s">
        <v>390</v>
      </c>
      <c r="C791" s="61" t="s">
        <v>585</v>
      </c>
      <c r="D791" s="61" t="s">
        <v>589</v>
      </c>
      <c r="E791" s="1" t="s">
        <v>362</v>
      </c>
      <c r="F791" s="62" t="str">
        <f t="shared" si="170"/>
        <v>64523</v>
      </c>
      <c r="G791" s="269">
        <v>10620013</v>
      </c>
      <c r="H791" s="1" t="s">
        <v>381</v>
      </c>
      <c r="I791" s="61">
        <v>22</v>
      </c>
      <c r="J791" s="61">
        <v>7.5</v>
      </c>
      <c r="K791" s="61">
        <v>9</v>
      </c>
      <c r="L791" s="69">
        <f t="shared" si="159"/>
        <v>1.65</v>
      </c>
      <c r="M791" s="69">
        <f t="shared" si="160"/>
        <v>1.98</v>
      </c>
      <c r="N791" s="56">
        <f>INDEX(Rate_Chart!$A$1:$AK$127,MATCH(Data!J791,Rate_Chart!$A$1:$A$127,0),MATCH(Data!K791,Rate_Chart!$A$1:$AK$1,0))</f>
        <v>62.625</v>
      </c>
      <c r="O791" s="57">
        <f t="shared" si="161"/>
        <v>1377.75</v>
      </c>
      <c r="P791" s="58">
        <f t="shared" si="162"/>
        <v>463.88888888888886</v>
      </c>
      <c r="Q791" s="58">
        <f t="shared" si="163"/>
        <v>309.25925925925924</v>
      </c>
      <c r="R791" s="66">
        <f t="shared" si="164"/>
        <v>24.110625000000002</v>
      </c>
      <c r="S791" s="64">
        <f t="shared" si="165"/>
        <v>82.5</v>
      </c>
      <c r="T791" s="66">
        <f t="shared" si="166"/>
        <v>1484.360625</v>
      </c>
      <c r="U791" s="68">
        <f t="shared" si="167"/>
        <v>67.470937500000005</v>
      </c>
      <c r="V791" s="68">
        <f t="shared" si="168"/>
        <v>499.78472222222223</v>
      </c>
      <c r="W791" s="68">
        <f t="shared" si="169"/>
        <v>333.18981481481484</v>
      </c>
    </row>
    <row r="792" spans="1:23" x14ac:dyDescent="0.25">
      <c r="A792" s="169" t="s">
        <v>945</v>
      </c>
      <c r="B792" s="61" t="s">
        <v>391</v>
      </c>
      <c r="C792" s="61" t="s">
        <v>585</v>
      </c>
      <c r="D792" s="61" t="s">
        <v>589</v>
      </c>
      <c r="E792" s="1" t="s">
        <v>362</v>
      </c>
      <c r="F792" s="62" t="str">
        <f t="shared" si="170"/>
        <v>64523</v>
      </c>
      <c r="G792" s="269">
        <v>10620013</v>
      </c>
      <c r="H792" s="1" t="s">
        <v>381</v>
      </c>
      <c r="I792" s="61">
        <v>9</v>
      </c>
      <c r="J792" s="61">
        <v>7.4</v>
      </c>
      <c r="K792" s="61">
        <v>9</v>
      </c>
      <c r="L792" s="69">
        <f t="shared" si="159"/>
        <v>0.66600000000000004</v>
      </c>
      <c r="M792" s="69">
        <f t="shared" si="160"/>
        <v>0.81</v>
      </c>
      <c r="N792" s="56">
        <f>INDEX(Rate_Chart!$A$1:$AK$127,MATCH(Data!J792,Rate_Chart!$A$1:$A$127,0),MATCH(Data!K792,Rate_Chart!$A$1:$AK$1,0))</f>
        <v>61.790000000000006</v>
      </c>
      <c r="O792" s="57">
        <f t="shared" si="161"/>
        <v>556.11</v>
      </c>
      <c r="P792" s="58">
        <f t="shared" si="162"/>
        <v>461.11940298507466</v>
      </c>
      <c r="Q792" s="58">
        <f t="shared" si="163"/>
        <v>307.41293532338312</v>
      </c>
      <c r="R792" s="66">
        <f t="shared" si="164"/>
        <v>9.7319250000000004</v>
      </c>
      <c r="S792" s="64">
        <f t="shared" si="165"/>
        <v>33.75</v>
      </c>
      <c r="T792" s="66">
        <f t="shared" si="166"/>
        <v>599.59192500000006</v>
      </c>
      <c r="U792" s="68">
        <f t="shared" si="167"/>
        <v>66.621325000000013</v>
      </c>
      <c r="V792" s="68">
        <f t="shared" si="168"/>
        <v>497.17406716417918</v>
      </c>
      <c r="W792" s="68">
        <f t="shared" si="169"/>
        <v>331.44937810945277</v>
      </c>
    </row>
    <row r="793" spans="1:23" x14ac:dyDescent="0.25">
      <c r="A793" s="169" t="s">
        <v>946</v>
      </c>
      <c r="B793" s="61" t="s">
        <v>390</v>
      </c>
      <c r="C793" s="61" t="s">
        <v>585</v>
      </c>
      <c r="D793" s="61" t="s">
        <v>589</v>
      </c>
      <c r="E793" s="1" t="s">
        <v>362</v>
      </c>
      <c r="F793" s="62" t="str">
        <f t="shared" si="170"/>
        <v>64523</v>
      </c>
      <c r="G793" s="269">
        <v>10620013</v>
      </c>
      <c r="H793" s="1" t="s">
        <v>381</v>
      </c>
      <c r="I793" s="61">
        <v>19</v>
      </c>
      <c r="J793" s="61">
        <v>7.9</v>
      </c>
      <c r="K793" s="61">
        <v>9</v>
      </c>
      <c r="L793" s="69">
        <f t="shared" si="159"/>
        <v>1.5009999999999999</v>
      </c>
      <c r="M793" s="69">
        <f t="shared" si="160"/>
        <v>1.71</v>
      </c>
      <c r="N793" s="56">
        <f>INDEX(Rate_Chart!$A$1:$AK$127,MATCH(Data!J793,Rate_Chart!$A$1:$A$127,0),MATCH(Data!K793,Rate_Chart!$A$1:$AK$1,0))</f>
        <v>65.965000000000003</v>
      </c>
      <c r="O793" s="57">
        <f t="shared" si="161"/>
        <v>1253.335</v>
      </c>
      <c r="P793" s="58">
        <f t="shared" si="162"/>
        <v>474.56834532374097</v>
      </c>
      <c r="Q793" s="58">
        <f t="shared" si="163"/>
        <v>316.37889688249396</v>
      </c>
      <c r="R793" s="66">
        <f t="shared" si="164"/>
        <v>21.933362500000001</v>
      </c>
      <c r="S793" s="64">
        <f t="shared" si="165"/>
        <v>71.25</v>
      </c>
      <c r="T793" s="66">
        <f t="shared" si="166"/>
        <v>1346.5183625</v>
      </c>
      <c r="U793" s="68">
        <f t="shared" si="167"/>
        <v>70.869387500000002</v>
      </c>
      <c r="V793" s="68">
        <f t="shared" si="168"/>
        <v>509.85170863309349</v>
      </c>
      <c r="W793" s="68">
        <f t="shared" si="169"/>
        <v>339.901139088729</v>
      </c>
    </row>
    <row r="794" spans="1:23" x14ac:dyDescent="0.25">
      <c r="A794" s="169" t="s">
        <v>946</v>
      </c>
      <c r="B794" s="61" t="s">
        <v>391</v>
      </c>
      <c r="C794" s="61" t="s">
        <v>585</v>
      </c>
      <c r="D794" s="61" t="s">
        <v>589</v>
      </c>
      <c r="E794" s="1" t="s">
        <v>362</v>
      </c>
      <c r="F794" s="62" t="str">
        <f t="shared" si="170"/>
        <v>64523</v>
      </c>
      <c r="G794" s="269">
        <v>10620013</v>
      </c>
      <c r="H794" s="1" t="s">
        <v>381</v>
      </c>
      <c r="I794" s="61">
        <v>8</v>
      </c>
      <c r="J794" s="61">
        <v>7.3</v>
      </c>
      <c r="K794" s="61">
        <v>9</v>
      </c>
      <c r="L794" s="69">
        <f t="shared" si="159"/>
        <v>0.58399999999999996</v>
      </c>
      <c r="M794" s="69">
        <f t="shared" si="160"/>
        <v>0.72</v>
      </c>
      <c r="N794" s="56">
        <f>INDEX(Rate_Chart!$A$1:$AK$127,MATCH(Data!J794,Rate_Chart!$A$1:$A$127,0),MATCH(Data!K794,Rate_Chart!$A$1:$AK$1,0))</f>
        <v>60.954999999999998</v>
      </c>
      <c r="O794" s="57">
        <f t="shared" si="161"/>
        <v>487.64</v>
      </c>
      <c r="P794" s="58">
        <f t="shared" si="162"/>
        <v>458.30827067669168</v>
      </c>
      <c r="Q794" s="58">
        <f t="shared" si="163"/>
        <v>305.53884711779443</v>
      </c>
      <c r="R794" s="66">
        <f t="shared" si="164"/>
        <v>8.5337000000000014</v>
      </c>
      <c r="S794" s="64">
        <f t="shared" si="165"/>
        <v>30</v>
      </c>
      <c r="T794" s="66">
        <f t="shared" si="166"/>
        <v>526.17369999999994</v>
      </c>
      <c r="U794" s="68">
        <f t="shared" si="167"/>
        <v>65.771712499999992</v>
      </c>
      <c r="V794" s="68">
        <f t="shared" si="168"/>
        <v>494.52415413533828</v>
      </c>
      <c r="W794" s="68">
        <f t="shared" si="169"/>
        <v>329.68276942355885</v>
      </c>
    </row>
    <row r="795" spans="1:23" x14ac:dyDescent="0.25">
      <c r="A795" s="169" t="s">
        <v>947</v>
      </c>
      <c r="B795" s="61" t="s">
        <v>390</v>
      </c>
      <c r="C795" s="61" t="s">
        <v>585</v>
      </c>
      <c r="D795" s="61" t="s">
        <v>589</v>
      </c>
      <c r="E795" s="1" t="s">
        <v>362</v>
      </c>
      <c r="F795" s="62" t="str">
        <f t="shared" si="170"/>
        <v>64523</v>
      </c>
      <c r="G795" s="269">
        <v>10620013</v>
      </c>
      <c r="H795" s="1" t="s">
        <v>381</v>
      </c>
      <c r="I795" s="61">
        <v>22</v>
      </c>
      <c r="J795" s="61">
        <v>7.9</v>
      </c>
      <c r="K795" s="61">
        <v>9</v>
      </c>
      <c r="L795" s="69">
        <f t="shared" si="159"/>
        <v>1.7380000000000002</v>
      </c>
      <c r="M795" s="69">
        <f t="shared" si="160"/>
        <v>1.98</v>
      </c>
      <c r="N795" s="56">
        <f>INDEX(Rate_Chart!$A$1:$AK$127,MATCH(Data!J795,Rate_Chart!$A$1:$A$127,0),MATCH(Data!K795,Rate_Chart!$A$1:$AK$1,0))</f>
        <v>65.965000000000003</v>
      </c>
      <c r="O795" s="57">
        <f t="shared" si="161"/>
        <v>1451.23</v>
      </c>
      <c r="P795" s="58">
        <f t="shared" si="162"/>
        <v>474.56834532374097</v>
      </c>
      <c r="Q795" s="58">
        <f t="shared" si="163"/>
        <v>316.37889688249396</v>
      </c>
      <c r="R795" s="66">
        <f t="shared" si="164"/>
        <v>25.396525000000004</v>
      </c>
      <c r="S795" s="64">
        <f t="shared" si="165"/>
        <v>82.5</v>
      </c>
      <c r="T795" s="66">
        <f t="shared" si="166"/>
        <v>1559.1265250000001</v>
      </c>
      <c r="U795" s="68">
        <f t="shared" si="167"/>
        <v>70.869387500000002</v>
      </c>
      <c r="V795" s="68">
        <f t="shared" si="168"/>
        <v>509.85170863309349</v>
      </c>
      <c r="W795" s="68">
        <f t="shared" si="169"/>
        <v>339.901139088729</v>
      </c>
    </row>
    <row r="796" spans="1:23" x14ac:dyDescent="0.25">
      <c r="A796" s="169" t="s">
        <v>947</v>
      </c>
      <c r="B796" s="61" t="s">
        <v>391</v>
      </c>
      <c r="C796" s="61" t="s">
        <v>585</v>
      </c>
      <c r="D796" s="61" t="s">
        <v>589</v>
      </c>
      <c r="E796" s="1" t="s">
        <v>362</v>
      </c>
      <c r="F796" s="62" t="str">
        <f t="shared" si="170"/>
        <v>64523</v>
      </c>
      <c r="G796" s="269">
        <v>10620013</v>
      </c>
      <c r="H796" s="1" t="s">
        <v>381</v>
      </c>
      <c r="I796" s="61">
        <v>7</v>
      </c>
      <c r="J796" s="61">
        <v>6.3</v>
      </c>
      <c r="K796" s="61">
        <v>9</v>
      </c>
      <c r="L796" s="69">
        <f t="shared" si="159"/>
        <v>0.441</v>
      </c>
      <c r="M796" s="69">
        <f t="shared" si="160"/>
        <v>0.63</v>
      </c>
      <c r="N796" s="56">
        <f>INDEX(Rate_Chart!$A$1:$AK$127,MATCH(Data!J796,Rate_Chart!$A$1:$A$127,0),MATCH(Data!K796,Rate_Chart!$A$1:$AK$1,0))</f>
        <v>52.604999999999997</v>
      </c>
      <c r="O796" s="57">
        <f t="shared" si="161"/>
        <v>368.23499999999996</v>
      </c>
      <c r="P796" s="58">
        <f t="shared" si="162"/>
        <v>427.6829268292683</v>
      </c>
      <c r="Q796" s="58">
        <f t="shared" si="163"/>
        <v>285.1219512195122</v>
      </c>
      <c r="R796" s="66">
        <f t="shared" si="164"/>
        <v>6.4441125000000001</v>
      </c>
      <c r="S796" s="64">
        <f t="shared" si="165"/>
        <v>26.25</v>
      </c>
      <c r="T796" s="66">
        <f t="shared" si="166"/>
        <v>400.92911249999997</v>
      </c>
      <c r="U796" s="68">
        <f t="shared" si="167"/>
        <v>57.275587499999993</v>
      </c>
      <c r="V796" s="68">
        <f t="shared" si="168"/>
        <v>465.65518292682924</v>
      </c>
      <c r="W796" s="68">
        <f t="shared" si="169"/>
        <v>310.43678861788618</v>
      </c>
    </row>
    <row r="797" spans="1:23" x14ac:dyDescent="0.25">
      <c r="A797" s="169" t="s">
        <v>941</v>
      </c>
      <c r="B797" s="61" t="s">
        <v>391</v>
      </c>
      <c r="C797" s="61" t="s">
        <v>585</v>
      </c>
      <c r="D797" s="61" t="s">
        <v>588</v>
      </c>
      <c r="E797" s="1" t="s">
        <v>363</v>
      </c>
      <c r="F797" s="62" t="str">
        <f t="shared" si="170"/>
        <v>64528</v>
      </c>
      <c r="G797" s="269">
        <v>10620026</v>
      </c>
      <c r="H797" s="1" t="s">
        <v>381</v>
      </c>
      <c r="I797" s="61">
        <v>15</v>
      </c>
      <c r="J797" s="61">
        <v>7.8</v>
      </c>
      <c r="K797" s="61">
        <v>9</v>
      </c>
      <c r="L797" s="69">
        <f t="shared" si="159"/>
        <v>1.17</v>
      </c>
      <c r="M797" s="69">
        <f t="shared" si="160"/>
        <v>1.35</v>
      </c>
      <c r="N797" s="56">
        <f>INDEX(Rate_Chart!$A$1:$AK$127,MATCH(Data!J797,Rate_Chart!$A$1:$A$127,0),MATCH(Data!K797,Rate_Chart!$A$1:$AK$1,0))</f>
        <v>65.13</v>
      </c>
      <c r="O797" s="57">
        <f t="shared" si="161"/>
        <v>976.94999999999993</v>
      </c>
      <c r="P797" s="58">
        <f t="shared" si="162"/>
        <v>471.95652173913038</v>
      </c>
      <c r="Q797" s="58">
        <f t="shared" si="163"/>
        <v>314.63768115942025</v>
      </c>
      <c r="R797" s="66">
        <f t="shared" si="164"/>
        <v>17.096625</v>
      </c>
      <c r="S797" s="64">
        <f t="shared" si="165"/>
        <v>56.25</v>
      </c>
      <c r="T797" s="66">
        <f t="shared" si="166"/>
        <v>1050.2966249999999</v>
      </c>
      <c r="U797" s="68">
        <f t="shared" si="167"/>
        <v>70.019774999999996</v>
      </c>
      <c r="V797" s="68">
        <f t="shared" si="168"/>
        <v>507.3896739130434</v>
      </c>
      <c r="W797" s="68">
        <f t="shared" si="169"/>
        <v>338.25978260869562</v>
      </c>
    </row>
    <row r="798" spans="1:23" x14ac:dyDescent="0.25">
      <c r="A798" s="169" t="s">
        <v>941</v>
      </c>
      <c r="B798" s="61" t="s">
        <v>391</v>
      </c>
      <c r="C798" s="61" t="s">
        <v>585</v>
      </c>
      <c r="D798" s="61" t="s">
        <v>588</v>
      </c>
      <c r="E798" s="1" t="s">
        <v>363</v>
      </c>
      <c r="F798" s="62" t="str">
        <f t="shared" si="170"/>
        <v>64528</v>
      </c>
      <c r="G798" s="269">
        <v>10620026</v>
      </c>
      <c r="H798" s="1" t="s">
        <v>382</v>
      </c>
      <c r="I798" s="61">
        <v>19</v>
      </c>
      <c r="J798" s="61">
        <v>4.5</v>
      </c>
      <c r="K798" s="61">
        <v>8.5</v>
      </c>
      <c r="L798" s="69">
        <f t="shared" si="159"/>
        <v>0.85499999999999998</v>
      </c>
      <c r="M798" s="69">
        <f t="shared" si="160"/>
        <v>1.615</v>
      </c>
      <c r="N798" s="56">
        <f>INDEX(Rate_Chart!$A$1:$AK$127,MATCH(Data!J798,Rate_Chart!$A$1:$A$127,0),MATCH(Data!K798,Rate_Chart!$A$1:$AK$1,0))</f>
        <v>42.396181500000004</v>
      </c>
      <c r="O798" s="57">
        <f t="shared" si="161"/>
        <v>805.52744850000011</v>
      </c>
      <c r="P798" s="58">
        <f t="shared" si="162"/>
        <v>417.01162131147544</v>
      </c>
      <c r="Q798" s="58">
        <f t="shared" si="163"/>
        <v>278.00774754098364</v>
      </c>
      <c r="R798" s="66">
        <f t="shared" si="164"/>
        <v>14.096730348750004</v>
      </c>
      <c r="S798" s="64">
        <f t="shared" si="165"/>
        <v>71.25</v>
      </c>
      <c r="T798" s="66">
        <f t="shared" si="166"/>
        <v>890.87417884875015</v>
      </c>
      <c r="U798" s="68">
        <f t="shared" si="167"/>
        <v>46.888114676250005</v>
      </c>
      <c r="V798" s="68">
        <f t="shared" si="168"/>
        <v>461.19457058606559</v>
      </c>
      <c r="W798" s="68">
        <f t="shared" si="169"/>
        <v>307.46304705737708</v>
      </c>
    </row>
    <row r="799" spans="1:23" x14ac:dyDescent="0.25">
      <c r="A799" s="169" t="s">
        <v>942</v>
      </c>
      <c r="B799" s="61" t="s">
        <v>390</v>
      </c>
      <c r="C799" s="61" t="s">
        <v>585</v>
      </c>
      <c r="D799" s="61" t="s">
        <v>588</v>
      </c>
      <c r="E799" s="1" t="s">
        <v>363</v>
      </c>
      <c r="F799" s="62" t="str">
        <f t="shared" si="170"/>
        <v>64528</v>
      </c>
      <c r="G799" s="269">
        <v>10620026</v>
      </c>
      <c r="H799" s="1" t="s">
        <v>381</v>
      </c>
      <c r="I799" s="61">
        <v>16</v>
      </c>
      <c r="J799" s="61">
        <v>7.1</v>
      </c>
      <c r="K799" s="61">
        <v>9</v>
      </c>
      <c r="L799" s="69">
        <f t="shared" si="159"/>
        <v>1.1359999999999999</v>
      </c>
      <c r="M799" s="69">
        <f t="shared" si="160"/>
        <v>1.44</v>
      </c>
      <c r="N799" s="56">
        <f>INDEX(Rate_Chart!$A$1:$AK$127,MATCH(Data!J799,Rate_Chart!$A$1:$A$127,0),MATCH(Data!K799,Rate_Chart!$A$1:$AK$1,0))</f>
        <v>59.284999999999997</v>
      </c>
      <c r="O799" s="57">
        <f t="shared" si="161"/>
        <v>948.56</v>
      </c>
      <c r="P799" s="58">
        <f t="shared" si="162"/>
        <v>452.55725190839689</v>
      </c>
      <c r="Q799" s="58">
        <f t="shared" si="163"/>
        <v>301.70483460559791</v>
      </c>
      <c r="R799" s="66">
        <f t="shared" si="164"/>
        <v>16.599800000000002</v>
      </c>
      <c r="S799" s="64">
        <f t="shared" si="165"/>
        <v>60</v>
      </c>
      <c r="T799" s="66">
        <f t="shared" si="166"/>
        <v>1025.1597999999999</v>
      </c>
      <c r="U799" s="68">
        <f t="shared" si="167"/>
        <v>64.072487499999994</v>
      </c>
      <c r="V799" s="68">
        <f t="shared" si="168"/>
        <v>489.10295801526712</v>
      </c>
      <c r="W799" s="68">
        <f t="shared" si="169"/>
        <v>326.06863867684473</v>
      </c>
    </row>
    <row r="800" spans="1:23" x14ac:dyDescent="0.25">
      <c r="A800" s="169" t="s">
        <v>942</v>
      </c>
      <c r="B800" s="61" t="s">
        <v>390</v>
      </c>
      <c r="C800" s="61" t="s">
        <v>585</v>
      </c>
      <c r="D800" s="61" t="s">
        <v>588</v>
      </c>
      <c r="E800" s="1" t="s">
        <v>363</v>
      </c>
      <c r="F800" s="62" t="str">
        <f t="shared" si="170"/>
        <v>64528</v>
      </c>
      <c r="G800" s="269">
        <v>10620026</v>
      </c>
      <c r="H800" s="1" t="s">
        <v>382</v>
      </c>
      <c r="I800" s="61">
        <v>24</v>
      </c>
      <c r="J800" s="61">
        <v>4.7</v>
      </c>
      <c r="K800" s="61">
        <v>8.5</v>
      </c>
      <c r="L800" s="69">
        <f t="shared" si="159"/>
        <v>1.1280000000000001</v>
      </c>
      <c r="M800" s="69">
        <f t="shared" si="160"/>
        <v>2.04</v>
      </c>
      <c r="N800" s="56">
        <f>INDEX(Rate_Chart!$A$1:$AK$127,MATCH(Data!J800,Rate_Chart!$A$1:$A$127,0),MATCH(Data!K800,Rate_Chart!$A$1:$AK$1,0))</f>
        <v>43.2301815</v>
      </c>
      <c r="O800" s="57">
        <f t="shared" si="161"/>
        <v>1037.5243559999999</v>
      </c>
      <c r="P800" s="58">
        <f t="shared" si="162"/>
        <v>417.01139710610931</v>
      </c>
      <c r="Q800" s="58">
        <f t="shared" si="163"/>
        <v>278.00759807073956</v>
      </c>
      <c r="R800" s="66">
        <f t="shared" si="164"/>
        <v>18.156676229999999</v>
      </c>
      <c r="S800" s="64">
        <f t="shared" si="165"/>
        <v>90</v>
      </c>
      <c r="T800" s="66">
        <f t="shared" si="166"/>
        <v>1145.6810322299998</v>
      </c>
      <c r="U800" s="68">
        <f t="shared" si="167"/>
        <v>47.736709676249994</v>
      </c>
      <c r="V800" s="68">
        <f t="shared" si="168"/>
        <v>460.48272999598061</v>
      </c>
      <c r="W800" s="68">
        <f t="shared" si="169"/>
        <v>306.98848666398709</v>
      </c>
    </row>
    <row r="801" spans="1:23" x14ac:dyDescent="0.25">
      <c r="A801" s="169" t="s">
        <v>942</v>
      </c>
      <c r="B801" s="61" t="s">
        <v>391</v>
      </c>
      <c r="C801" s="61" t="s">
        <v>585</v>
      </c>
      <c r="D801" s="61" t="s">
        <v>588</v>
      </c>
      <c r="E801" s="1" t="s">
        <v>363</v>
      </c>
      <c r="F801" s="62" t="str">
        <f t="shared" si="170"/>
        <v>64528</v>
      </c>
      <c r="G801" s="269">
        <v>10620026</v>
      </c>
      <c r="H801" s="1" t="s">
        <v>381</v>
      </c>
      <c r="I801" s="61">
        <v>21</v>
      </c>
      <c r="J801" s="61">
        <v>7.1</v>
      </c>
      <c r="K801" s="61">
        <v>8.6999999999999993</v>
      </c>
      <c r="L801" s="69">
        <f t="shared" si="159"/>
        <v>1.4909999999999999</v>
      </c>
      <c r="M801" s="69">
        <f t="shared" si="160"/>
        <v>1.827</v>
      </c>
      <c r="N801" s="56">
        <f>INDEX(Rate_Chart!$A$1:$AK$127,MATCH(Data!J801,Rate_Chart!$A$1:$A$127,0),MATCH(Data!K801,Rate_Chart!$A$1:$AK$1,0))</f>
        <v>58.099299999999992</v>
      </c>
      <c r="O801" s="57">
        <f t="shared" si="161"/>
        <v>1220.0852999999997</v>
      </c>
      <c r="P801" s="58">
        <f t="shared" si="162"/>
        <v>450.38217054263561</v>
      </c>
      <c r="Q801" s="58">
        <f t="shared" si="163"/>
        <v>300.25478036175707</v>
      </c>
      <c r="R801" s="66">
        <f t="shared" si="164"/>
        <v>21.351492749999998</v>
      </c>
      <c r="S801" s="64">
        <f t="shared" si="165"/>
        <v>78.75</v>
      </c>
      <c r="T801" s="66">
        <f t="shared" si="166"/>
        <v>1320.1867927499998</v>
      </c>
      <c r="U801" s="68">
        <f t="shared" si="167"/>
        <v>62.86603774999999</v>
      </c>
      <c r="V801" s="68">
        <f t="shared" si="168"/>
        <v>487.33362596899218</v>
      </c>
      <c r="W801" s="68">
        <f t="shared" si="169"/>
        <v>324.88908397932812</v>
      </c>
    </row>
    <row r="802" spans="1:23" x14ac:dyDescent="0.25">
      <c r="A802" s="169" t="s">
        <v>943</v>
      </c>
      <c r="B802" s="61" t="s">
        <v>390</v>
      </c>
      <c r="C802" s="61" t="s">
        <v>585</v>
      </c>
      <c r="D802" s="61" t="s">
        <v>588</v>
      </c>
      <c r="E802" s="1" t="s">
        <v>363</v>
      </c>
      <c r="F802" s="62" t="str">
        <f t="shared" si="170"/>
        <v>64528</v>
      </c>
      <c r="G802" s="269">
        <v>10620026</v>
      </c>
      <c r="H802" s="1" t="s">
        <v>381</v>
      </c>
      <c r="I802" s="61">
        <v>10</v>
      </c>
      <c r="J802" s="61">
        <v>7.3</v>
      </c>
      <c r="K802" s="61">
        <v>9</v>
      </c>
      <c r="L802" s="69">
        <f t="shared" si="159"/>
        <v>0.73</v>
      </c>
      <c r="M802" s="69">
        <f t="shared" si="160"/>
        <v>0.9</v>
      </c>
      <c r="N802" s="56">
        <f>INDEX(Rate_Chart!$A$1:$AK$127,MATCH(Data!J802,Rate_Chart!$A$1:$A$127,0),MATCH(Data!K802,Rate_Chart!$A$1:$AK$1,0))</f>
        <v>60.954999999999998</v>
      </c>
      <c r="O802" s="57">
        <f t="shared" si="161"/>
        <v>609.54999999999995</v>
      </c>
      <c r="P802" s="58">
        <f t="shared" si="162"/>
        <v>458.30827067669168</v>
      </c>
      <c r="Q802" s="58">
        <f t="shared" si="163"/>
        <v>305.53884711779443</v>
      </c>
      <c r="R802" s="66">
        <f t="shared" si="164"/>
        <v>10.667125</v>
      </c>
      <c r="S802" s="64">
        <f t="shared" si="165"/>
        <v>37.5</v>
      </c>
      <c r="T802" s="66">
        <f t="shared" si="166"/>
        <v>657.7171249999999</v>
      </c>
      <c r="U802" s="68">
        <f t="shared" si="167"/>
        <v>65.771712499999992</v>
      </c>
      <c r="V802" s="68">
        <f t="shared" si="168"/>
        <v>494.52415413533828</v>
      </c>
      <c r="W802" s="68">
        <f t="shared" si="169"/>
        <v>329.68276942355885</v>
      </c>
    </row>
    <row r="803" spans="1:23" x14ac:dyDescent="0.25">
      <c r="A803" s="169" t="s">
        <v>943</v>
      </c>
      <c r="B803" s="61" t="s">
        <v>390</v>
      </c>
      <c r="C803" s="61" t="s">
        <v>585</v>
      </c>
      <c r="D803" s="61" t="s">
        <v>588</v>
      </c>
      <c r="E803" s="1" t="s">
        <v>363</v>
      </c>
      <c r="F803" s="62" t="str">
        <f t="shared" si="170"/>
        <v>64528</v>
      </c>
      <c r="G803" s="269">
        <v>10620026</v>
      </c>
      <c r="H803" s="1" t="s">
        <v>382</v>
      </c>
      <c r="I803" s="61">
        <v>36</v>
      </c>
      <c r="J803" s="61">
        <v>4.5999999999999996</v>
      </c>
      <c r="K803" s="61">
        <v>8.5</v>
      </c>
      <c r="L803" s="69">
        <f t="shared" si="159"/>
        <v>1.6559999999999999</v>
      </c>
      <c r="M803" s="69">
        <f t="shared" si="160"/>
        <v>3.06</v>
      </c>
      <c r="N803" s="56">
        <f>INDEX(Rate_Chart!$A$1:$AK$127,MATCH(Data!J803,Rate_Chart!$A$1:$A$127,0),MATCH(Data!K803,Rate_Chart!$A$1:$AK$1,0))</f>
        <v>42.813181499999999</v>
      </c>
      <c r="O803" s="57">
        <f t="shared" si="161"/>
        <v>1541.2745339999999</v>
      </c>
      <c r="P803" s="58">
        <f t="shared" si="162"/>
        <v>417.01150811688308</v>
      </c>
      <c r="Q803" s="58">
        <f t="shared" si="163"/>
        <v>278.00767207792205</v>
      </c>
      <c r="R803" s="66">
        <f t="shared" si="164"/>
        <v>26.972304345000001</v>
      </c>
      <c r="S803" s="64">
        <f t="shared" si="165"/>
        <v>135</v>
      </c>
      <c r="T803" s="66">
        <f t="shared" si="166"/>
        <v>1703.246838345</v>
      </c>
      <c r="U803" s="68">
        <f t="shared" si="167"/>
        <v>47.31241217625</v>
      </c>
      <c r="V803" s="68">
        <f t="shared" si="168"/>
        <v>460.83518353490257</v>
      </c>
      <c r="W803" s="68">
        <f t="shared" si="169"/>
        <v>307.22345568993507</v>
      </c>
    </row>
    <row r="804" spans="1:23" x14ac:dyDescent="0.25">
      <c r="A804" s="169" t="s">
        <v>943</v>
      </c>
      <c r="B804" s="61" t="s">
        <v>391</v>
      </c>
      <c r="C804" s="61" t="s">
        <v>585</v>
      </c>
      <c r="D804" s="61" t="s">
        <v>588</v>
      </c>
      <c r="E804" s="1" t="s">
        <v>363</v>
      </c>
      <c r="F804" s="62" t="str">
        <f t="shared" si="170"/>
        <v>64528</v>
      </c>
      <c r="G804" s="269">
        <v>10620026</v>
      </c>
      <c r="H804" s="1" t="s">
        <v>381</v>
      </c>
      <c r="I804" s="61">
        <v>12</v>
      </c>
      <c r="J804" s="61">
        <v>8.1</v>
      </c>
      <c r="K804" s="61">
        <v>9</v>
      </c>
      <c r="L804" s="69">
        <f t="shared" si="159"/>
        <v>0.97199999999999986</v>
      </c>
      <c r="M804" s="69">
        <f t="shared" si="160"/>
        <v>1.08</v>
      </c>
      <c r="N804" s="56">
        <f>INDEX(Rate_Chart!$A$1:$AK$127,MATCH(Data!J804,Rate_Chart!$A$1:$A$127,0),MATCH(Data!K804,Rate_Chart!$A$1:$AK$1,0))</f>
        <v>67.635000000000005</v>
      </c>
      <c r="O804" s="57">
        <f t="shared" si="161"/>
        <v>811.62000000000012</v>
      </c>
      <c r="P804" s="58">
        <f t="shared" si="162"/>
        <v>479.68085106382978</v>
      </c>
      <c r="Q804" s="58">
        <f t="shared" si="163"/>
        <v>319.78723404255317</v>
      </c>
      <c r="R804" s="66">
        <f t="shared" si="164"/>
        <v>14.203350000000004</v>
      </c>
      <c r="S804" s="64">
        <f t="shared" si="165"/>
        <v>45</v>
      </c>
      <c r="T804" s="66">
        <f t="shared" si="166"/>
        <v>870.82335000000012</v>
      </c>
      <c r="U804" s="68">
        <f t="shared" si="167"/>
        <v>72.568612500000015</v>
      </c>
      <c r="V804" s="68">
        <f t="shared" si="168"/>
        <v>514.67101063829796</v>
      </c>
      <c r="W804" s="68">
        <f t="shared" si="169"/>
        <v>343.11400709219862</v>
      </c>
    </row>
    <row r="805" spans="1:23" x14ac:dyDescent="0.25">
      <c r="A805" s="169" t="s">
        <v>943</v>
      </c>
      <c r="B805" s="61" t="s">
        <v>391</v>
      </c>
      <c r="C805" s="61" t="s">
        <v>585</v>
      </c>
      <c r="D805" s="61" t="s">
        <v>588</v>
      </c>
      <c r="E805" s="1" t="s">
        <v>363</v>
      </c>
      <c r="F805" s="62" t="str">
        <f t="shared" si="170"/>
        <v>64528</v>
      </c>
      <c r="G805" s="269">
        <v>10620026</v>
      </c>
      <c r="H805" s="1" t="s">
        <v>382</v>
      </c>
      <c r="I805" s="61">
        <v>8</v>
      </c>
      <c r="J805" s="61">
        <v>4.5</v>
      </c>
      <c r="K805" s="61">
        <v>8.5</v>
      </c>
      <c r="L805" s="69">
        <f t="shared" si="159"/>
        <v>0.36</v>
      </c>
      <c r="M805" s="69">
        <f t="shared" si="160"/>
        <v>0.68</v>
      </c>
      <c r="N805" s="56">
        <f>INDEX(Rate_Chart!$A$1:$AK$127,MATCH(Data!J805,Rate_Chart!$A$1:$A$127,0),MATCH(Data!K805,Rate_Chart!$A$1:$AK$1,0))</f>
        <v>42.396181500000004</v>
      </c>
      <c r="O805" s="57">
        <f t="shared" si="161"/>
        <v>339.16945200000004</v>
      </c>
      <c r="P805" s="58">
        <f t="shared" si="162"/>
        <v>417.01162131147544</v>
      </c>
      <c r="Q805" s="58">
        <f t="shared" si="163"/>
        <v>278.00774754098364</v>
      </c>
      <c r="R805" s="66">
        <f t="shared" si="164"/>
        <v>5.9354654100000008</v>
      </c>
      <c r="S805" s="64">
        <f t="shared" si="165"/>
        <v>30</v>
      </c>
      <c r="T805" s="66">
        <f t="shared" si="166"/>
        <v>375.10491741000004</v>
      </c>
      <c r="U805" s="68">
        <f t="shared" si="167"/>
        <v>46.888114676250005</v>
      </c>
      <c r="V805" s="68">
        <f t="shared" si="168"/>
        <v>461.19457058606559</v>
      </c>
      <c r="W805" s="68">
        <f t="shared" si="169"/>
        <v>307.46304705737708</v>
      </c>
    </row>
    <row r="806" spans="1:23" x14ac:dyDescent="0.25">
      <c r="A806" s="169" t="s">
        <v>944</v>
      </c>
      <c r="B806" s="61" t="s">
        <v>390</v>
      </c>
      <c r="C806" s="61" t="s">
        <v>585</v>
      </c>
      <c r="D806" s="61" t="s">
        <v>588</v>
      </c>
      <c r="E806" s="1" t="s">
        <v>363</v>
      </c>
      <c r="F806" s="62" t="str">
        <f t="shared" si="170"/>
        <v>64528</v>
      </c>
      <c r="G806" s="269">
        <v>10620026</v>
      </c>
      <c r="H806" s="1" t="s">
        <v>381</v>
      </c>
      <c r="I806" s="61">
        <v>17</v>
      </c>
      <c r="J806" s="61">
        <v>6.9</v>
      </c>
      <c r="K806" s="61">
        <v>9</v>
      </c>
      <c r="L806" s="69">
        <f t="shared" si="159"/>
        <v>1.173</v>
      </c>
      <c r="M806" s="69">
        <f t="shared" si="160"/>
        <v>1.53</v>
      </c>
      <c r="N806" s="56">
        <f>INDEX(Rate_Chart!$A$1:$AK$127,MATCH(Data!J806,Rate_Chart!$A$1:$A$127,0),MATCH(Data!K806,Rate_Chart!$A$1:$AK$1,0))</f>
        <v>57.615000000000002</v>
      </c>
      <c r="O806" s="57">
        <f t="shared" si="161"/>
        <v>979.45500000000004</v>
      </c>
      <c r="P806" s="58">
        <f t="shared" si="162"/>
        <v>446.62790697674421</v>
      </c>
      <c r="Q806" s="58">
        <f t="shared" si="163"/>
        <v>297.75193798449612</v>
      </c>
      <c r="R806" s="66">
        <f t="shared" si="164"/>
        <v>17.140462500000002</v>
      </c>
      <c r="S806" s="64">
        <f t="shared" si="165"/>
        <v>63.75</v>
      </c>
      <c r="T806" s="66">
        <f t="shared" si="166"/>
        <v>1060.3454624999999</v>
      </c>
      <c r="U806" s="68">
        <f t="shared" si="167"/>
        <v>62.373262499999996</v>
      </c>
      <c r="V806" s="68">
        <f t="shared" si="168"/>
        <v>483.51366279069765</v>
      </c>
      <c r="W806" s="68">
        <f t="shared" si="169"/>
        <v>322.3424418604651</v>
      </c>
    </row>
    <row r="807" spans="1:23" x14ac:dyDescent="0.25">
      <c r="A807" s="169" t="s">
        <v>944</v>
      </c>
      <c r="B807" s="61" t="s">
        <v>390</v>
      </c>
      <c r="C807" s="61" t="s">
        <v>585</v>
      </c>
      <c r="D807" s="61" t="s">
        <v>588</v>
      </c>
      <c r="E807" s="1" t="s">
        <v>363</v>
      </c>
      <c r="F807" s="62" t="str">
        <f t="shared" si="170"/>
        <v>64528</v>
      </c>
      <c r="G807" s="269">
        <v>10620026</v>
      </c>
      <c r="H807" s="1" t="s">
        <v>382</v>
      </c>
      <c r="I807" s="61">
        <v>32</v>
      </c>
      <c r="J807" s="61">
        <v>5</v>
      </c>
      <c r="K807" s="61">
        <v>8.5</v>
      </c>
      <c r="L807" s="69">
        <f t="shared" si="159"/>
        <v>1.6</v>
      </c>
      <c r="M807" s="69">
        <f t="shared" si="160"/>
        <v>2.72</v>
      </c>
      <c r="N807" s="56">
        <f>INDEX(Rate_Chart!$A$1:$AK$127,MATCH(Data!J807,Rate_Chart!$A$1:$A$127,0),MATCH(Data!K807,Rate_Chart!$A$1:$AK$1,0))</f>
        <v>44.481181500000005</v>
      </c>
      <c r="O807" s="57">
        <f t="shared" si="161"/>
        <v>1423.3978080000002</v>
      </c>
      <c r="P807" s="58">
        <f t="shared" si="162"/>
        <v>417.01107656250002</v>
      </c>
      <c r="Q807" s="58">
        <f t="shared" si="163"/>
        <v>278.00738437500002</v>
      </c>
      <c r="R807" s="66">
        <f t="shared" si="164"/>
        <v>24.909461640000007</v>
      </c>
      <c r="S807" s="64">
        <f t="shared" si="165"/>
        <v>120</v>
      </c>
      <c r="T807" s="66">
        <f t="shared" si="166"/>
        <v>1568.3072696400002</v>
      </c>
      <c r="U807" s="68">
        <f t="shared" si="167"/>
        <v>49.009602176250006</v>
      </c>
      <c r="V807" s="68">
        <f t="shared" si="168"/>
        <v>459.46502040234378</v>
      </c>
      <c r="W807" s="68">
        <f t="shared" si="169"/>
        <v>306.3100136015625</v>
      </c>
    </row>
    <row r="808" spans="1:23" x14ac:dyDescent="0.25">
      <c r="A808" s="169" t="s">
        <v>944</v>
      </c>
      <c r="B808" s="61" t="s">
        <v>391</v>
      </c>
      <c r="C808" s="61" t="s">
        <v>585</v>
      </c>
      <c r="D808" s="61" t="s">
        <v>588</v>
      </c>
      <c r="E808" s="1" t="s">
        <v>363</v>
      </c>
      <c r="F808" s="62" t="str">
        <f t="shared" si="170"/>
        <v>64528</v>
      </c>
      <c r="G808" s="269">
        <v>10620026</v>
      </c>
      <c r="H808" s="1" t="s">
        <v>381</v>
      </c>
      <c r="I808" s="61">
        <v>8</v>
      </c>
      <c r="J808" s="61">
        <v>8.4</v>
      </c>
      <c r="K808" s="61">
        <v>9</v>
      </c>
      <c r="L808" s="69">
        <f t="shared" si="159"/>
        <v>0.67200000000000004</v>
      </c>
      <c r="M808" s="69">
        <f t="shared" si="160"/>
        <v>0.72</v>
      </c>
      <c r="N808" s="56">
        <f>INDEX(Rate_Chart!$A$1:$AK$127,MATCH(Data!J808,Rate_Chart!$A$1:$A$127,0),MATCH(Data!K808,Rate_Chart!$A$1:$AK$1,0))</f>
        <v>70.14</v>
      </c>
      <c r="O808" s="57">
        <f t="shared" si="161"/>
        <v>561.12</v>
      </c>
      <c r="P808" s="58">
        <f t="shared" si="162"/>
        <v>487.08333333333326</v>
      </c>
      <c r="Q808" s="58">
        <f t="shared" si="163"/>
        <v>324.72222222222217</v>
      </c>
      <c r="R808" s="66">
        <f t="shared" si="164"/>
        <v>9.8196000000000012</v>
      </c>
      <c r="S808" s="64">
        <f t="shared" si="165"/>
        <v>30</v>
      </c>
      <c r="T808" s="66">
        <f t="shared" si="166"/>
        <v>600.93960000000004</v>
      </c>
      <c r="U808" s="68">
        <f t="shared" si="167"/>
        <v>75.117450000000005</v>
      </c>
      <c r="V808" s="68">
        <f t="shared" si="168"/>
        <v>521.64895833333333</v>
      </c>
      <c r="W808" s="68">
        <f t="shared" si="169"/>
        <v>347.76597222222222</v>
      </c>
    </row>
    <row r="809" spans="1:23" x14ac:dyDescent="0.25">
      <c r="A809" s="169" t="s">
        <v>944</v>
      </c>
      <c r="B809" s="61" t="s">
        <v>391</v>
      </c>
      <c r="C809" s="61" t="s">
        <v>585</v>
      </c>
      <c r="D809" s="61" t="s">
        <v>588</v>
      </c>
      <c r="E809" s="1" t="s">
        <v>363</v>
      </c>
      <c r="F809" s="62" t="str">
        <f t="shared" si="170"/>
        <v>64528</v>
      </c>
      <c r="G809" s="269">
        <v>10620026</v>
      </c>
      <c r="H809" s="1" t="s">
        <v>382</v>
      </c>
      <c r="I809" s="61">
        <v>6</v>
      </c>
      <c r="J809" s="61">
        <v>4.7</v>
      </c>
      <c r="K809" s="61">
        <v>8.5</v>
      </c>
      <c r="L809" s="69">
        <f t="shared" si="159"/>
        <v>0.28200000000000003</v>
      </c>
      <c r="M809" s="69">
        <f t="shared" si="160"/>
        <v>0.51</v>
      </c>
      <c r="N809" s="56">
        <f>INDEX(Rate_Chart!$A$1:$AK$127,MATCH(Data!J809,Rate_Chart!$A$1:$A$127,0),MATCH(Data!K809,Rate_Chart!$A$1:$AK$1,0))</f>
        <v>43.2301815</v>
      </c>
      <c r="O809" s="57">
        <f t="shared" si="161"/>
        <v>259.38108899999997</v>
      </c>
      <c r="P809" s="58">
        <f t="shared" si="162"/>
        <v>417.01139710610931</v>
      </c>
      <c r="Q809" s="58">
        <f t="shared" si="163"/>
        <v>278.00759807073956</v>
      </c>
      <c r="R809" s="66">
        <f t="shared" si="164"/>
        <v>4.5391690574999997</v>
      </c>
      <c r="S809" s="64">
        <f t="shared" si="165"/>
        <v>22.5</v>
      </c>
      <c r="T809" s="66">
        <f t="shared" si="166"/>
        <v>286.42025805749995</v>
      </c>
      <c r="U809" s="68">
        <f t="shared" si="167"/>
        <v>47.736709676249994</v>
      </c>
      <c r="V809" s="68">
        <f t="shared" si="168"/>
        <v>460.48272999598061</v>
      </c>
      <c r="W809" s="68">
        <f t="shared" si="169"/>
        <v>306.98848666398709</v>
      </c>
    </row>
    <row r="810" spans="1:23" x14ac:dyDescent="0.25">
      <c r="A810" s="169" t="s">
        <v>945</v>
      </c>
      <c r="B810" s="61" t="s">
        <v>390</v>
      </c>
      <c r="C810" s="61" t="s">
        <v>585</v>
      </c>
      <c r="D810" s="61" t="s">
        <v>588</v>
      </c>
      <c r="E810" s="1" t="s">
        <v>363</v>
      </c>
      <c r="F810" s="62" t="str">
        <f t="shared" si="170"/>
        <v>64528</v>
      </c>
      <c r="G810" s="269">
        <v>10620026</v>
      </c>
      <c r="H810" s="1" t="s">
        <v>381</v>
      </c>
      <c r="I810" s="61">
        <v>54</v>
      </c>
      <c r="J810" s="61">
        <v>5.7</v>
      </c>
      <c r="K810" s="61">
        <v>8.6999999999999993</v>
      </c>
      <c r="L810" s="69">
        <f t="shared" si="159"/>
        <v>3.0780000000000003</v>
      </c>
      <c r="M810" s="69">
        <f t="shared" si="160"/>
        <v>4.6979999999999995</v>
      </c>
      <c r="N810" s="56">
        <f>INDEX(Rate_Chart!$A$1:$AK$127,MATCH(Data!J810,Rate_Chart!$A$1:$A$127,0),MATCH(Data!K810,Rate_Chart!$A$1:$AK$1,0))</f>
        <v>46.643099999999997</v>
      </c>
      <c r="O810" s="57">
        <f t="shared" si="161"/>
        <v>2518.7273999999998</v>
      </c>
      <c r="P810" s="58">
        <f t="shared" si="162"/>
        <v>405.5921739130435</v>
      </c>
      <c r="Q810" s="58">
        <f t="shared" si="163"/>
        <v>270.39478260869566</v>
      </c>
      <c r="R810" s="66">
        <f t="shared" si="164"/>
        <v>44.077729499999997</v>
      </c>
      <c r="S810" s="64">
        <f t="shared" si="165"/>
        <v>202.5</v>
      </c>
      <c r="T810" s="66">
        <f t="shared" si="166"/>
        <v>2765.3051294999996</v>
      </c>
      <c r="U810" s="68">
        <f t="shared" si="167"/>
        <v>51.20935424999999</v>
      </c>
      <c r="V810" s="68">
        <f t="shared" si="168"/>
        <v>445.29873260869562</v>
      </c>
      <c r="W810" s="68">
        <f t="shared" si="169"/>
        <v>296.86582173913041</v>
      </c>
    </row>
    <row r="811" spans="1:23" x14ac:dyDescent="0.25">
      <c r="A811" s="169" t="s">
        <v>945</v>
      </c>
      <c r="B811" s="61" t="s">
        <v>391</v>
      </c>
      <c r="C811" s="61" t="s">
        <v>585</v>
      </c>
      <c r="D811" s="61" t="s">
        <v>588</v>
      </c>
      <c r="E811" s="1" t="s">
        <v>363</v>
      </c>
      <c r="F811" s="62" t="str">
        <f t="shared" si="170"/>
        <v>64528</v>
      </c>
      <c r="G811" s="269">
        <v>10620026</v>
      </c>
      <c r="H811" s="1" t="s">
        <v>381</v>
      </c>
      <c r="I811" s="61">
        <v>18</v>
      </c>
      <c r="J811" s="61">
        <v>7.3</v>
      </c>
      <c r="K811" s="61">
        <v>9</v>
      </c>
      <c r="L811" s="69">
        <f t="shared" si="159"/>
        <v>1.3140000000000001</v>
      </c>
      <c r="M811" s="69">
        <f t="shared" si="160"/>
        <v>1.62</v>
      </c>
      <c r="N811" s="56">
        <f>INDEX(Rate_Chart!$A$1:$AK$127,MATCH(Data!J811,Rate_Chart!$A$1:$A$127,0),MATCH(Data!K811,Rate_Chart!$A$1:$AK$1,0))</f>
        <v>60.954999999999998</v>
      </c>
      <c r="O811" s="57">
        <f t="shared" si="161"/>
        <v>1097.19</v>
      </c>
      <c r="P811" s="58">
        <f t="shared" si="162"/>
        <v>458.30827067669168</v>
      </c>
      <c r="Q811" s="58">
        <f t="shared" si="163"/>
        <v>305.53884711779443</v>
      </c>
      <c r="R811" s="66">
        <f t="shared" si="164"/>
        <v>19.200825000000002</v>
      </c>
      <c r="S811" s="64">
        <f t="shared" si="165"/>
        <v>67.5</v>
      </c>
      <c r="T811" s="66">
        <f t="shared" si="166"/>
        <v>1183.8908249999999</v>
      </c>
      <c r="U811" s="68">
        <f t="shared" si="167"/>
        <v>65.771712499999992</v>
      </c>
      <c r="V811" s="68">
        <f t="shared" si="168"/>
        <v>494.52415413533828</v>
      </c>
      <c r="W811" s="68">
        <f t="shared" si="169"/>
        <v>329.68276942355885</v>
      </c>
    </row>
    <row r="812" spans="1:23" x14ac:dyDescent="0.25">
      <c r="A812" s="169" t="s">
        <v>946</v>
      </c>
      <c r="B812" s="61" t="s">
        <v>390</v>
      </c>
      <c r="C812" s="61" t="s">
        <v>585</v>
      </c>
      <c r="D812" s="61" t="s">
        <v>588</v>
      </c>
      <c r="E812" s="1" t="s">
        <v>363</v>
      </c>
      <c r="F812" s="62" t="str">
        <f t="shared" si="170"/>
        <v>64528</v>
      </c>
      <c r="G812" s="269">
        <v>10620026</v>
      </c>
      <c r="H812" s="1" t="s">
        <v>381</v>
      </c>
      <c r="I812" s="61">
        <v>12</v>
      </c>
      <c r="J812" s="61">
        <v>6.9</v>
      </c>
      <c r="K812" s="61">
        <v>8.8000000000000007</v>
      </c>
      <c r="L812" s="69">
        <f t="shared" si="159"/>
        <v>0.82800000000000007</v>
      </c>
      <c r="M812" s="69">
        <f t="shared" si="160"/>
        <v>1.056</v>
      </c>
      <c r="N812" s="56">
        <f>INDEX(Rate_Chart!$A$1:$AK$127,MATCH(Data!J812,Rate_Chart!$A$1:$A$127,0),MATCH(Data!K812,Rate_Chart!$A$1:$AK$1,0))</f>
        <v>57.038850000000004</v>
      </c>
      <c r="O812" s="57">
        <f t="shared" si="161"/>
        <v>684.46620000000007</v>
      </c>
      <c r="P812" s="58">
        <f t="shared" si="162"/>
        <v>446.77950391644907</v>
      </c>
      <c r="Q812" s="58">
        <f t="shared" si="163"/>
        <v>297.85300261096603</v>
      </c>
      <c r="R812" s="66">
        <f t="shared" si="164"/>
        <v>11.978158500000003</v>
      </c>
      <c r="S812" s="64">
        <f t="shared" si="165"/>
        <v>45</v>
      </c>
      <c r="T812" s="66">
        <f t="shared" si="166"/>
        <v>741.44435850000013</v>
      </c>
      <c r="U812" s="68">
        <f t="shared" si="167"/>
        <v>61.787029875000009</v>
      </c>
      <c r="V812" s="68">
        <f t="shared" si="168"/>
        <v>483.97151338120108</v>
      </c>
      <c r="W812" s="68">
        <f t="shared" si="169"/>
        <v>322.6476755874674</v>
      </c>
    </row>
    <row r="813" spans="1:23" x14ac:dyDescent="0.25">
      <c r="A813" s="169" t="s">
        <v>946</v>
      </c>
      <c r="B813" s="61" t="s">
        <v>390</v>
      </c>
      <c r="C813" s="61" t="s">
        <v>585</v>
      </c>
      <c r="D813" s="61" t="s">
        <v>588</v>
      </c>
      <c r="E813" s="1" t="s">
        <v>363</v>
      </c>
      <c r="F813" s="62" t="str">
        <f t="shared" si="170"/>
        <v>64528</v>
      </c>
      <c r="G813" s="269">
        <v>10620026</v>
      </c>
      <c r="H813" s="1" t="s">
        <v>382</v>
      </c>
      <c r="I813" s="61">
        <v>40</v>
      </c>
      <c r="J813" s="61">
        <v>4.9000000000000004</v>
      </c>
      <c r="K813" s="61">
        <v>8.5</v>
      </c>
      <c r="L813" s="69">
        <f t="shared" si="159"/>
        <v>1.96</v>
      </c>
      <c r="M813" s="69">
        <f t="shared" si="160"/>
        <v>3.4</v>
      </c>
      <c r="N813" s="56">
        <f>INDEX(Rate_Chart!$A$1:$AK$127,MATCH(Data!J813,Rate_Chart!$A$1:$A$127,0),MATCH(Data!K813,Rate_Chart!$A$1:$AK$1,0))</f>
        <v>44.064181500000004</v>
      </c>
      <c r="O813" s="57">
        <f t="shared" si="161"/>
        <v>1762.5672600000003</v>
      </c>
      <c r="P813" s="58">
        <f t="shared" si="162"/>
        <v>417.01118138801263</v>
      </c>
      <c r="Q813" s="58">
        <f t="shared" si="163"/>
        <v>278.00745425867507</v>
      </c>
      <c r="R813" s="66">
        <f t="shared" si="164"/>
        <v>30.844927050000006</v>
      </c>
      <c r="S813" s="64">
        <f t="shared" si="165"/>
        <v>150</v>
      </c>
      <c r="T813" s="66">
        <f t="shared" si="166"/>
        <v>1943.4121870500003</v>
      </c>
      <c r="U813" s="68">
        <f t="shared" si="167"/>
        <v>48.585304676250004</v>
      </c>
      <c r="V813" s="68">
        <f t="shared" si="168"/>
        <v>459.79783605283916</v>
      </c>
      <c r="W813" s="68">
        <f t="shared" si="169"/>
        <v>306.53189070189279</v>
      </c>
    </row>
    <row r="814" spans="1:23" x14ac:dyDescent="0.25">
      <c r="A814" s="169" t="s">
        <v>946</v>
      </c>
      <c r="B814" s="61" t="s">
        <v>391</v>
      </c>
      <c r="C814" s="61" t="s">
        <v>585</v>
      </c>
      <c r="D814" s="61" t="s">
        <v>588</v>
      </c>
      <c r="E814" s="1" t="s">
        <v>363</v>
      </c>
      <c r="F814" s="62" t="str">
        <f t="shared" si="170"/>
        <v>64528</v>
      </c>
      <c r="G814" s="269">
        <v>10620026</v>
      </c>
      <c r="H814" s="1" t="s">
        <v>381</v>
      </c>
      <c r="I814" s="61">
        <v>27</v>
      </c>
      <c r="J814" s="61">
        <v>6.9</v>
      </c>
      <c r="K814" s="61">
        <v>8.9</v>
      </c>
      <c r="L814" s="69">
        <f t="shared" si="159"/>
        <v>1.8630000000000002</v>
      </c>
      <c r="M814" s="69">
        <f t="shared" si="160"/>
        <v>2.403</v>
      </c>
      <c r="N814" s="56">
        <f>INDEX(Rate_Chart!$A$1:$AK$127,MATCH(Data!J814,Rate_Chart!$A$1:$A$127,0),MATCH(Data!K814,Rate_Chart!$A$1:$AK$1,0))</f>
        <v>57.038850000000004</v>
      </c>
      <c r="O814" s="57">
        <f t="shared" si="161"/>
        <v>1540.0489500000001</v>
      </c>
      <c r="P814" s="58">
        <f t="shared" si="162"/>
        <v>444.45857142857136</v>
      </c>
      <c r="Q814" s="58">
        <f t="shared" si="163"/>
        <v>296.30571428571426</v>
      </c>
      <c r="R814" s="66">
        <f t="shared" si="164"/>
        <v>26.950856625000004</v>
      </c>
      <c r="S814" s="64">
        <f t="shared" si="165"/>
        <v>101.25</v>
      </c>
      <c r="T814" s="66">
        <f t="shared" si="166"/>
        <v>1668.249806625</v>
      </c>
      <c r="U814" s="68">
        <f t="shared" si="167"/>
        <v>61.787029875000002</v>
      </c>
      <c r="V814" s="68">
        <f t="shared" si="168"/>
        <v>481.45737564935058</v>
      </c>
      <c r="W814" s="68">
        <f t="shared" si="169"/>
        <v>320.97158376623372</v>
      </c>
    </row>
    <row r="815" spans="1:23" x14ac:dyDescent="0.25">
      <c r="A815" s="169" t="s">
        <v>947</v>
      </c>
      <c r="B815" s="61" t="s">
        <v>390</v>
      </c>
      <c r="C815" s="61" t="s">
        <v>585</v>
      </c>
      <c r="D815" s="61" t="s">
        <v>588</v>
      </c>
      <c r="E815" s="1" t="s">
        <v>363</v>
      </c>
      <c r="F815" s="62" t="str">
        <f t="shared" si="170"/>
        <v>64528</v>
      </c>
      <c r="G815" s="269">
        <v>10620026</v>
      </c>
      <c r="H815" s="1" t="s">
        <v>381</v>
      </c>
      <c r="I815" s="61">
        <v>16</v>
      </c>
      <c r="J815" s="61">
        <v>7</v>
      </c>
      <c r="K815" s="61">
        <v>8.8000000000000007</v>
      </c>
      <c r="L815" s="69">
        <f t="shared" si="159"/>
        <v>1.1200000000000001</v>
      </c>
      <c r="M815" s="69">
        <f t="shared" si="160"/>
        <v>1.4080000000000001</v>
      </c>
      <c r="N815" s="56">
        <f>INDEX(Rate_Chart!$A$1:$AK$127,MATCH(Data!J815,Rate_Chart!$A$1:$A$127,0),MATCH(Data!K815,Rate_Chart!$A$1:$AK$1,0))</f>
        <v>57.865500000000004</v>
      </c>
      <c r="O815" s="57">
        <f t="shared" si="161"/>
        <v>925.84800000000007</v>
      </c>
      <c r="P815" s="58">
        <f t="shared" si="162"/>
        <v>449.73186528497411</v>
      </c>
      <c r="Q815" s="58">
        <f t="shared" si="163"/>
        <v>299.82124352331607</v>
      </c>
      <c r="R815" s="66">
        <f t="shared" si="164"/>
        <v>16.202340000000003</v>
      </c>
      <c r="S815" s="64">
        <f t="shared" si="165"/>
        <v>60</v>
      </c>
      <c r="T815" s="66">
        <f t="shared" si="166"/>
        <v>1002.0503400000001</v>
      </c>
      <c r="U815" s="68">
        <f t="shared" si="167"/>
        <v>62.628146250000007</v>
      </c>
      <c r="V815" s="68">
        <f t="shared" si="168"/>
        <v>486.74725064766841</v>
      </c>
      <c r="W815" s="68">
        <f t="shared" si="169"/>
        <v>324.49816709844561</v>
      </c>
    </row>
    <row r="816" spans="1:23" x14ac:dyDescent="0.25">
      <c r="A816" s="169" t="s">
        <v>947</v>
      </c>
      <c r="B816" s="61" t="s">
        <v>390</v>
      </c>
      <c r="C816" s="61" t="s">
        <v>585</v>
      </c>
      <c r="D816" s="61" t="s">
        <v>588</v>
      </c>
      <c r="E816" s="1" t="s">
        <v>363</v>
      </c>
      <c r="F816" s="62" t="str">
        <f t="shared" si="170"/>
        <v>64528</v>
      </c>
      <c r="G816" s="269">
        <v>10620026</v>
      </c>
      <c r="H816" s="1" t="s">
        <v>382</v>
      </c>
      <c r="I816" s="61">
        <v>40</v>
      </c>
      <c r="J816" s="61">
        <v>5</v>
      </c>
      <c r="K816" s="61">
        <v>8.5</v>
      </c>
      <c r="L816" s="69">
        <f t="shared" ref="L816:L879" si="171">J816*I816/100</f>
        <v>2</v>
      </c>
      <c r="M816" s="69">
        <f t="shared" ref="M816:M879" si="172">K816*I816/100</f>
        <v>3.4</v>
      </c>
      <c r="N816" s="56">
        <f>INDEX(Rate_Chart!$A$1:$AK$127,MATCH(Data!J816,Rate_Chart!$A$1:$A$127,0),MATCH(Data!K816,Rate_Chart!$A$1:$AK$1,0))</f>
        <v>44.481181500000005</v>
      </c>
      <c r="O816" s="57">
        <f t="shared" ref="O816:O879" si="173">N816*I816</f>
        <v>1779.2472600000001</v>
      </c>
      <c r="P816" s="58">
        <f t="shared" ref="P816:P879" si="174">N816/(J816%+K816%*2/3)</f>
        <v>417.01107656250002</v>
      </c>
      <c r="Q816" s="58">
        <f t="shared" ref="Q816:Q879" si="175">P816*2/3</f>
        <v>278.00738437500002</v>
      </c>
      <c r="R816" s="66">
        <f t="shared" ref="R816:R879" si="176">O816*1.75%</f>
        <v>31.136827050000004</v>
      </c>
      <c r="S816" s="64">
        <f t="shared" ref="S816:S879" si="177">I816*3.75</f>
        <v>150</v>
      </c>
      <c r="T816" s="66">
        <f t="shared" ref="T816:T879" si="178">R816+S816+O816</f>
        <v>1960.3840870500001</v>
      </c>
      <c r="U816" s="68">
        <f t="shared" ref="U816:U879" si="179">T816/I816</f>
        <v>49.009602176249999</v>
      </c>
      <c r="V816" s="68">
        <f t="shared" ref="V816:V879" si="180">U816/(J816%+K816%*2/3)</f>
        <v>459.46502040234373</v>
      </c>
      <c r="W816" s="68">
        <f t="shared" ref="W816:W879" si="181">V816*2/3</f>
        <v>306.3100136015625</v>
      </c>
    </row>
    <row r="817" spans="1:23" x14ac:dyDescent="0.25">
      <c r="A817" s="169" t="s">
        <v>947</v>
      </c>
      <c r="B817" s="61" t="s">
        <v>391</v>
      </c>
      <c r="C817" s="61" t="s">
        <v>585</v>
      </c>
      <c r="D817" s="61" t="s">
        <v>588</v>
      </c>
      <c r="E817" s="1" t="s">
        <v>363</v>
      </c>
      <c r="F817" s="62" t="str">
        <f t="shared" si="170"/>
        <v>64528</v>
      </c>
      <c r="G817" s="269">
        <v>10620026</v>
      </c>
      <c r="H817" s="1" t="s">
        <v>381</v>
      </c>
      <c r="I817" s="61">
        <v>8</v>
      </c>
      <c r="J817" s="61">
        <v>8.3000000000000007</v>
      </c>
      <c r="K817" s="61">
        <v>9</v>
      </c>
      <c r="L817" s="69">
        <f t="shared" si="171"/>
        <v>0.66400000000000003</v>
      </c>
      <c r="M817" s="69">
        <f t="shared" si="172"/>
        <v>0.72</v>
      </c>
      <c r="N817" s="56">
        <f>INDEX(Rate_Chart!$A$1:$AK$127,MATCH(Data!J817,Rate_Chart!$A$1:$A$127,0),MATCH(Data!K817,Rate_Chart!$A$1:$AK$1,0))</f>
        <v>69.305000000000007</v>
      </c>
      <c r="O817" s="57">
        <f t="shared" si="173"/>
        <v>554.44000000000005</v>
      </c>
      <c r="P817" s="58">
        <f t="shared" si="174"/>
        <v>484.65034965034965</v>
      </c>
      <c r="Q817" s="58">
        <f t="shared" si="175"/>
        <v>323.10023310023308</v>
      </c>
      <c r="R817" s="66">
        <f t="shared" si="176"/>
        <v>9.7027000000000019</v>
      </c>
      <c r="S817" s="64">
        <f t="shared" si="177"/>
        <v>30</v>
      </c>
      <c r="T817" s="66">
        <f t="shared" si="178"/>
        <v>594.1427000000001</v>
      </c>
      <c r="U817" s="68">
        <f t="shared" si="179"/>
        <v>74.267837500000013</v>
      </c>
      <c r="V817" s="68">
        <f t="shared" si="180"/>
        <v>519.355506993007</v>
      </c>
      <c r="W817" s="68">
        <f t="shared" si="181"/>
        <v>346.23700466200467</v>
      </c>
    </row>
    <row r="818" spans="1:23" x14ac:dyDescent="0.25">
      <c r="A818" s="169" t="s">
        <v>947</v>
      </c>
      <c r="B818" s="61" t="s">
        <v>391</v>
      </c>
      <c r="C818" s="61" t="s">
        <v>585</v>
      </c>
      <c r="D818" s="61" t="s">
        <v>588</v>
      </c>
      <c r="E818" s="1" t="s">
        <v>363</v>
      </c>
      <c r="F818" s="62" t="str">
        <f t="shared" si="170"/>
        <v>64528</v>
      </c>
      <c r="G818" s="269">
        <v>10620026</v>
      </c>
      <c r="H818" s="1" t="s">
        <v>382</v>
      </c>
      <c r="I818" s="61">
        <v>10</v>
      </c>
      <c r="J818" s="61">
        <v>5.4</v>
      </c>
      <c r="K818" s="61">
        <v>8.5</v>
      </c>
      <c r="L818" s="69">
        <f t="shared" si="171"/>
        <v>0.54</v>
      </c>
      <c r="M818" s="69">
        <f t="shared" si="172"/>
        <v>0.85</v>
      </c>
      <c r="N818" s="56">
        <f>INDEX(Rate_Chart!$A$1:$AK$127,MATCH(Data!J818,Rate_Chart!$A$1:$A$127,0),MATCH(Data!K818,Rate_Chart!$A$1:$AK$1,0))</f>
        <v>46.149181500000012</v>
      </c>
      <c r="O818" s="57">
        <f t="shared" si="173"/>
        <v>461.49181500000009</v>
      </c>
      <c r="P818" s="58">
        <f t="shared" si="174"/>
        <v>417.01067620481933</v>
      </c>
      <c r="Q818" s="58">
        <f t="shared" si="175"/>
        <v>278.00711746987957</v>
      </c>
      <c r="R818" s="66">
        <f t="shared" si="176"/>
        <v>8.076106762500002</v>
      </c>
      <c r="S818" s="64">
        <f t="shared" si="177"/>
        <v>37.5</v>
      </c>
      <c r="T818" s="66">
        <f t="shared" si="178"/>
        <v>507.06792176250008</v>
      </c>
      <c r="U818" s="68">
        <f t="shared" si="179"/>
        <v>50.706792176250005</v>
      </c>
      <c r="V818" s="68">
        <f t="shared" si="180"/>
        <v>458.19390520707833</v>
      </c>
      <c r="W818" s="68">
        <f t="shared" si="181"/>
        <v>305.46260347138553</v>
      </c>
    </row>
    <row r="819" spans="1:23" x14ac:dyDescent="0.25">
      <c r="A819" s="169" t="s">
        <v>941</v>
      </c>
      <c r="B819" s="61" t="s">
        <v>391</v>
      </c>
      <c r="C819" s="61" t="s">
        <v>585</v>
      </c>
      <c r="D819" s="61" t="s">
        <v>854</v>
      </c>
      <c r="E819" s="1" t="s">
        <v>364</v>
      </c>
      <c r="F819" s="62" t="str">
        <f t="shared" si="170"/>
        <v>64532</v>
      </c>
      <c r="G819" s="269">
        <v>10620063</v>
      </c>
      <c r="H819" s="1" t="s">
        <v>382</v>
      </c>
      <c r="I819" s="61">
        <v>25</v>
      </c>
      <c r="J819" s="61">
        <v>5</v>
      </c>
      <c r="K819" s="61">
        <v>8.5</v>
      </c>
      <c r="L819" s="69">
        <f t="shared" si="171"/>
        <v>1.25</v>
      </c>
      <c r="M819" s="69">
        <f t="shared" si="172"/>
        <v>2.125</v>
      </c>
      <c r="N819" s="56">
        <f>INDEX(Rate_Chart!$A$1:$AK$127,MATCH(Data!J819,Rate_Chart!$A$1:$A$127,0),MATCH(Data!K819,Rate_Chart!$A$1:$AK$1,0))</f>
        <v>44.481181500000005</v>
      </c>
      <c r="O819" s="57">
        <f t="shared" si="173"/>
        <v>1112.0295375000001</v>
      </c>
      <c r="P819" s="58">
        <f t="shared" si="174"/>
        <v>417.01107656250002</v>
      </c>
      <c r="Q819" s="58">
        <f t="shared" si="175"/>
        <v>278.00738437500002</v>
      </c>
      <c r="R819" s="66">
        <f t="shared" si="176"/>
        <v>19.460516906250003</v>
      </c>
      <c r="S819" s="64">
        <f t="shared" si="177"/>
        <v>93.75</v>
      </c>
      <c r="T819" s="66">
        <f t="shared" si="178"/>
        <v>1225.24005440625</v>
      </c>
      <c r="U819" s="68">
        <f t="shared" si="179"/>
        <v>49.009602176249999</v>
      </c>
      <c r="V819" s="68">
        <f t="shared" si="180"/>
        <v>459.46502040234373</v>
      </c>
      <c r="W819" s="68">
        <f t="shared" si="181"/>
        <v>306.3100136015625</v>
      </c>
    </row>
    <row r="820" spans="1:23" x14ac:dyDescent="0.25">
      <c r="A820" s="169" t="s">
        <v>942</v>
      </c>
      <c r="B820" s="61" t="s">
        <v>390</v>
      </c>
      <c r="C820" s="61" t="s">
        <v>585</v>
      </c>
      <c r="D820" s="61" t="s">
        <v>854</v>
      </c>
      <c r="E820" s="1" t="s">
        <v>364</v>
      </c>
      <c r="F820" s="62" t="str">
        <f t="shared" si="170"/>
        <v>64532</v>
      </c>
      <c r="G820" s="269">
        <v>10620063</v>
      </c>
      <c r="H820" s="1" t="s">
        <v>381</v>
      </c>
      <c r="I820" s="61">
        <v>16</v>
      </c>
      <c r="J820" s="61">
        <v>6</v>
      </c>
      <c r="K820" s="61">
        <v>9</v>
      </c>
      <c r="L820" s="69">
        <f t="shared" si="171"/>
        <v>0.96</v>
      </c>
      <c r="M820" s="69">
        <f t="shared" si="172"/>
        <v>1.44</v>
      </c>
      <c r="N820" s="56">
        <f>INDEX(Rate_Chart!$A$1:$AK$127,MATCH(Data!J820,Rate_Chart!$A$1:$A$127,0),MATCH(Data!K820,Rate_Chart!$A$1:$AK$1,0))</f>
        <v>50.1</v>
      </c>
      <c r="O820" s="57">
        <f t="shared" si="173"/>
        <v>801.6</v>
      </c>
      <c r="P820" s="58">
        <f t="shared" si="174"/>
        <v>417.5</v>
      </c>
      <c r="Q820" s="58">
        <f t="shared" si="175"/>
        <v>278.33333333333331</v>
      </c>
      <c r="R820" s="66">
        <f t="shared" si="176"/>
        <v>14.028000000000002</v>
      </c>
      <c r="S820" s="64">
        <f t="shared" si="177"/>
        <v>60</v>
      </c>
      <c r="T820" s="66">
        <f t="shared" si="178"/>
        <v>875.62800000000004</v>
      </c>
      <c r="U820" s="68">
        <f t="shared" si="179"/>
        <v>54.726750000000003</v>
      </c>
      <c r="V820" s="68">
        <f t="shared" si="180"/>
        <v>456.05625000000003</v>
      </c>
      <c r="W820" s="68">
        <f t="shared" si="181"/>
        <v>304.03750000000002</v>
      </c>
    </row>
    <row r="821" spans="1:23" x14ac:dyDescent="0.25">
      <c r="A821" s="169" t="s">
        <v>942</v>
      </c>
      <c r="B821" s="61" t="s">
        <v>390</v>
      </c>
      <c r="C821" s="61" t="s">
        <v>585</v>
      </c>
      <c r="D821" s="61" t="s">
        <v>854</v>
      </c>
      <c r="E821" s="1" t="s">
        <v>364</v>
      </c>
      <c r="F821" s="62" t="str">
        <f t="shared" si="170"/>
        <v>64532</v>
      </c>
      <c r="G821" s="269">
        <v>10620063</v>
      </c>
      <c r="H821" s="1" t="s">
        <v>382</v>
      </c>
      <c r="I821" s="61">
        <v>4</v>
      </c>
      <c r="J821" s="61">
        <v>4.5</v>
      </c>
      <c r="K821" s="61">
        <v>8.5</v>
      </c>
      <c r="L821" s="69">
        <f t="shared" si="171"/>
        <v>0.18</v>
      </c>
      <c r="M821" s="69">
        <f t="shared" si="172"/>
        <v>0.34</v>
      </c>
      <c r="N821" s="56">
        <f>INDEX(Rate_Chart!$A$1:$AK$127,MATCH(Data!J821,Rate_Chart!$A$1:$A$127,0),MATCH(Data!K821,Rate_Chart!$A$1:$AK$1,0))</f>
        <v>42.396181500000004</v>
      </c>
      <c r="O821" s="57">
        <f t="shared" si="173"/>
        <v>169.58472600000002</v>
      </c>
      <c r="P821" s="58">
        <f t="shared" si="174"/>
        <v>417.01162131147544</v>
      </c>
      <c r="Q821" s="58">
        <f t="shared" si="175"/>
        <v>278.00774754098364</v>
      </c>
      <c r="R821" s="66">
        <f t="shared" si="176"/>
        <v>2.9677327050000004</v>
      </c>
      <c r="S821" s="64">
        <f t="shared" si="177"/>
        <v>15</v>
      </c>
      <c r="T821" s="66">
        <f t="shared" si="178"/>
        <v>187.55245870500002</v>
      </c>
      <c r="U821" s="68">
        <f t="shared" si="179"/>
        <v>46.888114676250005</v>
      </c>
      <c r="V821" s="68">
        <f t="shared" si="180"/>
        <v>461.19457058606559</v>
      </c>
      <c r="W821" s="68">
        <f t="shared" si="181"/>
        <v>307.46304705737708</v>
      </c>
    </row>
    <row r="822" spans="1:23" x14ac:dyDescent="0.25">
      <c r="A822" s="169" t="s">
        <v>942</v>
      </c>
      <c r="B822" s="61" t="s">
        <v>391</v>
      </c>
      <c r="C822" s="61" t="s">
        <v>585</v>
      </c>
      <c r="D822" s="61" t="s">
        <v>854</v>
      </c>
      <c r="E822" s="1" t="s">
        <v>364</v>
      </c>
      <c r="F822" s="62" t="str">
        <f t="shared" si="170"/>
        <v>64532</v>
      </c>
      <c r="G822" s="269">
        <v>10620063</v>
      </c>
      <c r="H822" s="1" t="s">
        <v>382</v>
      </c>
      <c r="I822" s="61">
        <v>16</v>
      </c>
      <c r="J822" s="61">
        <v>4.5999999999999996</v>
      </c>
      <c r="K822" s="61">
        <v>8.5</v>
      </c>
      <c r="L822" s="69">
        <f t="shared" si="171"/>
        <v>0.73599999999999999</v>
      </c>
      <c r="M822" s="69">
        <f t="shared" si="172"/>
        <v>1.36</v>
      </c>
      <c r="N822" s="56">
        <f>INDEX(Rate_Chart!$A$1:$AK$127,MATCH(Data!J822,Rate_Chart!$A$1:$A$127,0),MATCH(Data!K822,Rate_Chart!$A$1:$AK$1,0))</f>
        <v>42.813181499999999</v>
      </c>
      <c r="O822" s="57">
        <f t="shared" si="173"/>
        <v>685.01090399999998</v>
      </c>
      <c r="P822" s="58">
        <f t="shared" si="174"/>
        <v>417.01150811688308</v>
      </c>
      <c r="Q822" s="58">
        <f t="shared" si="175"/>
        <v>278.00767207792205</v>
      </c>
      <c r="R822" s="66">
        <f t="shared" si="176"/>
        <v>11.987690820000001</v>
      </c>
      <c r="S822" s="64">
        <f t="shared" si="177"/>
        <v>60</v>
      </c>
      <c r="T822" s="66">
        <f t="shared" si="178"/>
        <v>756.99859481999999</v>
      </c>
      <c r="U822" s="68">
        <f t="shared" si="179"/>
        <v>47.31241217625</v>
      </c>
      <c r="V822" s="68">
        <f t="shared" si="180"/>
        <v>460.83518353490257</v>
      </c>
      <c r="W822" s="68">
        <f t="shared" si="181"/>
        <v>307.22345568993507</v>
      </c>
    </row>
    <row r="823" spans="1:23" x14ac:dyDescent="0.25">
      <c r="A823" s="169" t="s">
        <v>943</v>
      </c>
      <c r="B823" s="61" t="s">
        <v>390</v>
      </c>
      <c r="C823" s="61" t="s">
        <v>585</v>
      </c>
      <c r="D823" s="61" t="s">
        <v>854</v>
      </c>
      <c r="E823" s="1" t="s">
        <v>364</v>
      </c>
      <c r="F823" s="62" t="str">
        <f t="shared" si="170"/>
        <v>64532</v>
      </c>
      <c r="G823" s="269">
        <v>10620063</v>
      </c>
      <c r="H823" s="1" t="s">
        <v>381</v>
      </c>
      <c r="I823" s="61">
        <v>24</v>
      </c>
      <c r="J823" s="61">
        <v>6.5</v>
      </c>
      <c r="K823" s="61">
        <v>9</v>
      </c>
      <c r="L823" s="69">
        <f t="shared" si="171"/>
        <v>1.56</v>
      </c>
      <c r="M823" s="69">
        <f t="shared" si="172"/>
        <v>2.16</v>
      </c>
      <c r="N823" s="56">
        <f>INDEX(Rate_Chart!$A$1:$AK$127,MATCH(Data!J823,Rate_Chart!$A$1:$A$127,0),MATCH(Data!K823,Rate_Chart!$A$1:$AK$1,0))</f>
        <v>54.274999999999999</v>
      </c>
      <c r="O823" s="57">
        <f t="shared" si="173"/>
        <v>1302.5999999999999</v>
      </c>
      <c r="P823" s="58">
        <f t="shared" si="174"/>
        <v>434.2</v>
      </c>
      <c r="Q823" s="58">
        <f t="shared" si="175"/>
        <v>289.46666666666664</v>
      </c>
      <c r="R823" s="66">
        <f t="shared" si="176"/>
        <v>22.795500000000001</v>
      </c>
      <c r="S823" s="64">
        <f t="shared" si="177"/>
        <v>90</v>
      </c>
      <c r="T823" s="66">
        <f t="shared" si="178"/>
        <v>1415.3954999999999</v>
      </c>
      <c r="U823" s="68">
        <f t="shared" si="179"/>
        <v>58.974812499999992</v>
      </c>
      <c r="V823" s="68">
        <f t="shared" si="180"/>
        <v>471.79849999999993</v>
      </c>
      <c r="W823" s="68">
        <f t="shared" si="181"/>
        <v>314.53233333333327</v>
      </c>
    </row>
    <row r="824" spans="1:23" x14ac:dyDescent="0.25">
      <c r="A824" s="169" t="s">
        <v>943</v>
      </c>
      <c r="B824" s="61" t="s">
        <v>390</v>
      </c>
      <c r="C824" s="61" t="s">
        <v>585</v>
      </c>
      <c r="D824" s="61" t="s">
        <v>854</v>
      </c>
      <c r="E824" s="1" t="s">
        <v>364</v>
      </c>
      <c r="F824" s="62" t="str">
        <f t="shared" si="170"/>
        <v>64532</v>
      </c>
      <c r="G824" s="269">
        <v>10620063</v>
      </c>
      <c r="H824" s="1" t="s">
        <v>382</v>
      </c>
      <c r="I824" s="61">
        <v>6</v>
      </c>
      <c r="J824" s="61">
        <v>4</v>
      </c>
      <c r="K824" s="61">
        <v>8.4</v>
      </c>
      <c r="L824" s="69">
        <f t="shared" si="171"/>
        <v>0.24</v>
      </c>
      <c r="M824" s="69">
        <f t="shared" si="172"/>
        <v>0.504</v>
      </c>
      <c r="N824" s="56">
        <f>INDEX(Rate_Chart!$A$1:$AK$127,MATCH(Data!J824,Rate_Chart!$A$1:$A$127,0),MATCH(Data!K824,Rate_Chart!$A$1:$AK$1,0))</f>
        <v>40.033167600000006</v>
      </c>
      <c r="O824" s="57">
        <f t="shared" si="173"/>
        <v>240.19900560000002</v>
      </c>
      <c r="P824" s="58">
        <f t="shared" si="174"/>
        <v>417.01216250000004</v>
      </c>
      <c r="Q824" s="58">
        <f t="shared" si="175"/>
        <v>278.00810833333338</v>
      </c>
      <c r="R824" s="66">
        <f t="shared" si="176"/>
        <v>4.2034825980000008</v>
      </c>
      <c r="S824" s="64">
        <f t="shared" si="177"/>
        <v>22.5</v>
      </c>
      <c r="T824" s="66">
        <f t="shared" si="178"/>
        <v>266.90248819800001</v>
      </c>
      <c r="U824" s="68">
        <f t="shared" si="179"/>
        <v>44.483748033000005</v>
      </c>
      <c r="V824" s="68">
        <f t="shared" si="180"/>
        <v>463.37237534375004</v>
      </c>
      <c r="W824" s="68">
        <f t="shared" si="181"/>
        <v>308.91491689583336</v>
      </c>
    </row>
    <row r="825" spans="1:23" x14ac:dyDescent="0.25">
      <c r="A825" s="169" t="s">
        <v>943</v>
      </c>
      <c r="B825" s="61" t="s">
        <v>391</v>
      </c>
      <c r="C825" s="61" t="s">
        <v>585</v>
      </c>
      <c r="D825" s="61" t="s">
        <v>854</v>
      </c>
      <c r="E825" s="1" t="s">
        <v>364</v>
      </c>
      <c r="F825" s="62" t="str">
        <f t="shared" si="170"/>
        <v>64532</v>
      </c>
      <c r="G825" s="269">
        <v>10620063</v>
      </c>
      <c r="H825" s="1" t="s">
        <v>382</v>
      </c>
      <c r="I825" s="61">
        <v>16</v>
      </c>
      <c r="J825" s="61">
        <v>4.4000000000000004</v>
      </c>
      <c r="K825" s="61">
        <v>8.4</v>
      </c>
      <c r="L825" s="69">
        <f t="shared" si="171"/>
        <v>0.70400000000000007</v>
      </c>
      <c r="M825" s="69">
        <f t="shared" si="172"/>
        <v>1.3440000000000001</v>
      </c>
      <c r="N825" s="56">
        <f>INDEX(Rate_Chart!$A$1:$AK$127,MATCH(Data!J825,Rate_Chart!$A$1:$A$127,0),MATCH(Data!K825,Rate_Chart!$A$1:$AK$1,0))</f>
        <v>41.701167600000005</v>
      </c>
      <c r="O825" s="57">
        <f t="shared" si="173"/>
        <v>667.21868160000008</v>
      </c>
      <c r="P825" s="58">
        <f t="shared" si="174"/>
        <v>417.01167600000002</v>
      </c>
      <c r="Q825" s="58">
        <f t="shared" si="175"/>
        <v>278.00778400000002</v>
      </c>
      <c r="R825" s="66">
        <f t="shared" si="176"/>
        <v>11.676326928000002</v>
      </c>
      <c r="S825" s="64">
        <f t="shared" si="177"/>
        <v>60</v>
      </c>
      <c r="T825" s="66">
        <f t="shared" si="178"/>
        <v>738.89500852800006</v>
      </c>
      <c r="U825" s="68">
        <f t="shared" si="179"/>
        <v>46.180938033000004</v>
      </c>
      <c r="V825" s="68">
        <f t="shared" si="180"/>
        <v>461.80938033000001</v>
      </c>
      <c r="W825" s="68">
        <f t="shared" si="181"/>
        <v>307.87292022000003</v>
      </c>
    </row>
    <row r="826" spans="1:23" x14ac:dyDescent="0.25">
      <c r="A826" s="169" t="s">
        <v>944</v>
      </c>
      <c r="B826" s="61" t="s">
        <v>390</v>
      </c>
      <c r="C826" s="61" t="s">
        <v>585</v>
      </c>
      <c r="D826" s="61" t="s">
        <v>854</v>
      </c>
      <c r="E826" s="1" t="s">
        <v>364</v>
      </c>
      <c r="F826" s="62" t="str">
        <f t="shared" si="170"/>
        <v>64532</v>
      </c>
      <c r="G826" s="269">
        <v>10620063</v>
      </c>
      <c r="H826" s="1" t="s">
        <v>381</v>
      </c>
      <c r="I826" s="61">
        <v>21</v>
      </c>
      <c r="J826" s="61">
        <v>6.2</v>
      </c>
      <c r="K826" s="61">
        <v>9</v>
      </c>
      <c r="L826" s="69">
        <f t="shared" si="171"/>
        <v>1.3020000000000003</v>
      </c>
      <c r="M826" s="69">
        <f t="shared" si="172"/>
        <v>1.89</v>
      </c>
      <c r="N826" s="56">
        <f>INDEX(Rate_Chart!$A$1:$AK$127,MATCH(Data!J826,Rate_Chart!$A$1:$A$127,0),MATCH(Data!K826,Rate_Chart!$A$1:$AK$1,0))</f>
        <v>51.77</v>
      </c>
      <c r="O826" s="57">
        <f t="shared" si="173"/>
        <v>1087.17</v>
      </c>
      <c r="P826" s="58">
        <f t="shared" si="174"/>
        <v>424.34426229508199</v>
      </c>
      <c r="Q826" s="58">
        <f t="shared" si="175"/>
        <v>282.89617486338801</v>
      </c>
      <c r="R826" s="66">
        <f t="shared" si="176"/>
        <v>19.025475000000004</v>
      </c>
      <c r="S826" s="64">
        <f t="shared" si="177"/>
        <v>78.75</v>
      </c>
      <c r="T826" s="66">
        <f t="shared" si="178"/>
        <v>1184.945475</v>
      </c>
      <c r="U826" s="68">
        <f t="shared" si="179"/>
        <v>56.425975000000001</v>
      </c>
      <c r="V826" s="68">
        <f t="shared" si="180"/>
        <v>462.50799180327868</v>
      </c>
      <c r="W826" s="68">
        <f t="shared" si="181"/>
        <v>308.33866120218579</v>
      </c>
    </row>
    <row r="827" spans="1:23" x14ac:dyDescent="0.25">
      <c r="A827" s="169" t="s">
        <v>944</v>
      </c>
      <c r="B827" s="61" t="s">
        <v>390</v>
      </c>
      <c r="C827" s="61" t="s">
        <v>585</v>
      </c>
      <c r="D827" s="61" t="s">
        <v>854</v>
      </c>
      <c r="E827" s="1" t="s">
        <v>364</v>
      </c>
      <c r="F827" s="62" t="str">
        <f t="shared" si="170"/>
        <v>64532</v>
      </c>
      <c r="G827" s="269">
        <v>10620063</v>
      </c>
      <c r="H827" s="1" t="s">
        <v>382</v>
      </c>
      <c r="I827" s="61">
        <v>6</v>
      </c>
      <c r="J827" s="61">
        <v>4.3</v>
      </c>
      <c r="K827" s="61">
        <v>8.1999999999999993</v>
      </c>
      <c r="L827" s="69">
        <f t="shared" si="171"/>
        <v>0.25799999999999995</v>
      </c>
      <c r="M827" s="69">
        <f t="shared" si="172"/>
        <v>0.49199999999999994</v>
      </c>
      <c r="N827" s="56">
        <f>INDEX(Rate_Chart!$A$1:$AK$127,MATCH(Data!J827,Rate_Chart!$A$1:$A$127,0),MATCH(Data!K827,Rate_Chart!$A$1:$AK$1,0))</f>
        <v>40.728139799999994</v>
      </c>
      <c r="O827" s="57">
        <f t="shared" si="173"/>
        <v>244.36883879999996</v>
      </c>
      <c r="P827" s="58">
        <f t="shared" si="174"/>
        <v>417.01167030716726</v>
      </c>
      <c r="Q827" s="58">
        <f t="shared" si="175"/>
        <v>278.00778020477816</v>
      </c>
      <c r="R827" s="66">
        <f t="shared" si="176"/>
        <v>4.2764546789999995</v>
      </c>
      <c r="S827" s="64">
        <f t="shared" si="177"/>
        <v>22.5</v>
      </c>
      <c r="T827" s="66">
        <f t="shared" si="178"/>
        <v>271.14529347899997</v>
      </c>
      <c r="U827" s="68">
        <f t="shared" si="179"/>
        <v>45.190882246499996</v>
      </c>
      <c r="V827" s="68">
        <f t="shared" si="180"/>
        <v>462.70527897440275</v>
      </c>
      <c r="W827" s="68">
        <f t="shared" si="181"/>
        <v>308.47018598293516</v>
      </c>
    </row>
    <row r="828" spans="1:23" x14ac:dyDescent="0.25">
      <c r="A828" s="169" t="s">
        <v>944</v>
      </c>
      <c r="B828" s="61" t="s">
        <v>391</v>
      </c>
      <c r="C828" s="61" t="s">
        <v>585</v>
      </c>
      <c r="D828" s="61" t="s">
        <v>854</v>
      </c>
      <c r="E828" s="1" t="s">
        <v>364</v>
      </c>
      <c r="F828" s="62" t="str">
        <f t="shared" si="170"/>
        <v>64532</v>
      </c>
      <c r="G828" s="269">
        <v>10620063</v>
      </c>
      <c r="H828" s="1" t="s">
        <v>381</v>
      </c>
      <c r="I828" s="61">
        <v>12</v>
      </c>
      <c r="J828" s="61">
        <v>5.5</v>
      </c>
      <c r="K828" s="61">
        <v>8.8000000000000007</v>
      </c>
      <c r="L828" s="69">
        <f t="shared" si="171"/>
        <v>0.66</v>
      </c>
      <c r="M828" s="69">
        <f t="shared" si="172"/>
        <v>1.056</v>
      </c>
      <c r="N828" s="56">
        <f>INDEX(Rate_Chart!$A$1:$AK$127,MATCH(Data!J828,Rate_Chart!$A$1:$A$127,0),MATCH(Data!K828,Rate_Chart!$A$1:$AK$1,0))</f>
        <v>46.566181499999999</v>
      </c>
      <c r="O828" s="57">
        <f t="shared" si="173"/>
        <v>558.79417799999999</v>
      </c>
      <c r="P828" s="58">
        <f t="shared" si="174"/>
        <v>409.67315102639293</v>
      </c>
      <c r="Q828" s="58">
        <f t="shared" si="175"/>
        <v>273.11543401759531</v>
      </c>
      <c r="R828" s="66">
        <f t="shared" si="176"/>
        <v>9.7788981150000005</v>
      </c>
      <c r="S828" s="64">
        <f t="shared" si="177"/>
        <v>45</v>
      </c>
      <c r="T828" s="66">
        <f t="shared" si="178"/>
        <v>613.57307611500005</v>
      </c>
      <c r="U828" s="68">
        <f t="shared" si="179"/>
        <v>51.131089676250006</v>
      </c>
      <c r="V828" s="68">
        <f t="shared" si="180"/>
        <v>449.83363351539595</v>
      </c>
      <c r="W828" s="68">
        <f t="shared" si="181"/>
        <v>299.88908901026394</v>
      </c>
    </row>
    <row r="829" spans="1:23" x14ac:dyDescent="0.25">
      <c r="A829" s="169" t="s">
        <v>945</v>
      </c>
      <c r="B829" s="61" t="s">
        <v>390</v>
      </c>
      <c r="C829" s="61" t="s">
        <v>585</v>
      </c>
      <c r="D829" s="61" t="s">
        <v>854</v>
      </c>
      <c r="E829" s="1" t="s">
        <v>364</v>
      </c>
      <c r="F829" s="62" t="str">
        <f t="shared" si="170"/>
        <v>64532</v>
      </c>
      <c r="G829" s="269">
        <v>10620063</v>
      </c>
      <c r="H829" s="1" t="s">
        <v>381</v>
      </c>
      <c r="I829" s="61">
        <v>23</v>
      </c>
      <c r="J829" s="61">
        <v>6.3</v>
      </c>
      <c r="K829" s="61">
        <v>9</v>
      </c>
      <c r="L829" s="69">
        <f t="shared" si="171"/>
        <v>1.4490000000000001</v>
      </c>
      <c r="M829" s="69">
        <f t="shared" si="172"/>
        <v>2.0699999999999998</v>
      </c>
      <c r="N829" s="56">
        <f>INDEX(Rate_Chart!$A$1:$AK$127,MATCH(Data!J829,Rate_Chart!$A$1:$A$127,0),MATCH(Data!K829,Rate_Chart!$A$1:$AK$1,0))</f>
        <v>52.604999999999997</v>
      </c>
      <c r="O829" s="57">
        <f t="shared" si="173"/>
        <v>1209.915</v>
      </c>
      <c r="P829" s="58">
        <f t="shared" si="174"/>
        <v>427.6829268292683</v>
      </c>
      <c r="Q829" s="58">
        <f t="shared" si="175"/>
        <v>285.1219512195122</v>
      </c>
      <c r="R829" s="66">
        <f t="shared" si="176"/>
        <v>21.173512500000001</v>
      </c>
      <c r="S829" s="64">
        <f t="shared" si="177"/>
        <v>86.25</v>
      </c>
      <c r="T829" s="66">
        <f t="shared" si="178"/>
        <v>1317.3385125</v>
      </c>
      <c r="U829" s="68">
        <f t="shared" si="179"/>
        <v>57.2755875</v>
      </c>
      <c r="V829" s="68">
        <f t="shared" si="180"/>
        <v>465.6551829268293</v>
      </c>
      <c r="W829" s="68">
        <f t="shared" si="181"/>
        <v>310.43678861788618</v>
      </c>
    </row>
    <row r="830" spans="1:23" x14ac:dyDescent="0.25">
      <c r="A830" s="169" t="s">
        <v>945</v>
      </c>
      <c r="B830" s="61" t="s">
        <v>390</v>
      </c>
      <c r="C830" s="61" t="s">
        <v>585</v>
      </c>
      <c r="D830" s="61" t="s">
        <v>854</v>
      </c>
      <c r="E830" s="1" t="s">
        <v>364</v>
      </c>
      <c r="F830" s="62" t="str">
        <f t="shared" si="170"/>
        <v>64532</v>
      </c>
      <c r="G830" s="269">
        <v>10620063</v>
      </c>
      <c r="H830" s="1" t="s">
        <v>382</v>
      </c>
      <c r="I830" s="61">
        <v>9</v>
      </c>
      <c r="J830" s="61">
        <v>3.8</v>
      </c>
      <c r="K830" s="61">
        <v>8.1999999999999993</v>
      </c>
      <c r="L830" s="69">
        <f t="shared" si="171"/>
        <v>0.34199999999999997</v>
      </c>
      <c r="M830" s="69">
        <f t="shared" si="172"/>
        <v>0.73799999999999999</v>
      </c>
      <c r="N830" s="56">
        <f>INDEX(Rate_Chart!$A$1:$AK$127,MATCH(Data!J830,Rate_Chart!$A$1:$A$127,0),MATCH(Data!K830,Rate_Chart!$A$1:$AK$1,0))</f>
        <v>38.6431398</v>
      </c>
      <c r="O830" s="57">
        <f t="shared" si="173"/>
        <v>347.78825819999997</v>
      </c>
      <c r="P830" s="58">
        <f t="shared" si="174"/>
        <v>417.01230000000004</v>
      </c>
      <c r="Q830" s="58">
        <f t="shared" si="175"/>
        <v>278.00820000000004</v>
      </c>
      <c r="R830" s="66">
        <f t="shared" si="176"/>
        <v>6.0862945184999999</v>
      </c>
      <c r="S830" s="64">
        <f t="shared" si="177"/>
        <v>33.75</v>
      </c>
      <c r="T830" s="66">
        <f t="shared" si="178"/>
        <v>387.62455271849996</v>
      </c>
      <c r="U830" s="68">
        <f t="shared" si="179"/>
        <v>43.069394746499995</v>
      </c>
      <c r="V830" s="68">
        <f t="shared" si="180"/>
        <v>464.77764114928056</v>
      </c>
      <c r="W830" s="68">
        <f t="shared" si="181"/>
        <v>309.85176076618706</v>
      </c>
    </row>
    <row r="831" spans="1:23" x14ac:dyDescent="0.25">
      <c r="A831" s="169" t="s">
        <v>945</v>
      </c>
      <c r="B831" s="61" t="s">
        <v>391</v>
      </c>
      <c r="C831" s="61" t="s">
        <v>585</v>
      </c>
      <c r="D831" s="61" t="s">
        <v>854</v>
      </c>
      <c r="E831" s="1" t="s">
        <v>364</v>
      </c>
      <c r="F831" s="62" t="str">
        <f t="shared" si="170"/>
        <v>64532</v>
      </c>
      <c r="G831" s="269">
        <v>10620063</v>
      </c>
      <c r="H831" s="1" t="s">
        <v>382</v>
      </c>
      <c r="I831" s="61">
        <v>13</v>
      </c>
      <c r="J831" s="61">
        <v>4.5999999999999996</v>
      </c>
      <c r="K831" s="61">
        <v>8.4</v>
      </c>
      <c r="L831" s="69">
        <f t="shared" si="171"/>
        <v>0.59799999999999998</v>
      </c>
      <c r="M831" s="69">
        <f t="shared" si="172"/>
        <v>1.0920000000000001</v>
      </c>
      <c r="N831" s="56">
        <f>INDEX(Rate_Chart!$A$1:$AK$127,MATCH(Data!J831,Rate_Chart!$A$1:$A$127,0),MATCH(Data!K831,Rate_Chart!$A$1:$AK$1,0))</f>
        <v>42.535167600000008</v>
      </c>
      <c r="O831" s="57">
        <f t="shared" si="173"/>
        <v>552.95717880000007</v>
      </c>
      <c r="P831" s="58">
        <f t="shared" si="174"/>
        <v>417.01144705882359</v>
      </c>
      <c r="Q831" s="58">
        <f t="shared" si="175"/>
        <v>278.00763137254904</v>
      </c>
      <c r="R831" s="66">
        <f t="shared" si="176"/>
        <v>9.6767506290000025</v>
      </c>
      <c r="S831" s="64">
        <f t="shared" si="177"/>
        <v>48.75</v>
      </c>
      <c r="T831" s="66">
        <f t="shared" si="178"/>
        <v>611.38392942900009</v>
      </c>
      <c r="U831" s="68">
        <f t="shared" si="179"/>
        <v>47.029533033000007</v>
      </c>
      <c r="V831" s="68">
        <f t="shared" si="180"/>
        <v>461.07385326470592</v>
      </c>
      <c r="W831" s="68">
        <f t="shared" si="181"/>
        <v>307.38256884313728</v>
      </c>
    </row>
    <row r="832" spans="1:23" x14ac:dyDescent="0.25">
      <c r="A832" s="169" t="s">
        <v>946</v>
      </c>
      <c r="B832" s="61" t="s">
        <v>390</v>
      </c>
      <c r="C832" s="61" t="s">
        <v>585</v>
      </c>
      <c r="D832" s="61" t="s">
        <v>854</v>
      </c>
      <c r="E832" s="1" t="s">
        <v>364</v>
      </c>
      <c r="F832" s="62" t="str">
        <f t="shared" si="170"/>
        <v>64532</v>
      </c>
      <c r="G832" s="269">
        <v>10620063</v>
      </c>
      <c r="H832" s="1" t="s">
        <v>381</v>
      </c>
      <c r="I832" s="61">
        <v>26</v>
      </c>
      <c r="J832" s="61">
        <v>6.9</v>
      </c>
      <c r="K832" s="61">
        <v>9</v>
      </c>
      <c r="L832" s="69">
        <f t="shared" si="171"/>
        <v>1.794</v>
      </c>
      <c r="M832" s="69">
        <f t="shared" si="172"/>
        <v>2.34</v>
      </c>
      <c r="N832" s="56">
        <f>INDEX(Rate_Chart!$A$1:$AK$127,MATCH(Data!J832,Rate_Chart!$A$1:$A$127,0),MATCH(Data!K832,Rate_Chart!$A$1:$AK$1,0))</f>
        <v>57.615000000000002</v>
      </c>
      <c r="O832" s="57">
        <f t="shared" si="173"/>
        <v>1497.99</v>
      </c>
      <c r="P832" s="58">
        <f t="shared" si="174"/>
        <v>446.62790697674421</v>
      </c>
      <c r="Q832" s="58">
        <f t="shared" si="175"/>
        <v>297.75193798449612</v>
      </c>
      <c r="R832" s="66">
        <f t="shared" si="176"/>
        <v>26.214825000000001</v>
      </c>
      <c r="S832" s="64">
        <f t="shared" si="177"/>
        <v>97.5</v>
      </c>
      <c r="T832" s="66">
        <f t="shared" si="178"/>
        <v>1621.704825</v>
      </c>
      <c r="U832" s="68">
        <f t="shared" si="179"/>
        <v>62.373262500000003</v>
      </c>
      <c r="V832" s="68">
        <f t="shared" si="180"/>
        <v>483.51366279069771</v>
      </c>
      <c r="W832" s="68">
        <f t="shared" si="181"/>
        <v>322.34244186046516</v>
      </c>
    </row>
    <row r="833" spans="1:23" x14ac:dyDescent="0.25">
      <c r="A833" s="169" t="s">
        <v>946</v>
      </c>
      <c r="B833" s="61" t="s">
        <v>390</v>
      </c>
      <c r="C833" s="61" t="s">
        <v>585</v>
      </c>
      <c r="D833" s="61" t="s">
        <v>854</v>
      </c>
      <c r="E833" s="1" t="s">
        <v>364</v>
      </c>
      <c r="F833" s="62" t="str">
        <f t="shared" si="170"/>
        <v>64532</v>
      </c>
      <c r="G833" s="269">
        <v>10620063</v>
      </c>
      <c r="H833" s="1" t="s">
        <v>382</v>
      </c>
      <c r="I833" s="61">
        <v>10</v>
      </c>
      <c r="J833" s="61">
        <v>4.2</v>
      </c>
      <c r="K833" s="61">
        <v>8.4</v>
      </c>
      <c r="L833" s="69">
        <f t="shared" si="171"/>
        <v>0.42</v>
      </c>
      <c r="M833" s="69">
        <f t="shared" si="172"/>
        <v>0.84</v>
      </c>
      <c r="N833" s="56">
        <f>INDEX(Rate_Chart!$A$1:$AK$127,MATCH(Data!J833,Rate_Chart!$A$1:$A$127,0),MATCH(Data!K833,Rate_Chart!$A$1:$AK$1,0))</f>
        <v>40.867167600000002</v>
      </c>
      <c r="O833" s="57">
        <f t="shared" si="173"/>
        <v>408.67167600000005</v>
      </c>
      <c r="P833" s="58">
        <f t="shared" si="174"/>
        <v>417.01191428571428</v>
      </c>
      <c r="Q833" s="58">
        <f t="shared" si="175"/>
        <v>278.00794285714284</v>
      </c>
      <c r="R833" s="66">
        <f t="shared" si="176"/>
        <v>7.1517543300000019</v>
      </c>
      <c r="S833" s="64">
        <f t="shared" si="177"/>
        <v>37.5</v>
      </c>
      <c r="T833" s="66">
        <f t="shared" si="178"/>
        <v>453.32343033000006</v>
      </c>
      <c r="U833" s="68">
        <f t="shared" si="179"/>
        <v>45.332343033000008</v>
      </c>
      <c r="V833" s="68">
        <f t="shared" si="180"/>
        <v>462.57492890816332</v>
      </c>
      <c r="W833" s="68">
        <f t="shared" si="181"/>
        <v>308.38328593877554</v>
      </c>
    </row>
    <row r="834" spans="1:23" x14ac:dyDescent="0.25">
      <c r="A834" s="169" t="s">
        <v>946</v>
      </c>
      <c r="B834" s="61" t="s">
        <v>391</v>
      </c>
      <c r="C834" s="61" t="s">
        <v>585</v>
      </c>
      <c r="D834" s="61" t="s">
        <v>854</v>
      </c>
      <c r="E834" s="1" t="s">
        <v>364</v>
      </c>
      <c r="F834" s="62" t="str">
        <f t="shared" si="170"/>
        <v>64532</v>
      </c>
      <c r="G834" s="269">
        <v>10620063</v>
      </c>
      <c r="H834" s="1" t="s">
        <v>382</v>
      </c>
      <c r="I834" s="61">
        <v>6</v>
      </c>
      <c r="J834" s="61">
        <v>5.0999999999999996</v>
      </c>
      <c r="K834" s="61">
        <v>8.5</v>
      </c>
      <c r="L834" s="69">
        <f t="shared" si="171"/>
        <v>0.30599999999999999</v>
      </c>
      <c r="M834" s="69">
        <f t="shared" si="172"/>
        <v>0.51</v>
      </c>
      <c r="N834" s="56">
        <f>INDEX(Rate_Chart!$A$1:$AK$127,MATCH(Data!J834,Rate_Chart!$A$1:$A$127,0),MATCH(Data!K834,Rate_Chart!$A$1:$AK$1,0))</f>
        <v>44.898181500000007</v>
      </c>
      <c r="O834" s="57">
        <f t="shared" si="173"/>
        <v>269.38908900000001</v>
      </c>
      <c r="P834" s="58">
        <f t="shared" si="174"/>
        <v>417.01097368421063</v>
      </c>
      <c r="Q834" s="58">
        <f t="shared" si="175"/>
        <v>278.00731578947375</v>
      </c>
      <c r="R834" s="66">
        <f t="shared" si="176"/>
        <v>4.7143090575000004</v>
      </c>
      <c r="S834" s="64">
        <f t="shared" si="177"/>
        <v>22.5</v>
      </c>
      <c r="T834" s="66">
        <f t="shared" si="178"/>
        <v>296.60339805749999</v>
      </c>
      <c r="U834" s="68">
        <f t="shared" si="179"/>
        <v>49.43389967625</v>
      </c>
      <c r="V834" s="68">
        <f t="shared" si="180"/>
        <v>459.13838708591334</v>
      </c>
      <c r="W834" s="68">
        <f t="shared" si="181"/>
        <v>306.09225805727556</v>
      </c>
    </row>
    <row r="835" spans="1:23" x14ac:dyDescent="0.25">
      <c r="A835" s="169" t="s">
        <v>947</v>
      </c>
      <c r="B835" s="61" t="s">
        <v>390</v>
      </c>
      <c r="C835" s="61" t="s">
        <v>585</v>
      </c>
      <c r="D835" s="61" t="s">
        <v>854</v>
      </c>
      <c r="E835" s="1" t="s">
        <v>364</v>
      </c>
      <c r="F835" s="62" t="str">
        <f t="shared" si="170"/>
        <v>64532</v>
      </c>
      <c r="G835" s="269">
        <v>10620063</v>
      </c>
      <c r="H835" s="1" t="s">
        <v>381</v>
      </c>
      <c r="I835" s="61">
        <v>35</v>
      </c>
      <c r="J835" s="61">
        <v>6.1</v>
      </c>
      <c r="K835" s="61">
        <v>9</v>
      </c>
      <c r="L835" s="69">
        <f t="shared" si="171"/>
        <v>2.1349999999999998</v>
      </c>
      <c r="M835" s="69">
        <f t="shared" si="172"/>
        <v>3.15</v>
      </c>
      <c r="N835" s="56">
        <f>INDEX(Rate_Chart!$A$1:$AK$127,MATCH(Data!J835,Rate_Chart!$A$1:$A$127,0),MATCH(Data!K835,Rate_Chart!$A$1:$AK$1,0))</f>
        <v>50.935000000000002</v>
      </c>
      <c r="O835" s="57">
        <f t="shared" si="173"/>
        <v>1782.7250000000001</v>
      </c>
      <c r="P835" s="58">
        <f t="shared" si="174"/>
        <v>420.95041322314052</v>
      </c>
      <c r="Q835" s="58">
        <f t="shared" si="175"/>
        <v>280.63360881542701</v>
      </c>
      <c r="R835" s="66">
        <f t="shared" si="176"/>
        <v>31.197687500000004</v>
      </c>
      <c r="S835" s="64">
        <f t="shared" si="177"/>
        <v>131.25</v>
      </c>
      <c r="T835" s="66">
        <f t="shared" si="178"/>
        <v>1945.1726875000002</v>
      </c>
      <c r="U835" s="68">
        <f t="shared" si="179"/>
        <v>55.576362500000002</v>
      </c>
      <c r="V835" s="68">
        <f t="shared" si="180"/>
        <v>459.30878099173555</v>
      </c>
      <c r="W835" s="68">
        <f t="shared" si="181"/>
        <v>306.20585399449038</v>
      </c>
    </row>
    <row r="836" spans="1:23" x14ac:dyDescent="0.25">
      <c r="A836" s="169" t="s">
        <v>947</v>
      </c>
      <c r="B836" s="61" t="s">
        <v>391</v>
      </c>
      <c r="C836" s="61" t="s">
        <v>585</v>
      </c>
      <c r="D836" s="61" t="s">
        <v>854</v>
      </c>
      <c r="E836" s="1" t="s">
        <v>364</v>
      </c>
      <c r="F836" s="62" t="str">
        <f t="shared" si="170"/>
        <v>64532</v>
      </c>
      <c r="G836" s="269">
        <v>10620063</v>
      </c>
      <c r="H836" s="1" t="s">
        <v>381</v>
      </c>
      <c r="I836" s="61">
        <v>12</v>
      </c>
      <c r="J836" s="61">
        <v>5.6</v>
      </c>
      <c r="K836" s="61">
        <v>8.4</v>
      </c>
      <c r="L836" s="69">
        <f t="shared" si="171"/>
        <v>0.67199999999999993</v>
      </c>
      <c r="M836" s="69">
        <f t="shared" si="172"/>
        <v>1.008</v>
      </c>
      <c r="N836" s="56">
        <f>INDEX(Rate_Chart!$A$1:$AK$127,MATCH(Data!J836,Rate_Chart!$A$1:$A$127,0),MATCH(Data!K836,Rate_Chart!$A$1:$AK$1,0))</f>
        <v>45.357199999999999</v>
      </c>
      <c r="O836" s="57">
        <f t="shared" si="173"/>
        <v>544.28639999999996</v>
      </c>
      <c r="P836" s="58">
        <f t="shared" si="174"/>
        <v>404.97500000000002</v>
      </c>
      <c r="Q836" s="58">
        <f t="shared" si="175"/>
        <v>269.98333333333335</v>
      </c>
      <c r="R836" s="66">
        <f t="shared" si="176"/>
        <v>9.5250120000000003</v>
      </c>
      <c r="S836" s="64">
        <f t="shared" si="177"/>
        <v>45</v>
      </c>
      <c r="T836" s="66">
        <f t="shared" si="178"/>
        <v>598.81141200000002</v>
      </c>
      <c r="U836" s="68">
        <f t="shared" si="179"/>
        <v>49.900950999999999</v>
      </c>
      <c r="V836" s="68">
        <f t="shared" si="180"/>
        <v>445.54420535714291</v>
      </c>
      <c r="W836" s="68">
        <f t="shared" si="181"/>
        <v>297.02947023809526</v>
      </c>
    </row>
    <row r="837" spans="1:23" x14ac:dyDescent="0.25">
      <c r="A837" s="169" t="s">
        <v>941</v>
      </c>
      <c r="B837" s="61" t="s">
        <v>390</v>
      </c>
      <c r="C837" s="61" t="s">
        <v>585</v>
      </c>
      <c r="D837" s="61" t="s">
        <v>587</v>
      </c>
      <c r="E837" s="1" t="s">
        <v>365</v>
      </c>
      <c r="F837" s="62" t="str">
        <f t="shared" ref="F837:F900" si="182">MID(E837,2,5)</f>
        <v>64534</v>
      </c>
      <c r="G837" s="269">
        <v>10620038</v>
      </c>
      <c r="H837" s="1" t="s">
        <v>381</v>
      </c>
      <c r="I837" s="61">
        <v>12</v>
      </c>
      <c r="J837" s="61">
        <v>7.2</v>
      </c>
      <c r="K837" s="61">
        <v>9</v>
      </c>
      <c r="L837" s="69">
        <f t="shared" si="171"/>
        <v>0.8640000000000001</v>
      </c>
      <c r="M837" s="69">
        <f t="shared" si="172"/>
        <v>1.08</v>
      </c>
      <c r="N837" s="56">
        <f>INDEX(Rate_Chart!$A$1:$AK$127,MATCH(Data!J837,Rate_Chart!$A$1:$A$127,0),MATCH(Data!K837,Rate_Chart!$A$1:$AK$1,0))</f>
        <v>60.120000000000005</v>
      </c>
      <c r="O837" s="57">
        <f t="shared" si="173"/>
        <v>721.44</v>
      </c>
      <c r="P837" s="58">
        <f t="shared" si="174"/>
        <v>455.4545454545455</v>
      </c>
      <c r="Q837" s="58">
        <f t="shared" si="175"/>
        <v>303.63636363636368</v>
      </c>
      <c r="R837" s="66">
        <f t="shared" si="176"/>
        <v>12.625200000000001</v>
      </c>
      <c r="S837" s="64">
        <f t="shared" si="177"/>
        <v>45</v>
      </c>
      <c r="T837" s="66">
        <f t="shared" si="178"/>
        <v>779.0652</v>
      </c>
      <c r="U837" s="68">
        <f t="shared" si="179"/>
        <v>64.9221</v>
      </c>
      <c r="V837" s="68">
        <f t="shared" si="180"/>
        <v>491.83409090909089</v>
      </c>
      <c r="W837" s="68">
        <f t="shared" si="181"/>
        <v>327.88939393939393</v>
      </c>
    </row>
    <row r="838" spans="1:23" x14ac:dyDescent="0.25">
      <c r="A838" s="169" t="s">
        <v>941</v>
      </c>
      <c r="B838" s="61" t="s">
        <v>390</v>
      </c>
      <c r="C838" s="61" t="s">
        <v>585</v>
      </c>
      <c r="D838" s="61" t="s">
        <v>587</v>
      </c>
      <c r="E838" s="1" t="s">
        <v>365</v>
      </c>
      <c r="F838" s="62" t="str">
        <f t="shared" si="182"/>
        <v>64534</v>
      </c>
      <c r="G838" s="269">
        <v>10620038</v>
      </c>
      <c r="H838" s="1" t="s">
        <v>382</v>
      </c>
      <c r="I838" s="61">
        <v>7</v>
      </c>
      <c r="J838" s="61">
        <v>3</v>
      </c>
      <c r="K838" s="61">
        <v>8.4</v>
      </c>
      <c r="L838" s="69">
        <f t="shared" si="171"/>
        <v>0.21</v>
      </c>
      <c r="M838" s="69">
        <f t="shared" si="172"/>
        <v>0.58800000000000008</v>
      </c>
      <c r="N838" s="56">
        <f>INDEX(Rate_Chart!$A$1:$AK$127,MATCH(Data!J838,Rate_Chart!$A$1:$A$127,0),MATCH(Data!K838,Rate_Chart!$A$1:$AK$1,0))</f>
        <v>35.863167600000004</v>
      </c>
      <c r="O838" s="57">
        <f t="shared" si="173"/>
        <v>251.04217320000004</v>
      </c>
      <c r="P838" s="58">
        <f t="shared" si="174"/>
        <v>417.01357674418614</v>
      </c>
      <c r="Q838" s="58">
        <f t="shared" si="175"/>
        <v>278.00905116279074</v>
      </c>
      <c r="R838" s="66">
        <f t="shared" si="176"/>
        <v>4.393238031000001</v>
      </c>
      <c r="S838" s="64">
        <f t="shared" si="177"/>
        <v>26.25</v>
      </c>
      <c r="T838" s="66">
        <f t="shared" si="178"/>
        <v>281.68541123100005</v>
      </c>
      <c r="U838" s="68">
        <f t="shared" si="179"/>
        <v>40.240773033000004</v>
      </c>
      <c r="V838" s="68">
        <f t="shared" si="180"/>
        <v>467.91596550000008</v>
      </c>
      <c r="W838" s="68">
        <f t="shared" si="181"/>
        <v>311.94397700000007</v>
      </c>
    </row>
    <row r="839" spans="1:23" x14ac:dyDescent="0.25">
      <c r="A839" s="169" t="s">
        <v>941</v>
      </c>
      <c r="B839" s="61" t="s">
        <v>391</v>
      </c>
      <c r="C839" s="61" t="s">
        <v>585</v>
      </c>
      <c r="D839" s="61" t="s">
        <v>587</v>
      </c>
      <c r="E839" s="1" t="s">
        <v>365</v>
      </c>
      <c r="F839" s="62" t="str">
        <f t="shared" si="182"/>
        <v>64534</v>
      </c>
      <c r="G839" s="269">
        <v>10620038</v>
      </c>
      <c r="H839" s="1" t="s">
        <v>382</v>
      </c>
      <c r="I839" s="61">
        <v>20</v>
      </c>
      <c r="J839" s="61">
        <v>5.0999999999999996</v>
      </c>
      <c r="K839" s="61">
        <v>8.5</v>
      </c>
      <c r="L839" s="69">
        <f t="shared" si="171"/>
        <v>1.02</v>
      </c>
      <c r="M839" s="69">
        <f t="shared" si="172"/>
        <v>1.7</v>
      </c>
      <c r="N839" s="56">
        <f>INDEX(Rate_Chart!$A$1:$AK$127,MATCH(Data!J839,Rate_Chart!$A$1:$A$127,0),MATCH(Data!K839,Rate_Chart!$A$1:$AK$1,0))</f>
        <v>44.898181500000007</v>
      </c>
      <c r="O839" s="57">
        <f t="shared" si="173"/>
        <v>897.96363000000019</v>
      </c>
      <c r="P839" s="58">
        <f t="shared" si="174"/>
        <v>417.01097368421063</v>
      </c>
      <c r="Q839" s="58">
        <f t="shared" si="175"/>
        <v>278.00731578947375</v>
      </c>
      <c r="R839" s="66">
        <f t="shared" si="176"/>
        <v>15.714363525000005</v>
      </c>
      <c r="S839" s="64">
        <f t="shared" si="177"/>
        <v>75</v>
      </c>
      <c r="T839" s="66">
        <f t="shared" si="178"/>
        <v>988.67799352500015</v>
      </c>
      <c r="U839" s="68">
        <f t="shared" si="179"/>
        <v>49.433899676250007</v>
      </c>
      <c r="V839" s="68">
        <f t="shared" si="180"/>
        <v>459.13838708591339</v>
      </c>
      <c r="W839" s="68">
        <f t="shared" si="181"/>
        <v>306.09225805727561</v>
      </c>
    </row>
    <row r="840" spans="1:23" x14ac:dyDescent="0.25">
      <c r="A840" s="169" t="s">
        <v>942</v>
      </c>
      <c r="B840" s="61" t="s">
        <v>390</v>
      </c>
      <c r="C840" s="61" t="s">
        <v>585</v>
      </c>
      <c r="D840" s="61" t="s">
        <v>587</v>
      </c>
      <c r="E840" s="1" t="s">
        <v>365</v>
      </c>
      <c r="F840" s="62" t="str">
        <f t="shared" si="182"/>
        <v>64534</v>
      </c>
      <c r="G840" s="269">
        <v>10620038</v>
      </c>
      <c r="H840" s="1" t="s">
        <v>381</v>
      </c>
      <c r="I840" s="61">
        <v>16</v>
      </c>
      <c r="J840" s="61">
        <v>6.7</v>
      </c>
      <c r="K840" s="61">
        <v>9</v>
      </c>
      <c r="L840" s="69">
        <f t="shared" si="171"/>
        <v>1.0720000000000001</v>
      </c>
      <c r="M840" s="69">
        <f t="shared" si="172"/>
        <v>1.44</v>
      </c>
      <c r="N840" s="56">
        <f>INDEX(Rate_Chart!$A$1:$AK$127,MATCH(Data!J840,Rate_Chart!$A$1:$A$127,0),MATCH(Data!K840,Rate_Chart!$A$1:$AK$1,0))</f>
        <v>55.945</v>
      </c>
      <c r="O840" s="57">
        <f t="shared" si="173"/>
        <v>895.12</v>
      </c>
      <c r="P840" s="58">
        <f t="shared" si="174"/>
        <v>440.51181102362204</v>
      </c>
      <c r="Q840" s="58">
        <f t="shared" si="175"/>
        <v>293.67454068241472</v>
      </c>
      <c r="R840" s="66">
        <f t="shared" si="176"/>
        <v>15.664600000000002</v>
      </c>
      <c r="S840" s="64">
        <f t="shared" si="177"/>
        <v>60</v>
      </c>
      <c r="T840" s="66">
        <f t="shared" si="178"/>
        <v>970.78459999999995</v>
      </c>
      <c r="U840" s="68">
        <f t="shared" si="179"/>
        <v>60.674037499999997</v>
      </c>
      <c r="V840" s="68">
        <f t="shared" si="180"/>
        <v>477.74832677165352</v>
      </c>
      <c r="W840" s="68">
        <f t="shared" si="181"/>
        <v>318.4988845144357</v>
      </c>
    </row>
    <row r="841" spans="1:23" x14ac:dyDescent="0.25">
      <c r="A841" s="169" t="s">
        <v>942</v>
      </c>
      <c r="B841" s="61" t="s">
        <v>390</v>
      </c>
      <c r="C841" s="61" t="s">
        <v>585</v>
      </c>
      <c r="D841" s="61" t="s">
        <v>587</v>
      </c>
      <c r="E841" s="1" t="s">
        <v>365</v>
      </c>
      <c r="F841" s="62" t="str">
        <f t="shared" si="182"/>
        <v>64534</v>
      </c>
      <c r="G841" s="269">
        <v>10620038</v>
      </c>
      <c r="H841" s="1" t="s">
        <v>382</v>
      </c>
      <c r="I841" s="61">
        <v>15</v>
      </c>
      <c r="J841" s="61">
        <v>3.1</v>
      </c>
      <c r="K841" s="61">
        <v>8.1</v>
      </c>
      <c r="L841" s="69">
        <f t="shared" si="171"/>
        <v>0.46500000000000002</v>
      </c>
      <c r="M841" s="69">
        <f t="shared" si="172"/>
        <v>1.2150000000000001</v>
      </c>
      <c r="N841" s="56">
        <f>INDEX(Rate_Chart!$A$1:$AK$127,MATCH(Data!J841,Rate_Chart!$A$1:$A$127,0),MATCH(Data!K841,Rate_Chart!$A$1:$AK$1,0))</f>
        <v>35.446125899999998</v>
      </c>
      <c r="O841" s="57">
        <f t="shared" si="173"/>
        <v>531.6918885</v>
      </c>
      <c r="P841" s="58">
        <f t="shared" si="174"/>
        <v>417.01324588235298</v>
      </c>
      <c r="Q841" s="58">
        <f t="shared" si="175"/>
        <v>278.0088305882353</v>
      </c>
      <c r="R841" s="66">
        <f t="shared" si="176"/>
        <v>9.3046080487500014</v>
      </c>
      <c r="S841" s="64">
        <f t="shared" si="177"/>
        <v>56.25</v>
      </c>
      <c r="T841" s="66">
        <f t="shared" si="178"/>
        <v>597.24649654874997</v>
      </c>
      <c r="U841" s="68">
        <f t="shared" si="179"/>
        <v>39.816433103249999</v>
      </c>
      <c r="V841" s="68">
        <f t="shared" si="180"/>
        <v>468.42862474411766</v>
      </c>
      <c r="W841" s="68">
        <f t="shared" si="181"/>
        <v>312.28574982941177</v>
      </c>
    </row>
    <row r="842" spans="1:23" x14ac:dyDescent="0.25">
      <c r="A842" s="169" t="s">
        <v>942</v>
      </c>
      <c r="B842" s="61" t="s">
        <v>391</v>
      </c>
      <c r="C842" s="61" t="s">
        <v>585</v>
      </c>
      <c r="D842" s="61" t="s">
        <v>587</v>
      </c>
      <c r="E842" s="1" t="s">
        <v>365</v>
      </c>
      <c r="F842" s="62" t="str">
        <f t="shared" si="182"/>
        <v>64534</v>
      </c>
      <c r="G842" s="269">
        <v>10620038</v>
      </c>
      <c r="H842" s="1" t="s">
        <v>381</v>
      </c>
      <c r="I842" s="61">
        <v>13</v>
      </c>
      <c r="J842" s="61">
        <v>5.6</v>
      </c>
      <c r="K842" s="61">
        <v>8.8000000000000007</v>
      </c>
      <c r="L842" s="69">
        <f t="shared" si="171"/>
        <v>0.72799999999999998</v>
      </c>
      <c r="M842" s="69">
        <f t="shared" si="172"/>
        <v>1.1440000000000001</v>
      </c>
      <c r="N842" s="56">
        <f>INDEX(Rate_Chart!$A$1:$AK$127,MATCH(Data!J842,Rate_Chart!$A$1:$A$127,0),MATCH(Data!K842,Rate_Chart!$A$1:$AK$1,0))</f>
        <v>46.292400000000001</v>
      </c>
      <c r="O842" s="57">
        <f t="shared" si="173"/>
        <v>601.80119999999999</v>
      </c>
      <c r="P842" s="58">
        <f t="shared" si="174"/>
        <v>403.71279069767445</v>
      </c>
      <c r="Q842" s="58">
        <f t="shared" si="175"/>
        <v>269.14186046511628</v>
      </c>
      <c r="R842" s="66">
        <f t="shared" si="176"/>
        <v>10.531521000000001</v>
      </c>
      <c r="S842" s="64">
        <f t="shared" si="177"/>
        <v>48.75</v>
      </c>
      <c r="T842" s="66">
        <f t="shared" si="178"/>
        <v>661.08272099999999</v>
      </c>
      <c r="U842" s="68">
        <f t="shared" si="179"/>
        <v>50.852516999999999</v>
      </c>
      <c r="V842" s="68">
        <f t="shared" si="180"/>
        <v>443.48125290697675</v>
      </c>
      <c r="W842" s="68">
        <f t="shared" si="181"/>
        <v>295.65416860465115</v>
      </c>
    </row>
    <row r="843" spans="1:23" x14ac:dyDescent="0.25">
      <c r="A843" s="169" t="s">
        <v>943</v>
      </c>
      <c r="B843" s="61" t="s">
        <v>390</v>
      </c>
      <c r="C843" s="61" t="s">
        <v>585</v>
      </c>
      <c r="D843" s="61" t="s">
        <v>587</v>
      </c>
      <c r="E843" s="1" t="s">
        <v>365</v>
      </c>
      <c r="F843" s="62" t="str">
        <f t="shared" si="182"/>
        <v>64534</v>
      </c>
      <c r="G843" s="269">
        <v>10620038</v>
      </c>
      <c r="H843" s="1" t="s">
        <v>381</v>
      </c>
      <c r="I843" s="61">
        <v>17</v>
      </c>
      <c r="J843" s="61">
        <v>6.2</v>
      </c>
      <c r="K843" s="61">
        <v>9</v>
      </c>
      <c r="L843" s="69">
        <f t="shared" si="171"/>
        <v>1.054</v>
      </c>
      <c r="M843" s="69">
        <f t="shared" si="172"/>
        <v>1.53</v>
      </c>
      <c r="N843" s="56">
        <f>INDEX(Rate_Chart!$A$1:$AK$127,MATCH(Data!J843,Rate_Chart!$A$1:$A$127,0),MATCH(Data!K843,Rate_Chart!$A$1:$AK$1,0))</f>
        <v>51.77</v>
      </c>
      <c r="O843" s="57">
        <f t="shared" si="173"/>
        <v>880.09</v>
      </c>
      <c r="P843" s="58">
        <f t="shared" si="174"/>
        <v>424.34426229508199</v>
      </c>
      <c r="Q843" s="58">
        <f t="shared" si="175"/>
        <v>282.89617486338801</v>
      </c>
      <c r="R843" s="66">
        <f t="shared" si="176"/>
        <v>15.401575000000003</v>
      </c>
      <c r="S843" s="64">
        <f t="shared" si="177"/>
        <v>63.75</v>
      </c>
      <c r="T843" s="66">
        <f t="shared" si="178"/>
        <v>959.24157500000001</v>
      </c>
      <c r="U843" s="68">
        <f t="shared" si="179"/>
        <v>56.425975000000001</v>
      </c>
      <c r="V843" s="68">
        <f t="shared" si="180"/>
        <v>462.50799180327868</v>
      </c>
      <c r="W843" s="68">
        <f t="shared" si="181"/>
        <v>308.33866120218579</v>
      </c>
    </row>
    <row r="844" spans="1:23" x14ac:dyDescent="0.25">
      <c r="A844" s="169" t="s">
        <v>943</v>
      </c>
      <c r="B844" s="61" t="s">
        <v>390</v>
      </c>
      <c r="C844" s="61" t="s">
        <v>585</v>
      </c>
      <c r="D844" s="61" t="s">
        <v>587</v>
      </c>
      <c r="E844" s="1" t="s">
        <v>365</v>
      </c>
      <c r="F844" s="62" t="str">
        <f t="shared" si="182"/>
        <v>64534</v>
      </c>
      <c r="G844" s="269">
        <v>10620038</v>
      </c>
      <c r="H844" s="1" t="s">
        <v>382</v>
      </c>
      <c r="I844" s="61">
        <v>15</v>
      </c>
      <c r="J844" s="61">
        <v>3.1</v>
      </c>
      <c r="K844" s="61">
        <v>8.1</v>
      </c>
      <c r="L844" s="69">
        <f t="shared" si="171"/>
        <v>0.46500000000000002</v>
      </c>
      <c r="M844" s="69">
        <f t="shared" si="172"/>
        <v>1.2150000000000001</v>
      </c>
      <c r="N844" s="56">
        <f>INDEX(Rate_Chart!$A$1:$AK$127,MATCH(Data!J844,Rate_Chart!$A$1:$A$127,0),MATCH(Data!K844,Rate_Chart!$A$1:$AK$1,0))</f>
        <v>35.446125899999998</v>
      </c>
      <c r="O844" s="57">
        <f t="shared" si="173"/>
        <v>531.6918885</v>
      </c>
      <c r="P844" s="58">
        <f t="shared" si="174"/>
        <v>417.01324588235298</v>
      </c>
      <c r="Q844" s="58">
        <f t="shared" si="175"/>
        <v>278.0088305882353</v>
      </c>
      <c r="R844" s="66">
        <f t="shared" si="176"/>
        <v>9.3046080487500014</v>
      </c>
      <c r="S844" s="64">
        <f t="shared" si="177"/>
        <v>56.25</v>
      </c>
      <c r="T844" s="66">
        <f t="shared" si="178"/>
        <v>597.24649654874997</v>
      </c>
      <c r="U844" s="68">
        <f t="shared" si="179"/>
        <v>39.816433103249999</v>
      </c>
      <c r="V844" s="68">
        <f t="shared" si="180"/>
        <v>468.42862474411766</v>
      </c>
      <c r="W844" s="68">
        <f t="shared" si="181"/>
        <v>312.28574982941177</v>
      </c>
    </row>
    <row r="845" spans="1:23" x14ac:dyDescent="0.25">
      <c r="A845" s="169" t="s">
        <v>943</v>
      </c>
      <c r="B845" s="61" t="s">
        <v>391</v>
      </c>
      <c r="C845" s="61" t="s">
        <v>585</v>
      </c>
      <c r="D845" s="61" t="s">
        <v>587</v>
      </c>
      <c r="E845" s="1" t="s">
        <v>365</v>
      </c>
      <c r="F845" s="62" t="str">
        <f t="shared" si="182"/>
        <v>64534</v>
      </c>
      <c r="G845" s="269">
        <v>10620038</v>
      </c>
      <c r="H845" s="1" t="s">
        <v>381</v>
      </c>
      <c r="I845" s="61">
        <v>15</v>
      </c>
      <c r="J845" s="61">
        <v>5.8</v>
      </c>
      <c r="K845" s="61">
        <v>8.8000000000000007</v>
      </c>
      <c r="L845" s="69">
        <f t="shared" si="171"/>
        <v>0.87</v>
      </c>
      <c r="M845" s="69">
        <f t="shared" si="172"/>
        <v>1.32</v>
      </c>
      <c r="N845" s="56">
        <f>INDEX(Rate_Chart!$A$1:$AK$127,MATCH(Data!J845,Rate_Chart!$A$1:$A$127,0),MATCH(Data!K845,Rate_Chart!$A$1:$AK$1,0))</f>
        <v>47.945700000000002</v>
      </c>
      <c r="O845" s="57">
        <f t="shared" si="173"/>
        <v>719.18550000000005</v>
      </c>
      <c r="P845" s="58">
        <f t="shared" si="174"/>
        <v>410.96314285714288</v>
      </c>
      <c r="Q845" s="58">
        <f t="shared" si="175"/>
        <v>273.97542857142861</v>
      </c>
      <c r="R845" s="66">
        <f t="shared" si="176"/>
        <v>12.585746250000001</v>
      </c>
      <c r="S845" s="64">
        <f t="shared" si="177"/>
        <v>56.25</v>
      </c>
      <c r="T845" s="66">
        <f t="shared" si="178"/>
        <v>788.0212462500001</v>
      </c>
      <c r="U845" s="68">
        <f t="shared" si="179"/>
        <v>52.53474975000001</v>
      </c>
      <c r="V845" s="68">
        <f t="shared" si="180"/>
        <v>450.29785500000008</v>
      </c>
      <c r="W845" s="68">
        <f t="shared" si="181"/>
        <v>300.19857000000007</v>
      </c>
    </row>
    <row r="846" spans="1:23" x14ac:dyDescent="0.25">
      <c r="A846" s="169" t="s">
        <v>944</v>
      </c>
      <c r="B846" s="61" t="s">
        <v>390</v>
      </c>
      <c r="C846" s="61" t="s">
        <v>585</v>
      </c>
      <c r="D846" s="61" t="s">
        <v>587</v>
      </c>
      <c r="E846" s="1" t="s">
        <v>365</v>
      </c>
      <c r="F846" s="62" t="str">
        <f t="shared" si="182"/>
        <v>64534</v>
      </c>
      <c r="G846" s="269">
        <v>10620038</v>
      </c>
      <c r="H846" s="1" t="s">
        <v>381</v>
      </c>
      <c r="I846" s="61">
        <v>16</v>
      </c>
      <c r="J846" s="61">
        <v>6.6</v>
      </c>
      <c r="K846" s="61">
        <v>9</v>
      </c>
      <c r="L846" s="69">
        <f t="shared" si="171"/>
        <v>1.056</v>
      </c>
      <c r="M846" s="69">
        <f t="shared" si="172"/>
        <v>1.44</v>
      </c>
      <c r="N846" s="56">
        <f>INDEX(Rate_Chart!$A$1:$AK$127,MATCH(Data!J846,Rate_Chart!$A$1:$A$127,0),MATCH(Data!K846,Rate_Chart!$A$1:$AK$1,0))</f>
        <v>55.11</v>
      </c>
      <c r="O846" s="57">
        <f t="shared" si="173"/>
        <v>881.76</v>
      </c>
      <c r="P846" s="58">
        <f t="shared" si="174"/>
        <v>437.38095238095235</v>
      </c>
      <c r="Q846" s="58">
        <f t="shared" si="175"/>
        <v>291.58730158730157</v>
      </c>
      <c r="R846" s="66">
        <f t="shared" si="176"/>
        <v>15.430800000000001</v>
      </c>
      <c r="S846" s="64">
        <f t="shared" si="177"/>
        <v>60</v>
      </c>
      <c r="T846" s="66">
        <f t="shared" si="178"/>
        <v>957.19079999999997</v>
      </c>
      <c r="U846" s="68">
        <f t="shared" si="179"/>
        <v>59.824424999999998</v>
      </c>
      <c r="V846" s="68">
        <f t="shared" si="180"/>
        <v>474.79702380952381</v>
      </c>
      <c r="W846" s="68">
        <f t="shared" si="181"/>
        <v>316.5313492063492</v>
      </c>
    </row>
    <row r="847" spans="1:23" x14ac:dyDescent="0.25">
      <c r="A847" s="169" t="s">
        <v>944</v>
      </c>
      <c r="B847" s="61" t="s">
        <v>390</v>
      </c>
      <c r="C847" s="61" t="s">
        <v>585</v>
      </c>
      <c r="D847" s="61" t="s">
        <v>587</v>
      </c>
      <c r="E847" s="1" t="s">
        <v>365</v>
      </c>
      <c r="F847" s="62" t="str">
        <f t="shared" si="182"/>
        <v>64534</v>
      </c>
      <c r="G847" s="269">
        <v>10620038</v>
      </c>
      <c r="H847" s="1" t="s">
        <v>382</v>
      </c>
      <c r="I847" s="61">
        <v>17</v>
      </c>
      <c r="J847" s="61">
        <v>3.4</v>
      </c>
      <c r="K847" s="61">
        <v>8.1999999999999993</v>
      </c>
      <c r="L847" s="69">
        <f t="shared" si="171"/>
        <v>0.57799999999999996</v>
      </c>
      <c r="M847" s="69">
        <f t="shared" si="172"/>
        <v>1.3939999999999997</v>
      </c>
      <c r="N847" s="56">
        <f>INDEX(Rate_Chart!$A$1:$AK$127,MATCH(Data!J847,Rate_Chart!$A$1:$A$127,0),MATCH(Data!K847,Rate_Chart!$A$1:$AK$1,0))</f>
        <v>36.975139800000001</v>
      </c>
      <c r="O847" s="57">
        <f t="shared" si="173"/>
        <v>628.57737659999998</v>
      </c>
      <c r="P847" s="58">
        <f t="shared" si="174"/>
        <v>417.01285488721805</v>
      </c>
      <c r="Q847" s="58">
        <f t="shared" si="175"/>
        <v>278.00856992481204</v>
      </c>
      <c r="R847" s="66">
        <f t="shared" si="176"/>
        <v>11.000104090500001</v>
      </c>
      <c r="S847" s="64">
        <f t="shared" si="177"/>
        <v>63.75</v>
      </c>
      <c r="T847" s="66">
        <f t="shared" si="178"/>
        <v>703.32748069050001</v>
      </c>
      <c r="U847" s="68">
        <f t="shared" si="179"/>
        <v>41.372204746500003</v>
      </c>
      <c r="V847" s="68">
        <f t="shared" si="180"/>
        <v>466.60381293045111</v>
      </c>
      <c r="W847" s="68">
        <f t="shared" si="181"/>
        <v>311.06920862030074</v>
      </c>
    </row>
    <row r="848" spans="1:23" x14ac:dyDescent="0.25">
      <c r="A848" s="169" t="s">
        <v>944</v>
      </c>
      <c r="B848" s="61" t="s">
        <v>391</v>
      </c>
      <c r="C848" s="61" t="s">
        <v>585</v>
      </c>
      <c r="D848" s="61" t="s">
        <v>587</v>
      </c>
      <c r="E848" s="1" t="s">
        <v>365</v>
      </c>
      <c r="F848" s="62" t="str">
        <f t="shared" si="182"/>
        <v>64534</v>
      </c>
      <c r="G848" s="269">
        <v>10620038</v>
      </c>
      <c r="H848" s="1" t="s">
        <v>381</v>
      </c>
      <c r="I848" s="61">
        <v>15</v>
      </c>
      <c r="J848" s="61">
        <v>6</v>
      </c>
      <c r="K848" s="61">
        <v>9</v>
      </c>
      <c r="L848" s="69">
        <f t="shared" si="171"/>
        <v>0.9</v>
      </c>
      <c r="M848" s="69">
        <f t="shared" si="172"/>
        <v>1.35</v>
      </c>
      <c r="N848" s="56">
        <f>INDEX(Rate_Chart!$A$1:$AK$127,MATCH(Data!J848,Rate_Chart!$A$1:$A$127,0),MATCH(Data!K848,Rate_Chart!$A$1:$AK$1,0))</f>
        <v>50.1</v>
      </c>
      <c r="O848" s="57">
        <f t="shared" si="173"/>
        <v>751.5</v>
      </c>
      <c r="P848" s="58">
        <f t="shared" si="174"/>
        <v>417.5</v>
      </c>
      <c r="Q848" s="58">
        <f t="shared" si="175"/>
        <v>278.33333333333331</v>
      </c>
      <c r="R848" s="66">
        <f t="shared" si="176"/>
        <v>13.151250000000001</v>
      </c>
      <c r="S848" s="64">
        <f t="shared" si="177"/>
        <v>56.25</v>
      </c>
      <c r="T848" s="66">
        <f t="shared" si="178"/>
        <v>820.90125</v>
      </c>
      <c r="U848" s="68">
        <f t="shared" si="179"/>
        <v>54.726750000000003</v>
      </c>
      <c r="V848" s="68">
        <f t="shared" si="180"/>
        <v>456.05625000000003</v>
      </c>
      <c r="W848" s="68">
        <f t="shared" si="181"/>
        <v>304.03750000000002</v>
      </c>
    </row>
    <row r="849" spans="1:23" x14ac:dyDescent="0.25">
      <c r="A849" s="169" t="s">
        <v>945</v>
      </c>
      <c r="B849" s="61" t="s">
        <v>390</v>
      </c>
      <c r="C849" s="61" t="s">
        <v>585</v>
      </c>
      <c r="D849" s="61" t="s">
        <v>587</v>
      </c>
      <c r="E849" s="1" t="s">
        <v>365</v>
      </c>
      <c r="F849" s="62" t="str">
        <f t="shared" si="182"/>
        <v>64534</v>
      </c>
      <c r="G849" s="269">
        <v>10620038</v>
      </c>
      <c r="H849" s="1" t="s">
        <v>381</v>
      </c>
      <c r="I849" s="61">
        <v>18</v>
      </c>
      <c r="J849" s="61">
        <v>6.4</v>
      </c>
      <c r="K849" s="61">
        <v>9</v>
      </c>
      <c r="L849" s="69">
        <f t="shared" si="171"/>
        <v>1.1520000000000001</v>
      </c>
      <c r="M849" s="69">
        <f t="shared" si="172"/>
        <v>1.62</v>
      </c>
      <c r="N849" s="56">
        <f>INDEX(Rate_Chart!$A$1:$AK$127,MATCH(Data!J849,Rate_Chart!$A$1:$A$127,0),MATCH(Data!K849,Rate_Chart!$A$1:$AK$1,0))</f>
        <v>53.44</v>
      </c>
      <c r="O849" s="57">
        <f t="shared" si="173"/>
        <v>961.92</v>
      </c>
      <c r="P849" s="58">
        <f t="shared" si="174"/>
        <v>430.96774193548384</v>
      </c>
      <c r="Q849" s="58">
        <f t="shared" si="175"/>
        <v>287.31182795698925</v>
      </c>
      <c r="R849" s="66">
        <f t="shared" si="176"/>
        <v>16.833600000000001</v>
      </c>
      <c r="S849" s="64">
        <f t="shared" si="177"/>
        <v>67.5</v>
      </c>
      <c r="T849" s="66">
        <f t="shared" si="178"/>
        <v>1046.2536</v>
      </c>
      <c r="U849" s="68">
        <f t="shared" si="179"/>
        <v>58.1252</v>
      </c>
      <c r="V849" s="68">
        <f t="shared" si="180"/>
        <v>468.7516129032258</v>
      </c>
      <c r="W849" s="68">
        <f t="shared" si="181"/>
        <v>312.5010752688172</v>
      </c>
    </row>
    <row r="850" spans="1:23" x14ac:dyDescent="0.25">
      <c r="A850" s="169" t="s">
        <v>945</v>
      </c>
      <c r="B850" s="61" t="s">
        <v>390</v>
      </c>
      <c r="C850" s="61" t="s">
        <v>585</v>
      </c>
      <c r="D850" s="61" t="s">
        <v>587</v>
      </c>
      <c r="E850" s="1" t="s">
        <v>365</v>
      </c>
      <c r="F850" s="62" t="str">
        <f t="shared" si="182"/>
        <v>64534</v>
      </c>
      <c r="G850" s="269">
        <v>10620038</v>
      </c>
      <c r="H850" s="1" t="s">
        <v>382</v>
      </c>
      <c r="I850" s="61">
        <v>14</v>
      </c>
      <c r="J850" s="61">
        <v>3.5</v>
      </c>
      <c r="K850" s="61">
        <v>8.3000000000000007</v>
      </c>
      <c r="L850" s="69">
        <f t="shared" si="171"/>
        <v>0.49</v>
      </c>
      <c r="M850" s="69">
        <f t="shared" si="172"/>
        <v>1.1620000000000001</v>
      </c>
      <c r="N850" s="56">
        <f>INDEX(Rate_Chart!$A$1:$AK$127,MATCH(Data!J850,Rate_Chart!$A$1:$A$127,0),MATCH(Data!K850,Rate_Chart!$A$1:$AK$1,0))</f>
        <v>37.670153700000007</v>
      </c>
      <c r="O850" s="57">
        <f t="shared" si="173"/>
        <v>527.38215180000009</v>
      </c>
      <c r="P850" s="58">
        <f t="shared" si="174"/>
        <v>417.01277158671587</v>
      </c>
      <c r="Q850" s="58">
        <f t="shared" si="175"/>
        <v>278.00851439114393</v>
      </c>
      <c r="R850" s="66">
        <f t="shared" si="176"/>
        <v>9.2291876565000024</v>
      </c>
      <c r="S850" s="64">
        <f t="shared" si="177"/>
        <v>52.5</v>
      </c>
      <c r="T850" s="66">
        <f t="shared" si="178"/>
        <v>589.1113394565001</v>
      </c>
      <c r="U850" s="68">
        <f t="shared" si="179"/>
        <v>42.079381389750004</v>
      </c>
      <c r="V850" s="68">
        <f t="shared" si="180"/>
        <v>465.82341021863465</v>
      </c>
      <c r="W850" s="68">
        <f t="shared" si="181"/>
        <v>310.54894014575643</v>
      </c>
    </row>
    <row r="851" spans="1:23" x14ac:dyDescent="0.25">
      <c r="A851" s="169" t="s">
        <v>945</v>
      </c>
      <c r="B851" s="61" t="s">
        <v>391</v>
      </c>
      <c r="C851" s="61" t="s">
        <v>585</v>
      </c>
      <c r="D851" s="61" t="s">
        <v>587</v>
      </c>
      <c r="E851" s="1" t="s">
        <v>365</v>
      </c>
      <c r="F851" s="62" t="str">
        <f t="shared" si="182"/>
        <v>64534</v>
      </c>
      <c r="G851" s="269">
        <v>10620038</v>
      </c>
      <c r="H851" s="1" t="s">
        <v>381</v>
      </c>
      <c r="I851" s="61">
        <v>12</v>
      </c>
      <c r="J851" s="61">
        <v>5.7</v>
      </c>
      <c r="K851" s="61">
        <v>8.8000000000000007</v>
      </c>
      <c r="L851" s="69">
        <f t="shared" si="171"/>
        <v>0.68400000000000005</v>
      </c>
      <c r="M851" s="69">
        <f t="shared" si="172"/>
        <v>1.056</v>
      </c>
      <c r="N851" s="56">
        <f>INDEX(Rate_Chart!$A$1:$AK$127,MATCH(Data!J851,Rate_Chart!$A$1:$A$127,0),MATCH(Data!K851,Rate_Chart!$A$1:$AK$1,0))</f>
        <v>47.119050000000001</v>
      </c>
      <c r="O851" s="57">
        <f t="shared" si="173"/>
        <v>565.42859999999996</v>
      </c>
      <c r="P851" s="58">
        <f t="shared" si="174"/>
        <v>407.3693083573487</v>
      </c>
      <c r="Q851" s="58">
        <f t="shared" si="175"/>
        <v>271.57953890489915</v>
      </c>
      <c r="R851" s="66">
        <f t="shared" si="176"/>
        <v>9.8950005000000001</v>
      </c>
      <c r="S851" s="64">
        <f t="shared" si="177"/>
        <v>45</v>
      </c>
      <c r="T851" s="66">
        <f t="shared" si="178"/>
        <v>620.3236005</v>
      </c>
      <c r="U851" s="68">
        <f t="shared" si="179"/>
        <v>51.693633374999997</v>
      </c>
      <c r="V851" s="68">
        <f t="shared" si="180"/>
        <v>446.91902053314118</v>
      </c>
      <c r="W851" s="68">
        <f t="shared" si="181"/>
        <v>297.94601368876079</v>
      </c>
    </row>
    <row r="852" spans="1:23" x14ac:dyDescent="0.25">
      <c r="A852" s="169" t="s">
        <v>946</v>
      </c>
      <c r="B852" s="61" t="s">
        <v>390</v>
      </c>
      <c r="C852" s="61" t="s">
        <v>585</v>
      </c>
      <c r="D852" s="61" t="s">
        <v>587</v>
      </c>
      <c r="E852" s="1" t="s">
        <v>365</v>
      </c>
      <c r="F852" s="62" t="str">
        <f t="shared" si="182"/>
        <v>64534</v>
      </c>
      <c r="G852" s="269">
        <v>10620038</v>
      </c>
      <c r="H852" s="1" t="s">
        <v>381</v>
      </c>
      <c r="I852" s="61">
        <v>18</v>
      </c>
      <c r="J852" s="61">
        <v>6.1</v>
      </c>
      <c r="K852" s="61">
        <v>9</v>
      </c>
      <c r="L852" s="69">
        <f t="shared" si="171"/>
        <v>1.0979999999999999</v>
      </c>
      <c r="M852" s="69">
        <f t="shared" si="172"/>
        <v>1.62</v>
      </c>
      <c r="N852" s="56">
        <f>INDEX(Rate_Chart!$A$1:$AK$127,MATCH(Data!J852,Rate_Chart!$A$1:$A$127,0),MATCH(Data!K852,Rate_Chart!$A$1:$AK$1,0))</f>
        <v>50.935000000000002</v>
      </c>
      <c r="O852" s="57">
        <f t="shared" si="173"/>
        <v>916.83</v>
      </c>
      <c r="P852" s="58">
        <f t="shared" si="174"/>
        <v>420.95041322314052</v>
      </c>
      <c r="Q852" s="58">
        <f t="shared" si="175"/>
        <v>280.63360881542701</v>
      </c>
      <c r="R852" s="66">
        <f t="shared" si="176"/>
        <v>16.044525000000004</v>
      </c>
      <c r="S852" s="64">
        <f t="shared" si="177"/>
        <v>67.5</v>
      </c>
      <c r="T852" s="66">
        <f t="shared" si="178"/>
        <v>1000.3745250000001</v>
      </c>
      <c r="U852" s="68">
        <f t="shared" si="179"/>
        <v>55.576362500000002</v>
      </c>
      <c r="V852" s="68">
        <f t="shared" si="180"/>
        <v>459.30878099173555</v>
      </c>
      <c r="W852" s="68">
        <f t="shared" si="181"/>
        <v>306.20585399449038</v>
      </c>
    </row>
    <row r="853" spans="1:23" x14ac:dyDescent="0.25">
      <c r="A853" s="169" t="s">
        <v>946</v>
      </c>
      <c r="B853" s="61" t="s">
        <v>390</v>
      </c>
      <c r="C853" s="61" t="s">
        <v>585</v>
      </c>
      <c r="D853" s="61" t="s">
        <v>587</v>
      </c>
      <c r="E853" s="1" t="s">
        <v>365</v>
      </c>
      <c r="F853" s="62" t="str">
        <f t="shared" si="182"/>
        <v>64534</v>
      </c>
      <c r="G853" s="269">
        <v>10620038</v>
      </c>
      <c r="H853" s="1" t="s">
        <v>382</v>
      </c>
      <c r="I853" s="61">
        <v>17</v>
      </c>
      <c r="J853" s="61">
        <v>3.7</v>
      </c>
      <c r="K853" s="61">
        <v>8.4</v>
      </c>
      <c r="L853" s="69">
        <f t="shared" si="171"/>
        <v>0.629</v>
      </c>
      <c r="M853" s="69">
        <f t="shared" si="172"/>
        <v>1.4280000000000002</v>
      </c>
      <c r="N853" s="56">
        <f>INDEX(Rate_Chart!$A$1:$AK$127,MATCH(Data!J853,Rate_Chart!$A$1:$A$127,0),MATCH(Data!K853,Rate_Chart!$A$1:$AK$1,0))</f>
        <v>38.782167600000008</v>
      </c>
      <c r="O853" s="57">
        <f t="shared" si="173"/>
        <v>659.29684920000011</v>
      </c>
      <c r="P853" s="58">
        <f t="shared" si="174"/>
        <v>417.01255483870978</v>
      </c>
      <c r="Q853" s="58">
        <f t="shared" si="175"/>
        <v>278.00836989247318</v>
      </c>
      <c r="R853" s="66">
        <f t="shared" si="176"/>
        <v>11.537694861000004</v>
      </c>
      <c r="S853" s="64">
        <f t="shared" si="177"/>
        <v>63.75</v>
      </c>
      <c r="T853" s="66">
        <f t="shared" si="178"/>
        <v>734.58454406100009</v>
      </c>
      <c r="U853" s="68">
        <f t="shared" si="179"/>
        <v>43.210855533000007</v>
      </c>
      <c r="V853" s="68">
        <f t="shared" si="180"/>
        <v>464.63285519354849</v>
      </c>
      <c r="W853" s="68">
        <f t="shared" si="181"/>
        <v>309.75523679569898</v>
      </c>
    </row>
    <row r="854" spans="1:23" x14ac:dyDescent="0.25">
      <c r="A854" s="169" t="s">
        <v>946</v>
      </c>
      <c r="B854" s="61" t="s">
        <v>391</v>
      </c>
      <c r="C854" s="61" t="s">
        <v>585</v>
      </c>
      <c r="D854" s="61" t="s">
        <v>587</v>
      </c>
      <c r="E854" s="1" t="s">
        <v>365</v>
      </c>
      <c r="F854" s="62" t="str">
        <f t="shared" si="182"/>
        <v>64534</v>
      </c>
      <c r="G854" s="269">
        <v>10620038</v>
      </c>
      <c r="H854" s="1" t="s">
        <v>381</v>
      </c>
      <c r="I854" s="61">
        <v>16</v>
      </c>
      <c r="J854" s="61">
        <v>6.6</v>
      </c>
      <c r="K854" s="61">
        <v>9</v>
      </c>
      <c r="L854" s="69">
        <f t="shared" si="171"/>
        <v>1.056</v>
      </c>
      <c r="M854" s="69">
        <f t="shared" si="172"/>
        <v>1.44</v>
      </c>
      <c r="N854" s="56">
        <f>INDEX(Rate_Chart!$A$1:$AK$127,MATCH(Data!J854,Rate_Chart!$A$1:$A$127,0),MATCH(Data!K854,Rate_Chart!$A$1:$AK$1,0))</f>
        <v>55.11</v>
      </c>
      <c r="O854" s="57">
        <f t="shared" si="173"/>
        <v>881.76</v>
      </c>
      <c r="P854" s="58">
        <f t="shared" si="174"/>
        <v>437.38095238095235</v>
      </c>
      <c r="Q854" s="58">
        <f t="shared" si="175"/>
        <v>291.58730158730157</v>
      </c>
      <c r="R854" s="66">
        <f t="shared" si="176"/>
        <v>15.430800000000001</v>
      </c>
      <c r="S854" s="64">
        <f t="shared" si="177"/>
        <v>60</v>
      </c>
      <c r="T854" s="66">
        <f t="shared" si="178"/>
        <v>957.19079999999997</v>
      </c>
      <c r="U854" s="68">
        <f t="shared" si="179"/>
        <v>59.824424999999998</v>
      </c>
      <c r="V854" s="68">
        <f t="shared" si="180"/>
        <v>474.79702380952381</v>
      </c>
      <c r="W854" s="68">
        <f t="shared" si="181"/>
        <v>316.5313492063492</v>
      </c>
    </row>
    <row r="855" spans="1:23" x14ac:dyDescent="0.25">
      <c r="A855" s="169" t="s">
        <v>947</v>
      </c>
      <c r="B855" s="61" t="s">
        <v>390</v>
      </c>
      <c r="C855" s="61" t="s">
        <v>585</v>
      </c>
      <c r="D855" s="61" t="s">
        <v>587</v>
      </c>
      <c r="E855" s="1" t="s">
        <v>365</v>
      </c>
      <c r="F855" s="62" t="str">
        <f t="shared" si="182"/>
        <v>64534</v>
      </c>
      <c r="G855" s="269">
        <v>10620038</v>
      </c>
      <c r="H855" s="1" t="s">
        <v>381</v>
      </c>
      <c r="I855" s="61">
        <v>16</v>
      </c>
      <c r="J855" s="61">
        <v>6.4</v>
      </c>
      <c r="K855" s="61">
        <v>9</v>
      </c>
      <c r="L855" s="69">
        <f t="shared" si="171"/>
        <v>1.024</v>
      </c>
      <c r="M855" s="69">
        <f t="shared" si="172"/>
        <v>1.44</v>
      </c>
      <c r="N855" s="56">
        <f>INDEX(Rate_Chart!$A$1:$AK$127,MATCH(Data!J855,Rate_Chart!$A$1:$A$127,0),MATCH(Data!K855,Rate_Chart!$A$1:$AK$1,0))</f>
        <v>53.44</v>
      </c>
      <c r="O855" s="57">
        <f t="shared" si="173"/>
        <v>855.04</v>
      </c>
      <c r="P855" s="58">
        <f t="shared" si="174"/>
        <v>430.96774193548384</v>
      </c>
      <c r="Q855" s="58">
        <f t="shared" si="175"/>
        <v>287.31182795698925</v>
      </c>
      <c r="R855" s="66">
        <f t="shared" si="176"/>
        <v>14.963200000000001</v>
      </c>
      <c r="S855" s="64">
        <f t="shared" si="177"/>
        <v>60</v>
      </c>
      <c r="T855" s="66">
        <f t="shared" si="178"/>
        <v>930.00319999999999</v>
      </c>
      <c r="U855" s="68">
        <f t="shared" si="179"/>
        <v>58.1252</v>
      </c>
      <c r="V855" s="68">
        <f t="shared" si="180"/>
        <v>468.7516129032258</v>
      </c>
      <c r="W855" s="68">
        <f t="shared" si="181"/>
        <v>312.5010752688172</v>
      </c>
    </row>
    <row r="856" spans="1:23" x14ac:dyDescent="0.25">
      <c r="A856" s="169" t="s">
        <v>947</v>
      </c>
      <c r="B856" s="61" t="s">
        <v>390</v>
      </c>
      <c r="C856" s="61" t="s">
        <v>585</v>
      </c>
      <c r="D856" s="61" t="s">
        <v>587</v>
      </c>
      <c r="E856" s="1" t="s">
        <v>365</v>
      </c>
      <c r="F856" s="62" t="str">
        <f t="shared" si="182"/>
        <v>64534</v>
      </c>
      <c r="G856" s="269">
        <v>10620038</v>
      </c>
      <c r="H856" s="1" t="s">
        <v>382</v>
      </c>
      <c r="I856" s="61">
        <v>16</v>
      </c>
      <c r="J856" s="61">
        <v>3.6</v>
      </c>
      <c r="K856" s="61">
        <v>8.4</v>
      </c>
      <c r="L856" s="69">
        <f t="shared" si="171"/>
        <v>0.57600000000000007</v>
      </c>
      <c r="M856" s="69">
        <f t="shared" si="172"/>
        <v>1.3440000000000001</v>
      </c>
      <c r="N856" s="56">
        <f>INDEX(Rate_Chart!$A$1:$AK$127,MATCH(Data!J856,Rate_Chart!$A$1:$A$127,0),MATCH(Data!K856,Rate_Chart!$A$1:$AK$1,0))</f>
        <v>38.365167600000007</v>
      </c>
      <c r="O856" s="57">
        <f t="shared" si="173"/>
        <v>613.84268160000011</v>
      </c>
      <c r="P856" s="58">
        <f t="shared" si="174"/>
        <v>417.01269130434792</v>
      </c>
      <c r="Q856" s="58">
        <f t="shared" si="175"/>
        <v>278.00846086956528</v>
      </c>
      <c r="R856" s="66">
        <f t="shared" si="176"/>
        <v>10.742246928000004</v>
      </c>
      <c r="S856" s="64">
        <f t="shared" si="177"/>
        <v>60</v>
      </c>
      <c r="T856" s="66">
        <f t="shared" si="178"/>
        <v>684.58492852800009</v>
      </c>
      <c r="U856" s="68">
        <f t="shared" si="179"/>
        <v>42.786558033000006</v>
      </c>
      <c r="V856" s="68">
        <f t="shared" si="180"/>
        <v>465.07128296739137</v>
      </c>
      <c r="W856" s="68">
        <f t="shared" si="181"/>
        <v>310.04752197826093</v>
      </c>
    </row>
    <row r="857" spans="1:23" x14ac:dyDescent="0.25">
      <c r="A857" s="169" t="s">
        <v>947</v>
      </c>
      <c r="B857" s="61" t="s">
        <v>391</v>
      </c>
      <c r="C857" s="61" t="s">
        <v>585</v>
      </c>
      <c r="D857" s="61" t="s">
        <v>587</v>
      </c>
      <c r="E857" s="1" t="s">
        <v>365</v>
      </c>
      <c r="F857" s="62" t="str">
        <f t="shared" si="182"/>
        <v>64534</v>
      </c>
      <c r="G857" s="269">
        <v>10620038</v>
      </c>
      <c r="H857" s="1" t="s">
        <v>381</v>
      </c>
      <c r="I857" s="61">
        <v>15</v>
      </c>
      <c r="J857" s="61">
        <v>6.3</v>
      </c>
      <c r="K857" s="61">
        <v>9</v>
      </c>
      <c r="L857" s="69">
        <f t="shared" si="171"/>
        <v>0.94499999999999995</v>
      </c>
      <c r="M857" s="69">
        <f t="shared" si="172"/>
        <v>1.35</v>
      </c>
      <c r="N857" s="56">
        <f>INDEX(Rate_Chart!$A$1:$AK$127,MATCH(Data!J857,Rate_Chart!$A$1:$A$127,0),MATCH(Data!K857,Rate_Chart!$A$1:$AK$1,0))</f>
        <v>52.604999999999997</v>
      </c>
      <c r="O857" s="57">
        <f t="shared" si="173"/>
        <v>789.07499999999993</v>
      </c>
      <c r="P857" s="58">
        <f t="shared" si="174"/>
        <v>427.6829268292683</v>
      </c>
      <c r="Q857" s="58">
        <f t="shared" si="175"/>
        <v>285.1219512195122</v>
      </c>
      <c r="R857" s="66">
        <f t="shared" si="176"/>
        <v>13.8088125</v>
      </c>
      <c r="S857" s="64">
        <f t="shared" si="177"/>
        <v>56.25</v>
      </c>
      <c r="T857" s="66">
        <f t="shared" si="178"/>
        <v>859.13381249999998</v>
      </c>
      <c r="U857" s="68">
        <f t="shared" si="179"/>
        <v>57.2755875</v>
      </c>
      <c r="V857" s="68">
        <f t="shared" si="180"/>
        <v>465.6551829268293</v>
      </c>
      <c r="W857" s="68">
        <f t="shared" si="181"/>
        <v>310.43678861788618</v>
      </c>
    </row>
    <row r="858" spans="1:23" x14ac:dyDescent="0.25">
      <c r="A858" s="169" t="s">
        <v>941</v>
      </c>
      <c r="B858" s="61" t="s">
        <v>390</v>
      </c>
      <c r="C858" s="61" t="s">
        <v>585</v>
      </c>
      <c r="D858" s="61" t="s">
        <v>589</v>
      </c>
      <c r="E858" s="1" t="s">
        <v>366</v>
      </c>
      <c r="F858" s="62" t="str">
        <f t="shared" si="182"/>
        <v>64537</v>
      </c>
      <c r="G858" s="269">
        <v>10620015</v>
      </c>
      <c r="H858" s="1" t="s">
        <v>381</v>
      </c>
      <c r="I858" s="61">
        <v>18</v>
      </c>
      <c r="J858" s="61">
        <v>6.5</v>
      </c>
      <c r="K858" s="61">
        <v>9</v>
      </c>
      <c r="L858" s="69">
        <f t="shared" si="171"/>
        <v>1.17</v>
      </c>
      <c r="M858" s="69">
        <f t="shared" si="172"/>
        <v>1.62</v>
      </c>
      <c r="N858" s="56">
        <f>INDEX(Rate_Chart!$A$1:$AK$127,MATCH(Data!J858,Rate_Chart!$A$1:$A$127,0),MATCH(Data!K858,Rate_Chart!$A$1:$AK$1,0))</f>
        <v>54.274999999999999</v>
      </c>
      <c r="O858" s="57">
        <f t="shared" si="173"/>
        <v>976.94999999999993</v>
      </c>
      <c r="P858" s="58">
        <f t="shared" si="174"/>
        <v>434.2</v>
      </c>
      <c r="Q858" s="58">
        <f t="shared" si="175"/>
        <v>289.46666666666664</v>
      </c>
      <c r="R858" s="66">
        <f t="shared" si="176"/>
        <v>17.096625</v>
      </c>
      <c r="S858" s="64">
        <f t="shared" si="177"/>
        <v>67.5</v>
      </c>
      <c r="T858" s="66">
        <f t="shared" si="178"/>
        <v>1061.5466249999999</v>
      </c>
      <c r="U858" s="68">
        <f t="shared" si="179"/>
        <v>58.974812499999999</v>
      </c>
      <c r="V858" s="68">
        <f t="shared" si="180"/>
        <v>471.79849999999999</v>
      </c>
      <c r="W858" s="68">
        <f t="shared" si="181"/>
        <v>314.53233333333333</v>
      </c>
    </row>
    <row r="859" spans="1:23" x14ac:dyDescent="0.25">
      <c r="A859" s="169" t="s">
        <v>941</v>
      </c>
      <c r="B859" s="61" t="s">
        <v>390</v>
      </c>
      <c r="C859" s="61" t="s">
        <v>585</v>
      </c>
      <c r="D859" s="61" t="s">
        <v>589</v>
      </c>
      <c r="E859" s="1" t="s">
        <v>366</v>
      </c>
      <c r="F859" s="62" t="str">
        <f t="shared" si="182"/>
        <v>64537</v>
      </c>
      <c r="G859" s="269">
        <v>10620015</v>
      </c>
      <c r="H859" s="1" t="s">
        <v>382</v>
      </c>
      <c r="I859" s="61">
        <v>11</v>
      </c>
      <c r="J859" s="61">
        <v>3.5</v>
      </c>
      <c r="K859" s="61">
        <v>8.3000000000000007</v>
      </c>
      <c r="L859" s="69">
        <f t="shared" si="171"/>
        <v>0.38500000000000001</v>
      </c>
      <c r="M859" s="69">
        <f t="shared" si="172"/>
        <v>0.91300000000000014</v>
      </c>
      <c r="N859" s="56">
        <f>INDEX(Rate_Chart!$A$1:$AK$127,MATCH(Data!J859,Rate_Chart!$A$1:$A$127,0),MATCH(Data!K859,Rate_Chart!$A$1:$AK$1,0))</f>
        <v>37.670153700000007</v>
      </c>
      <c r="O859" s="57">
        <f t="shared" si="173"/>
        <v>414.3716907000001</v>
      </c>
      <c r="P859" s="58">
        <f t="shared" si="174"/>
        <v>417.01277158671587</v>
      </c>
      <c r="Q859" s="58">
        <f t="shared" si="175"/>
        <v>278.00851439114393</v>
      </c>
      <c r="R859" s="66">
        <f t="shared" si="176"/>
        <v>7.2515045872500021</v>
      </c>
      <c r="S859" s="64">
        <f t="shared" si="177"/>
        <v>41.25</v>
      </c>
      <c r="T859" s="66">
        <f t="shared" si="178"/>
        <v>462.8731952872501</v>
      </c>
      <c r="U859" s="68">
        <f t="shared" si="179"/>
        <v>42.079381389750012</v>
      </c>
      <c r="V859" s="68">
        <f t="shared" si="180"/>
        <v>465.82341021863471</v>
      </c>
      <c r="W859" s="68">
        <f t="shared" si="181"/>
        <v>310.54894014575649</v>
      </c>
    </row>
    <row r="860" spans="1:23" x14ac:dyDescent="0.25">
      <c r="A860" s="169" t="s">
        <v>941</v>
      </c>
      <c r="B860" s="61" t="s">
        <v>391</v>
      </c>
      <c r="C860" s="61" t="s">
        <v>585</v>
      </c>
      <c r="D860" s="61" t="s">
        <v>589</v>
      </c>
      <c r="E860" s="1" t="s">
        <v>366</v>
      </c>
      <c r="F860" s="62" t="str">
        <f t="shared" si="182"/>
        <v>64537</v>
      </c>
      <c r="G860" s="269">
        <v>10620015</v>
      </c>
      <c r="H860" s="1" t="s">
        <v>382</v>
      </c>
      <c r="I860" s="61">
        <v>14</v>
      </c>
      <c r="J860" s="61">
        <v>5</v>
      </c>
      <c r="K860" s="61">
        <v>8.5</v>
      </c>
      <c r="L860" s="69">
        <f t="shared" si="171"/>
        <v>0.7</v>
      </c>
      <c r="M860" s="69">
        <f t="shared" si="172"/>
        <v>1.19</v>
      </c>
      <c r="N860" s="56">
        <f>INDEX(Rate_Chart!$A$1:$AK$127,MATCH(Data!J860,Rate_Chart!$A$1:$A$127,0),MATCH(Data!K860,Rate_Chart!$A$1:$AK$1,0))</f>
        <v>44.481181500000005</v>
      </c>
      <c r="O860" s="57">
        <f t="shared" si="173"/>
        <v>622.7365410000001</v>
      </c>
      <c r="P860" s="58">
        <f t="shared" si="174"/>
        <v>417.01107656250002</v>
      </c>
      <c r="Q860" s="58">
        <f t="shared" si="175"/>
        <v>278.00738437500002</v>
      </c>
      <c r="R860" s="66">
        <f t="shared" si="176"/>
        <v>10.897889467500002</v>
      </c>
      <c r="S860" s="64">
        <f t="shared" si="177"/>
        <v>52.5</v>
      </c>
      <c r="T860" s="66">
        <f t="shared" si="178"/>
        <v>686.13443046750012</v>
      </c>
      <c r="U860" s="68">
        <f t="shared" si="179"/>
        <v>49.009602176250006</v>
      </c>
      <c r="V860" s="68">
        <f t="shared" si="180"/>
        <v>459.46502040234378</v>
      </c>
      <c r="W860" s="68">
        <f t="shared" si="181"/>
        <v>306.3100136015625</v>
      </c>
    </row>
    <row r="861" spans="1:23" x14ac:dyDescent="0.25">
      <c r="A861" s="169" t="s">
        <v>942</v>
      </c>
      <c r="B861" s="61" t="s">
        <v>390</v>
      </c>
      <c r="C861" s="61" t="s">
        <v>585</v>
      </c>
      <c r="D861" s="61" t="s">
        <v>589</v>
      </c>
      <c r="E861" s="1" t="s">
        <v>366</v>
      </c>
      <c r="F861" s="62" t="str">
        <f t="shared" si="182"/>
        <v>64537</v>
      </c>
      <c r="G861" s="269">
        <v>10620015</v>
      </c>
      <c r="H861" s="1" t="s">
        <v>381</v>
      </c>
      <c r="I861" s="61">
        <v>21</v>
      </c>
      <c r="J861" s="61">
        <v>5.6</v>
      </c>
      <c r="K861" s="61">
        <v>9</v>
      </c>
      <c r="L861" s="69">
        <f t="shared" si="171"/>
        <v>1.1759999999999999</v>
      </c>
      <c r="M861" s="69">
        <f t="shared" si="172"/>
        <v>1.89</v>
      </c>
      <c r="N861" s="56">
        <f>INDEX(Rate_Chart!$A$1:$AK$127,MATCH(Data!J861,Rate_Chart!$A$1:$A$127,0),MATCH(Data!K861,Rate_Chart!$A$1:$AK$1,0))</f>
        <v>46.76</v>
      </c>
      <c r="O861" s="57">
        <f t="shared" si="173"/>
        <v>981.95999999999992</v>
      </c>
      <c r="P861" s="58">
        <f t="shared" si="174"/>
        <v>403.10344827586209</v>
      </c>
      <c r="Q861" s="58">
        <f t="shared" si="175"/>
        <v>268.73563218390808</v>
      </c>
      <c r="R861" s="66">
        <f t="shared" si="176"/>
        <v>17.1843</v>
      </c>
      <c r="S861" s="64">
        <f t="shared" si="177"/>
        <v>78.75</v>
      </c>
      <c r="T861" s="66">
        <f t="shared" si="178"/>
        <v>1077.8942999999999</v>
      </c>
      <c r="U861" s="68">
        <f t="shared" si="179"/>
        <v>51.328299999999999</v>
      </c>
      <c r="V861" s="68">
        <f t="shared" si="180"/>
        <v>442.48534482758623</v>
      </c>
      <c r="W861" s="68">
        <f t="shared" si="181"/>
        <v>294.99022988505749</v>
      </c>
    </row>
    <row r="862" spans="1:23" x14ac:dyDescent="0.25">
      <c r="A862" s="169" t="s">
        <v>942</v>
      </c>
      <c r="B862" s="61" t="s">
        <v>390</v>
      </c>
      <c r="C862" s="61" t="s">
        <v>585</v>
      </c>
      <c r="D862" s="61" t="s">
        <v>589</v>
      </c>
      <c r="E862" s="1" t="s">
        <v>366</v>
      </c>
      <c r="F862" s="62" t="str">
        <f t="shared" si="182"/>
        <v>64537</v>
      </c>
      <c r="G862" s="269">
        <v>10620015</v>
      </c>
      <c r="H862" s="1" t="s">
        <v>382</v>
      </c>
      <c r="I862" s="61">
        <v>28</v>
      </c>
      <c r="J862" s="61">
        <v>3.9</v>
      </c>
      <c r="K862" s="61">
        <v>8.4</v>
      </c>
      <c r="L862" s="69">
        <f t="shared" si="171"/>
        <v>1.0920000000000001</v>
      </c>
      <c r="M862" s="69">
        <f t="shared" si="172"/>
        <v>2.3520000000000003</v>
      </c>
      <c r="N862" s="56">
        <f>INDEX(Rate_Chart!$A$1:$AK$127,MATCH(Data!J862,Rate_Chart!$A$1:$A$127,0),MATCH(Data!K862,Rate_Chart!$A$1:$AK$1,0))</f>
        <v>39.616167600000011</v>
      </c>
      <c r="O862" s="57">
        <f t="shared" si="173"/>
        <v>1109.2526928000002</v>
      </c>
      <c r="P862" s="58">
        <f t="shared" si="174"/>
        <v>417.01229052631589</v>
      </c>
      <c r="Q862" s="58">
        <f t="shared" si="175"/>
        <v>278.0081936842106</v>
      </c>
      <c r="R862" s="66">
        <f t="shared" si="176"/>
        <v>19.411922124000004</v>
      </c>
      <c r="S862" s="64">
        <f t="shared" si="177"/>
        <v>105</v>
      </c>
      <c r="T862" s="66">
        <f t="shared" si="178"/>
        <v>1233.6646149240003</v>
      </c>
      <c r="U862" s="68">
        <f t="shared" si="179"/>
        <v>44.05945053300001</v>
      </c>
      <c r="V862" s="68">
        <f t="shared" si="180"/>
        <v>463.78368982105275</v>
      </c>
      <c r="W862" s="68">
        <f t="shared" si="181"/>
        <v>309.18912654736852</v>
      </c>
    </row>
    <row r="863" spans="1:23" x14ac:dyDescent="0.25">
      <c r="A863" s="169" t="s">
        <v>942</v>
      </c>
      <c r="B863" s="61" t="s">
        <v>391</v>
      </c>
      <c r="C863" s="61" t="s">
        <v>585</v>
      </c>
      <c r="D863" s="61" t="s">
        <v>589</v>
      </c>
      <c r="E863" s="1" t="s">
        <v>366</v>
      </c>
      <c r="F863" s="62" t="str">
        <f t="shared" si="182"/>
        <v>64537</v>
      </c>
      <c r="G863" s="269">
        <v>10620015</v>
      </c>
      <c r="H863" s="1" t="s">
        <v>382</v>
      </c>
      <c r="I863" s="61">
        <v>30</v>
      </c>
      <c r="J863" s="61">
        <v>5.0999999999999996</v>
      </c>
      <c r="K863" s="61">
        <v>8.5</v>
      </c>
      <c r="L863" s="69">
        <f t="shared" si="171"/>
        <v>1.53</v>
      </c>
      <c r="M863" s="69">
        <f t="shared" si="172"/>
        <v>2.5499999999999998</v>
      </c>
      <c r="N863" s="56">
        <f>INDEX(Rate_Chart!$A$1:$AK$127,MATCH(Data!J863,Rate_Chart!$A$1:$A$127,0),MATCH(Data!K863,Rate_Chart!$A$1:$AK$1,0))</f>
        <v>44.898181500000007</v>
      </c>
      <c r="O863" s="57">
        <f t="shared" si="173"/>
        <v>1346.9454450000003</v>
      </c>
      <c r="P863" s="58">
        <f t="shared" si="174"/>
        <v>417.01097368421063</v>
      </c>
      <c r="Q863" s="58">
        <f t="shared" si="175"/>
        <v>278.00731578947375</v>
      </c>
      <c r="R863" s="66">
        <f t="shared" si="176"/>
        <v>23.571545287500008</v>
      </c>
      <c r="S863" s="64">
        <f t="shared" si="177"/>
        <v>112.5</v>
      </c>
      <c r="T863" s="66">
        <f t="shared" si="178"/>
        <v>1483.0169902875002</v>
      </c>
      <c r="U863" s="68">
        <f t="shared" si="179"/>
        <v>49.433899676250007</v>
      </c>
      <c r="V863" s="68">
        <f t="shared" si="180"/>
        <v>459.13838708591339</v>
      </c>
      <c r="W863" s="68">
        <f t="shared" si="181"/>
        <v>306.09225805727561</v>
      </c>
    </row>
    <row r="864" spans="1:23" x14ac:dyDescent="0.25">
      <c r="A864" s="169" t="s">
        <v>943</v>
      </c>
      <c r="B864" s="61" t="s">
        <v>390</v>
      </c>
      <c r="C864" s="61" t="s">
        <v>585</v>
      </c>
      <c r="D864" s="61" t="s">
        <v>589</v>
      </c>
      <c r="E864" s="1" t="s">
        <v>366</v>
      </c>
      <c r="F864" s="62" t="str">
        <f t="shared" si="182"/>
        <v>64537</v>
      </c>
      <c r="G864" s="269">
        <v>10620015</v>
      </c>
      <c r="H864" s="1" t="s">
        <v>381</v>
      </c>
      <c r="I864" s="61">
        <v>17</v>
      </c>
      <c r="J864" s="61">
        <v>7</v>
      </c>
      <c r="K864" s="61">
        <v>9</v>
      </c>
      <c r="L864" s="69">
        <f t="shared" si="171"/>
        <v>1.19</v>
      </c>
      <c r="M864" s="69">
        <f t="shared" si="172"/>
        <v>1.53</v>
      </c>
      <c r="N864" s="56">
        <f>INDEX(Rate_Chart!$A$1:$AK$127,MATCH(Data!J864,Rate_Chart!$A$1:$A$127,0),MATCH(Data!K864,Rate_Chart!$A$1:$AK$1,0))</f>
        <v>58.45</v>
      </c>
      <c r="O864" s="57">
        <f t="shared" si="173"/>
        <v>993.65000000000009</v>
      </c>
      <c r="P864" s="58">
        <f t="shared" si="174"/>
        <v>449.61538461538464</v>
      </c>
      <c r="Q864" s="58">
        <f t="shared" si="175"/>
        <v>299.74358974358978</v>
      </c>
      <c r="R864" s="66">
        <f t="shared" si="176"/>
        <v>17.388875000000002</v>
      </c>
      <c r="S864" s="64">
        <f t="shared" si="177"/>
        <v>63.75</v>
      </c>
      <c r="T864" s="66">
        <f t="shared" si="178"/>
        <v>1074.7888750000002</v>
      </c>
      <c r="U864" s="68">
        <f t="shared" si="179"/>
        <v>63.222875000000009</v>
      </c>
      <c r="V864" s="68">
        <f t="shared" si="180"/>
        <v>486.32980769230772</v>
      </c>
      <c r="W864" s="68">
        <f t="shared" si="181"/>
        <v>324.21987179487184</v>
      </c>
    </row>
    <row r="865" spans="1:23" x14ac:dyDescent="0.25">
      <c r="A865" s="169" t="s">
        <v>943</v>
      </c>
      <c r="B865" s="61" t="s">
        <v>390</v>
      </c>
      <c r="C865" s="61" t="s">
        <v>585</v>
      </c>
      <c r="D865" s="61" t="s">
        <v>589</v>
      </c>
      <c r="E865" s="1" t="s">
        <v>366</v>
      </c>
      <c r="F865" s="62" t="str">
        <f t="shared" si="182"/>
        <v>64537</v>
      </c>
      <c r="G865" s="269">
        <v>10620015</v>
      </c>
      <c r="H865" s="1" t="s">
        <v>382</v>
      </c>
      <c r="I865" s="61">
        <v>34</v>
      </c>
      <c r="J865" s="61">
        <v>4</v>
      </c>
      <c r="K865" s="61">
        <v>8.3000000000000007</v>
      </c>
      <c r="L865" s="69">
        <f t="shared" si="171"/>
        <v>1.36</v>
      </c>
      <c r="M865" s="69">
        <f t="shared" si="172"/>
        <v>2.8220000000000005</v>
      </c>
      <c r="N865" s="56">
        <f>INDEX(Rate_Chart!$A$1:$AK$127,MATCH(Data!J865,Rate_Chart!$A$1:$A$127,0),MATCH(Data!K865,Rate_Chart!$A$1:$AK$1,0))</f>
        <v>39.755153700000008</v>
      </c>
      <c r="O865" s="57">
        <f t="shared" si="173"/>
        <v>1351.6752258000004</v>
      </c>
      <c r="P865" s="58">
        <f t="shared" si="174"/>
        <v>417.01210174825178</v>
      </c>
      <c r="Q865" s="58">
        <f t="shared" si="175"/>
        <v>278.00806783216785</v>
      </c>
      <c r="R865" s="66">
        <f t="shared" si="176"/>
        <v>23.654316451500009</v>
      </c>
      <c r="S865" s="64">
        <f t="shared" si="177"/>
        <v>127.5</v>
      </c>
      <c r="T865" s="66">
        <f t="shared" si="178"/>
        <v>1502.8295422515002</v>
      </c>
      <c r="U865" s="68">
        <f t="shared" si="179"/>
        <v>44.200868889750005</v>
      </c>
      <c r="V865" s="68">
        <f t="shared" si="180"/>
        <v>463.6454778645105</v>
      </c>
      <c r="W865" s="68">
        <f t="shared" si="181"/>
        <v>309.096985243007</v>
      </c>
    </row>
    <row r="866" spans="1:23" x14ac:dyDescent="0.25">
      <c r="A866" s="169" t="s">
        <v>943</v>
      </c>
      <c r="B866" s="61" t="s">
        <v>391</v>
      </c>
      <c r="C866" s="61" t="s">
        <v>585</v>
      </c>
      <c r="D866" s="61" t="s">
        <v>589</v>
      </c>
      <c r="E866" s="1" t="s">
        <v>366</v>
      </c>
      <c r="F866" s="62" t="str">
        <f t="shared" si="182"/>
        <v>64537</v>
      </c>
      <c r="G866" s="269">
        <v>10620015</v>
      </c>
      <c r="H866" s="1" t="s">
        <v>381</v>
      </c>
      <c r="I866" s="61">
        <v>19</v>
      </c>
      <c r="J866" s="61">
        <v>6.1</v>
      </c>
      <c r="K866" s="61">
        <v>9</v>
      </c>
      <c r="L866" s="69">
        <f t="shared" si="171"/>
        <v>1.1589999999999998</v>
      </c>
      <c r="M866" s="69">
        <f t="shared" si="172"/>
        <v>1.71</v>
      </c>
      <c r="N866" s="56">
        <f>INDEX(Rate_Chart!$A$1:$AK$127,MATCH(Data!J866,Rate_Chart!$A$1:$A$127,0),MATCH(Data!K866,Rate_Chart!$A$1:$AK$1,0))</f>
        <v>50.935000000000002</v>
      </c>
      <c r="O866" s="57">
        <f t="shared" si="173"/>
        <v>967.7650000000001</v>
      </c>
      <c r="P866" s="58">
        <f t="shared" si="174"/>
        <v>420.95041322314052</v>
      </c>
      <c r="Q866" s="58">
        <f t="shared" si="175"/>
        <v>280.63360881542701</v>
      </c>
      <c r="R866" s="66">
        <f t="shared" si="176"/>
        <v>16.935887500000003</v>
      </c>
      <c r="S866" s="64">
        <f t="shared" si="177"/>
        <v>71.25</v>
      </c>
      <c r="T866" s="66">
        <f t="shared" si="178"/>
        <v>1055.9508875000001</v>
      </c>
      <c r="U866" s="68">
        <f t="shared" si="179"/>
        <v>55.576362500000009</v>
      </c>
      <c r="V866" s="68">
        <f t="shared" si="180"/>
        <v>459.3087809917356</v>
      </c>
      <c r="W866" s="68">
        <f t="shared" si="181"/>
        <v>306.20585399449038</v>
      </c>
    </row>
    <row r="867" spans="1:23" x14ac:dyDescent="0.25">
      <c r="A867" s="169" t="s">
        <v>944</v>
      </c>
      <c r="B867" s="61" t="s">
        <v>390</v>
      </c>
      <c r="C867" s="61" t="s">
        <v>585</v>
      </c>
      <c r="D867" s="61" t="s">
        <v>589</v>
      </c>
      <c r="E867" s="1" t="s">
        <v>366</v>
      </c>
      <c r="F867" s="62" t="str">
        <f t="shared" si="182"/>
        <v>64537</v>
      </c>
      <c r="G867" s="269">
        <v>10620015</v>
      </c>
      <c r="H867" s="1" t="s">
        <v>381</v>
      </c>
      <c r="I867" s="61">
        <v>27</v>
      </c>
      <c r="J867" s="61">
        <v>6</v>
      </c>
      <c r="K867" s="61">
        <v>9</v>
      </c>
      <c r="L867" s="69">
        <f t="shared" si="171"/>
        <v>1.62</v>
      </c>
      <c r="M867" s="69">
        <f t="shared" si="172"/>
        <v>2.4300000000000002</v>
      </c>
      <c r="N867" s="56">
        <f>INDEX(Rate_Chart!$A$1:$AK$127,MATCH(Data!J867,Rate_Chart!$A$1:$A$127,0),MATCH(Data!K867,Rate_Chart!$A$1:$AK$1,0))</f>
        <v>50.1</v>
      </c>
      <c r="O867" s="57">
        <f t="shared" si="173"/>
        <v>1352.7</v>
      </c>
      <c r="P867" s="58">
        <f t="shared" si="174"/>
        <v>417.5</v>
      </c>
      <c r="Q867" s="58">
        <f t="shared" si="175"/>
        <v>278.33333333333331</v>
      </c>
      <c r="R867" s="66">
        <f t="shared" si="176"/>
        <v>23.672250000000002</v>
      </c>
      <c r="S867" s="64">
        <f t="shared" si="177"/>
        <v>101.25</v>
      </c>
      <c r="T867" s="66">
        <f t="shared" si="178"/>
        <v>1477.6222500000001</v>
      </c>
      <c r="U867" s="68">
        <f t="shared" si="179"/>
        <v>54.726750000000003</v>
      </c>
      <c r="V867" s="68">
        <f t="shared" si="180"/>
        <v>456.05625000000003</v>
      </c>
      <c r="W867" s="68">
        <f t="shared" si="181"/>
        <v>304.03750000000002</v>
      </c>
    </row>
    <row r="868" spans="1:23" x14ac:dyDescent="0.25">
      <c r="A868" s="169" t="s">
        <v>944</v>
      </c>
      <c r="B868" s="61" t="s">
        <v>390</v>
      </c>
      <c r="C868" s="61" t="s">
        <v>585</v>
      </c>
      <c r="D868" s="61" t="s">
        <v>589</v>
      </c>
      <c r="E868" s="1" t="s">
        <v>366</v>
      </c>
      <c r="F868" s="62" t="str">
        <f t="shared" si="182"/>
        <v>64537</v>
      </c>
      <c r="G868" s="269">
        <v>10620015</v>
      </c>
      <c r="H868" s="1" t="s">
        <v>382</v>
      </c>
      <c r="I868" s="61">
        <v>22</v>
      </c>
      <c r="J868" s="61">
        <v>3.8</v>
      </c>
      <c r="K868" s="61">
        <v>8.3000000000000007</v>
      </c>
      <c r="L868" s="69">
        <f t="shared" si="171"/>
        <v>0.83599999999999997</v>
      </c>
      <c r="M868" s="69">
        <f t="shared" si="172"/>
        <v>1.8260000000000003</v>
      </c>
      <c r="N868" s="56">
        <f>INDEX(Rate_Chart!$A$1:$AK$127,MATCH(Data!J868,Rate_Chart!$A$1:$A$127,0),MATCH(Data!K868,Rate_Chart!$A$1:$AK$1,0))</f>
        <v>38.921153700000005</v>
      </c>
      <c r="O868" s="57">
        <f t="shared" si="173"/>
        <v>856.26538140000014</v>
      </c>
      <c r="P868" s="58">
        <f t="shared" si="174"/>
        <v>417.01236107142859</v>
      </c>
      <c r="Q868" s="58">
        <f t="shared" si="175"/>
        <v>278.00824071428571</v>
      </c>
      <c r="R868" s="66">
        <f t="shared" si="176"/>
        <v>14.984644174500003</v>
      </c>
      <c r="S868" s="64">
        <f t="shared" si="177"/>
        <v>82.5</v>
      </c>
      <c r="T868" s="66">
        <f t="shared" si="178"/>
        <v>953.75002557450011</v>
      </c>
      <c r="U868" s="68">
        <f t="shared" si="179"/>
        <v>43.352273889750002</v>
      </c>
      <c r="V868" s="68">
        <f t="shared" si="180"/>
        <v>464.48864881874999</v>
      </c>
      <c r="W868" s="68">
        <f t="shared" si="181"/>
        <v>309.6590992125</v>
      </c>
    </row>
    <row r="869" spans="1:23" x14ac:dyDescent="0.25">
      <c r="A869" s="169" t="s">
        <v>944</v>
      </c>
      <c r="B869" s="61" t="s">
        <v>391</v>
      </c>
      <c r="C869" s="61" t="s">
        <v>585</v>
      </c>
      <c r="D869" s="61" t="s">
        <v>589</v>
      </c>
      <c r="E869" s="1" t="s">
        <v>366</v>
      </c>
      <c r="F869" s="62" t="str">
        <f t="shared" si="182"/>
        <v>64537</v>
      </c>
      <c r="G869" s="269">
        <v>10620015</v>
      </c>
      <c r="H869" s="1" t="s">
        <v>381</v>
      </c>
      <c r="I869" s="61">
        <v>16</v>
      </c>
      <c r="J869" s="61">
        <v>6.3</v>
      </c>
      <c r="K869" s="61">
        <v>9</v>
      </c>
      <c r="L869" s="69">
        <f t="shared" si="171"/>
        <v>1.008</v>
      </c>
      <c r="M869" s="69">
        <f t="shared" si="172"/>
        <v>1.44</v>
      </c>
      <c r="N869" s="56">
        <f>INDEX(Rate_Chart!$A$1:$AK$127,MATCH(Data!J869,Rate_Chart!$A$1:$A$127,0),MATCH(Data!K869,Rate_Chart!$A$1:$AK$1,0))</f>
        <v>52.604999999999997</v>
      </c>
      <c r="O869" s="57">
        <f t="shared" si="173"/>
        <v>841.68</v>
      </c>
      <c r="P869" s="58">
        <f t="shared" si="174"/>
        <v>427.6829268292683</v>
      </c>
      <c r="Q869" s="58">
        <f t="shared" si="175"/>
        <v>285.1219512195122</v>
      </c>
      <c r="R869" s="66">
        <f t="shared" si="176"/>
        <v>14.7294</v>
      </c>
      <c r="S869" s="64">
        <f t="shared" si="177"/>
        <v>60</v>
      </c>
      <c r="T869" s="66">
        <f t="shared" si="178"/>
        <v>916.40940000000001</v>
      </c>
      <c r="U869" s="68">
        <f t="shared" si="179"/>
        <v>57.2755875</v>
      </c>
      <c r="V869" s="68">
        <f t="shared" si="180"/>
        <v>465.6551829268293</v>
      </c>
      <c r="W869" s="68">
        <f t="shared" si="181"/>
        <v>310.43678861788618</v>
      </c>
    </row>
    <row r="870" spans="1:23" x14ac:dyDescent="0.25">
      <c r="A870" s="169" t="s">
        <v>945</v>
      </c>
      <c r="B870" s="61" t="s">
        <v>390</v>
      </c>
      <c r="C870" s="61" t="s">
        <v>585</v>
      </c>
      <c r="D870" s="61" t="s">
        <v>589</v>
      </c>
      <c r="E870" s="1" t="s">
        <v>366</v>
      </c>
      <c r="F870" s="62" t="str">
        <f t="shared" si="182"/>
        <v>64537</v>
      </c>
      <c r="G870" s="269">
        <v>10620015</v>
      </c>
      <c r="H870" s="1" t="s">
        <v>381</v>
      </c>
      <c r="I870" s="61">
        <v>33</v>
      </c>
      <c r="J870" s="61">
        <v>6.2</v>
      </c>
      <c r="K870" s="61">
        <v>9</v>
      </c>
      <c r="L870" s="69">
        <f t="shared" si="171"/>
        <v>2.0459999999999998</v>
      </c>
      <c r="M870" s="69">
        <f t="shared" si="172"/>
        <v>2.97</v>
      </c>
      <c r="N870" s="56">
        <f>INDEX(Rate_Chart!$A$1:$AK$127,MATCH(Data!J870,Rate_Chart!$A$1:$A$127,0),MATCH(Data!K870,Rate_Chart!$A$1:$AK$1,0))</f>
        <v>51.77</v>
      </c>
      <c r="O870" s="57">
        <f t="shared" si="173"/>
        <v>1708.41</v>
      </c>
      <c r="P870" s="58">
        <f t="shared" si="174"/>
        <v>424.34426229508199</v>
      </c>
      <c r="Q870" s="58">
        <f t="shared" si="175"/>
        <v>282.89617486338801</v>
      </c>
      <c r="R870" s="66">
        <f t="shared" si="176"/>
        <v>29.897175000000004</v>
      </c>
      <c r="S870" s="64">
        <f t="shared" si="177"/>
        <v>123.75</v>
      </c>
      <c r="T870" s="66">
        <f t="shared" si="178"/>
        <v>1862.0571750000001</v>
      </c>
      <c r="U870" s="68">
        <f t="shared" si="179"/>
        <v>56.425975000000001</v>
      </c>
      <c r="V870" s="68">
        <f t="shared" si="180"/>
        <v>462.50799180327868</v>
      </c>
      <c r="W870" s="68">
        <f t="shared" si="181"/>
        <v>308.33866120218579</v>
      </c>
    </row>
    <row r="871" spans="1:23" x14ac:dyDescent="0.25">
      <c r="A871" s="169" t="s">
        <v>945</v>
      </c>
      <c r="B871" s="61" t="s">
        <v>390</v>
      </c>
      <c r="C871" s="61" t="s">
        <v>585</v>
      </c>
      <c r="D871" s="61" t="s">
        <v>589</v>
      </c>
      <c r="E871" s="1" t="s">
        <v>366</v>
      </c>
      <c r="F871" s="62" t="str">
        <f t="shared" si="182"/>
        <v>64537</v>
      </c>
      <c r="G871" s="269">
        <v>10620015</v>
      </c>
      <c r="H871" s="1" t="s">
        <v>382</v>
      </c>
      <c r="I871" s="61">
        <v>26</v>
      </c>
      <c r="J871" s="61">
        <v>3.5</v>
      </c>
      <c r="K871" s="61">
        <v>8.1999999999999993</v>
      </c>
      <c r="L871" s="69">
        <f t="shared" si="171"/>
        <v>0.91</v>
      </c>
      <c r="M871" s="69">
        <f t="shared" si="172"/>
        <v>2.1319999999999997</v>
      </c>
      <c r="N871" s="56">
        <f>INDEX(Rate_Chart!$A$1:$AK$127,MATCH(Data!J871,Rate_Chart!$A$1:$A$127,0),MATCH(Data!K871,Rate_Chart!$A$1:$AK$1,0))</f>
        <v>37.392139800000002</v>
      </c>
      <c r="O871" s="57">
        <f t="shared" si="173"/>
        <v>972.19563480000011</v>
      </c>
      <c r="P871" s="58">
        <f t="shared" si="174"/>
        <v>417.01271152416359</v>
      </c>
      <c r="Q871" s="58">
        <f t="shared" si="175"/>
        <v>278.00847434944239</v>
      </c>
      <c r="R871" s="66">
        <f t="shared" si="176"/>
        <v>17.013423609000004</v>
      </c>
      <c r="S871" s="64">
        <f t="shared" si="177"/>
        <v>97.5</v>
      </c>
      <c r="T871" s="66">
        <f t="shared" si="178"/>
        <v>1086.7090584090001</v>
      </c>
      <c r="U871" s="68">
        <f t="shared" si="179"/>
        <v>41.796502246500005</v>
      </c>
      <c r="V871" s="68">
        <f t="shared" si="180"/>
        <v>466.13199531412641</v>
      </c>
      <c r="W871" s="68">
        <f t="shared" si="181"/>
        <v>310.75466354275096</v>
      </c>
    </row>
    <row r="872" spans="1:23" x14ac:dyDescent="0.25">
      <c r="A872" s="169" t="s">
        <v>945</v>
      </c>
      <c r="B872" s="61" t="s">
        <v>391</v>
      </c>
      <c r="C872" s="61" t="s">
        <v>585</v>
      </c>
      <c r="D872" s="61" t="s">
        <v>589</v>
      </c>
      <c r="E872" s="1" t="s">
        <v>366</v>
      </c>
      <c r="F872" s="62" t="str">
        <f t="shared" si="182"/>
        <v>64537</v>
      </c>
      <c r="G872" s="269">
        <v>10620015</v>
      </c>
      <c r="H872" s="1" t="s">
        <v>381</v>
      </c>
      <c r="I872" s="61">
        <v>17</v>
      </c>
      <c r="J872" s="61">
        <v>6.4</v>
      </c>
      <c r="K872" s="61">
        <v>9</v>
      </c>
      <c r="L872" s="69">
        <f t="shared" si="171"/>
        <v>1.0880000000000001</v>
      </c>
      <c r="M872" s="69">
        <f t="shared" si="172"/>
        <v>1.53</v>
      </c>
      <c r="N872" s="56">
        <f>INDEX(Rate_Chart!$A$1:$AK$127,MATCH(Data!J872,Rate_Chart!$A$1:$A$127,0),MATCH(Data!K872,Rate_Chart!$A$1:$AK$1,0))</f>
        <v>53.44</v>
      </c>
      <c r="O872" s="57">
        <f t="shared" si="173"/>
        <v>908.48</v>
      </c>
      <c r="P872" s="58">
        <f t="shared" si="174"/>
        <v>430.96774193548384</v>
      </c>
      <c r="Q872" s="58">
        <f t="shared" si="175"/>
        <v>287.31182795698925</v>
      </c>
      <c r="R872" s="66">
        <f t="shared" si="176"/>
        <v>15.898400000000002</v>
      </c>
      <c r="S872" s="64">
        <f t="shared" si="177"/>
        <v>63.75</v>
      </c>
      <c r="T872" s="66">
        <f t="shared" si="178"/>
        <v>988.12840000000006</v>
      </c>
      <c r="U872" s="68">
        <f t="shared" si="179"/>
        <v>58.125200000000007</v>
      </c>
      <c r="V872" s="68">
        <f t="shared" si="180"/>
        <v>468.75161290322586</v>
      </c>
      <c r="W872" s="68">
        <f t="shared" si="181"/>
        <v>312.50107526881726</v>
      </c>
    </row>
    <row r="873" spans="1:23" x14ac:dyDescent="0.25">
      <c r="A873" s="169" t="s">
        <v>946</v>
      </c>
      <c r="B873" s="61" t="s">
        <v>390</v>
      </c>
      <c r="C873" s="61" t="s">
        <v>585</v>
      </c>
      <c r="D873" s="61" t="s">
        <v>589</v>
      </c>
      <c r="E873" s="1" t="s">
        <v>366</v>
      </c>
      <c r="F873" s="62" t="str">
        <f t="shared" si="182"/>
        <v>64537</v>
      </c>
      <c r="G873" s="269">
        <v>10620015</v>
      </c>
      <c r="H873" s="1" t="s">
        <v>381</v>
      </c>
      <c r="I873" s="61">
        <v>32</v>
      </c>
      <c r="J873" s="61">
        <v>5.8</v>
      </c>
      <c r="K873" s="61">
        <v>9</v>
      </c>
      <c r="L873" s="69">
        <f t="shared" si="171"/>
        <v>1.8559999999999999</v>
      </c>
      <c r="M873" s="69">
        <f t="shared" si="172"/>
        <v>2.88</v>
      </c>
      <c r="N873" s="56">
        <f>INDEX(Rate_Chart!$A$1:$AK$127,MATCH(Data!J873,Rate_Chart!$A$1:$A$127,0),MATCH(Data!K873,Rate_Chart!$A$1:$AK$1,0))</f>
        <v>48.43</v>
      </c>
      <c r="O873" s="57">
        <f t="shared" si="173"/>
        <v>1549.76</v>
      </c>
      <c r="P873" s="58">
        <f t="shared" si="174"/>
        <v>410.42372881355936</v>
      </c>
      <c r="Q873" s="58">
        <f t="shared" si="175"/>
        <v>273.61581920903956</v>
      </c>
      <c r="R873" s="66">
        <f t="shared" si="176"/>
        <v>27.120800000000003</v>
      </c>
      <c r="S873" s="64">
        <f t="shared" si="177"/>
        <v>120</v>
      </c>
      <c r="T873" s="66">
        <f t="shared" si="178"/>
        <v>1696.8807999999999</v>
      </c>
      <c r="U873" s="68">
        <f t="shared" si="179"/>
        <v>53.027524999999997</v>
      </c>
      <c r="V873" s="68">
        <f t="shared" si="180"/>
        <v>449.38580508474575</v>
      </c>
      <c r="W873" s="68">
        <f t="shared" si="181"/>
        <v>299.59053672316384</v>
      </c>
    </row>
    <row r="874" spans="1:23" x14ac:dyDescent="0.25">
      <c r="A874" s="169" t="s">
        <v>946</v>
      </c>
      <c r="B874" s="61" t="s">
        <v>390</v>
      </c>
      <c r="C874" s="61" t="s">
        <v>585</v>
      </c>
      <c r="D874" s="61" t="s">
        <v>589</v>
      </c>
      <c r="E874" s="1" t="s">
        <v>366</v>
      </c>
      <c r="F874" s="62" t="str">
        <f t="shared" si="182"/>
        <v>64537</v>
      </c>
      <c r="G874" s="269">
        <v>10620015</v>
      </c>
      <c r="H874" s="1" t="s">
        <v>382</v>
      </c>
      <c r="I874" s="61">
        <v>27</v>
      </c>
      <c r="J874" s="61">
        <v>4.3</v>
      </c>
      <c r="K874" s="61">
        <v>8.5</v>
      </c>
      <c r="L874" s="69">
        <f t="shared" si="171"/>
        <v>1.161</v>
      </c>
      <c r="M874" s="69">
        <f t="shared" si="172"/>
        <v>2.2949999999999999</v>
      </c>
      <c r="N874" s="56">
        <f>INDEX(Rate_Chart!$A$1:$AK$127,MATCH(Data!J874,Rate_Chart!$A$1:$A$127,0),MATCH(Data!K874,Rate_Chart!$A$1:$AK$1,0))</f>
        <v>41.562181500000001</v>
      </c>
      <c r="O874" s="57">
        <f t="shared" si="173"/>
        <v>1122.1789005000001</v>
      </c>
      <c r="P874" s="58">
        <f t="shared" si="174"/>
        <v>417.01185451505017</v>
      </c>
      <c r="Q874" s="58">
        <f t="shared" si="175"/>
        <v>278.00790301003343</v>
      </c>
      <c r="R874" s="66">
        <f t="shared" si="176"/>
        <v>19.638130758750002</v>
      </c>
      <c r="S874" s="64">
        <f t="shared" si="177"/>
        <v>101.25</v>
      </c>
      <c r="T874" s="66">
        <f t="shared" si="178"/>
        <v>1243.0670312587501</v>
      </c>
      <c r="U874" s="68">
        <f t="shared" si="179"/>
        <v>46.039519676250002</v>
      </c>
      <c r="V874" s="68">
        <f t="shared" si="180"/>
        <v>461.93498002926424</v>
      </c>
      <c r="W874" s="68">
        <f t="shared" si="181"/>
        <v>307.95665335284281</v>
      </c>
    </row>
    <row r="875" spans="1:23" x14ac:dyDescent="0.25">
      <c r="A875" s="169" t="s">
        <v>946</v>
      </c>
      <c r="B875" s="61" t="s">
        <v>391</v>
      </c>
      <c r="C875" s="61" t="s">
        <v>585</v>
      </c>
      <c r="D875" s="61" t="s">
        <v>589</v>
      </c>
      <c r="E875" s="1" t="s">
        <v>366</v>
      </c>
      <c r="F875" s="62" t="str">
        <f t="shared" si="182"/>
        <v>64537</v>
      </c>
      <c r="G875" s="269">
        <v>10620015</v>
      </c>
      <c r="H875" s="1" t="s">
        <v>381</v>
      </c>
      <c r="I875" s="61">
        <v>23</v>
      </c>
      <c r="J875" s="61">
        <v>6.2</v>
      </c>
      <c r="K875" s="61">
        <v>9</v>
      </c>
      <c r="L875" s="69">
        <f t="shared" si="171"/>
        <v>1.4259999999999999</v>
      </c>
      <c r="M875" s="69">
        <f t="shared" si="172"/>
        <v>2.0699999999999998</v>
      </c>
      <c r="N875" s="56">
        <f>INDEX(Rate_Chart!$A$1:$AK$127,MATCH(Data!J875,Rate_Chart!$A$1:$A$127,0),MATCH(Data!K875,Rate_Chart!$A$1:$AK$1,0))</f>
        <v>51.77</v>
      </c>
      <c r="O875" s="57">
        <f t="shared" si="173"/>
        <v>1190.71</v>
      </c>
      <c r="P875" s="58">
        <f t="shared" si="174"/>
        <v>424.34426229508199</v>
      </c>
      <c r="Q875" s="58">
        <f t="shared" si="175"/>
        <v>282.89617486338801</v>
      </c>
      <c r="R875" s="66">
        <f t="shared" si="176"/>
        <v>20.837425000000003</v>
      </c>
      <c r="S875" s="64">
        <f t="shared" si="177"/>
        <v>86.25</v>
      </c>
      <c r="T875" s="66">
        <f t="shared" si="178"/>
        <v>1297.797425</v>
      </c>
      <c r="U875" s="68">
        <f t="shared" si="179"/>
        <v>56.425975000000001</v>
      </c>
      <c r="V875" s="68">
        <f t="shared" si="180"/>
        <v>462.50799180327868</v>
      </c>
      <c r="W875" s="68">
        <f t="shared" si="181"/>
        <v>308.33866120218579</v>
      </c>
    </row>
    <row r="876" spans="1:23" x14ac:dyDescent="0.25">
      <c r="A876" s="169" t="s">
        <v>947</v>
      </c>
      <c r="B876" s="61" t="s">
        <v>390</v>
      </c>
      <c r="C876" s="61" t="s">
        <v>585</v>
      </c>
      <c r="D876" s="61" t="s">
        <v>589</v>
      </c>
      <c r="E876" s="1" t="s">
        <v>366</v>
      </c>
      <c r="F876" s="62" t="str">
        <f t="shared" si="182"/>
        <v>64537</v>
      </c>
      <c r="G876" s="269">
        <v>10620015</v>
      </c>
      <c r="H876" s="1" t="s">
        <v>381</v>
      </c>
      <c r="I876" s="61">
        <v>24</v>
      </c>
      <c r="J876" s="61">
        <v>5.6</v>
      </c>
      <c r="K876" s="61">
        <v>9</v>
      </c>
      <c r="L876" s="69">
        <f t="shared" si="171"/>
        <v>1.3439999999999999</v>
      </c>
      <c r="M876" s="69">
        <f t="shared" si="172"/>
        <v>2.16</v>
      </c>
      <c r="N876" s="56">
        <f>INDEX(Rate_Chart!$A$1:$AK$127,MATCH(Data!J876,Rate_Chart!$A$1:$A$127,0),MATCH(Data!K876,Rate_Chart!$A$1:$AK$1,0))</f>
        <v>46.76</v>
      </c>
      <c r="O876" s="57">
        <f t="shared" si="173"/>
        <v>1122.24</v>
      </c>
      <c r="P876" s="58">
        <f t="shared" si="174"/>
        <v>403.10344827586209</v>
      </c>
      <c r="Q876" s="58">
        <f t="shared" si="175"/>
        <v>268.73563218390808</v>
      </c>
      <c r="R876" s="66">
        <f t="shared" si="176"/>
        <v>19.639200000000002</v>
      </c>
      <c r="S876" s="64">
        <f t="shared" si="177"/>
        <v>90</v>
      </c>
      <c r="T876" s="66">
        <f t="shared" si="178"/>
        <v>1231.8792000000001</v>
      </c>
      <c r="U876" s="68">
        <f t="shared" si="179"/>
        <v>51.328300000000006</v>
      </c>
      <c r="V876" s="68">
        <f t="shared" si="180"/>
        <v>442.48534482758629</v>
      </c>
      <c r="W876" s="68">
        <f t="shared" si="181"/>
        <v>294.99022988505754</v>
      </c>
    </row>
    <row r="877" spans="1:23" x14ac:dyDescent="0.25">
      <c r="A877" s="169" t="s">
        <v>947</v>
      </c>
      <c r="B877" s="61" t="s">
        <v>390</v>
      </c>
      <c r="C877" s="61" t="s">
        <v>585</v>
      </c>
      <c r="D877" s="61" t="s">
        <v>589</v>
      </c>
      <c r="E877" s="1" t="s">
        <v>366</v>
      </c>
      <c r="F877" s="62" t="str">
        <f t="shared" si="182"/>
        <v>64537</v>
      </c>
      <c r="G877" s="269">
        <v>10620015</v>
      </c>
      <c r="H877" s="1" t="s">
        <v>382</v>
      </c>
      <c r="I877" s="61">
        <v>32</v>
      </c>
      <c r="J877" s="61">
        <v>4</v>
      </c>
      <c r="K877" s="61">
        <v>8.4</v>
      </c>
      <c r="L877" s="69">
        <f t="shared" si="171"/>
        <v>1.28</v>
      </c>
      <c r="M877" s="69">
        <f t="shared" si="172"/>
        <v>2.6880000000000002</v>
      </c>
      <c r="N877" s="56">
        <f>INDEX(Rate_Chart!$A$1:$AK$127,MATCH(Data!J877,Rate_Chart!$A$1:$A$127,0),MATCH(Data!K877,Rate_Chart!$A$1:$AK$1,0))</f>
        <v>40.033167600000006</v>
      </c>
      <c r="O877" s="57">
        <f t="shared" si="173"/>
        <v>1281.0613632000002</v>
      </c>
      <c r="P877" s="58">
        <f t="shared" si="174"/>
        <v>417.01216250000004</v>
      </c>
      <c r="Q877" s="58">
        <f t="shared" si="175"/>
        <v>278.00810833333338</v>
      </c>
      <c r="R877" s="66">
        <f t="shared" si="176"/>
        <v>22.418573856000005</v>
      </c>
      <c r="S877" s="64">
        <f t="shared" si="177"/>
        <v>120</v>
      </c>
      <c r="T877" s="66">
        <f t="shared" si="178"/>
        <v>1423.4799370560002</v>
      </c>
      <c r="U877" s="68">
        <f t="shared" si="179"/>
        <v>44.483748033000005</v>
      </c>
      <c r="V877" s="68">
        <f t="shared" si="180"/>
        <v>463.37237534375004</v>
      </c>
      <c r="W877" s="68">
        <f t="shared" si="181"/>
        <v>308.91491689583336</v>
      </c>
    </row>
    <row r="878" spans="1:23" x14ac:dyDescent="0.25">
      <c r="A878" s="169" t="s">
        <v>947</v>
      </c>
      <c r="B878" s="61" t="s">
        <v>391</v>
      </c>
      <c r="C878" s="61" t="s">
        <v>585</v>
      </c>
      <c r="D878" s="61" t="s">
        <v>589</v>
      </c>
      <c r="E878" s="1" t="s">
        <v>366</v>
      </c>
      <c r="F878" s="62" t="str">
        <f t="shared" si="182"/>
        <v>64537</v>
      </c>
      <c r="G878" s="269">
        <v>10620015</v>
      </c>
      <c r="H878" s="1" t="s">
        <v>382</v>
      </c>
      <c r="I878" s="61">
        <v>26</v>
      </c>
      <c r="J878" s="61">
        <v>5.2</v>
      </c>
      <c r="K878" s="61">
        <v>8.5</v>
      </c>
      <c r="L878" s="69">
        <f t="shared" si="171"/>
        <v>1.3520000000000001</v>
      </c>
      <c r="M878" s="69">
        <f t="shared" si="172"/>
        <v>2.21</v>
      </c>
      <c r="N878" s="56">
        <f>INDEX(Rate_Chart!$A$1:$AK$127,MATCH(Data!J878,Rate_Chart!$A$1:$A$127,0),MATCH(Data!K878,Rate_Chart!$A$1:$AK$1,0))</f>
        <v>45.315181500000008</v>
      </c>
      <c r="O878" s="57">
        <f t="shared" si="173"/>
        <v>1178.1947190000003</v>
      </c>
      <c r="P878" s="58">
        <f t="shared" si="174"/>
        <v>417.01087269938654</v>
      </c>
      <c r="Q878" s="58">
        <f t="shared" si="175"/>
        <v>278.00724846625769</v>
      </c>
      <c r="R878" s="66">
        <f t="shared" si="176"/>
        <v>20.618407582500009</v>
      </c>
      <c r="S878" s="64">
        <f t="shared" si="177"/>
        <v>97.5</v>
      </c>
      <c r="T878" s="66">
        <f t="shared" si="178"/>
        <v>1296.3131265825002</v>
      </c>
      <c r="U878" s="68">
        <f t="shared" si="179"/>
        <v>49.858197176250009</v>
      </c>
      <c r="V878" s="68">
        <f t="shared" si="180"/>
        <v>458.81776542561352</v>
      </c>
      <c r="W878" s="68">
        <f t="shared" si="181"/>
        <v>305.87851028374234</v>
      </c>
    </row>
    <row r="879" spans="1:23" x14ac:dyDescent="0.25">
      <c r="A879" s="169" t="s">
        <v>941</v>
      </c>
      <c r="B879" s="61" t="s">
        <v>391</v>
      </c>
      <c r="C879" s="61" t="s">
        <v>585</v>
      </c>
      <c r="D879" s="61" t="s">
        <v>586</v>
      </c>
      <c r="E879" s="1" t="s">
        <v>367</v>
      </c>
      <c r="F879" s="62" t="str">
        <f t="shared" si="182"/>
        <v>64539</v>
      </c>
      <c r="G879" s="269">
        <v>10620068</v>
      </c>
      <c r="H879" s="1" t="s">
        <v>381</v>
      </c>
      <c r="I879" s="61">
        <v>23</v>
      </c>
      <c r="J879" s="61">
        <v>6.8</v>
      </c>
      <c r="K879" s="61">
        <v>9</v>
      </c>
      <c r="L879" s="69">
        <f t="shared" si="171"/>
        <v>1.5640000000000001</v>
      </c>
      <c r="M879" s="69">
        <f t="shared" si="172"/>
        <v>2.0699999999999998</v>
      </c>
      <c r="N879" s="56">
        <f>INDEX(Rate_Chart!$A$1:$AK$127,MATCH(Data!J879,Rate_Chart!$A$1:$A$127,0),MATCH(Data!K879,Rate_Chart!$A$1:$AK$1,0))</f>
        <v>56.78</v>
      </c>
      <c r="O879" s="57">
        <f t="shared" si="173"/>
        <v>1305.94</v>
      </c>
      <c r="P879" s="58">
        <f t="shared" si="174"/>
        <v>443.59375</v>
      </c>
      <c r="Q879" s="58">
        <f t="shared" si="175"/>
        <v>295.72916666666669</v>
      </c>
      <c r="R879" s="66">
        <f t="shared" si="176"/>
        <v>22.853950000000005</v>
      </c>
      <c r="S879" s="64">
        <f t="shared" si="177"/>
        <v>86.25</v>
      </c>
      <c r="T879" s="66">
        <f t="shared" si="178"/>
        <v>1415.04395</v>
      </c>
      <c r="U879" s="68">
        <f t="shared" si="179"/>
        <v>61.523649999999996</v>
      </c>
      <c r="V879" s="68">
        <f t="shared" si="180"/>
        <v>480.65351562499995</v>
      </c>
      <c r="W879" s="68">
        <f t="shared" si="181"/>
        <v>320.4356770833333</v>
      </c>
    </row>
    <row r="880" spans="1:23" x14ac:dyDescent="0.25">
      <c r="A880" s="169" t="s">
        <v>941</v>
      </c>
      <c r="B880" s="61" t="s">
        <v>391</v>
      </c>
      <c r="C880" s="61" t="s">
        <v>585</v>
      </c>
      <c r="D880" s="61" t="s">
        <v>586</v>
      </c>
      <c r="E880" s="1" t="s">
        <v>367</v>
      </c>
      <c r="F880" s="62" t="str">
        <f t="shared" si="182"/>
        <v>64539</v>
      </c>
      <c r="G880" s="269">
        <v>10620068</v>
      </c>
      <c r="H880" s="1" t="s">
        <v>382</v>
      </c>
      <c r="I880" s="61">
        <v>31</v>
      </c>
      <c r="J880" s="61">
        <v>3</v>
      </c>
      <c r="K880" s="61">
        <v>8.3000000000000007</v>
      </c>
      <c r="L880" s="69">
        <f t="shared" ref="L880:L943" si="183">J880*I880/100</f>
        <v>0.93</v>
      </c>
      <c r="M880" s="69">
        <f t="shared" ref="M880:M943" si="184">K880*I880/100</f>
        <v>2.573</v>
      </c>
      <c r="N880" s="56">
        <f>INDEX(Rate_Chart!$A$1:$AK$127,MATCH(Data!J880,Rate_Chart!$A$1:$A$127,0),MATCH(Data!K880,Rate_Chart!$A$1:$AK$1,0))</f>
        <v>35.585153700000006</v>
      </c>
      <c r="O880" s="57">
        <f t="shared" ref="O880:O943" si="185">N880*I880</f>
        <v>1103.1397647000001</v>
      </c>
      <c r="P880" s="58">
        <f t="shared" ref="P880:P943" si="186">N880/(J880%+K880%*2/3)</f>
        <v>417.013519921875</v>
      </c>
      <c r="Q880" s="58">
        <f t="shared" ref="Q880:Q943" si="187">P880*2/3</f>
        <v>278.00901328125002</v>
      </c>
      <c r="R880" s="66">
        <f t="shared" ref="R880:R943" si="188">O880*1.75%</f>
        <v>19.304945882250003</v>
      </c>
      <c r="S880" s="64">
        <f t="shared" ref="S880:S943" si="189">I880*3.75</f>
        <v>116.25</v>
      </c>
      <c r="T880" s="66">
        <f t="shared" ref="T880:T943" si="190">R880+S880+O880</f>
        <v>1238.6947105822501</v>
      </c>
      <c r="U880" s="68">
        <f t="shared" ref="U880:U943" si="191">T880/I880</f>
        <v>39.957893889750004</v>
      </c>
      <c r="V880" s="68">
        <f t="shared" ref="V880:V943" si="192">U880/(J880%+K880%*2/3)</f>
        <v>468.25656902050781</v>
      </c>
      <c r="W880" s="68">
        <f t="shared" ref="W880:W943" si="193">V880*2/3</f>
        <v>312.17104601367186</v>
      </c>
    </row>
    <row r="881" spans="1:23" x14ac:dyDescent="0.25">
      <c r="A881" s="169" t="s">
        <v>942</v>
      </c>
      <c r="B881" s="61" t="s">
        <v>390</v>
      </c>
      <c r="C881" s="61" t="s">
        <v>585</v>
      </c>
      <c r="D881" s="61" t="s">
        <v>586</v>
      </c>
      <c r="E881" s="1" t="s">
        <v>367</v>
      </c>
      <c r="F881" s="62" t="str">
        <f t="shared" si="182"/>
        <v>64539</v>
      </c>
      <c r="G881" s="269">
        <v>10620068</v>
      </c>
      <c r="H881" s="1" t="s">
        <v>381</v>
      </c>
      <c r="I881" s="61">
        <v>26</v>
      </c>
      <c r="J881" s="61">
        <v>6.2</v>
      </c>
      <c r="K881" s="61">
        <v>9</v>
      </c>
      <c r="L881" s="69">
        <f t="shared" si="183"/>
        <v>1.6120000000000001</v>
      </c>
      <c r="M881" s="69">
        <f t="shared" si="184"/>
        <v>2.34</v>
      </c>
      <c r="N881" s="56">
        <f>INDEX(Rate_Chart!$A$1:$AK$127,MATCH(Data!J881,Rate_Chart!$A$1:$A$127,0),MATCH(Data!K881,Rate_Chart!$A$1:$AK$1,0))</f>
        <v>51.77</v>
      </c>
      <c r="O881" s="57">
        <f t="shared" si="185"/>
        <v>1346.02</v>
      </c>
      <c r="P881" s="58">
        <f t="shared" si="186"/>
        <v>424.34426229508199</v>
      </c>
      <c r="Q881" s="58">
        <f t="shared" si="187"/>
        <v>282.89617486338801</v>
      </c>
      <c r="R881" s="66">
        <f t="shared" si="188"/>
        <v>23.555350000000001</v>
      </c>
      <c r="S881" s="64">
        <f t="shared" si="189"/>
        <v>97.5</v>
      </c>
      <c r="T881" s="66">
        <f t="shared" si="190"/>
        <v>1467.0753500000001</v>
      </c>
      <c r="U881" s="68">
        <f t="shared" si="191"/>
        <v>56.425975000000001</v>
      </c>
      <c r="V881" s="68">
        <f t="shared" si="192"/>
        <v>462.50799180327868</v>
      </c>
      <c r="W881" s="68">
        <f t="shared" si="193"/>
        <v>308.33866120218579</v>
      </c>
    </row>
    <row r="882" spans="1:23" x14ac:dyDescent="0.25">
      <c r="A882" s="169" t="s">
        <v>942</v>
      </c>
      <c r="B882" s="61" t="s">
        <v>390</v>
      </c>
      <c r="C882" s="61" t="s">
        <v>585</v>
      </c>
      <c r="D882" s="61" t="s">
        <v>586</v>
      </c>
      <c r="E882" s="1" t="s">
        <v>367</v>
      </c>
      <c r="F882" s="62" t="str">
        <f t="shared" si="182"/>
        <v>64539</v>
      </c>
      <c r="G882" s="269">
        <v>10620068</v>
      </c>
      <c r="H882" s="1" t="s">
        <v>382</v>
      </c>
      <c r="I882" s="61">
        <v>38</v>
      </c>
      <c r="J882" s="61">
        <v>3.5</v>
      </c>
      <c r="K882" s="61">
        <v>8.3000000000000007</v>
      </c>
      <c r="L882" s="69">
        <f t="shared" si="183"/>
        <v>1.33</v>
      </c>
      <c r="M882" s="69">
        <f t="shared" si="184"/>
        <v>3.1540000000000004</v>
      </c>
      <c r="N882" s="56">
        <f>INDEX(Rate_Chart!$A$1:$AK$127,MATCH(Data!J882,Rate_Chart!$A$1:$A$127,0),MATCH(Data!K882,Rate_Chart!$A$1:$AK$1,0))</f>
        <v>37.670153700000007</v>
      </c>
      <c r="O882" s="57">
        <f t="shared" si="185"/>
        <v>1431.4658406000003</v>
      </c>
      <c r="P882" s="58">
        <f t="shared" si="186"/>
        <v>417.01277158671587</v>
      </c>
      <c r="Q882" s="58">
        <f t="shared" si="187"/>
        <v>278.00851439114393</v>
      </c>
      <c r="R882" s="66">
        <f t="shared" si="188"/>
        <v>25.050652210500008</v>
      </c>
      <c r="S882" s="64">
        <f t="shared" si="189"/>
        <v>142.5</v>
      </c>
      <c r="T882" s="66">
        <f t="shared" si="190"/>
        <v>1599.0164928105003</v>
      </c>
      <c r="U882" s="68">
        <f t="shared" si="191"/>
        <v>42.079381389750004</v>
      </c>
      <c r="V882" s="68">
        <f t="shared" si="192"/>
        <v>465.82341021863465</v>
      </c>
      <c r="W882" s="68">
        <f t="shared" si="193"/>
        <v>310.54894014575643</v>
      </c>
    </row>
    <row r="883" spans="1:23" x14ac:dyDescent="0.25">
      <c r="A883" s="169" t="s">
        <v>942</v>
      </c>
      <c r="B883" s="61" t="s">
        <v>391</v>
      </c>
      <c r="C883" s="61" t="s">
        <v>585</v>
      </c>
      <c r="D883" s="61" t="s">
        <v>586</v>
      </c>
      <c r="E883" s="1" t="s">
        <v>367</v>
      </c>
      <c r="F883" s="62" t="str">
        <f t="shared" si="182"/>
        <v>64539</v>
      </c>
      <c r="G883" s="269">
        <v>10620068</v>
      </c>
      <c r="H883" s="1" t="s">
        <v>381</v>
      </c>
      <c r="I883" s="61">
        <v>22</v>
      </c>
      <c r="J883" s="61">
        <v>6.7</v>
      </c>
      <c r="K883" s="61">
        <v>9</v>
      </c>
      <c r="L883" s="69">
        <f t="shared" si="183"/>
        <v>1.474</v>
      </c>
      <c r="M883" s="69">
        <f t="shared" si="184"/>
        <v>1.98</v>
      </c>
      <c r="N883" s="56">
        <f>INDEX(Rate_Chart!$A$1:$AK$127,MATCH(Data!J883,Rate_Chart!$A$1:$A$127,0),MATCH(Data!K883,Rate_Chart!$A$1:$AK$1,0))</f>
        <v>55.945</v>
      </c>
      <c r="O883" s="57">
        <f t="shared" si="185"/>
        <v>1230.79</v>
      </c>
      <c r="P883" s="58">
        <f t="shared" si="186"/>
        <v>440.51181102362204</v>
      </c>
      <c r="Q883" s="58">
        <f t="shared" si="187"/>
        <v>293.67454068241472</v>
      </c>
      <c r="R883" s="66">
        <f t="shared" si="188"/>
        <v>21.538825000000003</v>
      </c>
      <c r="S883" s="64">
        <f t="shared" si="189"/>
        <v>82.5</v>
      </c>
      <c r="T883" s="66">
        <f t="shared" si="190"/>
        <v>1334.8288250000001</v>
      </c>
      <c r="U883" s="68">
        <f t="shared" si="191"/>
        <v>60.674037500000004</v>
      </c>
      <c r="V883" s="68">
        <f t="shared" si="192"/>
        <v>477.74832677165358</v>
      </c>
      <c r="W883" s="68">
        <f t="shared" si="193"/>
        <v>318.4988845144357</v>
      </c>
    </row>
    <row r="884" spans="1:23" x14ac:dyDescent="0.25">
      <c r="A884" s="169" t="s">
        <v>942</v>
      </c>
      <c r="B884" s="61" t="s">
        <v>391</v>
      </c>
      <c r="C884" s="61" t="s">
        <v>585</v>
      </c>
      <c r="D884" s="61" t="s">
        <v>586</v>
      </c>
      <c r="E884" s="1" t="s">
        <v>367</v>
      </c>
      <c r="F884" s="62" t="str">
        <f t="shared" si="182"/>
        <v>64539</v>
      </c>
      <c r="G884" s="269">
        <v>10620068</v>
      </c>
      <c r="H884" s="1" t="s">
        <v>382</v>
      </c>
      <c r="I884" s="61">
        <v>21</v>
      </c>
      <c r="J884" s="61">
        <v>3.2</v>
      </c>
      <c r="K884" s="61">
        <v>8.4</v>
      </c>
      <c r="L884" s="69">
        <f t="shared" si="183"/>
        <v>0.67200000000000004</v>
      </c>
      <c r="M884" s="69">
        <f t="shared" si="184"/>
        <v>1.764</v>
      </c>
      <c r="N884" s="56">
        <f>INDEX(Rate_Chart!$A$1:$AK$127,MATCH(Data!J884,Rate_Chart!$A$1:$A$127,0),MATCH(Data!K884,Rate_Chart!$A$1:$AK$1,0))</f>
        <v>36.697167600000007</v>
      </c>
      <c r="O884" s="57">
        <f t="shared" si="185"/>
        <v>770.64051960000018</v>
      </c>
      <c r="P884" s="58">
        <f t="shared" si="186"/>
        <v>417.01326818181826</v>
      </c>
      <c r="Q884" s="58">
        <f t="shared" si="187"/>
        <v>278.00884545454551</v>
      </c>
      <c r="R884" s="66">
        <f t="shared" si="188"/>
        <v>13.486209093000005</v>
      </c>
      <c r="S884" s="64">
        <f t="shared" si="189"/>
        <v>78.75</v>
      </c>
      <c r="T884" s="66">
        <f t="shared" si="190"/>
        <v>862.87672869300013</v>
      </c>
      <c r="U884" s="68">
        <f t="shared" si="191"/>
        <v>41.089368033000007</v>
      </c>
      <c r="V884" s="68">
        <f t="shared" si="192"/>
        <v>466.92463673863648</v>
      </c>
      <c r="W884" s="68">
        <f t="shared" si="193"/>
        <v>311.28309115909099</v>
      </c>
    </row>
    <row r="885" spans="1:23" x14ac:dyDescent="0.25">
      <c r="A885" s="169" t="s">
        <v>943</v>
      </c>
      <c r="B885" s="61" t="s">
        <v>390</v>
      </c>
      <c r="C885" s="61" t="s">
        <v>585</v>
      </c>
      <c r="D885" s="61" t="s">
        <v>586</v>
      </c>
      <c r="E885" s="1" t="s">
        <v>367</v>
      </c>
      <c r="F885" s="62" t="str">
        <f t="shared" si="182"/>
        <v>64539</v>
      </c>
      <c r="G885" s="269">
        <v>10620068</v>
      </c>
      <c r="H885" s="1" t="s">
        <v>381</v>
      </c>
      <c r="I885" s="61">
        <v>25</v>
      </c>
      <c r="J885" s="61">
        <v>5.8</v>
      </c>
      <c r="K885" s="61">
        <v>8.8000000000000007</v>
      </c>
      <c r="L885" s="69">
        <f t="shared" si="183"/>
        <v>1.45</v>
      </c>
      <c r="M885" s="69">
        <f t="shared" si="184"/>
        <v>2.2000000000000002</v>
      </c>
      <c r="N885" s="56">
        <f>INDEX(Rate_Chart!$A$1:$AK$127,MATCH(Data!J885,Rate_Chart!$A$1:$A$127,0),MATCH(Data!K885,Rate_Chart!$A$1:$AK$1,0))</f>
        <v>47.945700000000002</v>
      </c>
      <c r="O885" s="57">
        <f t="shared" si="185"/>
        <v>1198.6425000000002</v>
      </c>
      <c r="P885" s="58">
        <f t="shared" si="186"/>
        <v>410.96314285714288</v>
      </c>
      <c r="Q885" s="58">
        <f t="shared" si="187"/>
        <v>273.97542857142861</v>
      </c>
      <c r="R885" s="66">
        <f t="shared" si="188"/>
        <v>20.976243750000005</v>
      </c>
      <c r="S885" s="64">
        <f t="shared" si="189"/>
        <v>93.75</v>
      </c>
      <c r="T885" s="66">
        <f t="shared" si="190"/>
        <v>1313.3687437500002</v>
      </c>
      <c r="U885" s="68">
        <f t="shared" si="191"/>
        <v>52.53474975000001</v>
      </c>
      <c r="V885" s="68">
        <f t="shared" si="192"/>
        <v>450.29785500000008</v>
      </c>
      <c r="W885" s="68">
        <f t="shared" si="193"/>
        <v>300.19857000000007</v>
      </c>
    </row>
    <row r="886" spans="1:23" x14ac:dyDescent="0.25">
      <c r="A886" s="169" t="s">
        <v>943</v>
      </c>
      <c r="B886" s="61" t="s">
        <v>390</v>
      </c>
      <c r="C886" s="61" t="s">
        <v>585</v>
      </c>
      <c r="D886" s="61" t="s">
        <v>586</v>
      </c>
      <c r="E886" s="1" t="s">
        <v>367</v>
      </c>
      <c r="F886" s="62" t="str">
        <f t="shared" si="182"/>
        <v>64539</v>
      </c>
      <c r="G886" s="269">
        <v>10620068</v>
      </c>
      <c r="H886" s="1" t="s">
        <v>382</v>
      </c>
      <c r="I886" s="61">
        <v>40</v>
      </c>
      <c r="J886" s="61">
        <v>3</v>
      </c>
      <c r="K886" s="61">
        <v>8.1999999999999993</v>
      </c>
      <c r="L886" s="69">
        <f t="shared" si="183"/>
        <v>1.2</v>
      </c>
      <c r="M886" s="69">
        <f t="shared" si="184"/>
        <v>3.28</v>
      </c>
      <c r="N886" s="56">
        <f>INDEX(Rate_Chart!$A$1:$AK$127,MATCH(Data!J886,Rate_Chart!$A$1:$A$127,0),MATCH(Data!K886,Rate_Chart!$A$1:$AK$1,0))</f>
        <v>35.307139800000002</v>
      </c>
      <c r="O886" s="57">
        <f t="shared" si="185"/>
        <v>1412.2855920000002</v>
      </c>
      <c r="P886" s="58">
        <f t="shared" si="186"/>
        <v>417.01346220472442</v>
      </c>
      <c r="Q886" s="58">
        <f t="shared" si="187"/>
        <v>278.00897480314961</v>
      </c>
      <c r="R886" s="66">
        <f t="shared" si="188"/>
        <v>24.714997860000004</v>
      </c>
      <c r="S886" s="64">
        <f t="shared" si="189"/>
        <v>150</v>
      </c>
      <c r="T886" s="66">
        <f t="shared" si="190"/>
        <v>1587.0005898600002</v>
      </c>
      <c r="U886" s="68">
        <f t="shared" si="191"/>
        <v>39.675014746500004</v>
      </c>
      <c r="V886" s="68">
        <f t="shared" si="192"/>
        <v>468.6025363759843</v>
      </c>
      <c r="W886" s="68">
        <f t="shared" si="193"/>
        <v>312.40169091732287</v>
      </c>
    </row>
    <row r="887" spans="1:23" x14ac:dyDescent="0.25">
      <c r="A887" s="169" t="s">
        <v>943</v>
      </c>
      <c r="B887" s="61" t="s">
        <v>391</v>
      </c>
      <c r="C887" s="61" t="s">
        <v>585</v>
      </c>
      <c r="D887" s="61" t="s">
        <v>586</v>
      </c>
      <c r="E887" s="1" t="s">
        <v>367</v>
      </c>
      <c r="F887" s="62" t="str">
        <f t="shared" si="182"/>
        <v>64539</v>
      </c>
      <c r="G887" s="269">
        <v>10620068</v>
      </c>
      <c r="H887" s="1" t="s">
        <v>381</v>
      </c>
      <c r="I887" s="61">
        <v>25</v>
      </c>
      <c r="J887" s="61">
        <v>6.8</v>
      </c>
      <c r="K887" s="61">
        <v>8.8000000000000007</v>
      </c>
      <c r="L887" s="69">
        <f t="shared" si="183"/>
        <v>1.7</v>
      </c>
      <c r="M887" s="69">
        <f t="shared" si="184"/>
        <v>2.2000000000000002</v>
      </c>
      <c r="N887" s="56">
        <f>INDEX(Rate_Chart!$A$1:$AK$127,MATCH(Data!J887,Rate_Chart!$A$1:$A$127,0),MATCH(Data!K887,Rate_Chart!$A$1:$AK$1,0))</f>
        <v>56.212200000000003</v>
      </c>
      <c r="O887" s="57">
        <f t="shared" si="185"/>
        <v>1405.3050000000001</v>
      </c>
      <c r="P887" s="58">
        <f t="shared" si="186"/>
        <v>443.78052631578947</v>
      </c>
      <c r="Q887" s="58">
        <f t="shared" si="187"/>
        <v>295.8536842105263</v>
      </c>
      <c r="R887" s="66">
        <f t="shared" si="188"/>
        <v>24.592837500000002</v>
      </c>
      <c r="S887" s="64">
        <f t="shared" si="189"/>
        <v>93.75</v>
      </c>
      <c r="T887" s="66">
        <f t="shared" si="190"/>
        <v>1523.6478375000002</v>
      </c>
      <c r="U887" s="68">
        <f t="shared" si="191"/>
        <v>60.945913500000003</v>
      </c>
      <c r="V887" s="68">
        <f t="shared" si="192"/>
        <v>481.15194868421054</v>
      </c>
      <c r="W887" s="68">
        <f t="shared" si="193"/>
        <v>320.76796578947369</v>
      </c>
    </row>
    <row r="888" spans="1:23" x14ac:dyDescent="0.25">
      <c r="A888" s="169" t="s">
        <v>943</v>
      </c>
      <c r="B888" s="61" t="s">
        <v>391</v>
      </c>
      <c r="C888" s="61" t="s">
        <v>585</v>
      </c>
      <c r="D888" s="61" t="s">
        <v>586</v>
      </c>
      <c r="E888" s="1" t="s">
        <v>367</v>
      </c>
      <c r="F888" s="62" t="str">
        <f t="shared" si="182"/>
        <v>64539</v>
      </c>
      <c r="G888" s="269">
        <v>10620068</v>
      </c>
      <c r="H888" s="1" t="s">
        <v>382</v>
      </c>
      <c r="I888" s="61">
        <v>17</v>
      </c>
      <c r="J888" s="61">
        <v>3</v>
      </c>
      <c r="K888" s="61">
        <v>8</v>
      </c>
      <c r="L888" s="69">
        <f t="shared" si="183"/>
        <v>0.51</v>
      </c>
      <c r="M888" s="69">
        <f t="shared" si="184"/>
        <v>1.36</v>
      </c>
      <c r="N888" s="56">
        <f>INDEX(Rate_Chart!$A$1:$AK$127,MATCH(Data!J888,Rate_Chart!$A$1:$A$127,0),MATCH(Data!K888,Rate_Chart!$A$1:$AK$1,0))</f>
        <v>34.751112000000006</v>
      </c>
      <c r="O888" s="57">
        <f t="shared" si="185"/>
        <v>590.76890400000013</v>
      </c>
      <c r="P888" s="58">
        <f t="shared" si="186"/>
        <v>417.01334400000002</v>
      </c>
      <c r="Q888" s="58">
        <f t="shared" si="187"/>
        <v>278.00889599999999</v>
      </c>
      <c r="R888" s="66">
        <f t="shared" si="188"/>
        <v>10.338455820000004</v>
      </c>
      <c r="S888" s="64">
        <f t="shared" si="189"/>
        <v>63.75</v>
      </c>
      <c r="T888" s="66">
        <f t="shared" si="190"/>
        <v>664.85735982000017</v>
      </c>
      <c r="U888" s="68">
        <f t="shared" si="191"/>
        <v>39.109256460000012</v>
      </c>
      <c r="V888" s="68">
        <f t="shared" si="192"/>
        <v>469.31107752000008</v>
      </c>
      <c r="W888" s="68">
        <f t="shared" si="193"/>
        <v>312.87405168000004</v>
      </c>
    </row>
    <row r="889" spans="1:23" x14ac:dyDescent="0.25">
      <c r="A889" s="169" t="s">
        <v>944</v>
      </c>
      <c r="B889" s="61" t="s">
        <v>390</v>
      </c>
      <c r="C889" s="61" t="s">
        <v>585</v>
      </c>
      <c r="D889" s="61" t="s">
        <v>586</v>
      </c>
      <c r="E889" s="1" t="s">
        <v>367</v>
      </c>
      <c r="F889" s="62" t="str">
        <f t="shared" si="182"/>
        <v>64539</v>
      </c>
      <c r="G889" s="269">
        <v>10620068</v>
      </c>
      <c r="H889" s="1" t="s">
        <v>381</v>
      </c>
      <c r="I889" s="61">
        <v>29</v>
      </c>
      <c r="J889" s="61">
        <v>5.6</v>
      </c>
      <c r="K889" s="61">
        <v>8.8000000000000007</v>
      </c>
      <c r="L889" s="69">
        <f t="shared" si="183"/>
        <v>1.6239999999999997</v>
      </c>
      <c r="M889" s="69">
        <f t="shared" si="184"/>
        <v>2.552</v>
      </c>
      <c r="N889" s="56">
        <f>INDEX(Rate_Chart!$A$1:$AK$127,MATCH(Data!J889,Rate_Chart!$A$1:$A$127,0),MATCH(Data!K889,Rate_Chart!$A$1:$AK$1,0))</f>
        <v>46.292400000000001</v>
      </c>
      <c r="O889" s="57">
        <f t="shared" si="185"/>
        <v>1342.4796000000001</v>
      </c>
      <c r="P889" s="58">
        <f t="shared" si="186"/>
        <v>403.71279069767445</v>
      </c>
      <c r="Q889" s="58">
        <f t="shared" si="187"/>
        <v>269.14186046511628</v>
      </c>
      <c r="R889" s="66">
        <f t="shared" si="188"/>
        <v>23.493393000000005</v>
      </c>
      <c r="S889" s="64">
        <f t="shared" si="189"/>
        <v>108.75</v>
      </c>
      <c r="T889" s="66">
        <f t="shared" si="190"/>
        <v>1474.7229930000001</v>
      </c>
      <c r="U889" s="68">
        <f t="shared" si="191"/>
        <v>50.852517000000006</v>
      </c>
      <c r="V889" s="68">
        <f t="shared" si="192"/>
        <v>443.48125290697681</v>
      </c>
      <c r="W889" s="68">
        <f t="shared" si="193"/>
        <v>295.6541686046512</v>
      </c>
    </row>
    <row r="890" spans="1:23" x14ac:dyDescent="0.25">
      <c r="A890" s="169" t="s">
        <v>944</v>
      </c>
      <c r="B890" s="61" t="s">
        <v>391</v>
      </c>
      <c r="C890" s="61" t="s">
        <v>585</v>
      </c>
      <c r="D890" s="61" t="s">
        <v>586</v>
      </c>
      <c r="E890" s="1" t="s">
        <v>367</v>
      </c>
      <c r="F890" s="62" t="str">
        <f t="shared" si="182"/>
        <v>64539</v>
      </c>
      <c r="G890" s="269">
        <v>10620068</v>
      </c>
      <c r="H890" s="1" t="s">
        <v>381</v>
      </c>
      <c r="I890" s="61">
        <v>17</v>
      </c>
      <c r="J890" s="61">
        <v>7</v>
      </c>
      <c r="K890" s="61">
        <v>9</v>
      </c>
      <c r="L890" s="69">
        <f t="shared" si="183"/>
        <v>1.19</v>
      </c>
      <c r="M890" s="69">
        <f t="shared" si="184"/>
        <v>1.53</v>
      </c>
      <c r="N890" s="56">
        <f>INDEX(Rate_Chart!$A$1:$AK$127,MATCH(Data!J890,Rate_Chart!$A$1:$A$127,0),MATCH(Data!K890,Rate_Chart!$A$1:$AK$1,0))</f>
        <v>58.45</v>
      </c>
      <c r="O890" s="57">
        <f t="shared" si="185"/>
        <v>993.65000000000009</v>
      </c>
      <c r="P890" s="58">
        <f t="shared" si="186"/>
        <v>449.61538461538464</v>
      </c>
      <c r="Q890" s="58">
        <f t="shared" si="187"/>
        <v>299.74358974358978</v>
      </c>
      <c r="R890" s="66">
        <f t="shared" si="188"/>
        <v>17.388875000000002</v>
      </c>
      <c r="S890" s="64">
        <f t="shared" si="189"/>
        <v>63.75</v>
      </c>
      <c r="T890" s="66">
        <f t="shared" si="190"/>
        <v>1074.7888750000002</v>
      </c>
      <c r="U890" s="68">
        <f t="shared" si="191"/>
        <v>63.222875000000009</v>
      </c>
      <c r="V890" s="68">
        <f t="shared" si="192"/>
        <v>486.32980769230772</v>
      </c>
      <c r="W890" s="68">
        <f t="shared" si="193"/>
        <v>324.21987179487184</v>
      </c>
    </row>
    <row r="891" spans="1:23" x14ac:dyDescent="0.25">
      <c r="A891" s="169" t="s">
        <v>944</v>
      </c>
      <c r="B891" s="61" t="s">
        <v>391</v>
      </c>
      <c r="C891" s="61" t="s">
        <v>585</v>
      </c>
      <c r="D891" s="61" t="s">
        <v>586</v>
      </c>
      <c r="E891" s="1" t="s">
        <v>367</v>
      </c>
      <c r="F891" s="62" t="str">
        <f t="shared" si="182"/>
        <v>64539</v>
      </c>
      <c r="G891" s="269">
        <v>10620068</v>
      </c>
      <c r="H891" s="1" t="s">
        <v>382</v>
      </c>
      <c r="I891" s="61">
        <v>9</v>
      </c>
      <c r="J891" s="61">
        <v>3</v>
      </c>
      <c r="K891" s="61">
        <v>8</v>
      </c>
      <c r="L891" s="69">
        <f t="shared" si="183"/>
        <v>0.27</v>
      </c>
      <c r="M891" s="69">
        <f t="shared" si="184"/>
        <v>0.72</v>
      </c>
      <c r="N891" s="56">
        <f>INDEX(Rate_Chart!$A$1:$AK$127,MATCH(Data!J891,Rate_Chart!$A$1:$A$127,0),MATCH(Data!K891,Rate_Chart!$A$1:$AK$1,0))</f>
        <v>34.751112000000006</v>
      </c>
      <c r="O891" s="57">
        <f t="shared" si="185"/>
        <v>312.76000800000008</v>
      </c>
      <c r="P891" s="58">
        <f t="shared" si="186"/>
        <v>417.01334400000002</v>
      </c>
      <c r="Q891" s="58">
        <f t="shared" si="187"/>
        <v>278.00889599999999</v>
      </c>
      <c r="R891" s="66">
        <f t="shared" si="188"/>
        <v>5.4733001400000019</v>
      </c>
      <c r="S891" s="64">
        <f t="shared" si="189"/>
        <v>33.75</v>
      </c>
      <c r="T891" s="66">
        <f t="shared" si="190"/>
        <v>351.98330814000008</v>
      </c>
      <c r="U891" s="68">
        <f t="shared" si="191"/>
        <v>39.109256460000012</v>
      </c>
      <c r="V891" s="68">
        <f t="shared" si="192"/>
        <v>469.31107752000008</v>
      </c>
      <c r="W891" s="68">
        <f t="shared" si="193"/>
        <v>312.87405168000004</v>
      </c>
    </row>
    <row r="892" spans="1:23" x14ac:dyDescent="0.25">
      <c r="A892" s="169" t="s">
        <v>945</v>
      </c>
      <c r="B892" s="61" t="s">
        <v>390</v>
      </c>
      <c r="C892" s="61" t="s">
        <v>585</v>
      </c>
      <c r="D892" s="61" t="s">
        <v>586</v>
      </c>
      <c r="E892" s="1" t="s">
        <v>367</v>
      </c>
      <c r="F892" s="62" t="str">
        <f t="shared" si="182"/>
        <v>64539</v>
      </c>
      <c r="G892" s="269">
        <v>10620068</v>
      </c>
      <c r="H892" s="1" t="s">
        <v>381</v>
      </c>
      <c r="I892" s="61">
        <v>27</v>
      </c>
      <c r="J892" s="61">
        <v>5.6</v>
      </c>
      <c r="K892" s="61">
        <v>9</v>
      </c>
      <c r="L892" s="69">
        <f t="shared" si="183"/>
        <v>1.5119999999999998</v>
      </c>
      <c r="M892" s="69">
        <f t="shared" si="184"/>
        <v>2.4300000000000002</v>
      </c>
      <c r="N892" s="56">
        <f>INDEX(Rate_Chart!$A$1:$AK$127,MATCH(Data!J892,Rate_Chart!$A$1:$A$127,0),MATCH(Data!K892,Rate_Chart!$A$1:$AK$1,0))</f>
        <v>46.76</v>
      </c>
      <c r="O892" s="57">
        <f t="shared" si="185"/>
        <v>1262.52</v>
      </c>
      <c r="P892" s="58">
        <f t="shared" si="186"/>
        <v>403.10344827586209</v>
      </c>
      <c r="Q892" s="58">
        <f t="shared" si="187"/>
        <v>268.73563218390808</v>
      </c>
      <c r="R892" s="66">
        <f t="shared" si="188"/>
        <v>22.094100000000001</v>
      </c>
      <c r="S892" s="64">
        <f t="shared" si="189"/>
        <v>101.25</v>
      </c>
      <c r="T892" s="66">
        <f t="shared" si="190"/>
        <v>1385.8641</v>
      </c>
      <c r="U892" s="68">
        <f t="shared" si="191"/>
        <v>51.328299999999999</v>
      </c>
      <c r="V892" s="68">
        <f t="shared" si="192"/>
        <v>442.48534482758623</v>
      </c>
      <c r="W892" s="68">
        <f t="shared" si="193"/>
        <v>294.99022988505749</v>
      </c>
    </row>
    <row r="893" spans="1:23" x14ac:dyDescent="0.25">
      <c r="A893" s="169" t="s">
        <v>945</v>
      </c>
      <c r="B893" s="61" t="s">
        <v>390</v>
      </c>
      <c r="C893" s="61" t="s">
        <v>585</v>
      </c>
      <c r="D893" s="61" t="s">
        <v>586</v>
      </c>
      <c r="E893" s="1" t="s">
        <v>367</v>
      </c>
      <c r="F893" s="62" t="str">
        <f t="shared" si="182"/>
        <v>64539</v>
      </c>
      <c r="G893" s="269">
        <v>10620068</v>
      </c>
      <c r="H893" s="1" t="s">
        <v>382</v>
      </c>
      <c r="I893" s="61">
        <v>40</v>
      </c>
      <c r="J893" s="61">
        <v>3</v>
      </c>
      <c r="K893" s="61">
        <v>8</v>
      </c>
      <c r="L893" s="69">
        <f t="shared" si="183"/>
        <v>1.2</v>
      </c>
      <c r="M893" s="69">
        <f t="shared" si="184"/>
        <v>3.2</v>
      </c>
      <c r="N893" s="56">
        <f>INDEX(Rate_Chart!$A$1:$AK$127,MATCH(Data!J893,Rate_Chart!$A$1:$A$127,0),MATCH(Data!K893,Rate_Chart!$A$1:$AK$1,0))</f>
        <v>34.751112000000006</v>
      </c>
      <c r="O893" s="57">
        <f t="shared" si="185"/>
        <v>1390.0444800000002</v>
      </c>
      <c r="P893" s="58">
        <f t="shared" si="186"/>
        <v>417.01334400000002</v>
      </c>
      <c r="Q893" s="58">
        <f t="shared" si="187"/>
        <v>278.00889599999999</v>
      </c>
      <c r="R893" s="66">
        <f t="shared" si="188"/>
        <v>24.325778400000008</v>
      </c>
      <c r="S893" s="64">
        <f t="shared" si="189"/>
        <v>150</v>
      </c>
      <c r="T893" s="66">
        <f t="shared" si="190"/>
        <v>1564.3702584000002</v>
      </c>
      <c r="U893" s="68">
        <f t="shared" si="191"/>
        <v>39.109256460000005</v>
      </c>
      <c r="V893" s="68">
        <f t="shared" si="192"/>
        <v>469.31107752000003</v>
      </c>
      <c r="W893" s="68">
        <f t="shared" si="193"/>
        <v>312.87405168000004</v>
      </c>
    </row>
    <row r="894" spans="1:23" x14ac:dyDescent="0.25">
      <c r="A894" s="169" t="s">
        <v>945</v>
      </c>
      <c r="B894" s="61" t="s">
        <v>391</v>
      </c>
      <c r="C894" s="61" t="s">
        <v>585</v>
      </c>
      <c r="D894" s="61" t="s">
        <v>586</v>
      </c>
      <c r="E894" s="1" t="s">
        <v>367</v>
      </c>
      <c r="F894" s="62" t="str">
        <f t="shared" si="182"/>
        <v>64539</v>
      </c>
      <c r="G894" s="269">
        <v>10620068</v>
      </c>
      <c r="H894" s="1" t="s">
        <v>381</v>
      </c>
      <c r="I894" s="61">
        <v>23</v>
      </c>
      <c r="J894" s="61">
        <v>6.4</v>
      </c>
      <c r="K894" s="61">
        <v>9</v>
      </c>
      <c r="L894" s="69">
        <f t="shared" si="183"/>
        <v>1.4720000000000002</v>
      </c>
      <c r="M894" s="69">
        <f t="shared" si="184"/>
        <v>2.0699999999999998</v>
      </c>
      <c r="N894" s="56">
        <f>INDEX(Rate_Chart!$A$1:$AK$127,MATCH(Data!J894,Rate_Chart!$A$1:$A$127,0),MATCH(Data!K894,Rate_Chart!$A$1:$AK$1,0))</f>
        <v>53.44</v>
      </c>
      <c r="O894" s="57">
        <f t="shared" si="185"/>
        <v>1229.1199999999999</v>
      </c>
      <c r="P894" s="58">
        <f t="shared" si="186"/>
        <v>430.96774193548384</v>
      </c>
      <c r="Q894" s="58">
        <f t="shared" si="187"/>
        <v>287.31182795698925</v>
      </c>
      <c r="R894" s="66">
        <f t="shared" si="188"/>
        <v>21.509599999999999</v>
      </c>
      <c r="S894" s="64">
        <f t="shared" si="189"/>
        <v>86.25</v>
      </c>
      <c r="T894" s="66">
        <f t="shared" si="190"/>
        <v>1336.8796</v>
      </c>
      <c r="U894" s="68">
        <f t="shared" si="191"/>
        <v>58.1252</v>
      </c>
      <c r="V894" s="68">
        <f t="shared" si="192"/>
        <v>468.7516129032258</v>
      </c>
      <c r="W894" s="68">
        <f t="shared" si="193"/>
        <v>312.5010752688172</v>
      </c>
    </row>
    <row r="895" spans="1:23" x14ac:dyDescent="0.25">
      <c r="A895" s="169" t="s">
        <v>945</v>
      </c>
      <c r="B895" s="61" t="s">
        <v>391</v>
      </c>
      <c r="C895" s="61" t="s">
        <v>585</v>
      </c>
      <c r="D895" s="61" t="s">
        <v>586</v>
      </c>
      <c r="E895" s="1" t="s">
        <v>367</v>
      </c>
      <c r="F895" s="62" t="str">
        <f t="shared" si="182"/>
        <v>64539</v>
      </c>
      <c r="G895" s="269">
        <v>10620068</v>
      </c>
      <c r="H895" s="1" t="s">
        <v>382</v>
      </c>
      <c r="I895" s="61">
        <v>14</v>
      </c>
      <c r="J895" s="61">
        <v>3</v>
      </c>
      <c r="K895" s="61">
        <v>8</v>
      </c>
      <c r="L895" s="69">
        <f t="shared" si="183"/>
        <v>0.42</v>
      </c>
      <c r="M895" s="69">
        <f t="shared" si="184"/>
        <v>1.1200000000000001</v>
      </c>
      <c r="N895" s="56">
        <f>INDEX(Rate_Chart!$A$1:$AK$127,MATCH(Data!J895,Rate_Chart!$A$1:$A$127,0),MATCH(Data!K895,Rate_Chart!$A$1:$AK$1,0))</f>
        <v>34.751112000000006</v>
      </c>
      <c r="O895" s="57">
        <f t="shared" si="185"/>
        <v>486.51556800000009</v>
      </c>
      <c r="P895" s="58">
        <f t="shared" si="186"/>
        <v>417.01334400000002</v>
      </c>
      <c r="Q895" s="58">
        <f t="shared" si="187"/>
        <v>278.00889599999999</v>
      </c>
      <c r="R895" s="66">
        <f t="shared" si="188"/>
        <v>8.5140224400000015</v>
      </c>
      <c r="S895" s="64">
        <f t="shared" si="189"/>
        <v>52.5</v>
      </c>
      <c r="T895" s="66">
        <f t="shared" si="190"/>
        <v>547.52959044000011</v>
      </c>
      <c r="U895" s="68">
        <f t="shared" si="191"/>
        <v>39.109256460000005</v>
      </c>
      <c r="V895" s="68">
        <f t="shared" si="192"/>
        <v>469.31107752000003</v>
      </c>
      <c r="W895" s="68">
        <f t="shared" si="193"/>
        <v>312.87405168000004</v>
      </c>
    </row>
    <row r="896" spans="1:23" x14ac:dyDescent="0.25">
      <c r="A896" s="169" t="s">
        <v>946</v>
      </c>
      <c r="B896" s="61" t="s">
        <v>390</v>
      </c>
      <c r="C896" s="61" t="s">
        <v>585</v>
      </c>
      <c r="D896" s="61" t="s">
        <v>586</v>
      </c>
      <c r="E896" s="1" t="s">
        <v>367</v>
      </c>
      <c r="F896" s="62" t="str">
        <f t="shared" si="182"/>
        <v>64539</v>
      </c>
      <c r="G896" s="269">
        <v>10620068</v>
      </c>
      <c r="H896" s="1" t="s">
        <v>381</v>
      </c>
      <c r="I896" s="61">
        <v>32</v>
      </c>
      <c r="J896" s="61">
        <v>5.7</v>
      </c>
      <c r="K896" s="61">
        <v>9</v>
      </c>
      <c r="L896" s="69">
        <f t="shared" si="183"/>
        <v>1.8240000000000001</v>
      </c>
      <c r="M896" s="69">
        <f t="shared" si="184"/>
        <v>2.88</v>
      </c>
      <c r="N896" s="56">
        <f>INDEX(Rate_Chart!$A$1:$AK$127,MATCH(Data!J896,Rate_Chart!$A$1:$A$127,0),MATCH(Data!K896,Rate_Chart!$A$1:$AK$1,0))</f>
        <v>47.594999999999999</v>
      </c>
      <c r="O896" s="57">
        <f t="shared" si="185"/>
        <v>1523.04</v>
      </c>
      <c r="P896" s="58">
        <f t="shared" si="186"/>
        <v>406.79487179487182</v>
      </c>
      <c r="Q896" s="58">
        <f t="shared" si="187"/>
        <v>271.19658119658123</v>
      </c>
      <c r="R896" s="66">
        <f t="shared" si="188"/>
        <v>26.653200000000002</v>
      </c>
      <c r="S896" s="64">
        <f t="shared" si="189"/>
        <v>120</v>
      </c>
      <c r="T896" s="66">
        <f t="shared" si="190"/>
        <v>1669.6931999999999</v>
      </c>
      <c r="U896" s="68">
        <f t="shared" si="191"/>
        <v>52.177912499999998</v>
      </c>
      <c r="V896" s="68">
        <f t="shared" si="192"/>
        <v>445.9650641025641</v>
      </c>
      <c r="W896" s="68">
        <f t="shared" si="193"/>
        <v>297.31004273504271</v>
      </c>
    </row>
    <row r="897" spans="1:23" x14ac:dyDescent="0.25">
      <c r="A897" s="169" t="s">
        <v>946</v>
      </c>
      <c r="B897" s="61" t="s">
        <v>390</v>
      </c>
      <c r="C897" s="61" t="s">
        <v>585</v>
      </c>
      <c r="D897" s="61" t="s">
        <v>586</v>
      </c>
      <c r="E897" s="1" t="s">
        <v>367</v>
      </c>
      <c r="F897" s="62" t="str">
        <f t="shared" si="182"/>
        <v>64539</v>
      </c>
      <c r="G897" s="269">
        <v>10620068</v>
      </c>
      <c r="H897" s="1" t="s">
        <v>382</v>
      </c>
      <c r="I897" s="61">
        <v>37</v>
      </c>
      <c r="J897" s="61">
        <v>3</v>
      </c>
      <c r="K897" s="61">
        <v>8</v>
      </c>
      <c r="L897" s="69">
        <f t="shared" si="183"/>
        <v>1.1100000000000001</v>
      </c>
      <c r="M897" s="69">
        <f t="shared" si="184"/>
        <v>2.96</v>
      </c>
      <c r="N897" s="56">
        <f>INDEX(Rate_Chart!$A$1:$AK$127,MATCH(Data!J897,Rate_Chart!$A$1:$A$127,0),MATCH(Data!K897,Rate_Chart!$A$1:$AK$1,0))</f>
        <v>34.751112000000006</v>
      </c>
      <c r="O897" s="57">
        <f t="shared" si="185"/>
        <v>1285.7911440000003</v>
      </c>
      <c r="P897" s="58">
        <f t="shared" si="186"/>
        <v>417.01334400000002</v>
      </c>
      <c r="Q897" s="58">
        <f t="shared" si="187"/>
        <v>278.00889599999999</v>
      </c>
      <c r="R897" s="66">
        <f t="shared" si="188"/>
        <v>22.501345020000006</v>
      </c>
      <c r="S897" s="64">
        <f t="shared" si="189"/>
        <v>138.75</v>
      </c>
      <c r="T897" s="66">
        <f t="shared" si="190"/>
        <v>1447.0424890200002</v>
      </c>
      <c r="U897" s="68">
        <f t="shared" si="191"/>
        <v>39.109256460000005</v>
      </c>
      <c r="V897" s="68">
        <f t="shared" si="192"/>
        <v>469.31107752000003</v>
      </c>
      <c r="W897" s="68">
        <f t="shared" si="193"/>
        <v>312.87405168000004</v>
      </c>
    </row>
    <row r="898" spans="1:23" x14ac:dyDescent="0.25">
      <c r="A898" s="169" t="s">
        <v>946</v>
      </c>
      <c r="B898" s="61" t="s">
        <v>391</v>
      </c>
      <c r="C898" s="61" t="s">
        <v>585</v>
      </c>
      <c r="D898" s="61" t="s">
        <v>586</v>
      </c>
      <c r="E898" s="1" t="s">
        <v>367</v>
      </c>
      <c r="F898" s="62" t="str">
        <f t="shared" si="182"/>
        <v>64539</v>
      </c>
      <c r="G898" s="269">
        <v>10620068</v>
      </c>
      <c r="H898" s="1" t="s">
        <v>381</v>
      </c>
      <c r="I898" s="61">
        <v>24</v>
      </c>
      <c r="J898" s="61">
        <v>7</v>
      </c>
      <c r="K898" s="61">
        <v>9</v>
      </c>
      <c r="L898" s="69">
        <f t="shared" si="183"/>
        <v>1.68</v>
      </c>
      <c r="M898" s="69">
        <f t="shared" si="184"/>
        <v>2.16</v>
      </c>
      <c r="N898" s="56">
        <f>INDEX(Rate_Chart!$A$1:$AK$127,MATCH(Data!J898,Rate_Chart!$A$1:$A$127,0),MATCH(Data!K898,Rate_Chart!$A$1:$AK$1,0))</f>
        <v>58.45</v>
      </c>
      <c r="O898" s="57">
        <f t="shared" si="185"/>
        <v>1402.8000000000002</v>
      </c>
      <c r="P898" s="58">
        <f t="shared" si="186"/>
        <v>449.61538461538464</v>
      </c>
      <c r="Q898" s="58">
        <f t="shared" si="187"/>
        <v>299.74358974358978</v>
      </c>
      <c r="R898" s="66">
        <f t="shared" si="188"/>
        <v>24.549000000000007</v>
      </c>
      <c r="S898" s="64">
        <f t="shared" si="189"/>
        <v>90</v>
      </c>
      <c r="T898" s="66">
        <f t="shared" si="190"/>
        <v>1517.3490000000002</v>
      </c>
      <c r="U898" s="68">
        <f t="shared" si="191"/>
        <v>63.222875000000009</v>
      </c>
      <c r="V898" s="68">
        <f t="shared" si="192"/>
        <v>486.32980769230772</v>
      </c>
      <c r="W898" s="68">
        <f t="shared" si="193"/>
        <v>324.21987179487184</v>
      </c>
    </row>
    <row r="899" spans="1:23" x14ac:dyDescent="0.25">
      <c r="A899" s="169" t="s">
        <v>946</v>
      </c>
      <c r="B899" s="61" t="s">
        <v>391</v>
      </c>
      <c r="C899" s="61" t="s">
        <v>585</v>
      </c>
      <c r="D899" s="61" t="s">
        <v>586</v>
      </c>
      <c r="E899" s="1" t="s">
        <v>367</v>
      </c>
      <c r="F899" s="62" t="str">
        <f t="shared" si="182"/>
        <v>64539</v>
      </c>
      <c r="G899" s="269">
        <v>10620068</v>
      </c>
      <c r="H899" s="1" t="s">
        <v>382</v>
      </c>
      <c r="I899" s="61">
        <v>18</v>
      </c>
      <c r="J899" s="61">
        <v>3</v>
      </c>
      <c r="K899" s="61">
        <v>8</v>
      </c>
      <c r="L899" s="69">
        <f t="shared" si="183"/>
        <v>0.54</v>
      </c>
      <c r="M899" s="69">
        <f t="shared" si="184"/>
        <v>1.44</v>
      </c>
      <c r="N899" s="56">
        <f>INDEX(Rate_Chart!$A$1:$AK$127,MATCH(Data!J899,Rate_Chart!$A$1:$A$127,0),MATCH(Data!K899,Rate_Chart!$A$1:$AK$1,0))</f>
        <v>34.751112000000006</v>
      </c>
      <c r="O899" s="57">
        <f t="shared" si="185"/>
        <v>625.52001600000017</v>
      </c>
      <c r="P899" s="58">
        <f t="shared" si="186"/>
        <v>417.01334400000002</v>
      </c>
      <c r="Q899" s="58">
        <f t="shared" si="187"/>
        <v>278.00889599999999</v>
      </c>
      <c r="R899" s="66">
        <f t="shared" si="188"/>
        <v>10.946600280000004</v>
      </c>
      <c r="S899" s="64">
        <f t="shared" si="189"/>
        <v>67.5</v>
      </c>
      <c r="T899" s="66">
        <f t="shared" si="190"/>
        <v>703.96661628000015</v>
      </c>
      <c r="U899" s="68">
        <f t="shared" si="191"/>
        <v>39.109256460000012</v>
      </c>
      <c r="V899" s="68">
        <f t="shared" si="192"/>
        <v>469.31107752000008</v>
      </c>
      <c r="W899" s="68">
        <f t="shared" si="193"/>
        <v>312.87405168000004</v>
      </c>
    </row>
    <row r="900" spans="1:23" x14ac:dyDescent="0.25">
      <c r="A900" s="169" t="s">
        <v>947</v>
      </c>
      <c r="B900" s="61" t="s">
        <v>390</v>
      </c>
      <c r="C900" s="61" t="s">
        <v>585</v>
      </c>
      <c r="D900" s="61" t="s">
        <v>586</v>
      </c>
      <c r="E900" s="1" t="s">
        <v>367</v>
      </c>
      <c r="F900" s="62" t="str">
        <f t="shared" si="182"/>
        <v>64539</v>
      </c>
      <c r="G900" s="269">
        <v>10620068</v>
      </c>
      <c r="H900" s="1" t="s">
        <v>381</v>
      </c>
      <c r="I900" s="61">
        <v>33</v>
      </c>
      <c r="J900" s="61">
        <v>5.6</v>
      </c>
      <c r="K900" s="61">
        <v>9</v>
      </c>
      <c r="L900" s="69">
        <f t="shared" si="183"/>
        <v>1.8479999999999999</v>
      </c>
      <c r="M900" s="69">
        <f t="shared" si="184"/>
        <v>2.97</v>
      </c>
      <c r="N900" s="56">
        <f>INDEX(Rate_Chart!$A$1:$AK$127,MATCH(Data!J900,Rate_Chart!$A$1:$A$127,0),MATCH(Data!K900,Rate_Chart!$A$1:$AK$1,0))</f>
        <v>46.76</v>
      </c>
      <c r="O900" s="57">
        <f t="shared" si="185"/>
        <v>1543.08</v>
      </c>
      <c r="P900" s="58">
        <f t="shared" si="186"/>
        <v>403.10344827586209</v>
      </c>
      <c r="Q900" s="58">
        <f t="shared" si="187"/>
        <v>268.73563218390808</v>
      </c>
      <c r="R900" s="66">
        <f t="shared" si="188"/>
        <v>27.003900000000002</v>
      </c>
      <c r="S900" s="64">
        <f t="shared" si="189"/>
        <v>123.75</v>
      </c>
      <c r="T900" s="66">
        <f t="shared" si="190"/>
        <v>1693.8338999999999</v>
      </c>
      <c r="U900" s="68">
        <f t="shared" si="191"/>
        <v>51.328299999999999</v>
      </c>
      <c r="V900" s="68">
        <f t="shared" si="192"/>
        <v>442.48534482758623</v>
      </c>
      <c r="W900" s="68">
        <f t="shared" si="193"/>
        <v>294.99022988505749</v>
      </c>
    </row>
    <row r="901" spans="1:23" x14ac:dyDescent="0.25">
      <c r="A901" s="169" t="s">
        <v>947</v>
      </c>
      <c r="B901" s="61" t="s">
        <v>390</v>
      </c>
      <c r="C901" s="61" t="s">
        <v>585</v>
      </c>
      <c r="D901" s="61" t="s">
        <v>586</v>
      </c>
      <c r="E901" s="1" t="s">
        <v>367</v>
      </c>
      <c r="F901" s="62" t="str">
        <f t="shared" ref="F901:F964" si="194">MID(E901,2,5)</f>
        <v>64539</v>
      </c>
      <c r="G901" s="269">
        <v>10620068</v>
      </c>
      <c r="H901" s="1" t="s">
        <v>382</v>
      </c>
      <c r="I901" s="61">
        <v>40</v>
      </c>
      <c r="J901" s="61">
        <v>3</v>
      </c>
      <c r="K901" s="61">
        <v>8</v>
      </c>
      <c r="L901" s="69">
        <f t="shared" si="183"/>
        <v>1.2</v>
      </c>
      <c r="M901" s="69">
        <f t="shared" si="184"/>
        <v>3.2</v>
      </c>
      <c r="N901" s="56">
        <f>INDEX(Rate_Chart!$A$1:$AK$127,MATCH(Data!J901,Rate_Chart!$A$1:$A$127,0),MATCH(Data!K901,Rate_Chart!$A$1:$AK$1,0))</f>
        <v>34.751112000000006</v>
      </c>
      <c r="O901" s="57">
        <f t="shared" si="185"/>
        <v>1390.0444800000002</v>
      </c>
      <c r="P901" s="58">
        <f t="shared" si="186"/>
        <v>417.01334400000002</v>
      </c>
      <c r="Q901" s="58">
        <f t="shared" si="187"/>
        <v>278.00889599999999</v>
      </c>
      <c r="R901" s="66">
        <f t="shared" si="188"/>
        <v>24.325778400000008</v>
      </c>
      <c r="S901" s="64">
        <f t="shared" si="189"/>
        <v>150</v>
      </c>
      <c r="T901" s="66">
        <f t="shared" si="190"/>
        <v>1564.3702584000002</v>
      </c>
      <c r="U901" s="68">
        <f t="shared" si="191"/>
        <v>39.109256460000005</v>
      </c>
      <c r="V901" s="68">
        <f t="shared" si="192"/>
        <v>469.31107752000003</v>
      </c>
      <c r="W901" s="68">
        <f t="shared" si="193"/>
        <v>312.87405168000004</v>
      </c>
    </row>
    <row r="902" spans="1:23" x14ac:dyDescent="0.25">
      <c r="A902" s="169" t="s">
        <v>947</v>
      </c>
      <c r="B902" s="61" t="s">
        <v>391</v>
      </c>
      <c r="C902" s="61" t="s">
        <v>585</v>
      </c>
      <c r="D902" s="61" t="s">
        <v>586</v>
      </c>
      <c r="E902" s="1" t="s">
        <v>367</v>
      </c>
      <c r="F902" s="62" t="str">
        <f t="shared" si="194"/>
        <v>64539</v>
      </c>
      <c r="G902" s="269">
        <v>10620068</v>
      </c>
      <c r="H902" s="1" t="s">
        <v>381</v>
      </c>
      <c r="I902" s="61">
        <v>22</v>
      </c>
      <c r="J902" s="61">
        <v>5.6</v>
      </c>
      <c r="K902" s="61">
        <v>8.4</v>
      </c>
      <c r="L902" s="69">
        <f t="shared" si="183"/>
        <v>1.232</v>
      </c>
      <c r="M902" s="69">
        <f t="shared" si="184"/>
        <v>1.8480000000000001</v>
      </c>
      <c r="N902" s="56">
        <f>INDEX(Rate_Chart!$A$1:$AK$127,MATCH(Data!J902,Rate_Chart!$A$1:$A$127,0),MATCH(Data!K902,Rate_Chart!$A$1:$AK$1,0))</f>
        <v>45.357199999999999</v>
      </c>
      <c r="O902" s="57">
        <f t="shared" si="185"/>
        <v>997.85839999999996</v>
      </c>
      <c r="P902" s="58">
        <f t="shared" si="186"/>
        <v>404.97500000000002</v>
      </c>
      <c r="Q902" s="58">
        <f t="shared" si="187"/>
        <v>269.98333333333335</v>
      </c>
      <c r="R902" s="66">
        <f t="shared" si="188"/>
        <v>17.462522</v>
      </c>
      <c r="S902" s="64">
        <f t="shared" si="189"/>
        <v>82.5</v>
      </c>
      <c r="T902" s="66">
        <f t="shared" si="190"/>
        <v>1097.8209219999999</v>
      </c>
      <c r="U902" s="68">
        <f t="shared" si="191"/>
        <v>49.900950999999992</v>
      </c>
      <c r="V902" s="68">
        <f t="shared" si="192"/>
        <v>445.54420535714286</v>
      </c>
      <c r="W902" s="68">
        <f t="shared" si="193"/>
        <v>297.02947023809526</v>
      </c>
    </row>
    <row r="903" spans="1:23" x14ac:dyDescent="0.25">
      <c r="A903" s="169" t="s">
        <v>947</v>
      </c>
      <c r="B903" s="61" t="s">
        <v>391</v>
      </c>
      <c r="C903" s="61" t="s">
        <v>585</v>
      </c>
      <c r="D903" s="61" t="s">
        <v>586</v>
      </c>
      <c r="E903" s="1" t="s">
        <v>367</v>
      </c>
      <c r="F903" s="62" t="str">
        <f t="shared" si="194"/>
        <v>64539</v>
      </c>
      <c r="G903" s="269">
        <v>10620068</v>
      </c>
      <c r="H903" s="1" t="s">
        <v>382</v>
      </c>
      <c r="I903" s="61">
        <v>16</v>
      </c>
      <c r="J903" s="61">
        <v>3</v>
      </c>
      <c r="K903" s="61">
        <v>8</v>
      </c>
      <c r="L903" s="69">
        <f t="shared" si="183"/>
        <v>0.48</v>
      </c>
      <c r="M903" s="69">
        <f t="shared" si="184"/>
        <v>1.28</v>
      </c>
      <c r="N903" s="56">
        <f>INDEX(Rate_Chart!$A$1:$AK$127,MATCH(Data!J903,Rate_Chart!$A$1:$A$127,0),MATCH(Data!K903,Rate_Chart!$A$1:$AK$1,0))</f>
        <v>34.751112000000006</v>
      </c>
      <c r="O903" s="57">
        <f t="shared" si="185"/>
        <v>556.0177920000001</v>
      </c>
      <c r="P903" s="58">
        <f t="shared" si="186"/>
        <v>417.01334400000002</v>
      </c>
      <c r="Q903" s="58">
        <f t="shared" si="187"/>
        <v>278.00889599999999</v>
      </c>
      <c r="R903" s="66">
        <f t="shared" si="188"/>
        <v>9.7303113600000035</v>
      </c>
      <c r="S903" s="64">
        <f t="shared" si="189"/>
        <v>60</v>
      </c>
      <c r="T903" s="66">
        <f t="shared" si="190"/>
        <v>625.74810336000007</v>
      </c>
      <c r="U903" s="68">
        <f t="shared" si="191"/>
        <v>39.109256460000005</v>
      </c>
      <c r="V903" s="68">
        <f t="shared" si="192"/>
        <v>469.31107752000003</v>
      </c>
      <c r="W903" s="68">
        <f t="shared" si="193"/>
        <v>312.87405168000004</v>
      </c>
    </row>
    <row r="904" spans="1:23" x14ac:dyDescent="0.25">
      <c r="A904" s="169" t="s">
        <v>941</v>
      </c>
      <c r="B904" s="61" t="s">
        <v>390</v>
      </c>
      <c r="C904" s="61" t="s">
        <v>585</v>
      </c>
      <c r="D904" s="61" t="s">
        <v>589</v>
      </c>
      <c r="E904" s="1" t="s">
        <v>368</v>
      </c>
      <c r="F904" s="62" t="str">
        <f t="shared" si="194"/>
        <v>64541</v>
      </c>
      <c r="G904" s="269">
        <v>10620058</v>
      </c>
      <c r="H904" s="1" t="s">
        <v>382</v>
      </c>
      <c r="I904" s="61">
        <v>7</v>
      </c>
      <c r="J904" s="61">
        <v>3.6</v>
      </c>
      <c r="K904" s="61">
        <v>8.4</v>
      </c>
      <c r="L904" s="69">
        <f t="shared" si="183"/>
        <v>0.252</v>
      </c>
      <c r="M904" s="69">
        <f t="shared" si="184"/>
        <v>0.58800000000000008</v>
      </c>
      <c r="N904" s="56">
        <f>INDEX(Rate_Chart!$A$1:$AK$127,MATCH(Data!J904,Rate_Chart!$A$1:$A$127,0),MATCH(Data!K904,Rate_Chart!$A$1:$AK$1,0))</f>
        <v>38.365167600000007</v>
      </c>
      <c r="O904" s="57">
        <f t="shared" si="185"/>
        <v>268.55617320000005</v>
      </c>
      <c r="P904" s="58">
        <f t="shared" si="186"/>
        <v>417.01269130434792</v>
      </c>
      <c r="Q904" s="58">
        <f t="shared" si="187"/>
        <v>278.00846086956528</v>
      </c>
      <c r="R904" s="66">
        <f t="shared" si="188"/>
        <v>4.6997330310000009</v>
      </c>
      <c r="S904" s="64">
        <f t="shared" si="189"/>
        <v>26.25</v>
      </c>
      <c r="T904" s="66">
        <f t="shared" si="190"/>
        <v>299.50590623100004</v>
      </c>
      <c r="U904" s="68">
        <f t="shared" si="191"/>
        <v>42.786558033000006</v>
      </c>
      <c r="V904" s="68">
        <f t="shared" si="192"/>
        <v>465.07128296739137</v>
      </c>
      <c r="W904" s="68">
        <f t="shared" si="193"/>
        <v>310.04752197826093</v>
      </c>
    </row>
    <row r="905" spans="1:23" x14ac:dyDescent="0.25">
      <c r="A905" s="169" t="s">
        <v>942</v>
      </c>
      <c r="B905" s="61" t="s">
        <v>390</v>
      </c>
      <c r="C905" s="61" t="s">
        <v>585</v>
      </c>
      <c r="D905" s="61" t="s">
        <v>589</v>
      </c>
      <c r="E905" s="1" t="s">
        <v>368</v>
      </c>
      <c r="F905" s="62" t="str">
        <f t="shared" si="194"/>
        <v>64541</v>
      </c>
      <c r="G905" s="269">
        <v>10620058</v>
      </c>
      <c r="H905" s="1" t="s">
        <v>382</v>
      </c>
      <c r="I905" s="61">
        <v>13</v>
      </c>
      <c r="J905" s="61">
        <v>4</v>
      </c>
      <c r="K905" s="61">
        <v>8.3000000000000007</v>
      </c>
      <c r="L905" s="69">
        <f t="shared" si="183"/>
        <v>0.52</v>
      </c>
      <c r="M905" s="69">
        <f t="shared" si="184"/>
        <v>1.079</v>
      </c>
      <c r="N905" s="56">
        <f>INDEX(Rate_Chart!$A$1:$AK$127,MATCH(Data!J905,Rate_Chart!$A$1:$A$127,0),MATCH(Data!K905,Rate_Chart!$A$1:$AK$1,0))</f>
        <v>39.755153700000008</v>
      </c>
      <c r="O905" s="57">
        <f t="shared" si="185"/>
        <v>516.81699810000009</v>
      </c>
      <c r="P905" s="58">
        <f t="shared" si="186"/>
        <v>417.01210174825178</v>
      </c>
      <c r="Q905" s="58">
        <f t="shared" si="187"/>
        <v>278.00806783216785</v>
      </c>
      <c r="R905" s="66">
        <f t="shared" si="188"/>
        <v>9.0442974667500025</v>
      </c>
      <c r="S905" s="64">
        <f t="shared" si="189"/>
        <v>48.75</v>
      </c>
      <c r="T905" s="66">
        <f t="shared" si="190"/>
        <v>574.61129556675007</v>
      </c>
      <c r="U905" s="68">
        <f t="shared" si="191"/>
        <v>44.200868889750005</v>
      </c>
      <c r="V905" s="68">
        <f t="shared" si="192"/>
        <v>463.6454778645105</v>
      </c>
      <c r="W905" s="68">
        <f t="shared" si="193"/>
        <v>309.096985243007</v>
      </c>
    </row>
    <row r="906" spans="1:23" x14ac:dyDescent="0.25">
      <c r="A906" s="169" t="s">
        <v>943</v>
      </c>
      <c r="B906" s="61" t="s">
        <v>390</v>
      </c>
      <c r="C906" s="61" t="s">
        <v>585</v>
      </c>
      <c r="D906" s="61" t="s">
        <v>589</v>
      </c>
      <c r="E906" s="1" t="s">
        <v>368</v>
      </c>
      <c r="F906" s="62" t="str">
        <f t="shared" si="194"/>
        <v>64541</v>
      </c>
      <c r="G906" s="269">
        <v>10620058</v>
      </c>
      <c r="H906" s="1" t="s">
        <v>382</v>
      </c>
      <c r="I906" s="61">
        <v>15</v>
      </c>
      <c r="J906" s="61">
        <v>4</v>
      </c>
      <c r="K906" s="61">
        <v>8.1</v>
      </c>
      <c r="L906" s="69">
        <f t="shared" si="183"/>
        <v>0.6</v>
      </c>
      <c r="M906" s="69">
        <f t="shared" si="184"/>
        <v>1.2150000000000001</v>
      </c>
      <c r="N906" s="56">
        <f>INDEX(Rate_Chart!$A$1:$AK$127,MATCH(Data!J906,Rate_Chart!$A$1:$A$127,0),MATCH(Data!K906,Rate_Chart!$A$1:$AK$1,0))</f>
        <v>39.199125899999999</v>
      </c>
      <c r="O906" s="57">
        <f t="shared" si="185"/>
        <v>587.98688849999996</v>
      </c>
      <c r="P906" s="58">
        <f t="shared" si="186"/>
        <v>417.01197765957443</v>
      </c>
      <c r="Q906" s="58">
        <f t="shared" si="187"/>
        <v>278.00798510638293</v>
      </c>
      <c r="R906" s="66">
        <f t="shared" si="188"/>
        <v>10.289770548750001</v>
      </c>
      <c r="S906" s="64">
        <f t="shared" si="189"/>
        <v>56.25</v>
      </c>
      <c r="T906" s="66">
        <f t="shared" si="190"/>
        <v>654.52665904874993</v>
      </c>
      <c r="U906" s="68">
        <f t="shared" si="191"/>
        <v>43.635110603249998</v>
      </c>
      <c r="V906" s="68">
        <f t="shared" si="192"/>
        <v>464.20330428989359</v>
      </c>
      <c r="W906" s="68">
        <f t="shared" si="193"/>
        <v>309.46886952659571</v>
      </c>
    </row>
    <row r="907" spans="1:23" x14ac:dyDescent="0.25">
      <c r="A907" s="169" t="s">
        <v>944</v>
      </c>
      <c r="B907" s="61" t="s">
        <v>390</v>
      </c>
      <c r="C907" s="61" t="s">
        <v>585</v>
      </c>
      <c r="D907" s="61" t="s">
        <v>589</v>
      </c>
      <c r="E907" s="1" t="s">
        <v>368</v>
      </c>
      <c r="F907" s="62" t="str">
        <f t="shared" si="194"/>
        <v>64541</v>
      </c>
      <c r="G907" s="269">
        <v>10620058</v>
      </c>
      <c r="H907" s="1" t="s">
        <v>382</v>
      </c>
      <c r="I907" s="61">
        <v>10</v>
      </c>
      <c r="J907" s="61">
        <v>3.9</v>
      </c>
      <c r="K907" s="61">
        <v>8.1999999999999993</v>
      </c>
      <c r="L907" s="69">
        <f t="shared" si="183"/>
        <v>0.39</v>
      </c>
      <c r="M907" s="69">
        <f t="shared" si="184"/>
        <v>0.82</v>
      </c>
      <c r="N907" s="56">
        <f>INDEX(Rate_Chart!$A$1:$AK$127,MATCH(Data!J907,Rate_Chart!$A$1:$A$127,0),MATCH(Data!K907,Rate_Chart!$A$1:$AK$1,0))</f>
        <v>39.060139800000002</v>
      </c>
      <c r="O907" s="57">
        <f t="shared" si="185"/>
        <v>390.60139800000002</v>
      </c>
      <c r="P907" s="58">
        <f t="shared" si="186"/>
        <v>417.01216868327407</v>
      </c>
      <c r="Q907" s="58">
        <f t="shared" si="187"/>
        <v>278.00811245551603</v>
      </c>
      <c r="R907" s="66">
        <f t="shared" si="188"/>
        <v>6.8355244650000007</v>
      </c>
      <c r="S907" s="64">
        <f t="shared" si="189"/>
        <v>37.5</v>
      </c>
      <c r="T907" s="66">
        <f t="shared" si="190"/>
        <v>434.93692246500001</v>
      </c>
      <c r="U907" s="68">
        <f t="shared" si="191"/>
        <v>43.493692246500004</v>
      </c>
      <c r="V907" s="68">
        <f t="shared" si="192"/>
        <v>464.34546882384348</v>
      </c>
      <c r="W907" s="68">
        <f t="shared" si="193"/>
        <v>309.5636458825623</v>
      </c>
    </row>
    <row r="908" spans="1:23" x14ac:dyDescent="0.25">
      <c r="A908" s="169" t="s">
        <v>945</v>
      </c>
      <c r="B908" s="61" t="s">
        <v>390</v>
      </c>
      <c r="C908" s="61" t="s">
        <v>585</v>
      </c>
      <c r="D908" s="61" t="s">
        <v>589</v>
      </c>
      <c r="E908" s="1" t="s">
        <v>368</v>
      </c>
      <c r="F908" s="62" t="str">
        <f t="shared" si="194"/>
        <v>64541</v>
      </c>
      <c r="G908" s="269">
        <v>10620058</v>
      </c>
      <c r="H908" s="1" t="s">
        <v>382</v>
      </c>
      <c r="I908" s="61">
        <v>11</v>
      </c>
      <c r="J908" s="61">
        <v>3.9</v>
      </c>
      <c r="K908" s="61">
        <v>8.1</v>
      </c>
      <c r="L908" s="69">
        <f t="shared" si="183"/>
        <v>0.42899999999999999</v>
      </c>
      <c r="M908" s="69">
        <f t="shared" si="184"/>
        <v>0.8909999999999999</v>
      </c>
      <c r="N908" s="56">
        <f>INDEX(Rate_Chart!$A$1:$AK$127,MATCH(Data!J908,Rate_Chart!$A$1:$A$127,0),MATCH(Data!K908,Rate_Chart!$A$1:$AK$1,0))</f>
        <v>38.782125900000004</v>
      </c>
      <c r="O908" s="57">
        <f t="shared" si="185"/>
        <v>426.60338490000004</v>
      </c>
      <c r="P908" s="58">
        <f t="shared" si="186"/>
        <v>417.01210645161296</v>
      </c>
      <c r="Q908" s="58">
        <f t="shared" si="187"/>
        <v>278.00807096774196</v>
      </c>
      <c r="R908" s="66">
        <f t="shared" si="188"/>
        <v>7.4655592357500016</v>
      </c>
      <c r="S908" s="64">
        <f t="shared" si="189"/>
        <v>41.25</v>
      </c>
      <c r="T908" s="66">
        <f t="shared" si="190"/>
        <v>475.31894413575003</v>
      </c>
      <c r="U908" s="68">
        <f t="shared" si="191"/>
        <v>43.210813103250004</v>
      </c>
      <c r="V908" s="68">
        <f t="shared" si="192"/>
        <v>464.63239895967746</v>
      </c>
      <c r="W908" s="68">
        <f t="shared" si="193"/>
        <v>309.75493263978495</v>
      </c>
    </row>
    <row r="909" spans="1:23" x14ac:dyDescent="0.25">
      <c r="A909" s="169" t="s">
        <v>945</v>
      </c>
      <c r="B909" s="61" t="s">
        <v>391</v>
      </c>
      <c r="C909" s="61" t="s">
        <v>585</v>
      </c>
      <c r="D909" s="61" t="s">
        <v>589</v>
      </c>
      <c r="E909" s="1" t="s">
        <v>368</v>
      </c>
      <c r="F909" s="62" t="str">
        <f t="shared" si="194"/>
        <v>64541</v>
      </c>
      <c r="G909" s="269">
        <v>10620058</v>
      </c>
      <c r="H909" s="1" t="s">
        <v>381</v>
      </c>
      <c r="I909" s="61">
        <v>3</v>
      </c>
      <c r="J909" s="61">
        <v>9</v>
      </c>
      <c r="K909" s="61">
        <v>9</v>
      </c>
      <c r="L909" s="69">
        <f t="shared" si="183"/>
        <v>0.27</v>
      </c>
      <c r="M909" s="69">
        <f t="shared" si="184"/>
        <v>0.27</v>
      </c>
      <c r="N909" s="56">
        <f>INDEX(Rate_Chart!$A$1:$AK$127,MATCH(Data!J909,Rate_Chart!$A$1:$A$127,0),MATCH(Data!K909,Rate_Chart!$A$1:$AK$1,0))</f>
        <v>75.149999999999991</v>
      </c>
      <c r="O909" s="57">
        <f t="shared" si="185"/>
        <v>225.45</v>
      </c>
      <c r="P909" s="58">
        <f t="shared" si="186"/>
        <v>500.99999999999994</v>
      </c>
      <c r="Q909" s="58">
        <f t="shared" si="187"/>
        <v>333.99999999999994</v>
      </c>
      <c r="R909" s="66">
        <f t="shared" si="188"/>
        <v>3.9453750000000003</v>
      </c>
      <c r="S909" s="64">
        <f t="shared" si="189"/>
        <v>11.25</v>
      </c>
      <c r="T909" s="66">
        <f t="shared" si="190"/>
        <v>240.645375</v>
      </c>
      <c r="U909" s="68">
        <f t="shared" si="191"/>
        <v>80.215125</v>
      </c>
      <c r="V909" s="68">
        <f t="shared" si="192"/>
        <v>534.76750000000004</v>
      </c>
      <c r="W909" s="68">
        <f t="shared" si="193"/>
        <v>356.51166666666671</v>
      </c>
    </row>
    <row r="910" spans="1:23" x14ac:dyDescent="0.25">
      <c r="A910" s="169" t="s">
        <v>946</v>
      </c>
      <c r="B910" s="61" t="s">
        <v>390</v>
      </c>
      <c r="C910" s="61" t="s">
        <v>585</v>
      </c>
      <c r="D910" s="61" t="s">
        <v>589</v>
      </c>
      <c r="E910" s="1" t="s">
        <v>368</v>
      </c>
      <c r="F910" s="62" t="str">
        <f t="shared" si="194"/>
        <v>64541</v>
      </c>
      <c r="G910" s="269">
        <v>10620058</v>
      </c>
      <c r="H910" s="1" t="s">
        <v>382</v>
      </c>
      <c r="I910" s="61">
        <v>11</v>
      </c>
      <c r="J910" s="61">
        <v>4</v>
      </c>
      <c r="K910" s="61">
        <v>8.3000000000000007</v>
      </c>
      <c r="L910" s="69">
        <f t="shared" si="183"/>
        <v>0.44</v>
      </c>
      <c r="M910" s="69">
        <f t="shared" si="184"/>
        <v>0.91300000000000014</v>
      </c>
      <c r="N910" s="56">
        <f>INDEX(Rate_Chart!$A$1:$AK$127,MATCH(Data!J910,Rate_Chart!$A$1:$A$127,0),MATCH(Data!K910,Rate_Chart!$A$1:$AK$1,0))</f>
        <v>39.755153700000008</v>
      </c>
      <c r="O910" s="57">
        <f t="shared" si="185"/>
        <v>437.3066907000001</v>
      </c>
      <c r="P910" s="58">
        <f t="shared" si="186"/>
        <v>417.01210174825178</v>
      </c>
      <c r="Q910" s="58">
        <f t="shared" si="187"/>
        <v>278.00806783216785</v>
      </c>
      <c r="R910" s="66">
        <f t="shared" si="188"/>
        <v>7.6528670872500024</v>
      </c>
      <c r="S910" s="64">
        <f t="shared" si="189"/>
        <v>41.25</v>
      </c>
      <c r="T910" s="66">
        <f t="shared" si="190"/>
        <v>486.20955778725011</v>
      </c>
      <c r="U910" s="68">
        <f t="shared" si="191"/>
        <v>44.200868889750012</v>
      </c>
      <c r="V910" s="68">
        <f t="shared" si="192"/>
        <v>463.64547786451061</v>
      </c>
      <c r="W910" s="68">
        <f t="shared" si="193"/>
        <v>309.09698524300705</v>
      </c>
    </row>
    <row r="911" spans="1:23" x14ac:dyDescent="0.25">
      <c r="A911" s="169" t="s">
        <v>946</v>
      </c>
      <c r="B911" s="61" t="s">
        <v>391</v>
      </c>
      <c r="C911" s="61" t="s">
        <v>585</v>
      </c>
      <c r="D911" s="61" t="s">
        <v>589</v>
      </c>
      <c r="E911" s="1" t="s">
        <v>368</v>
      </c>
      <c r="F911" s="62" t="str">
        <f t="shared" si="194"/>
        <v>64541</v>
      </c>
      <c r="G911" s="269">
        <v>10620058</v>
      </c>
      <c r="H911" s="1" t="s">
        <v>381</v>
      </c>
      <c r="I911" s="61">
        <v>4</v>
      </c>
      <c r="J911" s="61">
        <v>9.5</v>
      </c>
      <c r="K911" s="61">
        <v>9</v>
      </c>
      <c r="L911" s="69">
        <f t="shared" si="183"/>
        <v>0.38</v>
      </c>
      <c r="M911" s="69">
        <f t="shared" si="184"/>
        <v>0.36</v>
      </c>
      <c r="N911" s="56">
        <f>INDEX(Rate_Chart!$A$1:$AK$127,MATCH(Data!J911,Rate_Chart!$A$1:$A$127,0),MATCH(Data!K911,Rate_Chart!$A$1:$AK$1,0))</f>
        <v>79.325000000000003</v>
      </c>
      <c r="O911" s="57">
        <f t="shared" si="185"/>
        <v>317.3</v>
      </c>
      <c r="P911" s="58">
        <f t="shared" si="186"/>
        <v>511.77419354838713</v>
      </c>
      <c r="Q911" s="58">
        <f t="shared" si="187"/>
        <v>341.18279569892474</v>
      </c>
      <c r="R911" s="66">
        <f t="shared" si="188"/>
        <v>5.5527500000000005</v>
      </c>
      <c r="S911" s="64">
        <f t="shared" si="189"/>
        <v>15</v>
      </c>
      <c r="T911" s="66">
        <f t="shared" si="190"/>
        <v>337.85275000000001</v>
      </c>
      <c r="U911" s="68">
        <f t="shared" si="191"/>
        <v>84.463187500000004</v>
      </c>
      <c r="V911" s="68">
        <f t="shared" si="192"/>
        <v>544.92379032258066</v>
      </c>
      <c r="W911" s="68">
        <f t="shared" si="193"/>
        <v>363.28252688172046</v>
      </c>
    </row>
    <row r="912" spans="1:23" x14ac:dyDescent="0.25">
      <c r="A912" s="169" t="s">
        <v>947</v>
      </c>
      <c r="B912" s="61" t="s">
        <v>390</v>
      </c>
      <c r="C912" s="61" t="s">
        <v>585</v>
      </c>
      <c r="D912" s="61" t="s">
        <v>589</v>
      </c>
      <c r="E912" s="1" t="s">
        <v>368</v>
      </c>
      <c r="F912" s="62" t="str">
        <f t="shared" si="194"/>
        <v>64541</v>
      </c>
      <c r="G912" s="269">
        <v>10620058</v>
      </c>
      <c r="H912" s="1" t="s">
        <v>382</v>
      </c>
      <c r="I912" s="61">
        <v>11</v>
      </c>
      <c r="J912" s="61">
        <v>3.7</v>
      </c>
      <c r="K912" s="61">
        <v>8.3000000000000007</v>
      </c>
      <c r="L912" s="69">
        <f t="shared" si="183"/>
        <v>0.40700000000000003</v>
      </c>
      <c r="M912" s="69">
        <f t="shared" si="184"/>
        <v>0.91300000000000014</v>
      </c>
      <c r="N912" s="56">
        <f>INDEX(Rate_Chart!$A$1:$AK$127,MATCH(Data!J912,Rate_Chart!$A$1:$A$127,0),MATCH(Data!K912,Rate_Chart!$A$1:$AK$1,0))</f>
        <v>38.504153700000003</v>
      </c>
      <c r="O912" s="57">
        <f t="shared" si="185"/>
        <v>423.54569070000002</v>
      </c>
      <c r="P912" s="58">
        <f t="shared" si="186"/>
        <v>417.01249494584835</v>
      </c>
      <c r="Q912" s="58">
        <f t="shared" si="187"/>
        <v>278.00832996389892</v>
      </c>
      <c r="R912" s="66">
        <f t="shared" si="188"/>
        <v>7.4120495872500012</v>
      </c>
      <c r="S912" s="64">
        <f t="shared" si="189"/>
        <v>41.25</v>
      </c>
      <c r="T912" s="66">
        <f t="shared" si="190"/>
        <v>472.20774028725003</v>
      </c>
      <c r="U912" s="68">
        <f t="shared" si="191"/>
        <v>42.92797638975</v>
      </c>
      <c r="V912" s="68">
        <f t="shared" si="192"/>
        <v>464.923932018953</v>
      </c>
      <c r="W912" s="68">
        <f t="shared" si="193"/>
        <v>309.94928801263535</v>
      </c>
    </row>
    <row r="913" spans="1:23" x14ac:dyDescent="0.25">
      <c r="A913" s="169" t="s">
        <v>947</v>
      </c>
      <c r="B913" s="61" t="s">
        <v>391</v>
      </c>
      <c r="C913" s="61" t="s">
        <v>585</v>
      </c>
      <c r="D913" s="61" t="s">
        <v>589</v>
      </c>
      <c r="E913" s="1" t="s">
        <v>368</v>
      </c>
      <c r="F913" s="62" t="str">
        <f t="shared" si="194"/>
        <v>64541</v>
      </c>
      <c r="G913" s="269">
        <v>10620058</v>
      </c>
      <c r="H913" s="1" t="s">
        <v>381</v>
      </c>
      <c r="I913" s="61">
        <v>3</v>
      </c>
      <c r="J913" s="61">
        <v>9</v>
      </c>
      <c r="K913" s="61">
        <v>9</v>
      </c>
      <c r="L913" s="69">
        <f t="shared" si="183"/>
        <v>0.27</v>
      </c>
      <c r="M913" s="69">
        <f t="shared" si="184"/>
        <v>0.27</v>
      </c>
      <c r="N913" s="56">
        <f>INDEX(Rate_Chart!$A$1:$AK$127,MATCH(Data!J913,Rate_Chart!$A$1:$A$127,0),MATCH(Data!K913,Rate_Chart!$A$1:$AK$1,0))</f>
        <v>75.149999999999991</v>
      </c>
      <c r="O913" s="57">
        <f t="shared" si="185"/>
        <v>225.45</v>
      </c>
      <c r="P913" s="58">
        <f t="shared" si="186"/>
        <v>500.99999999999994</v>
      </c>
      <c r="Q913" s="58">
        <f t="shared" si="187"/>
        <v>333.99999999999994</v>
      </c>
      <c r="R913" s="66">
        <f t="shared" si="188"/>
        <v>3.9453750000000003</v>
      </c>
      <c r="S913" s="64">
        <f t="shared" si="189"/>
        <v>11.25</v>
      </c>
      <c r="T913" s="66">
        <f t="shared" si="190"/>
        <v>240.645375</v>
      </c>
      <c r="U913" s="68">
        <f t="shared" si="191"/>
        <v>80.215125</v>
      </c>
      <c r="V913" s="68">
        <f t="shared" si="192"/>
        <v>534.76750000000004</v>
      </c>
      <c r="W913" s="68">
        <f t="shared" si="193"/>
        <v>356.51166666666671</v>
      </c>
    </row>
    <row r="914" spans="1:23" x14ac:dyDescent="0.25">
      <c r="A914" s="169" t="s">
        <v>941</v>
      </c>
      <c r="B914" s="61" t="s">
        <v>390</v>
      </c>
      <c r="C914" s="61" t="s">
        <v>585</v>
      </c>
      <c r="D914" s="61" t="s">
        <v>586</v>
      </c>
      <c r="E914" s="1" t="s">
        <v>862</v>
      </c>
      <c r="F914" s="62" t="str">
        <f t="shared" si="194"/>
        <v>64542</v>
      </c>
      <c r="G914" s="269">
        <v>10620075</v>
      </c>
      <c r="H914" s="1" t="s">
        <v>381</v>
      </c>
      <c r="I914" s="61">
        <v>17</v>
      </c>
      <c r="J914" s="61">
        <v>6.8</v>
      </c>
      <c r="K914" s="61">
        <v>9</v>
      </c>
      <c r="L914" s="69">
        <f t="shared" si="183"/>
        <v>1.1559999999999999</v>
      </c>
      <c r="M914" s="69">
        <f t="shared" si="184"/>
        <v>1.53</v>
      </c>
      <c r="N914" s="56">
        <f>INDEX(Rate_Chart!$A$1:$AK$127,MATCH(Data!J914,Rate_Chart!$A$1:$A$127,0),MATCH(Data!K914,Rate_Chart!$A$1:$AK$1,0))</f>
        <v>56.78</v>
      </c>
      <c r="O914" s="57">
        <f t="shared" si="185"/>
        <v>965.26</v>
      </c>
      <c r="P914" s="58">
        <f t="shared" si="186"/>
        <v>443.59375</v>
      </c>
      <c r="Q914" s="58">
        <f t="shared" si="187"/>
        <v>295.72916666666669</v>
      </c>
      <c r="R914" s="66">
        <f t="shared" si="188"/>
        <v>16.892050000000001</v>
      </c>
      <c r="S914" s="64">
        <f t="shared" si="189"/>
        <v>63.75</v>
      </c>
      <c r="T914" s="66">
        <f t="shared" si="190"/>
        <v>1045.9020499999999</v>
      </c>
      <c r="U914" s="68">
        <f t="shared" si="191"/>
        <v>61.523649999999996</v>
      </c>
      <c r="V914" s="68">
        <f t="shared" si="192"/>
        <v>480.65351562499995</v>
      </c>
      <c r="W914" s="68">
        <f t="shared" si="193"/>
        <v>320.4356770833333</v>
      </c>
    </row>
    <row r="915" spans="1:23" x14ac:dyDescent="0.25">
      <c r="A915" s="169" t="s">
        <v>941</v>
      </c>
      <c r="B915" s="61" t="s">
        <v>391</v>
      </c>
      <c r="C915" s="61" t="s">
        <v>585</v>
      </c>
      <c r="D915" s="61" t="s">
        <v>586</v>
      </c>
      <c r="E915" s="1" t="s">
        <v>862</v>
      </c>
      <c r="F915" s="62" t="str">
        <f t="shared" si="194"/>
        <v>64542</v>
      </c>
      <c r="G915" s="269">
        <v>10620075</v>
      </c>
      <c r="H915" s="1" t="s">
        <v>381</v>
      </c>
      <c r="I915" s="61">
        <v>14</v>
      </c>
      <c r="J915" s="61">
        <v>8</v>
      </c>
      <c r="K915" s="61">
        <v>9</v>
      </c>
      <c r="L915" s="69">
        <f t="shared" si="183"/>
        <v>1.1200000000000001</v>
      </c>
      <c r="M915" s="69">
        <f t="shared" si="184"/>
        <v>1.26</v>
      </c>
      <c r="N915" s="56">
        <f>INDEX(Rate_Chart!$A$1:$AK$127,MATCH(Data!J915,Rate_Chart!$A$1:$A$127,0),MATCH(Data!K915,Rate_Chart!$A$1:$AK$1,0))</f>
        <v>66.8</v>
      </c>
      <c r="O915" s="57">
        <f t="shared" si="185"/>
        <v>935.19999999999993</v>
      </c>
      <c r="P915" s="58">
        <f t="shared" si="186"/>
        <v>477.14285714285705</v>
      </c>
      <c r="Q915" s="58">
        <f t="shared" si="187"/>
        <v>318.09523809523802</v>
      </c>
      <c r="R915" s="66">
        <f t="shared" si="188"/>
        <v>16.366</v>
      </c>
      <c r="S915" s="64">
        <f t="shared" si="189"/>
        <v>52.5</v>
      </c>
      <c r="T915" s="66">
        <f t="shared" si="190"/>
        <v>1004.0659999999999</v>
      </c>
      <c r="U915" s="68">
        <f t="shared" si="191"/>
        <v>71.718999999999994</v>
      </c>
      <c r="V915" s="68">
        <f t="shared" si="192"/>
        <v>512.27857142857135</v>
      </c>
      <c r="W915" s="68">
        <f t="shared" si="193"/>
        <v>341.51904761904757</v>
      </c>
    </row>
    <row r="916" spans="1:23" x14ac:dyDescent="0.25">
      <c r="A916" s="169" t="s">
        <v>941</v>
      </c>
      <c r="B916" s="61" t="s">
        <v>391</v>
      </c>
      <c r="C916" s="61" t="s">
        <v>585</v>
      </c>
      <c r="D916" s="61" t="s">
        <v>586</v>
      </c>
      <c r="E916" s="1" t="s">
        <v>862</v>
      </c>
      <c r="F916" s="62" t="str">
        <f t="shared" si="194"/>
        <v>64542</v>
      </c>
      <c r="G916" s="269">
        <v>10620075</v>
      </c>
      <c r="H916" s="1" t="s">
        <v>382</v>
      </c>
      <c r="I916" s="61">
        <v>9</v>
      </c>
      <c r="J916" s="61">
        <v>4</v>
      </c>
      <c r="K916" s="61">
        <v>8.4</v>
      </c>
      <c r="L916" s="69">
        <f t="shared" si="183"/>
        <v>0.36</v>
      </c>
      <c r="M916" s="69">
        <f t="shared" si="184"/>
        <v>0.75600000000000012</v>
      </c>
      <c r="N916" s="56">
        <f>INDEX(Rate_Chart!$A$1:$AK$127,MATCH(Data!J916,Rate_Chart!$A$1:$A$127,0),MATCH(Data!K916,Rate_Chart!$A$1:$AK$1,0))</f>
        <v>40.033167600000006</v>
      </c>
      <c r="O916" s="57">
        <f t="shared" si="185"/>
        <v>360.29850840000006</v>
      </c>
      <c r="P916" s="58">
        <f t="shared" si="186"/>
        <v>417.01216250000004</v>
      </c>
      <c r="Q916" s="58">
        <f t="shared" si="187"/>
        <v>278.00810833333338</v>
      </c>
      <c r="R916" s="66">
        <f t="shared" si="188"/>
        <v>6.3052238970000021</v>
      </c>
      <c r="S916" s="64">
        <f t="shared" si="189"/>
        <v>33.75</v>
      </c>
      <c r="T916" s="66">
        <f t="shared" si="190"/>
        <v>400.35373229700008</v>
      </c>
      <c r="U916" s="68">
        <f t="shared" si="191"/>
        <v>44.483748033000012</v>
      </c>
      <c r="V916" s="68">
        <f t="shared" si="192"/>
        <v>463.37237534375009</v>
      </c>
      <c r="W916" s="68">
        <f t="shared" si="193"/>
        <v>308.91491689583341</v>
      </c>
    </row>
    <row r="917" spans="1:23" x14ac:dyDescent="0.25">
      <c r="A917" s="169" t="s">
        <v>942</v>
      </c>
      <c r="B917" s="61" t="s">
        <v>390</v>
      </c>
      <c r="C917" s="61" t="s">
        <v>585</v>
      </c>
      <c r="D917" s="61" t="s">
        <v>586</v>
      </c>
      <c r="E917" s="1" t="s">
        <v>862</v>
      </c>
      <c r="F917" s="62" t="str">
        <f t="shared" si="194"/>
        <v>64542</v>
      </c>
      <c r="G917" s="269">
        <v>10620075</v>
      </c>
      <c r="H917" s="1" t="s">
        <v>381</v>
      </c>
      <c r="I917" s="61">
        <v>18</v>
      </c>
      <c r="J917" s="61">
        <v>7.1</v>
      </c>
      <c r="K917" s="61">
        <v>9</v>
      </c>
      <c r="L917" s="69">
        <f t="shared" si="183"/>
        <v>1.278</v>
      </c>
      <c r="M917" s="69">
        <f t="shared" si="184"/>
        <v>1.62</v>
      </c>
      <c r="N917" s="56">
        <f>INDEX(Rate_Chart!$A$1:$AK$127,MATCH(Data!J917,Rate_Chart!$A$1:$A$127,0),MATCH(Data!K917,Rate_Chart!$A$1:$AK$1,0))</f>
        <v>59.284999999999997</v>
      </c>
      <c r="O917" s="57">
        <f t="shared" si="185"/>
        <v>1067.1299999999999</v>
      </c>
      <c r="P917" s="58">
        <f t="shared" si="186"/>
        <v>452.55725190839689</v>
      </c>
      <c r="Q917" s="58">
        <f t="shared" si="187"/>
        <v>301.70483460559791</v>
      </c>
      <c r="R917" s="66">
        <f t="shared" si="188"/>
        <v>18.674775</v>
      </c>
      <c r="S917" s="64">
        <f t="shared" si="189"/>
        <v>67.5</v>
      </c>
      <c r="T917" s="66">
        <f t="shared" si="190"/>
        <v>1153.3047749999998</v>
      </c>
      <c r="U917" s="68">
        <f t="shared" si="191"/>
        <v>64.072487499999994</v>
      </c>
      <c r="V917" s="68">
        <f t="shared" si="192"/>
        <v>489.10295801526712</v>
      </c>
      <c r="W917" s="68">
        <f t="shared" si="193"/>
        <v>326.06863867684473</v>
      </c>
    </row>
    <row r="918" spans="1:23" x14ac:dyDescent="0.25">
      <c r="A918" s="169" t="s">
        <v>942</v>
      </c>
      <c r="B918" s="61" t="s">
        <v>390</v>
      </c>
      <c r="C918" s="61" t="s">
        <v>585</v>
      </c>
      <c r="D918" s="61" t="s">
        <v>586</v>
      </c>
      <c r="E918" s="1" t="s">
        <v>862</v>
      </c>
      <c r="F918" s="62" t="str">
        <f t="shared" si="194"/>
        <v>64542</v>
      </c>
      <c r="G918" s="269">
        <v>10620075</v>
      </c>
      <c r="H918" s="1" t="s">
        <v>382</v>
      </c>
      <c r="I918" s="61">
        <v>28</v>
      </c>
      <c r="J918" s="61">
        <v>4</v>
      </c>
      <c r="K918" s="61">
        <v>8.4</v>
      </c>
      <c r="L918" s="69">
        <f t="shared" si="183"/>
        <v>1.1200000000000001</v>
      </c>
      <c r="M918" s="69">
        <f t="shared" si="184"/>
        <v>2.3520000000000003</v>
      </c>
      <c r="N918" s="56">
        <f>INDEX(Rate_Chart!$A$1:$AK$127,MATCH(Data!J918,Rate_Chart!$A$1:$A$127,0),MATCH(Data!K918,Rate_Chart!$A$1:$AK$1,0))</f>
        <v>40.033167600000006</v>
      </c>
      <c r="O918" s="57">
        <f t="shared" si="185"/>
        <v>1120.9286928000001</v>
      </c>
      <c r="P918" s="58">
        <f t="shared" si="186"/>
        <v>417.01216250000004</v>
      </c>
      <c r="Q918" s="58">
        <f t="shared" si="187"/>
        <v>278.00810833333338</v>
      </c>
      <c r="R918" s="66">
        <f t="shared" si="188"/>
        <v>19.616252124000003</v>
      </c>
      <c r="S918" s="64">
        <f t="shared" si="189"/>
        <v>105</v>
      </c>
      <c r="T918" s="66">
        <f t="shared" si="190"/>
        <v>1245.5449449240002</v>
      </c>
      <c r="U918" s="68">
        <f t="shared" si="191"/>
        <v>44.483748033000005</v>
      </c>
      <c r="V918" s="68">
        <f t="shared" si="192"/>
        <v>463.37237534375004</v>
      </c>
      <c r="W918" s="68">
        <f t="shared" si="193"/>
        <v>308.91491689583336</v>
      </c>
    </row>
    <row r="919" spans="1:23" x14ac:dyDescent="0.25">
      <c r="A919" s="169" t="s">
        <v>942</v>
      </c>
      <c r="B919" s="61" t="s">
        <v>391</v>
      </c>
      <c r="C919" s="61" t="s">
        <v>585</v>
      </c>
      <c r="D919" s="61" t="s">
        <v>586</v>
      </c>
      <c r="E919" s="1" t="s">
        <v>862</v>
      </c>
      <c r="F919" s="62" t="str">
        <f t="shared" si="194"/>
        <v>64542</v>
      </c>
      <c r="G919" s="269">
        <v>10620075</v>
      </c>
      <c r="H919" s="1" t="s">
        <v>381</v>
      </c>
      <c r="I919" s="61">
        <v>15</v>
      </c>
      <c r="J919" s="61">
        <v>7.7</v>
      </c>
      <c r="K919" s="61">
        <v>9</v>
      </c>
      <c r="L919" s="69">
        <f t="shared" si="183"/>
        <v>1.155</v>
      </c>
      <c r="M919" s="69">
        <f t="shared" si="184"/>
        <v>1.35</v>
      </c>
      <c r="N919" s="56">
        <f>INDEX(Rate_Chart!$A$1:$AK$127,MATCH(Data!J919,Rate_Chart!$A$1:$A$127,0),MATCH(Data!K919,Rate_Chart!$A$1:$AK$1,0))</f>
        <v>64.295000000000002</v>
      </c>
      <c r="O919" s="57">
        <f t="shared" si="185"/>
        <v>964.42500000000007</v>
      </c>
      <c r="P919" s="58">
        <f t="shared" si="186"/>
        <v>469.30656934306569</v>
      </c>
      <c r="Q919" s="58">
        <f t="shared" si="187"/>
        <v>312.87104622871044</v>
      </c>
      <c r="R919" s="66">
        <f t="shared" si="188"/>
        <v>16.877437500000003</v>
      </c>
      <c r="S919" s="64">
        <f t="shared" si="189"/>
        <v>56.25</v>
      </c>
      <c r="T919" s="66">
        <f t="shared" si="190"/>
        <v>1037.5524375</v>
      </c>
      <c r="U919" s="68">
        <f t="shared" si="191"/>
        <v>69.170162500000004</v>
      </c>
      <c r="V919" s="68">
        <f t="shared" si="192"/>
        <v>504.89169708029198</v>
      </c>
      <c r="W919" s="68">
        <f t="shared" si="193"/>
        <v>336.59446472019465</v>
      </c>
    </row>
    <row r="920" spans="1:23" x14ac:dyDescent="0.25">
      <c r="A920" s="169" t="s">
        <v>942</v>
      </c>
      <c r="B920" s="61" t="s">
        <v>391</v>
      </c>
      <c r="C920" s="61" t="s">
        <v>585</v>
      </c>
      <c r="D920" s="61" t="s">
        <v>586</v>
      </c>
      <c r="E920" s="1" t="s">
        <v>862</v>
      </c>
      <c r="F920" s="62" t="str">
        <f t="shared" si="194"/>
        <v>64542</v>
      </c>
      <c r="G920" s="269">
        <v>10620075</v>
      </c>
      <c r="H920" s="1" t="s">
        <v>382</v>
      </c>
      <c r="I920" s="61">
        <v>24</v>
      </c>
      <c r="J920" s="61">
        <v>3.9</v>
      </c>
      <c r="K920" s="61">
        <v>8.4</v>
      </c>
      <c r="L920" s="69">
        <f t="shared" si="183"/>
        <v>0.93599999999999994</v>
      </c>
      <c r="M920" s="69">
        <f t="shared" si="184"/>
        <v>2.016</v>
      </c>
      <c r="N920" s="56">
        <f>INDEX(Rate_Chart!$A$1:$AK$127,MATCH(Data!J920,Rate_Chart!$A$1:$A$127,0),MATCH(Data!K920,Rate_Chart!$A$1:$AK$1,0))</f>
        <v>39.616167600000011</v>
      </c>
      <c r="O920" s="57">
        <f t="shared" si="185"/>
        <v>950.78802240000027</v>
      </c>
      <c r="P920" s="58">
        <f t="shared" si="186"/>
        <v>417.01229052631589</v>
      </c>
      <c r="Q920" s="58">
        <f t="shared" si="187"/>
        <v>278.0081936842106</v>
      </c>
      <c r="R920" s="66">
        <f t="shared" si="188"/>
        <v>16.638790392000008</v>
      </c>
      <c r="S920" s="64">
        <f t="shared" si="189"/>
        <v>90</v>
      </c>
      <c r="T920" s="66">
        <f t="shared" si="190"/>
        <v>1057.4268127920002</v>
      </c>
      <c r="U920" s="68">
        <f t="shared" si="191"/>
        <v>44.05945053300001</v>
      </c>
      <c r="V920" s="68">
        <f t="shared" si="192"/>
        <v>463.78368982105275</v>
      </c>
      <c r="W920" s="68">
        <f t="shared" si="193"/>
        <v>309.18912654736852</v>
      </c>
    </row>
    <row r="921" spans="1:23" x14ac:dyDescent="0.25">
      <c r="A921" s="169" t="s">
        <v>943</v>
      </c>
      <c r="B921" s="61" t="s">
        <v>390</v>
      </c>
      <c r="C921" s="61" t="s">
        <v>585</v>
      </c>
      <c r="D921" s="61" t="s">
        <v>586</v>
      </c>
      <c r="E921" s="1" t="s">
        <v>862</v>
      </c>
      <c r="F921" s="62" t="str">
        <f t="shared" si="194"/>
        <v>64542</v>
      </c>
      <c r="G921" s="269">
        <v>10620075</v>
      </c>
      <c r="H921" s="1" t="s">
        <v>381</v>
      </c>
      <c r="I921" s="61">
        <v>17</v>
      </c>
      <c r="J921" s="61">
        <v>7.3</v>
      </c>
      <c r="K921" s="61">
        <v>9</v>
      </c>
      <c r="L921" s="69">
        <f t="shared" si="183"/>
        <v>1.2409999999999999</v>
      </c>
      <c r="M921" s="69">
        <f t="shared" si="184"/>
        <v>1.53</v>
      </c>
      <c r="N921" s="56">
        <f>INDEX(Rate_Chart!$A$1:$AK$127,MATCH(Data!J921,Rate_Chart!$A$1:$A$127,0),MATCH(Data!K921,Rate_Chart!$A$1:$AK$1,0))</f>
        <v>60.954999999999998</v>
      </c>
      <c r="O921" s="57">
        <f t="shared" si="185"/>
        <v>1036.2349999999999</v>
      </c>
      <c r="P921" s="58">
        <f t="shared" si="186"/>
        <v>458.30827067669168</v>
      </c>
      <c r="Q921" s="58">
        <f t="shared" si="187"/>
        <v>305.53884711779443</v>
      </c>
      <c r="R921" s="66">
        <f t="shared" si="188"/>
        <v>18.134112500000001</v>
      </c>
      <c r="S921" s="64">
        <f t="shared" si="189"/>
        <v>63.75</v>
      </c>
      <c r="T921" s="66">
        <f t="shared" si="190"/>
        <v>1118.1191124999998</v>
      </c>
      <c r="U921" s="68">
        <f t="shared" si="191"/>
        <v>65.771712499999992</v>
      </c>
      <c r="V921" s="68">
        <f t="shared" si="192"/>
        <v>494.52415413533828</v>
      </c>
      <c r="W921" s="68">
        <f t="shared" si="193"/>
        <v>329.68276942355885</v>
      </c>
    </row>
    <row r="922" spans="1:23" x14ac:dyDescent="0.25">
      <c r="A922" s="169" t="s">
        <v>943</v>
      </c>
      <c r="B922" s="61" t="s">
        <v>390</v>
      </c>
      <c r="C922" s="61" t="s">
        <v>585</v>
      </c>
      <c r="D922" s="61" t="s">
        <v>586</v>
      </c>
      <c r="E922" s="1" t="s">
        <v>862</v>
      </c>
      <c r="F922" s="62" t="str">
        <f t="shared" si="194"/>
        <v>64542</v>
      </c>
      <c r="G922" s="269">
        <v>10620075</v>
      </c>
      <c r="H922" s="1" t="s">
        <v>382</v>
      </c>
      <c r="I922" s="61">
        <v>29</v>
      </c>
      <c r="J922" s="61">
        <v>4.2</v>
      </c>
      <c r="K922" s="61">
        <v>8.4</v>
      </c>
      <c r="L922" s="69">
        <f t="shared" si="183"/>
        <v>1.2180000000000002</v>
      </c>
      <c r="M922" s="69">
        <f t="shared" si="184"/>
        <v>2.4360000000000004</v>
      </c>
      <c r="N922" s="56">
        <f>INDEX(Rate_Chart!$A$1:$AK$127,MATCH(Data!J922,Rate_Chart!$A$1:$A$127,0),MATCH(Data!K922,Rate_Chart!$A$1:$AK$1,0))</f>
        <v>40.867167600000002</v>
      </c>
      <c r="O922" s="57">
        <f t="shared" si="185"/>
        <v>1185.1478604000001</v>
      </c>
      <c r="P922" s="58">
        <f t="shared" si="186"/>
        <v>417.01191428571428</v>
      </c>
      <c r="Q922" s="58">
        <f t="shared" si="187"/>
        <v>278.00794285714284</v>
      </c>
      <c r="R922" s="66">
        <f t="shared" si="188"/>
        <v>20.740087557000003</v>
      </c>
      <c r="S922" s="64">
        <f t="shared" si="189"/>
        <v>108.75</v>
      </c>
      <c r="T922" s="66">
        <f t="shared" si="190"/>
        <v>1314.6379479570001</v>
      </c>
      <c r="U922" s="68">
        <f t="shared" si="191"/>
        <v>45.332343033000001</v>
      </c>
      <c r="V922" s="68">
        <f t="shared" si="192"/>
        <v>462.57492890816326</v>
      </c>
      <c r="W922" s="68">
        <f t="shared" si="193"/>
        <v>308.38328593877549</v>
      </c>
    </row>
    <row r="923" spans="1:23" x14ac:dyDescent="0.25">
      <c r="A923" s="169" t="s">
        <v>943</v>
      </c>
      <c r="B923" s="61" t="s">
        <v>391</v>
      </c>
      <c r="C923" s="61" t="s">
        <v>585</v>
      </c>
      <c r="D923" s="61" t="s">
        <v>586</v>
      </c>
      <c r="E923" s="1" t="s">
        <v>862</v>
      </c>
      <c r="F923" s="62" t="str">
        <f t="shared" si="194"/>
        <v>64542</v>
      </c>
      <c r="G923" s="269">
        <v>10620075</v>
      </c>
      <c r="H923" s="1" t="s">
        <v>381</v>
      </c>
      <c r="I923" s="61">
        <v>12</v>
      </c>
      <c r="J923" s="61">
        <v>8</v>
      </c>
      <c r="K923" s="61">
        <v>9</v>
      </c>
      <c r="L923" s="69">
        <f t="shared" si="183"/>
        <v>0.96</v>
      </c>
      <c r="M923" s="69">
        <f t="shared" si="184"/>
        <v>1.08</v>
      </c>
      <c r="N923" s="56">
        <f>INDEX(Rate_Chart!$A$1:$AK$127,MATCH(Data!J923,Rate_Chart!$A$1:$A$127,0),MATCH(Data!K923,Rate_Chart!$A$1:$AK$1,0))</f>
        <v>66.8</v>
      </c>
      <c r="O923" s="57">
        <f t="shared" si="185"/>
        <v>801.59999999999991</v>
      </c>
      <c r="P923" s="58">
        <f t="shared" si="186"/>
        <v>477.14285714285705</v>
      </c>
      <c r="Q923" s="58">
        <f t="shared" si="187"/>
        <v>318.09523809523802</v>
      </c>
      <c r="R923" s="66">
        <f t="shared" si="188"/>
        <v>14.028</v>
      </c>
      <c r="S923" s="64">
        <f t="shared" si="189"/>
        <v>45</v>
      </c>
      <c r="T923" s="66">
        <f t="shared" si="190"/>
        <v>860.62799999999993</v>
      </c>
      <c r="U923" s="68">
        <f t="shared" si="191"/>
        <v>71.718999999999994</v>
      </c>
      <c r="V923" s="68">
        <f t="shared" si="192"/>
        <v>512.27857142857135</v>
      </c>
      <c r="W923" s="68">
        <f t="shared" si="193"/>
        <v>341.51904761904757</v>
      </c>
    </row>
    <row r="924" spans="1:23" x14ac:dyDescent="0.25">
      <c r="A924" s="169" t="s">
        <v>943</v>
      </c>
      <c r="B924" s="61" t="s">
        <v>391</v>
      </c>
      <c r="C924" s="61" t="s">
        <v>585</v>
      </c>
      <c r="D924" s="61" t="s">
        <v>586</v>
      </c>
      <c r="E924" s="1" t="s">
        <v>862</v>
      </c>
      <c r="F924" s="62" t="str">
        <f t="shared" si="194"/>
        <v>64542</v>
      </c>
      <c r="G924" s="269">
        <v>10620075</v>
      </c>
      <c r="H924" s="1" t="s">
        <v>382</v>
      </c>
      <c r="I924" s="61">
        <v>16</v>
      </c>
      <c r="J924" s="61">
        <v>3.3</v>
      </c>
      <c r="K924" s="61">
        <v>8.3000000000000007</v>
      </c>
      <c r="L924" s="69">
        <f t="shared" si="183"/>
        <v>0.52800000000000002</v>
      </c>
      <c r="M924" s="69">
        <f t="shared" si="184"/>
        <v>1.3280000000000001</v>
      </c>
      <c r="N924" s="56">
        <f>INDEX(Rate_Chart!$A$1:$AK$127,MATCH(Data!J924,Rate_Chart!$A$1:$A$127,0),MATCH(Data!K924,Rate_Chart!$A$1:$AK$1,0))</f>
        <v>36.836153700000004</v>
      </c>
      <c r="O924" s="57">
        <f t="shared" si="185"/>
        <v>589.37845920000007</v>
      </c>
      <c r="P924" s="58">
        <f t="shared" si="186"/>
        <v>417.01306075471695</v>
      </c>
      <c r="Q924" s="58">
        <f t="shared" si="187"/>
        <v>278.00870716981132</v>
      </c>
      <c r="R924" s="66">
        <f t="shared" si="188"/>
        <v>10.314123036000002</v>
      </c>
      <c r="S924" s="64">
        <f t="shared" si="189"/>
        <v>60</v>
      </c>
      <c r="T924" s="66">
        <f t="shared" si="190"/>
        <v>659.69258223600002</v>
      </c>
      <c r="U924" s="68">
        <f t="shared" si="191"/>
        <v>41.230786389750001</v>
      </c>
      <c r="V924" s="68">
        <f t="shared" si="192"/>
        <v>466.76361950660373</v>
      </c>
      <c r="W924" s="68">
        <f t="shared" si="193"/>
        <v>311.1757463377358</v>
      </c>
    </row>
    <row r="925" spans="1:23" x14ac:dyDescent="0.25">
      <c r="A925" s="169" t="s">
        <v>944</v>
      </c>
      <c r="B925" s="61" t="s">
        <v>390</v>
      </c>
      <c r="C925" s="61" t="s">
        <v>585</v>
      </c>
      <c r="D925" s="61" t="s">
        <v>586</v>
      </c>
      <c r="E925" s="1" t="s">
        <v>862</v>
      </c>
      <c r="F925" s="62" t="str">
        <f t="shared" si="194"/>
        <v>64542</v>
      </c>
      <c r="G925" s="269">
        <v>10620075</v>
      </c>
      <c r="H925" s="1" t="s">
        <v>381</v>
      </c>
      <c r="I925" s="61">
        <v>14</v>
      </c>
      <c r="J925" s="61">
        <v>7.2</v>
      </c>
      <c r="K925" s="61">
        <v>9</v>
      </c>
      <c r="L925" s="69">
        <f t="shared" si="183"/>
        <v>1.008</v>
      </c>
      <c r="M925" s="69">
        <f t="shared" si="184"/>
        <v>1.26</v>
      </c>
      <c r="N925" s="56">
        <f>INDEX(Rate_Chart!$A$1:$AK$127,MATCH(Data!J925,Rate_Chart!$A$1:$A$127,0),MATCH(Data!K925,Rate_Chart!$A$1:$AK$1,0))</f>
        <v>60.120000000000005</v>
      </c>
      <c r="O925" s="57">
        <f t="shared" si="185"/>
        <v>841.68000000000006</v>
      </c>
      <c r="P925" s="58">
        <f t="shared" si="186"/>
        <v>455.4545454545455</v>
      </c>
      <c r="Q925" s="58">
        <f t="shared" si="187"/>
        <v>303.63636363636368</v>
      </c>
      <c r="R925" s="66">
        <f t="shared" si="188"/>
        <v>14.729400000000002</v>
      </c>
      <c r="S925" s="64">
        <f t="shared" si="189"/>
        <v>52.5</v>
      </c>
      <c r="T925" s="66">
        <f t="shared" si="190"/>
        <v>908.90940000000001</v>
      </c>
      <c r="U925" s="68">
        <f t="shared" si="191"/>
        <v>64.9221</v>
      </c>
      <c r="V925" s="68">
        <f t="shared" si="192"/>
        <v>491.83409090909089</v>
      </c>
      <c r="W925" s="68">
        <f t="shared" si="193"/>
        <v>327.88939393939393</v>
      </c>
    </row>
    <row r="926" spans="1:23" x14ac:dyDescent="0.25">
      <c r="A926" s="169" t="s">
        <v>944</v>
      </c>
      <c r="B926" s="61" t="s">
        <v>390</v>
      </c>
      <c r="C926" s="61" t="s">
        <v>585</v>
      </c>
      <c r="D926" s="61" t="s">
        <v>586</v>
      </c>
      <c r="E926" s="1" t="s">
        <v>862</v>
      </c>
      <c r="F926" s="62" t="str">
        <f t="shared" si="194"/>
        <v>64542</v>
      </c>
      <c r="G926" s="269">
        <v>10620075</v>
      </c>
      <c r="H926" s="1" t="s">
        <v>382</v>
      </c>
      <c r="I926" s="61">
        <v>37</v>
      </c>
      <c r="J926" s="61">
        <v>3.9</v>
      </c>
      <c r="K926" s="61">
        <v>8.5</v>
      </c>
      <c r="L926" s="69">
        <f t="shared" si="183"/>
        <v>1.4429999999999998</v>
      </c>
      <c r="M926" s="69">
        <f t="shared" si="184"/>
        <v>3.145</v>
      </c>
      <c r="N926" s="56">
        <f>INDEX(Rate_Chart!$A$1:$AK$127,MATCH(Data!J926,Rate_Chart!$A$1:$A$127,0),MATCH(Data!K926,Rate_Chart!$A$1:$AK$1,0))</f>
        <v>39.894181500000002</v>
      </c>
      <c r="O926" s="57">
        <f t="shared" si="185"/>
        <v>1476.0847155000001</v>
      </c>
      <c r="P926" s="58">
        <f t="shared" si="186"/>
        <v>417.01235017421601</v>
      </c>
      <c r="Q926" s="58">
        <f t="shared" si="187"/>
        <v>278.00823344947736</v>
      </c>
      <c r="R926" s="66">
        <f t="shared" si="188"/>
        <v>25.831482521250006</v>
      </c>
      <c r="S926" s="64">
        <f t="shared" si="189"/>
        <v>138.75</v>
      </c>
      <c r="T926" s="66">
        <f t="shared" si="190"/>
        <v>1640.6661980212502</v>
      </c>
      <c r="U926" s="68">
        <f t="shared" si="191"/>
        <v>44.342329676250003</v>
      </c>
      <c r="V926" s="68">
        <f t="shared" si="192"/>
        <v>463.50867257404178</v>
      </c>
      <c r="W926" s="68">
        <f t="shared" si="193"/>
        <v>309.00578171602785</v>
      </c>
    </row>
    <row r="927" spans="1:23" x14ac:dyDescent="0.25">
      <c r="A927" s="169" t="s">
        <v>944</v>
      </c>
      <c r="B927" s="61" t="s">
        <v>391</v>
      </c>
      <c r="C927" s="61" t="s">
        <v>585</v>
      </c>
      <c r="D927" s="61" t="s">
        <v>586</v>
      </c>
      <c r="E927" s="1" t="s">
        <v>862</v>
      </c>
      <c r="F927" s="62" t="str">
        <f t="shared" si="194"/>
        <v>64542</v>
      </c>
      <c r="G927" s="269">
        <v>10620075</v>
      </c>
      <c r="H927" s="1" t="s">
        <v>381</v>
      </c>
      <c r="I927" s="61">
        <v>14</v>
      </c>
      <c r="J927" s="61">
        <v>7.8</v>
      </c>
      <c r="K927" s="61">
        <v>9</v>
      </c>
      <c r="L927" s="69">
        <f t="shared" si="183"/>
        <v>1.0920000000000001</v>
      </c>
      <c r="M927" s="69">
        <f t="shared" si="184"/>
        <v>1.26</v>
      </c>
      <c r="N927" s="56">
        <f>INDEX(Rate_Chart!$A$1:$AK$127,MATCH(Data!J927,Rate_Chart!$A$1:$A$127,0),MATCH(Data!K927,Rate_Chart!$A$1:$AK$1,0))</f>
        <v>65.13</v>
      </c>
      <c r="O927" s="57">
        <f t="shared" si="185"/>
        <v>911.81999999999994</v>
      </c>
      <c r="P927" s="58">
        <f t="shared" si="186"/>
        <v>471.95652173913038</v>
      </c>
      <c r="Q927" s="58">
        <f t="shared" si="187"/>
        <v>314.63768115942025</v>
      </c>
      <c r="R927" s="66">
        <f t="shared" si="188"/>
        <v>15.956850000000001</v>
      </c>
      <c r="S927" s="64">
        <f t="shared" si="189"/>
        <v>52.5</v>
      </c>
      <c r="T927" s="66">
        <f t="shared" si="190"/>
        <v>980.27684999999997</v>
      </c>
      <c r="U927" s="68">
        <f t="shared" si="191"/>
        <v>70.019774999999996</v>
      </c>
      <c r="V927" s="68">
        <f t="shared" si="192"/>
        <v>507.3896739130434</v>
      </c>
      <c r="W927" s="68">
        <f t="shared" si="193"/>
        <v>338.25978260869562</v>
      </c>
    </row>
    <row r="928" spans="1:23" x14ac:dyDescent="0.25">
      <c r="A928" s="169" t="s">
        <v>944</v>
      </c>
      <c r="B928" s="61" t="s">
        <v>391</v>
      </c>
      <c r="C928" s="61" t="s">
        <v>585</v>
      </c>
      <c r="D928" s="61" t="s">
        <v>586</v>
      </c>
      <c r="E928" s="1" t="s">
        <v>862</v>
      </c>
      <c r="F928" s="62" t="str">
        <f t="shared" si="194"/>
        <v>64542</v>
      </c>
      <c r="G928" s="269">
        <v>10620075</v>
      </c>
      <c r="H928" s="1" t="s">
        <v>382</v>
      </c>
      <c r="I928" s="61">
        <v>16</v>
      </c>
      <c r="J928" s="61">
        <v>3.8</v>
      </c>
      <c r="K928" s="61">
        <v>8.1999999999999993</v>
      </c>
      <c r="L928" s="69">
        <f t="shared" si="183"/>
        <v>0.60799999999999998</v>
      </c>
      <c r="M928" s="69">
        <f t="shared" si="184"/>
        <v>1.3119999999999998</v>
      </c>
      <c r="N928" s="56">
        <f>INDEX(Rate_Chart!$A$1:$AK$127,MATCH(Data!J928,Rate_Chart!$A$1:$A$127,0),MATCH(Data!K928,Rate_Chart!$A$1:$AK$1,0))</f>
        <v>38.6431398</v>
      </c>
      <c r="O928" s="57">
        <f t="shared" si="185"/>
        <v>618.2902368</v>
      </c>
      <c r="P928" s="58">
        <f t="shared" si="186"/>
        <v>417.01230000000004</v>
      </c>
      <c r="Q928" s="58">
        <f t="shared" si="187"/>
        <v>278.00820000000004</v>
      </c>
      <c r="R928" s="66">
        <f t="shared" si="188"/>
        <v>10.820079144000001</v>
      </c>
      <c r="S928" s="64">
        <f t="shared" si="189"/>
        <v>60</v>
      </c>
      <c r="T928" s="66">
        <f t="shared" si="190"/>
        <v>689.11031594400004</v>
      </c>
      <c r="U928" s="68">
        <f t="shared" si="191"/>
        <v>43.069394746500002</v>
      </c>
      <c r="V928" s="68">
        <f t="shared" si="192"/>
        <v>464.77764114928061</v>
      </c>
      <c r="W928" s="68">
        <f t="shared" si="193"/>
        <v>309.85176076618706</v>
      </c>
    </row>
    <row r="929" spans="1:23" x14ac:dyDescent="0.25">
      <c r="A929" s="169" t="s">
        <v>945</v>
      </c>
      <c r="B929" s="61" t="s">
        <v>390</v>
      </c>
      <c r="C929" s="61" t="s">
        <v>585</v>
      </c>
      <c r="D929" s="61" t="s">
        <v>586</v>
      </c>
      <c r="E929" s="1" t="s">
        <v>862</v>
      </c>
      <c r="F929" s="62" t="str">
        <f t="shared" si="194"/>
        <v>64542</v>
      </c>
      <c r="G929" s="269">
        <v>10620075</v>
      </c>
      <c r="H929" s="1" t="s">
        <v>381</v>
      </c>
      <c r="I929" s="61">
        <v>9</v>
      </c>
      <c r="J929" s="61">
        <v>7.1</v>
      </c>
      <c r="K929" s="61">
        <v>9</v>
      </c>
      <c r="L929" s="69">
        <f t="shared" si="183"/>
        <v>0.63900000000000001</v>
      </c>
      <c r="M929" s="69">
        <f t="shared" si="184"/>
        <v>0.81</v>
      </c>
      <c r="N929" s="56">
        <f>INDEX(Rate_Chart!$A$1:$AK$127,MATCH(Data!J929,Rate_Chart!$A$1:$A$127,0),MATCH(Data!K929,Rate_Chart!$A$1:$AK$1,0))</f>
        <v>59.284999999999997</v>
      </c>
      <c r="O929" s="57">
        <f t="shared" si="185"/>
        <v>533.56499999999994</v>
      </c>
      <c r="P929" s="58">
        <f t="shared" si="186"/>
        <v>452.55725190839689</v>
      </c>
      <c r="Q929" s="58">
        <f t="shared" si="187"/>
        <v>301.70483460559791</v>
      </c>
      <c r="R929" s="66">
        <f t="shared" si="188"/>
        <v>9.3373875000000002</v>
      </c>
      <c r="S929" s="64">
        <f t="shared" si="189"/>
        <v>33.75</v>
      </c>
      <c r="T929" s="66">
        <f t="shared" si="190"/>
        <v>576.65238749999992</v>
      </c>
      <c r="U929" s="68">
        <f t="shared" si="191"/>
        <v>64.072487499999994</v>
      </c>
      <c r="V929" s="68">
        <f t="shared" si="192"/>
        <v>489.10295801526712</v>
      </c>
      <c r="W929" s="68">
        <f t="shared" si="193"/>
        <v>326.06863867684473</v>
      </c>
    </row>
    <row r="930" spans="1:23" x14ac:dyDescent="0.25">
      <c r="A930" s="169" t="s">
        <v>945</v>
      </c>
      <c r="B930" s="61" t="s">
        <v>390</v>
      </c>
      <c r="C930" s="61" t="s">
        <v>585</v>
      </c>
      <c r="D930" s="61" t="s">
        <v>586</v>
      </c>
      <c r="E930" s="1" t="s">
        <v>862</v>
      </c>
      <c r="F930" s="62" t="str">
        <f t="shared" si="194"/>
        <v>64542</v>
      </c>
      <c r="G930" s="269">
        <v>10620075</v>
      </c>
      <c r="H930" s="1" t="s">
        <v>382</v>
      </c>
      <c r="I930" s="61">
        <v>34</v>
      </c>
      <c r="J930" s="61">
        <v>4.3</v>
      </c>
      <c r="K930" s="61">
        <v>8.5</v>
      </c>
      <c r="L930" s="69">
        <f t="shared" si="183"/>
        <v>1.462</v>
      </c>
      <c r="M930" s="69">
        <f t="shared" si="184"/>
        <v>2.89</v>
      </c>
      <c r="N930" s="56">
        <f>INDEX(Rate_Chart!$A$1:$AK$127,MATCH(Data!J930,Rate_Chart!$A$1:$A$127,0),MATCH(Data!K930,Rate_Chart!$A$1:$AK$1,0))</f>
        <v>41.562181500000001</v>
      </c>
      <c r="O930" s="57">
        <f t="shared" si="185"/>
        <v>1413.1141709999999</v>
      </c>
      <c r="P930" s="58">
        <f t="shared" si="186"/>
        <v>417.01185451505017</v>
      </c>
      <c r="Q930" s="58">
        <f t="shared" si="187"/>
        <v>278.00790301003343</v>
      </c>
      <c r="R930" s="66">
        <f t="shared" si="188"/>
        <v>24.729497992500001</v>
      </c>
      <c r="S930" s="64">
        <f t="shared" si="189"/>
        <v>127.5</v>
      </c>
      <c r="T930" s="66">
        <f t="shared" si="190"/>
        <v>1565.3436689924999</v>
      </c>
      <c r="U930" s="68">
        <f t="shared" si="191"/>
        <v>46.039519676249995</v>
      </c>
      <c r="V930" s="68">
        <f t="shared" si="192"/>
        <v>461.93498002926418</v>
      </c>
      <c r="W930" s="68">
        <f t="shared" si="193"/>
        <v>307.95665335284281</v>
      </c>
    </row>
    <row r="931" spans="1:23" x14ac:dyDescent="0.25">
      <c r="A931" s="169" t="s">
        <v>945</v>
      </c>
      <c r="B931" s="61" t="s">
        <v>391</v>
      </c>
      <c r="C931" s="61" t="s">
        <v>585</v>
      </c>
      <c r="D931" s="61" t="s">
        <v>586</v>
      </c>
      <c r="E931" s="1" t="s">
        <v>862</v>
      </c>
      <c r="F931" s="62" t="str">
        <f t="shared" si="194"/>
        <v>64542</v>
      </c>
      <c r="G931" s="269">
        <v>10620075</v>
      </c>
      <c r="H931" s="1" t="s">
        <v>381</v>
      </c>
      <c r="I931" s="61">
        <v>13</v>
      </c>
      <c r="J931" s="61">
        <v>7.9</v>
      </c>
      <c r="K931" s="61">
        <v>9</v>
      </c>
      <c r="L931" s="69">
        <f t="shared" si="183"/>
        <v>1.0270000000000001</v>
      </c>
      <c r="M931" s="69">
        <f t="shared" si="184"/>
        <v>1.17</v>
      </c>
      <c r="N931" s="56">
        <f>INDEX(Rate_Chart!$A$1:$AK$127,MATCH(Data!J931,Rate_Chart!$A$1:$A$127,0),MATCH(Data!K931,Rate_Chart!$A$1:$AK$1,0))</f>
        <v>65.965000000000003</v>
      </c>
      <c r="O931" s="57">
        <f t="shared" si="185"/>
        <v>857.54500000000007</v>
      </c>
      <c r="P931" s="58">
        <f t="shared" si="186"/>
        <v>474.56834532374097</v>
      </c>
      <c r="Q931" s="58">
        <f t="shared" si="187"/>
        <v>316.37889688249396</v>
      </c>
      <c r="R931" s="66">
        <f t="shared" si="188"/>
        <v>15.007037500000003</v>
      </c>
      <c r="S931" s="64">
        <f t="shared" si="189"/>
        <v>48.75</v>
      </c>
      <c r="T931" s="66">
        <f t="shared" si="190"/>
        <v>921.3020375000001</v>
      </c>
      <c r="U931" s="68">
        <f t="shared" si="191"/>
        <v>70.869387500000002</v>
      </c>
      <c r="V931" s="68">
        <f t="shared" si="192"/>
        <v>509.85170863309349</v>
      </c>
      <c r="W931" s="68">
        <f t="shared" si="193"/>
        <v>339.901139088729</v>
      </c>
    </row>
    <row r="932" spans="1:23" x14ac:dyDescent="0.25">
      <c r="A932" s="169" t="s">
        <v>945</v>
      </c>
      <c r="B932" s="61" t="s">
        <v>391</v>
      </c>
      <c r="C932" s="61" t="s">
        <v>585</v>
      </c>
      <c r="D932" s="61" t="s">
        <v>586</v>
      </c>
      <c r="E932" s="1" t="s">
        <v>862</v>
      </c>
      <c r="F932" s="62" t="str">
        <f t="shared" si="194"/>
        <v>64542</v>
      </c>
      <c r="G932" s="269">
        <v>10620075</v>
      </c>
      <c r="H932" s="1" t="s">
        <v>382</v>
      </c>
      <c r="I932" s="61">
        <v>17</v>
      </c>
      <c r="J932" s="61">
        <v>3.8</v>
      </c>
      <c r="K932" s="61">
        <v>8.1999999999999993</v>
      </c>
      <c r="L932" s="69">
        <f t="shared" si="183"/>
        <v>0.64599999999999991</v>
      </c>
      <c r="M932" s="69">
        <f t="shared" si="184"/>
        <v>1.3939999999999997</v>
      </c>
      <c r="N932" s="56">
        <f>INDEX(Rate_Chart!$A$1:$AK$127,MATCH(Data!J932,Rate_Chart!$A$1:$A$127,0),MATCH(Data!K932,Rate_Chart!$A$1:$AK$1,0))</f>
        <v>38.6431398</v>
      </c>
      <c r="O932" s="57">
        <f t="shared" si="185"/>
        <v>656.93337659999997</v>
      </c>
      <c r="P932" s="58">
        <f t="shared" si="186"/>
        <v>417.01230000000004</v>
      </c>
      <c r="Q932" s="58">
        <f t="shared" si="187"/>
        <v>278.00820000000004</v>
      </c>
      <c r="R932" s="66">
        <f t="shared" si="188"/>
        <v>11.496334090500001</v>
      </c>
      <c r="S932" s="64">
        <f t="shared" si="189"/>
        <v>63.75</v>
      </c>
      <c r="T932" s="66">
        <f t="shared" si="190"/>
        <v>732.17971069049997</v>
      </c>
      <c r="U932" s="68">
        <f t="shared" si="191"/>
        <v>43.069394746499995</v>
      </c>
      <c r="V932" s="68">
        <f t="shared" si="192"/>
        <v>464.77764114928056</v>
      </c>
      <c r="W932" s="68">
        <f t="shared" si="193"/>
        <v>309.85176076618706</v>
      </c>
    </row>
    <row r="933" spans="1:23" x14ac:dyDescent="0.25">
      <c r="A933" s="169" t="s">
        <v>946</v>
      </c>
      <c r="B933" s="61" t="s">
        <v>390</v>
      </c>
      <c r="C933" s="61" t="s">
        <v>585</v>
      </c>
      <c r="D933" s="61" t="s">
        <v>586</v>
      </c>
      <c r="E933" s="1" t="s">
        <v>862</v>
      </c>
      <c r="F933" s="62" t="str">
        <f t="shared" si="194"/>
        <v>64542</v>
      </c>
      <c r="G933" s="269">
        <v>10620075</v>
      </c>
      <c r="H933" s="1" t="s">
        <v>381</v>
      </c>
      <c r="I933" s="61">
        <v>14</v>
      </c>
      <c r="J933" s="61">
        <v>7.5</v>
      </c>
      <c r="K933" s="61">
        <v>9</v>
      </c>
      <c r="L933" s="69">
        <f t="shared" si="183"/>
        <v>1.05</v>
      </c>
      <c r="M933" s="69">
        <f t="shared" si="184"/>
        <v>1.26</v>
      </c>
      <c r="N933" s="56">
        <f>INDEX(Rate_Chart!$A$1:$AK$127,MATCH(Data!J933,Rate_Chart!$A$1:$A$127,0),MATCH(Data!K933,Rate_Chart!$A$1:$AK$1,0))</f>
        <v>62.625</v>
      </c>
      <c r="O933" s="57">
        <f t="shared" si="185"/>
        <v>876.75</v>
      </c>
      <c r="P933" s="58">
        <f t="shared" si="186"/>
        <v>463.88888888888886</v>
      </c>
      <c r="Q933" s="58">
        <f t="shared" si="187"/>
        <v>309.25925925925924</v>
      </c>
      <c r="R933" s="66">
        <f t="shared" si="188"/>
        <v>15.343125000000002</v>
      </c>
      <c r="S933" s="64">
        <f t="shared" si="189"/>
        <v>52.5</v>
      </c>
      <c r="T933" s="66">
        <f t="shared" si="190"/>
        <v>944.59312499999999</v>
      </c>
      <c r="U933" s="68">
        <f t="shared" si="191"/>
        <v>67.470937500000005</v>
      </c>
      <c r="V933" s="68">
        <f t="shared" si="192"/>
        <v>499.78472222222223</v>
      </c>
      <c r="W933" s="68">
        <f t="shared" si="193"/>
        <v>333.18981481481484</v>
      </c>
    </row>
    <row r="934" spans="1:23" x14ac:dyDescent="0.25">
      <c r="A934" s="169" t="s">
        <v>946</v>
      </c>
      <c r="B934" s="61" t="s">
        <v>390</v>
      </c>
      <c r="C934" s="61" t="s">
        <v>585</v>
      </c>
      <c r="D934" s="61" t="s">
        <v>586</v>
      </c>
      <c r="E934" s="1" t="s">
        <v>862</v>
      </c>
      <c r="F934" s="62" t="str">
        <f t="shared" si="194"/>
        <v>64542</v>
      </c>
      <c r="G934" s="269">
        <v>10620075</v>
      </c>
      <c r="H934" s="1" t="s">
        <v>382</v>
      </c>
      <c r="I934" s="61">
        <v>32</v>
      </c>
      <c r="J934" s="61">
        <v>4.3</v>
      </c>
      <c r="K934" s="61">
        <v>8.3000000000000007</v>
      </c>
      <c r="L934" s="69">
        <f t="shared" si="183"/>
        <v>1.3759999999999999</v>
      </c>
      <c r="M934" s="69">
        <f t="shared" si="184"/>
        <v>2.6560000000000001</v>
      </c>
      <c r="N934" s="56">
        <f>INDEX(Rate_Chart!$A$1:$AK$127,MATCH(Data!J934,Rate_Chart!$A$1:$A$127,0),MATCH(Data!K934,Rate_Chart!$A$1:$AK$1,0))</f>
        <v>41.006153699999999</v>
      </c>
      <c r="O934" s="57">
        <f t="shared" si="185"/>
        <v>1312.1969184</v>
      </c>
      <c r="P934" s="58">
        <f t="shared" si="186"/>
        <v>417.0117325423729</v>
      </c>
      <c r="Q934" s="58">
        <f t="shared" si="187"/>
        <v>278.00782169491526</v>
      </c>
      <c r="R934" s="66">
        <f t="shared" si="188"/>
        <v>22.963446072</v>
      </c>
      <c r="S934" s="64">
        <f t="shared" si="189"/>
        <v>120</v>
      </c>
      <c r="T934" s="66">
        <f t="shared" si="190"/>
        <v>1455.1603644719999</v>
      </c>
      <c r="U934" s="68">
        <f t="shared" si="191"/>
        <v>45.473761389749995</v>
      </c>
      <c r="V934" s="68">
        <f t="shared" si="192"/>
        <v>462.44503108220334</v>
      </c>
      <c r="W934" s="68">
        <f t="shared" si="193"/>
        <v>308.29668738813558</v>
      </c>
    </row>
    <row r="935" spans="1:23" x14ac:dyDescent="0.25">
      <c r="A935" s="169" t="s">
        <v>946</v>
      </c>
      <c r="B935" s="61" t="s">
        <v>391</v>
      </c>
      <c r="C935" s="61" t="s">
        <v>585</v>
      </c>
      <c r="D935" s="61" t="s">
        <v>586</v>
      </c>
      <c r="E935" s="1" t="s">
        <v>862</v>
      </c>
      <c r="F935" s="62" t="str">
        <f t="shared" si="194"/>
        <v>64542</v>
      </c>
      <c r="G935" s="269">
        <v>10620075</v>
      </c>
      <c r="H935" s="1" t="s">
        <v>381</v>
      </c>
      <c r="I935" s="61">
        <v>12</v>
      </c>
      <c r="J935" s="61">
        <v>8.5</v>
      </c>
      <c r="K935" s="61">
        <v>9</v>
      </c>
      <c r="L935" s="69">
        <f t="shared" si="183"/>
        <v>1.02</v>
      </c>
      <c r="M935" s="69">
        <f t="shared" si="184"/>
        <v>1.08</v>
      </c>
      <c r="N935" s="56">
        <f>INDEX(Rate_Chart!$A$1:$AK$127,MATCH(Data!J935,Rate_Chart!$A$1:$A$127,0),MATCH(Data!K935,Rate_Chart!$A$1:$AK$1,0))</f>
        <v>70.975000000000009</v>
      </c>
      <c r="O935" s="57">
        <f t="shared" si="185"/>
        <v>851.7</v>
      </c>
      <c r="P935" s="58">
        <f t="shared" si="186"/>
        <v>489.48275862068965</v>
      </c>
      <c r="Q935" s="58">
        <f t="shared" si="187"/>
        <v>326.32183908045977</v>
      </c>
      <c r="R935" s="66">
        <f t="shared" si="188"/>
        <v>14.904750000000002</v>
      </c>
      <c r="S935" s="64">
        <f t="shared" si="189"/>
        <v>45</v>
      </c>
      <c r="T935" s="66">
        <f t="shared" si="190"/>
        <v>911.60475000000008</v>
      </c>
      <c r="U935" s="68">
        <f t="shared" si="191"/>
        <v>75.967062500000011</v>
      </c>
      <c r="V935" s="68">
        <f t="shared" si="192"/>
        <v>523.91077586206893</v>
      </c>
      <c r="W935" s="68">
        <f t="shared" si="193"/>
        <v>349.27385057471264</v>
      </c>
    </row>
    <row r="936" spans="1:23" x14ac:dyDescent="0.25">
      <c r="A936" s="169" t="s">
        <v>946</v>
      </c>
      <c r="B936" s="61" t="s">
        <v>391</v>
      </c>
      <c r="C936" s="61" t="s">
        <v>585</v>
      </c>
      <c r="D936" s="61" t="s">
        <v>586</v>
      </c>
      <c r="E936" s="1" t="s">
        <v>862</v>
      </c>
      <c r="F936" s="62" t="str">
        <f t="shared" si="194"/>
        <v>64542</v>
      </c>
      <c r="G936" s="269">
        <v>10620075</v>
      </c>
      <c r="H936" s="1" t="s">
        <v>382</v>
      </c>
      <c r="I936" s="61">
        <v>22</v>
      </c>
      <c r="J936" s="61">
        <v>3.7</v>
      </c>
      <c r="K936" s="61">
        <v>8.3000000000000007</v>
      </c>
      <c r="L936" s="69">
        <f t="shared" si="183"/>
        <v>0.81400000000000006</v>
      </c>
      <c r="M936" s="69">
        <f t="shared" si="184"/>
        <v>1.8260000000000003</v>
      </c>
      <c r="N936" s="56">
        <f>INDEX(Rate_Chart!$A$1:$AK$127,MATCH(Data!J936,Rate_Chart!$A$1:$A$127,0),MATCH(Data!K936,Rate_Chart!$A$1:$AK$1,0))</f>
        <v>38.504153700000003</v>
      </c>
      <c r="O936" s="57">
        <f t="shared" si="185"/>
        <v>847.09138140000005</v>
      </c>
      <c r="P936" s="58">
        <f t="shared" si="186"/>
        <v>417.01249494584835</v>
      </c>
      <c r="Q936" s="58">
        <f t="shared" si="187"/>
        <v>278.00832996389892</v>
      </c>
      <c r="R936" s="66">
        <f t="shared" si="188"/>
        <v>14.824099174500002</v>
      </c>
      <c r="S936" s="64">
        <f t="shared" si="189"/>
        <v>82.5</v>
      </c>
      <c r="T936" s="66">
        <f t="shared" si="190"/>
        <v>944.41548057450007</v>
      </c>
      <c r="U936" s="68">
        <f t="shared" si="191"/>
        <v>42.92797638975</v>
      </c>
      <c r="V936" s="68">
        <f t="shared" si="192"/>
        <v>464.923932018953</v>
      </c>
      <c r="W936" s="68">
        <f t="shared" si="193"/>
        <v>309.94928801263535</v>
      </c>
    </row>
    <row r="937" spans="1:23" x14ac:dyDescent="0.25">
      <c r="A937" s="169" t="s">
        <v>947</v>
      </c>
      <c r="B937" s="61" t="s">
        <v>390</v>
      </c>
      <c r="C937" s="61" t="s">
        <v>585</v>
      </c>
      <c r="D937" s="61" t="s">
        <v>586</v>
      </c>
      <c r="E937" s="1" t="s">
        <v>862</v>
      </c>
      <c r="F937" s="62" t="str">
        <f t="shared" si="194"/>
        <v>64542</v>
      </c>
      <c r="G937" s="269">
        <v>10620075</v>
      </c>
      <c r="H937" s="1" t="s">
        <v>381</v>
      </c>
      <c r="I937" s="61">
        <v>14</v>
      </c>
      <c r="J937" s="61">
        <v>7.9</v>
      </c>
      <c r="K937" s="61">
        <v>9</v>
      </c>
      <c r="L937" s="69">
        <f t="shared" si="183"/>
        <v>1.1060000000000001</v>
      </c>
      <c r="M937" s="69">
        <f t="shared" si="184"/>
        <v>1.26</v>
      </c>
      <c r="N937" s="56">
        <f>INDEX(Rate_Chart!$A$1:$AK$127,MATCH(Data!J937,Rate_Chart!$A$1:$A$127,0),MATCH(Data!K937,Rate_Chart!$A$1:$AK$1,0))</f>
        <v>65.965000000000003</v>
      </c>
      <c r="O937" s="57">
        <f t="shared" si="185"/>
        <v>923.51</v>
      </c>
      <c r="P937" s="58">
        <f t="shared" si="186"/>
        <v>474.56834532374097</v>
      </c>
      <c r="Q937" s="58">
        <f t="shared" si="187"/>
        <v>316.37889688249396</v>
      </c>
      <c r="R937" s="66">
        <f t="shared" si="188"/>
        <v>16.161425000000001</v>
      </c>
      <c r="S937" s="64">
        <f t="shared" si="189"/>
        <v>52.5</v>
      </c>
      <c r="T937" s="66">
        <f t="shared" si="190"/>
        <v>992.171425</v>
      </c>
      <c r="U937" s="68">
        <f t="shared" si="191"/>
        <v>70.869387500000002</v>
      </c>
      <c r="V937" s="68">
        <f t="shared" si="192"/>
        <v>509.85170863309349</v>
      </c>
      <c r="W937" s="68">
        <f t="shared" si="193"/>
        <v>339.901139088729</v>
      </c>
    </row>
    <row r="938" spans="1:23" x14ac:dyDescent="0.25">
      <c r="A938" s="169" t="s">
        <v>947</v>
      </c>
      <c r="B938" s="61" t="s">
        <v>390</v>
      </c>
      <c r="C938" s="61" t="s">
        <v>585</v>
      </c>
      <c r="D938" s="61" t="s">
        <v>586</v>
      </c>
      <c r="E938" s="1" t="s">
        <v>862</v>
      </c>
      <c r="F938" s="62" t="str">
        <f t="shared" si="194"/>
        <v>64542</v>
      </c>
      <c r="G938" s="269">
        <v>10620075</v>
      </c>
      <c r="H938" s="1" t="s">
        <v>382</v>
      </c>
      <c r="I938" s="61">
        <v>34</v>
      </c>
      <c r="J938" s="61">
        <v>4</v>
      </c>
      <c r="K938" s="61">
        <v>8.1999999999999993</v>
      </c>
      <c r="L938" s="69">
        <f t="shared" si="183"/>
        <v>1.36</v>
      </c>
      <c r="M938" s="69">
        <f t="shared" si="184"/>
        <v>2.7879999999999994</v>
      </c>
      <c r="N938" s="56">
        <f>INDEX(Rate_Chart!$A$1:$AK$127,MATCH(Data!J938,Rate_Chart!$A$1:$A$127,0),MATCH(Data!K938,Rate_Chart!$A$1:$AK$1,0))</f>
        <v>39.477139800000003</v>
      </c>
      <c r="O938" s="57">
        <f t="shared" si="185"/>
        <v>1342.2227532000002</v>
      </c>
      <c r="P938" s="58">
        <f t="shared" si="186"/>
        <v>417.0120401408451</v>
      </c>
      <c r="Q938" s="58">
        <f t="shared" si="187"/>
        <v>278.00802676056338</v>
      </c>
      <c r="R938" s="66">
        <f t="shared" si="188"/>
        <v>23.488898181000007</v>
      </c>
      <c r="S938" s="64">
        <f t="shared" si="189"/>
        <v>127.5</v>
      </c>
      <c r="T938" s="66">
        <f t="shared" si="190"/>
        <v>1493.2116513810001</v>
      </c>
      <c r="U938" s="68">
        <f t="shared" si="191"/>
        <v>43.917989746500005</v>
      </c>
      <c r="V938" s="68">
        <f t="shared" si="192"/>
        <v>463.92242689964797</v>
      </c>
      <c r="W938" s="68">
        <f t="shared" si="193"/>
        <v>309.28161793309863</v>
      </c>
    </row>
    <row r="939" spans="1:23" x14ac:dyDescent="0.25">
      <c r="A939" s="169" t="s">
        <v>947</v>
      </c>
      <c r="B939" s="61" t="s">
        <v>391</v>
      </c>
      <c r="C939" s="61" t="s">
        <v>585</v>
      </c>
      <c r="D939" s="61" t="s">
        <v>586</v>
      </c>
      <c r="E939" s="1" t="s">
        <v>862</v>
      </c>
      <c r="F939" s="62" t="str">
        <f t="shared" si="194"/>
        <v>64542</v>
      </c>
      <c r="G939" s="269">
        <v>10620075</v>
      </c>
      <c r="H939" s="1" t="s">
        <v>381</v>
      </c>
      <c r="I939" s="61">
        <v>18</v>
      </c>
      <c r="J939" s="61">
        <v>7.3</v>
      </c>
      <c r="K939" s="61">
        <v>9</v>
      </c>
      <c r="L939" s="69">
        <f t="shared" si="183"/>
        <v>1.3140000000000001</v>
      </c>
      <c r="M939" s="69">
        <f t="shared" si="184"/>
        <v>1.62</v>
      </c>
      <c r="N939" s="56">
        <f>INDEX(Rate_Chart!$A$1:$AK$127,MATCH(Data!J939,Rate_Chart!$A$1:$A$127,0),MATCH(Data!K939,Rate_Chart!$A$1:$AK$1,0))</f>
        <v>60.954999999999998</v>
      </c>
      <c r="O939" s="57">
        <f t="shared" si="185"/>
        <v>1097.19</v>
      </c>
      <c r="P939" s="58">
        <f t="shared" si="186"/>
        <v>458.30827067669168</v>
      </c>
      <c r="Q939" s="58">
        <f t="shared" si="187"/>
        <v>305.53884711779443</v>
      </c>
      <c r="R939" s="66">
        <f t="shared" si="188"/>
        <v>19.200825000000002</v>
      </c>
      <c r="S939" s="64">
        <f t="shared" si="189"/>
        <v>67.5</v>
      </c>
      <c r="T939" s="66">
        <f t="shared" si="190"/>
        <v>1183.8908249999999</v>
      </c>
      <c r="U939" s="68">
        <f t="shared" si="191"/>
        <v>65.771712499999992</v>
      </c>
      <c r="V939" s="68">
        <f t="shared" si="192"/>
        <v>494.52415413533828</v>
      </c>
      <c r="W939" s="68">
        <f t="shared" si="193"/>
        <v>329.68276942355885</v>
      </c>
    </row>
    <row r="940" spans="1:23" x14ac:dyDescent="0.25">
      <c r="A940" s="169" t="s">
        <v>947</v>
      </c>
      <c r="B940" s="61" t="s">
        <v>391</v>
      </c>
      <c r="C940" s="61" t="s">
        <v>585</v>
      </c>
      <c r="D940" s="61" t="s">
        <v>586</v>
      </c>
      <c r="E940" s="1" t="s">
        <v>862</v>
      </c>
      <c r="F940" s="62" t="str">
        <f t="shared" si="194"/>
        <v>64542</v>
      </c>
      <c r="G940" s="269">
        <v>10620075</v>
      </c>
      <c r="H940" s="1" t="s">
        <v>382</v>
      </c>
      <c r="I940" s="61">
        <v>16</v>
      </c>
      <c r="J940" s="61">
        <v>3.4</v>
      </c>
      <c r="K940" s="61">
        <v>8.4</v>
      </c>
      <c r="L940" s="69">
        <f t="shared" si="183"/>
        <v>0.54400000000000004</v>
      </c>
      <c r="M940" s="69">
        <f t="shared" si="184"/>
        <v>1.3440000000000001</v>
      </c>
      <c r="N940" s="56">
        <f>INDEX(Rate_Chart!$A$1:$AK$127,MATCH(Data!J940,Rate_Chart!$A$1:$A$127,0),MATCH(Data!K940,Rate_Chart!$A$1:$AK$1,0))</f>
        <v>37.531167600000003</v>
      </c>
      <c r="O940" s="57">
        <f t="shared" si="185"/>
        <v>600.49868160000005</v>
      </c>
      <c r="P940" s="58">
        <f t="shared" si="186"/>
        <v>417.01297333333338</v>
      </c>
      <c r="Q940" s="58">
        <f t="shared" si="187"/>
        <v>278.0086488888889</v>
      </c>
      <c r="R940" s="66">
        <f t="shared" si="188"/>
        <v>10.508726928000002</v>
      </c>
      <c r="S940" s="64">
        <f t="shared" si="189"/>
        <v>60</v>
      </c>
      <c r="T940" s="66">
        <f t="shared" si="190"/>
        <v>671.00740852800004</v>
      </c>
      <c r="U940" s="68">
        <f t="shared" si="191"/>
        <v>41.937963033000003</v>
      </c>
      <c r="V940" s="68">
        <f t="shared" si="192"/>
        <v>465.97736703333339</v>
      </c>
      <c r="W940" s="68">
        <f t="shared" si="193"/>
        <v>310.65157802222228</v>
      </c>
    </row>
    <row r="941" spans="1:23" x14ac:dyDescent="0.25">
      <c r="A941" s="169" t="s">
        <v>941</v>
      </c>
      <c r="B941" s="61" t="s">
        <v>390</v>
      </c>
      <c r="C941" s="61" t="s">
        <v>585</v>
      </c>
      <c r="D941" s="61" t="s">
        <v>586</v>
      </c>
      <c r="E941" s="1" t="s">
        <v>369</v>
      </c>
      <c r="F941" s="62" t="str">
        <f t="shared" si="194"/>
        <v>64543</v>
      </c>
      <c r="G941" s="269">
        <v>10620051</v>
      </c>
      <c r="H941" s="1" t="s">
        <v>381</v>
      </c>
      <c r="I941" s="61">
        <v>60</v>
      </c>
      <c r="J941" s="61">
        <v>6.7</v>
      </c>
      <c r="K941" s="61">
        <v>9</v>
      </c>
      <c r="L941" s="69">
        <f t="shared" si="183"/>
        <v>4.0199999999999996</v>
      </c>
      <c r="M941" s="69">
        <f t="shared" si="184"/>
        <v>5.4</v>
      </c>
      <c r="N941" s="56">
        <f>INDEX(Rate_Chart!$A$1:$AK$127,MATCH(Data!J941,Rate_Chart!$A$1:$A$127,0),MATCH(Data!K941,Rate_Chart!$A$1:$AK$1,0))</f>
        <v>55.945</v>
      </c>
      <c r="O941" s="57">
        <f t="shared" si="185"/>
        <v>3356.7</v>
      </c>
      <c r="P941" s="58">
        <f t="shared" si="186"/>
        <v>440.51181102362204</v>
      </c>
      <c r="Q941" s="58">
        <f t="shared" si="187"/>
        <v>293.67454068241472</v>
      </c>
      <c r="R941" s="66">
        <f t="shared" si="188"/>
        <v>58.742250000000006</v>
      </c>
      <c r="S941" s="64">
        <f t="shared" si="189"/>
        <v>225</v>
      </c>
      <c r="T941" s="66">
        <f t="shared" si="190"/>
        <v>3640.4422500000001</v>
      </c>
      <c r="U941" s="68">
        <f t="shared" si="191"/>
        <v>60.674037500000004</v>
      </c>
      <c r="V941" s="68">
        <f t="shared" si="192"/>
        <v>477.74832677165358</v>
      </c>
      <c r="W941" s="68">
        <f t="shared" si="193"/>
        <v>318.4988845144357</v>
      </c>
    </row>
    <row r="942" spans="1:23" x14ac:dyDescent="0.25">
      <c r="A942" s="169" t="s">
        <v>941</v>
      </c>
      <c r="B942" s="61" t="s">
        <v>391</v>
      </c>
      <c r="C942" s="61" t="s">
        <v>585</v>
      </c>
      <c r="D942" s="61" t="s">
        <v>586</v>
      </c>
      <c r="E942" s="1" t="s">
        <v>369</v>
      </c>
      <c r="F942" s="62" t="str">
        <f t="shared" si="194"/>
        <v>64543</v>
      </c>
      <c r="G942" s="269">
        <v>10620051</v>
      </c>
      <c r="H942" s="1" t="s">
        <v>381</v>
      </c>
      <c r="I942" s="61">
        <v>60</v>
      </c>
      <c r="J942" s="61">
        <v>6.8</v>
      </c>
      <c r="K942" s="61">
        <v>9</v>
      </c>
      <c r="L942" s="69">
        <f t="shared" si="183"/>
        <v>4.08</v>
      </c>
      <c r="M942" s="69">
        <f t="shared" si="184"/>
        <v>5.4</v>
      </c>
      <c r="N942" s="56">
        <f>INDEX(Rate_Chart!$A$1:$AK$127,MATCH(Data!J942,Rate_Chart!$A$1:$A$127,0),MATCH(Data!K942,Rate_Chart!$A$1:$AK$1,0))</f>
        <v>56.78</v>
      </c>
      <c r="O942" s="57">
        <f t="shared" si="185"/>
        <v>3406.8</v>
      </c>
      <c r="P942" s="58">
        <f t="shared" si="186"/>
        <v>443.59375</v>
      </c>
      <c r="Q942" s="58">
        <f t="shared" si="187"/>
        <v>295.72916666666669</v>
      </c>
      <c r="R942" s="66">
        <f t="shared" si="188"/>
        <v>59.619000000000007</v>
      </c>
      <c r="S942" s="64">
        <f t="shared" si="189"/>
        <v>225</v>
      </c>
      <c r="T942" s="66">
        <f t="shared" si="190"/>
        <v>3691.4190000000003</v>
      </c>
      <c r="U942" s="68">
        <f t="shared" si="191"/>
        <v>61.523650000000004</v>
      </c>
      <c r="V942" s="68">
        <f t="shared" si="192"/>
        <v>480.65351562500001</v>
      </c>
      <c r="W942" s="68">
        <f t="shared" si="193"/>
        <v>320.43567708333336</v>
      </c>
    </row>
    <row r="943" spans="1:23" x14ac:dyDescent="0.25">
      <c r="A943" s="169" t="s">
        <v>942</v>
      </c>
      <c r="B943" s="61" t="s">
        <v>390</v>
      </c>
      <c r="C943" s="61" t="s">
        <v>585</v>
      </c>
      <c r="D943" s="61" t="s">
        <v>586</v>
      </c>
      <c r="E943" s="1" t="s">
        <v>369</v>
      </c>
      <c r="F943" s="62" t="str">
        <f t="shared" si="194"/>
        <v>64543</v>
      </c>
      <c r="G943" s="269">
        <v>10620051</v>
      </c>
      <c r="H943" s="1" t="s">
        <v>381</v>
      </c>
      <c r="I943" s="61">
        <v>56</v>
      </c>
      <c r="J943" s="61">
        <v>7</v>
      </c>
      <c r="K943" s="61">
        <v>9</v>
      </c>
      <c r="L943" s="69">
        <f t="shared" si="183"/>
        <v>3.92</v>
      </c>
      <c r="M943" s="69">
        <f t="shared" si="184"/>
        <v>5.04</v>
      </c>
      <c r="N943" s="56">
        <f>INDEX(Rate_Chart!$A$1:$AK$127,MATCH(Data!J943,Rate_Chart!$A$1:$A$127,0),MATCH(Data!K943,Rate_Chart!$A$1:$AK$1,0))</f>
        <v>58.45</v>
      </c>
      <c r="O943" s="57">
        <f t="shared" si="185"/>
        <v>3273.2000000000003</v>
      </c>
      <c r="P943" s="58">
        <f t="shared" si="186"/>
        <v>449.61538461538464</v>
      </c>
      <c r="Q943" s="58">
        <f t="shared" si="187"/>
        <v>299.74358974358978</v>
      </c>
      <c r="R943" s="66">
        <f t="shared" si="188"/>
        <v>57.281000000000013</v>
      </c>
      <c r="S943" s="64">
        <f t="shared" si="189"/>
        <v>210</v>
      </c>
      <c r="T943" s="66">
        <f t="shared" si="190"/>
        <v>3540.4810000000002</v>
      </c>
      <c r="U943" s="68">
        <f t="shared" si="191"/>
        <v>63.222875000000002</v>
      </c>
      <c r="V943" s="68">
        <f t="shared" si="192"/>
        <v>486.32980769230767</v>
      </c>
      <c r="W943" s="68">
        <f t="shared" si="193"/>
        <v>324.21987179487178</v>
      </c>
    </row>
    <row r="944" spans="1:23" x14ac:dyDescent="0.25">
      <c r="A944" s="169" t="s">
        <v>942</v>
      </c>
      <c r="B944" s="61" t="s">
        <v>391</v>
      </c>
      <c r="C944" s="61" t="s">
        <v>585</v>
      </c>
      <c r="D944" s="61" t="s">
        <v>586</v>
      </c>
      <c r="E944" s="1" t="s">
        <v>369</v>
      </c>
      <c r="F944" s="62" t="str">
        <f t="shared" si="194"/>
        <v>64543</v>
      </c>
      <c r="G944" s="269">
        <v>10620051</v>
      </c>
      <c r="H944" s="1" t="s">
        <v>381</v>
      </c>
      <c r="I944" s="61">
        <v>55</v>
      </c>
      <c r="J944" s="61">
        <v>7.3</v>
      </c>
      <c r="K944" s="61">
        <v>9</v>
      </c>
      <c r="L944" s="69">
        <f t="shared" ref="L944:L1007" si="195">J944*I944/100</f>
        <v>4.0149999999999997</v>
      </c>
      <c r="M944" s="69">
        <f t="shared" ref="M944:M1007" si="196">K944*I944/100</f>
        <v>4.95</v>
      </c>
      <c r="N944" s="56">
        <f>INDEX(Rate_Chart!$A$1:$AK$127,MATCH(Data!J944,Rate_Chart!$A$1:$A$127,0),MATCH(Data!K944,Rate_Chart!$A$1:$AK$1,0))</f>
        <v>60.954999999999998</v>
      </c>
      <c r="O944" s="57">
        <f t="shared" ref="O944:O1007" si="197">N944*I944</f>
        <v>3352.5250000000001</v>
      </c>
      <c r="P944" s="58">
        <f t="shared" ref="P944:P1007" si="198">N944/(J944%+K944%*2/3)</f>
        <v>458.30827067669168</v>
      </c>
      <c r="Q944" s="58">
        <f t="shared" ref="Q944:Q1007" si="199">P944*2/3</f>
        <v>305.53884711779443</v>
      </c>
      <c r="R944" s="66">
        <f t="shared" ref="R944:R1007" si="200">O944*1.75%</f>
        <v>58.669187500000007</v>
      </c>
      <c r="S944" s="64">
        <f t="shared" ref="S944:S1007" si="201">I944*3.75</f>
        <v>206.25</v>
      </c>
      <c r="T944" s="66">
        <f t="shared" ref="T944:T1007" si="202">R944+S944+O944</f>
        <v>3617.4441875000002</v>
      </c>
      <c r="U944" s="68">
        <f t="shared" ref="U944:U1007" si="203">T944/I944</f>
        <v>65.771712500000007</v>
      </c>
      <c r="V944" s="68">
        <f t="shared" ref="V944:V1007" si="204">U944/(J944%+K944%*2/3)</f>
        <v>494.52415413533839</v>
      </c>
      <c r="W944" s="68">
        <f t="shared" ref="W944:W1007" si="205">V944*2/3</f>
        <v>329.68276942355891</v>
      </c>
    </row>
    <row r="945" spans="1:23" x14ac:dyDescent="0.25">
      <c r="A945" s="169" t="s">
        <v>943</v>
      </c>
      <c r="B945" s="61" t="s">
        <v>390</v>
      </c>
      <c r="C945" s="61" t="s">
        <v>585</v>
      </c>
      <c r="D945" s="61" t="s">
        <v>586</v>
      </c>
      <c r="E945" s="1" t="s">
        <v>369</v>
      </c>
      <c r="F945" s="62" t="str">
        <f t="shared" si="194"/>
        <v>64543</v>
      </c>
      <c r="G945" s="269">
        <v>10620051</v>
      </c>
      <c r="H945" s="1" t="s">
        <v>381</v>
      </c>
      <c r="I945" s="61">
        <v>55</v>
      </c>
      <c r="J945" s="61">
        <v>6.6</v>
      </c>
      <c r="K945" s="61">
        <v>9</v>
      </c>
      <c r="L945" s="69">
        <f t="shared" si="195"/>
        <v>3.63</v>
      </c>
      <c r="M945" s="69">
        <f t="shared" si="196"/>
        <v>4.95</v>
      </c>
      <c r="N945" s="56">
        <f>INDEX(Rate_Chart!$A$1:$AK$127,MATCH(Data!J945,Rate_Chart!$A$1:$A$127,0),MATCH(Data!K945,Rate_Chart!$A$1:$AK$1,0))</f>
        <v>55.11</v>
      </c>
      <c r="O945" s="57">
        <f t="shared" si="197"/>
        <v>3031.05</v>
      </c>
      <c r="P945" s="58">
        <f t="shared" si="198"/>
        <v>437.38095238095235</v>
      </c>
      <c r="Q945" s="58">
        <f t="shared" si="199"/>
        <v>291.58730158730157</v>
      </c>
      <c r="R945" s="66">
        <f t="shared" si="200"/>
        <v>53.043375000000012</v>
      </c>
      <c r="S945" s="64">
        <f t="shared" si="201"/>
        <v>206.25</v>
      </c>
      <c r="T945" s="66">
        <f t="shared" si="202"/>
        <v>3290.3433750000004</v>
      </c>
      <c r="U945" s="68">
        <f t="shared" si="203"/>
        <v>59.824425000000005</v>
      </c>
      <c r="V945" s="68">
        <f t="shared" si="204"/>
        <v>474.79702380952386</v>
      </c>
      <c r="W945" s="68">
        <f t="shared" si="205"/>
        <v>316.53134920634926</v>
      </c>
    </row>
    <row r="946" spans="1:23" x14ac:dyDescent="0.25">
      <c r="A946" s="169" t="s">
        <v>943</v>
      </c>
      <c r="B946" s="61" t="s">
        <v>391</v>
      </c>
      <c r="C946" s="61" t="s">
        <v>585</v>
      </c>
      <c r="D946" s="61" t="s">
        <v>586</v>
      </c>
      <c r="E946" s="1" t="s">
        <v>369</v>
      </c>
      <c r="F946" s="62" t="str">
        <f t="shared" si="194"/>
        <v>64543</v>
      </c>
      <c r="G946" s="269">
        <v>10620051</v>
      </c>
      <c r="H946" s="1" t="s">
        <v>381</v>
      </c>
      <c r="I946" s="61">
        <v>55</v>
      </c>
      <c r="J946" s="61">
        <v>6.7</v>
      </c>
      <c r="K946" s="61">
        <v>9</v>
      </c>
      <c r="L946" s="69">
        <f t="shared" si="195"/>
        <v>3.6850000000000001</v>
      </c>
      <c r="M946" s="69">
        <f t="shared" si="196"/>
        <v>4.95</v>
      </c>
      <c r="N946" s="56">
        <f>INDEX(Rate_Chart!$A$1:$AK$127,MATCH(Data!J946,Rate_Chart!$A$1:$A$127,0),MATCH(Data!K946,Rate_Chart!$A$1:$AK$1,0))</f>
        <v>55.945</v>
      </c>
      <c r="O946" s="57">
        <f t="shared" si="197"/>
        <v>3076.9749999999999</v>
      </c>
      <c r="P946" s="58">
        <f t="shared" si="198"/>
        <v>440.51181102362204</v>
      </c>
      <c r="Q946" s="58">
        <f t="shared" si="199"/>
        <v>293.67454068241472</v>
      </c>
      <c r="R946" s="66">
        <f t="shared" si="200"/>
        <v>53.847062500000007</v>
      </c>
      <c r="S946" s="64">
        <f t="shared" si="201"/>
        <v>206.25</v>
      </c>
      <c r="T946" s="66">
        <f t="shared" si="202"/>
        <v>3337.0720624999999</v>
      </c>
      <c r="U946" s="68">
        <f t="shared" si="203"/>
        <v>60.674037499999997</v>
      </c>
      <c r="V946" s="68">
        <f t="shared" si="204"/>
        <v>477.74832677165352</v>
      </c>
      <c r="W946" s="68">
        <f t="shared" si="205"/>
        <v>318.4988845144357</v>
      </c>
    </row>
    <row r="947" spans="1:23" x14ac:dyDescent="0.25">
      <c r="A947" s="169" t="s">
        <v>944</v>
      </c>
      <c r="B947" s="61" t="s">
        <v>390</v>
      </c>
      <c r="C947" s="61" t="s">
        <v>585</v>
      </c>
      <c r="D947" s="61" t="s">
        <v>586</v>
      </c>
      <c r="E947" s="1" t="s">
        <v>369</v>
      </c>
      <c r="F947" s="62" t="str">
        <f t="shared" si="194"/>
        <v>64543</v>
      </c>
      <c r="G947" s="269">
        <v>10620051</v>
      </c>
      <c r="H947" s="1" t="s">
        <v>381</v>
      </c>
      <c r="I947" s="61">
        <v>56</v>
      </c>
      <c r="J947" s="61">
        <v>6.7</v>
      </c>
      <c r="K947" s="61">
        <v>9</v>
      </c>
      <c r="L947" s="69">
        <f t="shared" si="195"/>
        <v>3.7519999999999998</v>
      </c>
      <c r="M947" s="69">
        <f t="shared" si="196"/>
        <v>5.04</v>
      </c>
      <c r="N947" s="56">
        <f>INDEX(Rate_Chart!$A$1:$AK$127,MATCH(Data!J947,Rate_Chart!$A$1:$A$127,0),MATCH(Data!K947,Rate_Chart!$A$1:$AK$1,0))</f>
        <v>55.945</v>
      </c>
      <c r="O947" s="57">
        <f t="shared" si="197"/>
        <v>3132.92</v>
      </c>
      <c r="P947" s="58">
        <f t="shared" si="198"/>
        <v>440.51181102362204</v>
      </c>
      <c r="Q947" s="58">
        <f t="shared" si="199"/>
        <v>293.67454068241472</v>
      </c>
      <c r="R947" s="66">
        <f t="shared" si="200"/>
        <v>54.826100000000004</v>
      </c>
      <c r="S947" s="64">
        <f t="shared" si="201"/>
        <v>210</v>
      </c>
      <c r="T947" s="66">
        <f t="shared" si="202"/>
        <v>3397.7461000000003</v>
      </c>
      <c r="U947" s="68">
        <f t="shared" si="203"/>
        <v>60.674037500000004</v>
      </c>
      <c r="V947" s="68">
        <f t="shared" si="204"/>
        <v>477.74832677165358</v>
      </c>
      <c r="W947" s="68">
        <f t="shared" si="205"/>
        <v>318.4988845144357</v>
      </c>
    </row>
    <row r="948" spans="1:23" x14ac:dyDescent="0.25">
      <c r="A948" s="169" t="s">
        <v>944</v>
      </c>
      <c r="B948" s="61" t="s">
        <v>391</v>
      </c>
      <c r="C948" s="61" t="s">
        <v>585</v>
      </c>
      <c r="D948" s="61" t="s">
        <v>586</v>
      </c>
      <c r="E948" s="1" t="s">
        <v>369</v>
      </c>
      <c r="F948" s="62" t="str">
        <f t="shared" si="194"/>
        <v>64543</v>
      </c>
      <c r="G948" s="269">
        <v>10620051</v>
      </c>
      <c r="H948" s="1" t="s">
        <v>381</v>
      </c>
      <c r="I948" s="61">
        <v>55</v>
      </c>
      <c r="J948" s="61">
        <v>6.8</v>
      </c>
      <c r="K948" s="61">
        <v>9</v>
      </c>
      <c r="L948" s="69">
        <f t="shared" si="195"/>
        <v>3.74</v>
      </c>
      <c r="M948" s="69">
        <f t="shared" si="196"/>
        <v>4.95</v>
      </c>
      <c r="N948" s="56">
        <f>INDEX(Rate_Chart!$A$1:$AK$127,MATCH(Data!J948,Rate_Chart!$A$1:$A$127,0),MATCH(Data!K948,Rate_Chart!$A$1:$AK$1,0))</f>
        <v>56.78</v>
      </c>
      <c r="O948" s="57">
        <f t="shared" si="197"/>
        <v>3122.9</v>
      </c>
      <c r="P948" s="58">
        <f t="shared" si="198"/>
        <v>443.59375</v>
      </c>
      <c r="Q948" s="58">
        <f t="shared" si="199"/>
        <v>295.72916666666669</v>
      </c>
      <c r="R948" s="66">
        <f t="shared" si="200"/>
        <v>54.650750000000009</v>
      </c>
      <c r="S948" s="64">
        <f t="shared" si="201"/>
        <v>206.25</v>
      </c>
      <c r="T948" s="66">
        <f t="shared" si="202"/>
        <v>3383.8007500000003</v>
      </c>
      <c r="U948" s="68">
        <f t="shared" si="203"/>
        <v>61.523650000000004</v>
      </c>
      <c r="V948" s="68">
        <f t="shared" si="204"/>
        <v>480.65351562500001</v>
      </c>
      <c r="W948" s="68">
        <f t="shared" si="205"/>
        <v>320.43567708333336</v>
      </c>
    </row>
    <row r="949" spans="1:23" x14ac:dyDescent="0.25">
      <c r="A949" s="1" t="s">
        <v>945</v>
      </c>
      <c r="B949" s="61" t="s">
        <v>390</v>
      </c>
      <c r="C949" s="1" t="s">
        <v>585</v>
      </c>
      <c r="D949" s="1" t="s">
        <v>586</v>
      </c>
      <c r="E949" s="1" t="s">
        <v>369</v>
      </c>
      <c r="F949" s="62" t="str">
        <f t="shared" si="194"/>
        <v>64543</v>
      </c>
      <c r="G949" s="269">
        <v>10620051</v>
      </c>
      <c r="H949" s="1" t="s">
        <v>381</v>
      </c>
      <c r="I949" s="61">
        <v>55</v>
      </c>
      <c r="J949" s="61">
        <v>6.7</v>
      </c>
      <c r="K949" s="61">
        <v>9</v>
      </c>
      <c r="L949" s="69">
        <f t="shared" si="195"/>
        <v>3.6850000000000001</v>
      </c>
      <c r="M949" s="69">
        <f t="shared" si="196"/>
        <v>4.95</v>
      </c>
      <c r="N949" s="56">
        <f>INDEX(Rate_Chart!$A$1:$AK$127,MATCH(Data!J949,Rate_Chart!$A$1:$A$127,0),MATCH(Data!K949,Rate_Chart!$A$1:$AK$1,0))</f>
        <v>55.945</v>
      </c>
      <c r="O949" s="57">
        <f t="shared" si="197"/>
        <v>3076.9749999999999</v>
      </c>
      <c r="P949" s="58">
        <f t="shared" si="198"/>
        <v>440.51181102362204</v>
      </c>
      <c r="Q949" s="58">
        <f t="shared" si="199"/>
        <v>293.67454068241472</v>
      </c>
      <c r="R949" s="66">
        <f t="shared" si="200"/>
        <v>53.847062500000007</v>
      </c>
      <c r="S949" s="64">
        <f t="shared" si="201"/>
        <v>206.25</v>
      </c>
      <c r="T949" s="66">
        <f t="shared" si="202"/>
        <v>3337.0720624999999</v>
      </c>
      <c r="U949" s="68">
        <f t="shared" si="203"/>
        <v>60.674037499999997</v>
      </c>
      <c r="V949" s="68">
        <f t="shared" si="204"/>
        <v>477.74832677165352</v>
      </c>
      <c r="W949" s="68">
        <f t="shared" si="205"/>
        <v>318.4988845144357</v>
      </c>
    </row>
    <row r="950" spans="1:23" x14ac:dyDescent="0.25">
      <c r="A950" s="1" t="s">
        <v>945</v>
      </c>
      <c r="B950" s="61" t="s">
        <v>391</v>
      </c>
      <c r="C950" s="1" t="s">
        <v>585</v>
      </c>
      <c r="D950" s="1" t="s">
        <v>586</v>
      </c>
      <c r="E950" s="1" t="s">
        <v>369</v>
      </c>
      <c r="F950" s="62" t="str">
        <f t="shared" si="194"/>
        <v>64543</v>
      </c>
      <c r="G950" s="269">
        <v>10620051</v>
      </c>
      <c r="H950" s="1" t="s">
        <v>381</v>
      </c>
      <c r="I950" s="61">
        <v>56</v>
      </c>
      <c r="J950" s="61">
        <v>6.7</v>
      </c>
      <c r="K950" s="61">
        <v>9</v>
      </c>
      <c r="L950" s="69">
        <f t="shared" si="195"/>
        <v>3.7519999999999998</v>
      </c>
      <c r="M950" s="69">
        <f t="shared" si="196"/>
        <v>5.04</v>
      </c>
      <c r="N950" s="56">
        <f>INDEX(Rate_Chart!$A$1:$AK$127,MATCH(Data!J950,Rate_Chart!$A$1:$A$127,0),MATCH(Data!K950,Rate_Chart!$A$1:$AK$1,0))</f>
        <v>55.945</v>
      </c>
      <c r="O950" s="57">
        <f t="shared" si="197"/>
        <v>3132.92</v>
      </c>
      <c r="P950" s="58">
        <f t="shared" si="198"/>
        <v>440.51181102362204</v>
      </c>
      <c r="Q950" s="58">
        <f t="shared" si="199"/>
        <v>293.67454068241472</v>
      </c>
      <c r="R950" s="66">
        <f t="shared" si="200"/>
        <v>54.826100000000004</v>
      </c>
      <c r="S950" s="64">
        <f t="shared" si="201"/>
        <v>210</v>
      </c>
      <c r="T950" s="66">
        <f t="shared" si="202"/>
        <v>3397.7461000000003</v>
      </c>
      <c r="U950" s="68">
        <f t="shared" si="203"/>
        <v>60.674037500000004</v>
      </c>
      <c r="V950" s="68">
        <f t="shared" si="204"/>
        <v>477.74832677165358</v>
      </c>
      <c r="W950" s="68">
        <f t="shared" si="205"/>
        <v>318.4988845144357</v>
      </c>
    </row>
    <row r="951" spans="1:23" x14ac:dyDescent="0.25">
      <c r="A951" s="1" t="s">
        <v>946</v>
      </c>
      <c r="B951" s="61" t="s">
        <v>390</v>
      </c>
      <c r="C951" s="1" t="s">
        <v>585</v>
      </c>
      <c r="D951" s="1" t="s">
        <v>586</v>
      </c>
      <c r="E951" s="1" t="s">
        <v>369</v>
      </c>
      <c r="F951" s="62" t="str">
        <f t="shared" si="194"/>
        <v>64543</v>
      </c>
      <c r="G951" s="269">
        <v>10620051</v>
      </c>
      <c r="H951" s="1" t="s">
        <v>381</v>
      </c>
      <c r="I951" s="61">
        <v>56</v>
      </c>
      <c r="J951" s="61">
        <v>6.8</v>
      </c>
      <c r="K951" s="61">
        <v>9</v>
      </c>
      <c r="L951" s="69">
        <f t="shared" si="195"/>
        <v>3.8080000000000003</v>
      </c>
      <c r="M951" s="69">
        <f t="shared" si="196"/>
        <v>5.04</v>
      </c>
      <c r="N951" s="56">
        <f>INDEX(Rate_Chart!$A$1:$AK$127,MATCH(Data!J951,Rate_Chart!$A$1:$A$127,0),MATCH(Data!K951,Rate_Chart!$A$1:$AK$1,0))</f>
        <v>56.78</v>
      </c>
      <c r="O951" s="57">
        <f t="shared" si="197"/>
        <v>3179.6800000000003</v>
      </c>
      <c r="P951" s="58">
        <f t="shared" si="198"/>
        <v>443.59375</v>
      </c>
      <c r="Q951" s="58">
        <f t="shared" si="199"/>
        <v>295.72916666666669</v>
      </c>
      <c r="R951" s="66">
        <f t="shared" si="200"/>
        <v>55.644400000000012</v>
      </c>
      <c r="S951" s="64">
        <f t="shared" si="201"/>
        <v>210</v>
      </c>
      <c r="T951" s="66">
        <f t="shared" si="202"/>
        <v>3445.3244000000004</v>
      </c>
      <c r="U951" s="68">
        <f t="shared" si="203"/>
        <v>61.523650000000011</v>
      </c>
      <c r="V951" s="68">
        <f t="shared" si="204"/>
        <v>480.65351562500007</v>
      </c>
      <c r="W951" s="68">
        <f t="shared" si="205"/>
        <v>320.43567708333336</v>
      </c>
    </row>
    <row r="952" spans="1:23" x14ac:dyDescent="0.25">
      <c r="A952" s="1" t="s">
        <v>946</v>
      </c>
      <c r="B952" s="61" t="s">
        <v>391</v>
      </c>
      <c r="C952" s="1" t="s">
        <v>585</v>
      </c>
      <c r="D952" s="1" t="s">
        <v>586</v>
      </c>
      <c r="E952" s="1" t="s">
        <v>369</v>
      </c>
      <c r="F952" s="62" t="str">
        <f t="shared" si="194"/>
        <v>64543</v>
      </c>
      <c r="G952" s="269">
        <v>10620051</v>
      </c>
      <c r="H952" s="1" t="s">
        <v>381</v>
      </c>
      <c r="I952" s="61">
        <v>56</v>
      </c>
      <c r="J952" s="61">
        <v>7</v>
      </c>
      <c r="K952" s="61">
        <v>9</v>
      </c>
      <c r="L952" s="69">
        <f t="shared" si="195"/>
        <v>3.92</v>
      </c>
      <c r="M952" s="69">
        <f t="shared" si="196"/>
        <v>5.04</v>
      </c>
      <c r="N952" s="56">
        <f>INDEX(Rate_Chart!$A$1:$AK$127,MATCH(Data!J952,Rate_Chart!$A$1:$A$127,0),MATCH(Data!K952,Rate_Chart!$A$1:$AK$1,0))</f>
        <v>58.45</v>
      </c>
      <c r="O952" s="57">
        <f t="shared" si="197"/>
        <v>3273.2000000000003</v>
      </c>
      <c r="P952" s="58">
        <f t="shared" si="198"/>
        <v>449.61538461538464</v>
      </c>
      <c r="Q952" s="58">
        <f t="shared" si="199"/>
        <v>299.74358974358978</v>
      </c>
      <c r="R952" s="66">
        <f t="shared" si="200"/>
        <v>57.281000000000013</v>
      </c>
      <c r="S952" s="64">
        <f t="shared" si="201"/>
        <v>210</v>
      </c>
      <c r="T952" s="66">
        <f t="shared" si="202"/>
        <v>3540.4810000000002</v>
      </c>
      <c r="U952" s="68">
        <f t="shared" si="203"/>
        <v>63.222875000000002</v>
      </c>
      <c r="V952" s="68">
        <f t="shared" si="204"/>
        <v>486.32980769230767</v>
      </c>
      <c r="W952" s="68">
        <f t="shared" si="205"/>
        <v>324.21987179487178</v>
      </c>
    </row>
    <row r="953" spans="1:23" x14ac:dyDescent="0.25">
      <c r="A953" s="1" t="s">
        <v>947</v>
      </c>
      <c r="B953" s="61" t="s">
        <v>390</v>
      </c>
      <c r="C953" s="1" t="s">
        <v>585</v>
      </c>
      <c r="D953" s="1" t="s">
        <v>586</v>
      </c>
      <c r="E953" s="1" t="s">
        <v>369</v>
      </c>
      <c r="F953" s="62" t="str">
        <f t="shared" si="194"/>
        <v>64543</v>
      </c>
      <c r="G953" s="269">
        <v>10620051</v>
      </c>
      <c r="H953" s="1" t="s">
        <v>381</v>
      </c>
      <c r="I953" s="61">
        <v>55</v>
      </c>
      <c r="J953" s="61">
        <v>6.7</v>
      </c>
      <c r="K953" s="61">
        <v>9</v>
      </c>
      <c r="L953" s="69">
        <f t="shared" si="195"/>
        <v>3.6850000000000001</v>
      </c>
      <c r="M953" s="69">
        <f t="shared" si="196"/>
        <v>4.95</v>
      </c>
      <c r="N953" s="56">
        <f>INDEX(Rate_Chart!$A$1:$AK$127,MATCH(Data!J953,Rate_Chart!$A$1:$A$127,0),MATCH(Data!K953,Rate_Chart!$A$1:$AK$1,0))</f>
        <v>55.945</v>
      </c>
      <c r="O953" s="57">
        <f t="shared" si="197"/>
        <v>3076.9749999999999</v>
      </c>
      <c r="P953" s="58">
        <f t="shared" si="198"/>
        <v>440.51181102362204</v>
      </c>
      <c r="Q953" s="58">
        <f t="shared" si="199"/>
        <v>293.67454068241472</v>
      </c>
      <c r="R953" s="66">
        <f t="shared" si="200"/>
        <v>53.847062500000007</v>
      </c>
      <c r="S953" s="64">
        <f t="shared" si="201"/>
        <v>206.25</v>
      </c>
      <c r="T953" s="66">
        <f t="shared" si="202"/>
        <v>3337.0720624999999</v>
      </c>
      <c r="U953" s="68">
        <f t="shared" si="203"/>
        <v>60.674037499999997</v>
      </c>
      <c r="V953" s="68">
        <f t="shared" si="204"/>
        <v>477.74832677165352</v>
      </c>
      <c r="W953" s="68">
        <f t="shared" si="205"/>
        <v>318.4988845144357</v>
      </c>
    </row>
    <row r="954" spans="1:23" x14ac:dyDescent="0.25">
      <c r="A954" s="1" t="s">
        <v>947</v>
      </c>
      <c r="B954" s="61" t="s">
        <v>391</v>
      </c>
      <c r="C954" s="1" t="s">
        <v>585</v>
      </c>
      <c r="D954" s="1" t="s">
        <v>586</v>
      </c>
      <c r="E954" s="1" t="s">
        <v>369</v>
      </c>
      <c r="F954" s="62" t="str">
        <f t="shared" si="194"/>
        <v>64543</v>
      </c>
      <c r="G954" s="269">
        <v>10620051</v>
      </c>
      <c r="H954" s="1" t="s">
        <v>381</v>
      </c>
      <c r="I954" s="61">
        <v>50</v>
      </c>
      <c r="J954" s="61">
        <v>6.8</v>
      </c>
      <c r="K954" s="61">
        <v>9</v>
      </c>
      <c r="L954" s="69">
        <f t="shared" si="195"/>
        <v>3.4</v>
      </c>
      <c r="M954" s="69">
        <f t="shared" si="196"/>
        <v>4.5</v>
      </c>
      <c r="N954" s="56">
        <f>INDEX(Rate_Chart!$A$1:$AK$127,MATCH(Data!J954,Rate_Chart!$A$1:$A$127,0),MATCH(Data!K954,Rate_Chart!$A$1:$AK$1,0))</f>
        <v>56.78</v>
      </c>
      <c r="O954" s="57">
        <f t="shared" si="197"/>
        <v>2839</v>
      </c>
      <c r="P954" s="58">
        <f t="shared" si="198"/>
        <v>443.59375</v>
      </c>
      <c r="Q954" s="58">
        <f t="shared" si="199"/>
        <v>295.72916666666669</v>
      </c>
      <c r="R954" s="66">
        <f t="shared" si="200"/>
        <v>49.682500000000005</v>
      </c>
      <c r="S954" s="64">
        <f t="shared" si="201"/>
        <v>187.5</v>
      </c>
      <c r="T954" s="66">
        <f t="shared" si="202"/>
        <v>3076.1824999999999</v>
      </c>
      <c r="U954" s="68">
        <f t="shared" si="203"/>
        <v>61.523649999999996</v>
      </c>
      <c r="V954" s="68">
        <f t="shared" si="204"/>
        <v>480.65351562499995</v>
      </c>
      <c r="W954" s="68">
        <f t="shared" si="205"/>
        <v>320.4356770833333</v>
      </c>
    </row>
    <row r="955" spans="1:23" x14ac:dyDescent="0.25">
      <c r="A955" s="1" t="s">
        <v>941</v>
      </c>
      <c r="B955" s="61" t="s">
        <v>391</v>
      </c>
      <c r="C955" s="1" t="s">
        <v>585</v>
      </c>
      <c r="D955" s="1" t="s">
        <v>589</v>
      </c>
      <c r="E955" s="1" t="s">
        <v>898</v>
      </c>
      <c r="F955" s="62" t="str">
        <f t="shared" si="194"/>
        <v>64544</v>
      </c>
      <c r="G955" s="269">
        <v>10620008</v>
      </c>
      <c r="H955" s="1" t="s">
        <v>381</v>
      </c>
      <c r="I955" s="61">
        <v>24</v>
      </c>
      <c r="J955" s="61">
        <v>5.8</v>
      </c>
      <c r="K955" s="61">
        <v>9</v>
      </c>
      <c r="L955" s="69">
        <f t="shared" si="195"/>
        <v>1.3919999999999999</v>
      </c>
      <c r="M955" s="69">
        <f t="shared" si="196"/>
        <v>2.16</v>
      </c>
      <c r="N955" s="56">
        <f>INDEX(Rate_Chart!$A$1:$AK$127,MATCH(Data!J955,Rate_Chart!$A$1:$A$127,0),MATCH(Data!K955,Rate_Chart!$A$1:$AK$1,0))</f>
        <v>48.43</v>
      </c>
      <c r="O955" s="57">
        <f t="shared" si="197"/>
        <v>1162.32</v>
      </c>
      <c r="P955" s="58">
        <f t="shared" si="198"/>
        <v>410.42372881355936</v>
      </c>
      <c r="Q955" s="58">
        <f t="shared" si="199"/>
        <v>273.61581920903956</v>
      </c>
      <c r="R955" s="66">
        <f t="shared" si="200"/>
        <v>20.340600000000002</v>
      </c>
      <c r="S955" s="64">
        <f t="shared" si="201"/>
        <v>90</v>
      </c>
      <c r="T955" s="66">
        <f t="shared" si="202"/>
        <v>1272.6605999999999</v>
      </c>
      <c r="U955" s="68">
        <f t="shared" si="203"/>
        <v>53.027524999999997</v>
      </c>
      <c r="V955" s="68">
        <f t="shared" si="204"/>
        <v>449.38580508474575</v>
      </c>
      <c r="W955" s="68">
        <f t="shared" si="205"/>
        <v>299.59053672316384</v>
      </c>
    </row>
    <row r="956" spans="1:23" x14ac:dyDescent="0.25">
      <c r="A956" s="1" t="s">
        <v>942</v>
      </c>
      <c r="B956" s="61" t="s">
        <v>390</v>
      </c>
      <c r="C956" s="1" t="s">
        <v>585</v>
      </c>
      <c r="D956" s="1" t="s">
        <v>589</v>
      </c>
      <c r="E956" s="1" t="s">
        <v>898</v>
      </c>
      <c r="F956" s="62" t="str">
        <f t="shared" si="194"/>
        <v>64544</v>
      </c>
      <c r="G956" s="269">
        <v>10620008</v>
      </c>
      <c r="H956" s="1" t="s">
        <v>381</v>
      </c>
      <c r="I956" s="61">
        <v>17</v>
      </c>
      <c r="J956" s="61">
        <v>6.8</v>
      </c>
      <c r="K956" s="61">
        <v>9</v>
      </c>
      <c r="L956" s="69">
        <f t="shared" si="195"/>
        <v>1.1559999999999999</v>
      </c>
      <c r="M956" s="69">
        <f t="shared" si="196"/>
        <v>1.53</v>
      </c>
      <c r="N956" s="56">
        <f>INDEX(Rate_Chart!$A$1:$AK$127,MATCH(Data!J956,Rate_Chart!$A$1:$A$127,0),MATCH(Data!K956,Rate_Chart!$A$1:$AK$1,0))</f>
        <v>56.78</v>
      </c>
      <c r="O956" s="57">
        <f t="shared" si="197"/>
        <v>965.26</v>
      </c>
      <c r="P956" s="58">
        <f t="shared" si="198"/>
        <v>443.59375</v>
      </c>
      <c r="Q956" s="58">
        <f t="shared" si="199"/>
        <v>295.72916666666669</v>
      </c>
      <c r="R956" s="66">
        <f t="shared" si="200"/>
        <v>16.892050000000001</v>
      </c>
      <c r="S956" s="64">
        <f t="shared" si="201"/>
        <v>63.75</v>
      </c>
      <c r="T956" s="66">
        <f t="shared" si="202"/>
        <v>1045.9020499999999</v>
      </c>
      <c r="U956" s="68">
        <f t="shared" si="203"/>
        <v>61.523649999999996</v>
      </c>
      <c r="V956" s="68">
        <f t="shared" si="204"/>
        <v>480.65351562499995</v>
      </c>
      <c r="W956" s="68">
        <f t="shared" si="205"/>
        <v>320.4356770833333</v>
      </c>
    </row>
    <row r="957" spans="1:23" x14ac:dyDescent="0.25">
      <c r="A957" s="1" t="s">
        <v>942</v>
      </c>
      <c r="B957" s="61" t="s">
        <v>391</v>
      </c>
      <c r="C957" s="1" t="s">
        <v>585</v>
      </c>
      <c r="D957" s="1" t="s">
        <v>589</v>
      </c>
      <c r="E957" s="1" t="s">
        <v>898</v>
      </c>
      <c r="F957" s="62" t="str">
        <f t="shared" si="194"/>
        <v>64544</v>
      </c>
      <c r="G957" s="269">
        <v>10620008</v>
      </c>
      <c r="H957" s="1" t="s">
        <v>381</v>
      </c>
      <c r="I957" s="61">
        <v>37</v>
      </c>
      <c r="J957" s="61">
        <v>6.3</v>
      </c>
      <c r="K957" s="61">
        <v>9</v>
      </c>
      <c r="L957" s="69">
        <f t="shared" si="195"/>
        <v>2.331</v>
      </c>
      <c r="M957" s="69">
        <f t="shared" si="196"/>
        <v>3.33</v>
      </c>
      <c r="N957" s="56">
        <f>INDEX(Rate_Chart!$A$1:$AK$127,MATCH(Data!J957,Rate_Chart!$A$1:$A$127,0),MATCH(Data!K957,Rate_Chart!$A$1:$AK$1,0))</f>
        <v>52.604999999999997</v>
      </c>
      <c r="O957" s="57">
        <f t="shared" si="197"/>
        <v>1946.385</v>
      </c>
      <c r="P957" s="58">
        <f t="shared" si="198"/>
        <v>427.6829268292683</v>
      </c>
      <c r="Q957" s="58">
        <f t="shared" si="199"/>
        <v>285.1219512195122</v>
      </c>
      <c r="R957" s="66">
        <f t="shared" si="200"/>
        <v>34.0617375</v>
      </c>
      <c r="S957" s="64">
        <f t="shared" si="201"/>
        <v>138.75</v>
      </c>
      <c r="T957" s="66">
        <f t="shared" si="202"/>
        <v>2119.1967374999999</v>
      </c>
      <c r="U957" s="68">
        <f t="shared" si="203"/>
        <v>57.2755875</v>
      </c>
      <c r="V957" s="68">
        <f t="shared" si="204"/>
        <v>465.6551829268293</v>
      </c>
      <c r="W957" s="68">
        <f t="shared" si="205"/>
        <v>310.43678861788618</v>
      </c>
    </row>
    <row r="958" spans="1:23" x14ac:dyDescent="0.25">
      <c r="A958" s="1" t="s">
        <v>943</v>
      </c>
      <c r="B958" s="61" t="s">
        <v>390</v>
      </c>
      <c r="C958" s="1" t="s">
        <v>585</v>
      </c>
      <c r="D958" s="1" t="s">
        <v>589</v>
      </c>
      <c r="E958" s="1" t="s">
        <v>898</v>
      </c>
      <c r="F958" s="62" t="str">
        <f t="shared" si="194"/>
        <v>64544</v>
      </c>
      <c r="G958" s="269">
        <v>10620008</v>
      </c>
      <c r="H958" s="1" t="s">
        <v>381</v>
      </c>
      <c r="I958" s="61">
        <v>19</v>
      </c>
      <c r="J958" s="61">
        <v>6</v>
      </c>
      <c r="K958" s="61">
        <v>9</v>
      </c>
      <c r="L958" s="69">
        <f t="shared" si="195"/>
        <v>1.1399999999999999</v>
      </c>
      <c r="M958" s="69">
        <f t="shared" si="196"/>
        <v>1.71</v>
      </c>
      <c r="N958" s="56">
        <f>INDEX(Rate_Chart!$A$1:$AK$127,MATCH(Data!J958,Rate_Chart!$A$1:$A$127,0),MATCH(Data!K958,Rate_Chart!$A$1:$AK$1,0))</f>
        <v>50.1</v>
      </c>
      <c r="O958" s="57">
        <f t="shared" si="197"/>
        <v>951.9</v>
      </c>
      <c r="P958" s="58">
        <f t="shared" si="198"/>
        <v>417.5</v>
      </c>
      <c r="Q958" s="58">
        <f t="shared" si="199"/>
        <v>278.33333333333331</v>
      </c>
      <c r="R958" s="66">
        <f t="shared" si="200"/>
        <v>16.658250000000002</v>
      </c>
      <c r="S958" s="64">
        <f t="shared" si="201"/>
        <v>71.25</v>
      </c>
      <c r="T958" s="66">
        <f t="shared" si="202"/>
        <v>1039.80825</v>
      </c>
      <c r="U958" s="68">
        <f t="shared" si="203"/>
        <v>54.726750000000003</v>
      </c>
      <c r="V958" s="68">
        <f t="shared" si="204"/>
        <v>456.05625000000003</v>
      </c>
      <c r="W958" s="68">
        <f t="shared" si="205"/>
        <v>304.03750000000002</v>
      </c>
    </row>
    <row r="959" spans="1:23" x14ac:dyDescent="0.25">
      <c r="A959" s="1" t="s">
        <v>943</v>
      </c>
      <c r="B959" s="61" t="s">
        <v>391</v>
      </c>
      <c r="C959" s="1" t="s">
        <v>585</v>
      </c>
      <c r="D959" s="1" t="s">
        <v>589</v>
      </c>
      <c r="E959" s="1" t="s">
        <v>898</v>
      </c>
      <c r="F959" s="62" t="str">
        <f t="shared" si="194"/>
        <v>64544</v>
      </c>
      <c r="G959" s="269">
        <v>10620008</v>
      </c>
      <c r="H959" s="1" t="s">
        <v>381</v>
      </c>
      <c r="I959" s="61">
        <v>35</v>
      </c>
      <c r="J959" s="61">
        <v>6.4</v>
      </c>
      <c r="K959" s="61">
        <v>9</v>
      </c>
      <c r="L959" s="69">
        <f t="shared" si="195"/>
        <v>2.2400000000000002</v>
      </c>
      <c r="M959" s="69">
        <f t="shared" si="196"/>
        <v>3.15</v>
      </c>
      <c r="N959" s="56">
        <f>INDEX(Rate_Chart!$A$1:$AK$127,MATCH(Data!J959,Rate_Chart!$A$1:$A$127,0),MATCH(Data!K959,Rate_Chart!$A$1:$AK$1,0))</f>
        <v>53.44</v>
      </c>
      <c r="O959" s="57">
        <f t="shared" si="197"/>
        <v>1870.3999999999999</v>
      </c>
      <c r="P959" s="58">
        <f t="shared" si="198"/>
        <v>430.96774193548384</v>
      </c>
      <c r="Q959" s="58">
        <f t="shared" si="199"/>
        <v>287.31182795698925</v>
      </c>
      <c r="R959" s="66">
        <f t="shared" si="200"/>
        <v>32.731999999999999</v>
      </c>
      <c r="S959" s="64">
        <f t="shared" si="201"/>
        <v>131.25</v>
      </c>
      <c r="T959" s="66">
        <f t="shared" si="202"/>
        <v>2034.3819999999998</v>
      </c>
      <c r="U959" s="68">
        <f t="shared" si="203"/>
        <v>58.125199999999992</v>
      </c>
      <c r="V959" s="68">
        <f t="shared" si="204"/>
        <v>468.75161290322575</v>
      </c>
      <c r="W959" s="68">
        <f t="shared" si="205"/>
        <v>312.50107526881715</v>
      </c>
    </row>
    <row r="960" spans="1:23" x14ac:dyDescent="0.25">
      <c r="A960" s="1" t="s">
        <v>944</v>
      </c>
      <c r="B960" s="61" t="s">
        <v>390</v>
      </c>
      <c r="C960" s="1" t="s">
        <v>585</v>
      </c>
      <c r="D960" s="1" t="s">
        <v>589</v>
      </c>
      <c r="E960" s="1" t="s">
        <v>898</v>
      </c>
      <c r="F960" s="62" t="str">
        <f t="shared" si="194"/>
        <v>64544</v>
      </c>
      <c r="G960" s="269">
        <v>10620008</v>
      </c>
      <c r="H960" s="1" t="s">
        <v>381</v>
      </c>
      <c r="I960" s="61">
        <v>20</v>
      </c>
      <c r="J960" s="61">
        <v>6.6</v>
      </c>
      <c r="K960" s="61">
        <v>9</v>
      </c>
      <c r="L960" s="69">
        <f t="shared" si="195"/>
        <v>1.32</v>
      </c>
      <c r="M960" s="69">
        <f t="shared" si="196"/>
        <v>1.8</v>
      </c>
      <c r="N960" s="56">
        <f>INDEX(Rate_Chart!$A$1:$AK$127,MATCH(Data!J960,Rate_Chart!$A$1:$A$127,0),MATCH(Data!K960,Rate_Chart!$A$1:$AK$1,0))</f>
        <v>55.11</v>
      </c>
      <c r="O960" s="57">
        <f t="shared" si="197"/>
        <v>1102.2</v>
      </c>
      <c r="P960" s="58">
        <f t="shared" si="198"/>
        <v>437.38095238095235</v>
      </c>
      <c r="Q960" s="58">
        <f t="shared" si="199"/>
        <v>291.58730158730157</v>
      </c>
      <c r="R960" s="66">
        <f t="shared" si="200"/>
        <v>19.288500000000003</v>
      </c>
      <c r="S960" s="64">
        <f t="shared" si="201"/>
        <v>75</v>
      </c>
      <c r="T960" s="66">
        <f t="shared" si="202"/>
        <v>1196.4884999999999</v>
      </c>
      <c r="U960" s="68">
        <f t="shared" si="203"/>
        <v>59.824424999999998</v>
      </c>
      <c r="V960" s="68">
        <f t="shared" si="204"/>
        <v>474.79702380952381</v>
      </c>
      <c r="W960" s="68">
        <f t="shared" si="205"/>
        <v>316.5313492063492</v>
      </c>
    </row>
    <row r="961" spans="1:23" x14ac:dyDescent="0.25">
      <c r="A961" s="1" t="s">
        <v>944</v>
      </c>
      <c r="B961" s="61" t="s">
        <v>391</v>
      </c>
      <c r="C961" s="1" t="s">
        <v>585</v>
      </c>
      <c r="D961" s="1" t="s">
        <v>589</v>
      </c>
      <c r="E961" s="1" t="s">
        <v>898</v>
      </c>
      <c r="F961" s="62" t="str">
        <f t="shared" si="194"/>
        <v>64544</v>
      </c>
      <c r="G961" s="269">
        <v>10620008</v>
      </c>
      <c r="H961" s="1" t="s">
        <v>381</v>
      </c>
      <c r="I961" s="61">
        <v>36</v>
      </c>
      <c r="J961" s="61">
        <v>6.6</v>
      </c>
      <c r="K961" s="61">
        <v>9</v>
      </c>
      <c r="L961" s="69">
        <f t="shared" si="195"/>
        <v>2.3759999999999999</v>
      </c>
      <c r="M961" s="69">
        <f t="shared" si="196"/>
        <v>3.24</v>
      </c>
      <c r="N961" s="56">
        <f>INDEX(Rate_Chart!$A$1:$AK$127,MATCH(Data!J961,Rate_Chart!$A$1:$A$127,0),MATCH(Data!K961,Rate_Chart!$A$1:$AK$1,0))</f>
        <v>55.11</v>
      </c>
      <c r="O961" s="57">
        <f t="shared" si="197"/>
        <v>1983.96</v>
      </c>
      <c r="P961" s="58">
        <f t="shared" si="198"/>
        <v>437.38095238095235</v>
      </c>
      <c r="Q961" s="58">
        <f t="shared" si="199"/>
        <v>291.58730158730157</v>
      </c>
      <c r="R961" s="66">
        <f t="shared" si="200"/>
        <v>34.719300000000004</v>
      </c>
      <c r="S961" s="64">
        <f t="shared" si="201"/>
        <v>135</v>
      </c>
      <c r="T961" s="66">
        <f t="shared" si="202"/>
        <v>2153.6793000000002</v>
      </c>
      <c r="U961" s="68">
        <f t="shared" si="203"/>
        <v>59.824425000000005</v>
      </c>
      <c r="V961" s="68">
        <f t="shared" si="204"/>
        <v>474.79702380952386</v>
      </c>
      <c r="W961" s="68">
        <f t="shared" si="205"/>
        <v>316.53134920634926</v>
      </c>
    </row>
    <row r="962" spans="1:23" x14ac:dyDescent="0.25">
      <c r="A962" s="1" t="s">
        <v>945</v>
      </c>
      <c r="B962" s="61" t="s">
        <v>390</v>
      </c>
      <c r="C962" s="1" t="s">
        <v>585</v>
      </c>
      <c r="D962" s="1" t="s">
        <v>589</v>
      </c>
      <c r="E962" s="1" t="s">
        <v>898</v>
      </c>
      <c r="F962" s="62" t="str">
        <f t="shared" si="194"/>
        <v>64544</v>
      </c>
      <c r="G962" s="269">
        <v>10620008</v>
      </c>
      <c r="H962" s="1" t="s">
        <v>381</v>
      </c>
      <c r="I962" s="61">
        <v>20</v>
      </c>
      <c r="J962" s="61">
        <v>6.5</v>
      </c>
      <c r="K962" s="61">
        <v>9</v>
      </c>
      <c r="L962" s="69">
        <f t="shared" si="195"/>
        <v>1.3</v>
      </c>
      <c r="M962" s="69">
        <f t="shared" si="196"/>
        <v>1.8</v>
      </c>
      <c r="N962" s="56">
        <f>INDEX(Rate_Chart!$A$1:$AK$127,MATCH(Data!J962,Rate_Chart!$A$1:$A$127,0),MATCH(Data!K962,Rate_Chart!$A$1:$AK$1,0))</f>
        <v>54.274999999999999</v>
      </c>
      <c r="O962" s="57">
        <f t="shared" si="197"/>
        <v>1085.5</v>
      </c>
      <c r="P962" s="58">
        <f t="shared" si="198"/>
        <v>434.2</v>
      </c>
      <c r="Q962" s="58">
        <f t="shared" si="199"/>
        <v>289.46666666666664</v>
      </c>
      <c r="R962" s="66">
        <f t="shared" si="200"/>
        <v>18.996250000000003</v>
      </c>
      <c r="S962" s="64">
        <f t="shared" si="201"/>
        <v>75</v>
      </c>
      <c r="T962" s="66">
        <f t="shared" si="202"/>
        <v>1179.4962499999999</v>
      </c>
      <c r="U962" s="68">
        <f t="shared" si="203"/>
        <v>58.974812499999999</v>
      </c>
      <c r="V962" s="68">
        <f t="shared" si="204"/>
        <v>471.79849999999999</v>
      </c>
      <c r="W962" s="68">
        <f t="shared" si="205"/>
        <v>314.53233333333333</v>
      </c>
    </row>
    <row r="963" spans="1:23" x14ac:dyDescent="0.25">
      <c r="A963" s="1" t="s">
        <v>945</v>
      </c>
      <c r="B963" s="61" t="s">
        <v>391</v>
      </c>
      <c r="C963" s="1" t="s">
        <v>585</v>
      </c>
      <c r="D963" s="1" t="s">
        <v>589</v>
      </c>
      <c r="E963" s="1" t="s">
        <v>898</v>
      </c>
      <c r="F963" s="62" t="str">
        <f t="shared" si="194"/>
        <v>64544</v>
      </c>
      <c r="G963" s="269">
        <v>10620008</v>
      </c>
      <c r="H963" s="1" t="s">
        <v>381</v>
      </c>
      <c r="I963" s="61">
        <v>40</v>
      </c>
      <c r="J963" s="61">
        <v>6.3</v>
      </c>
      <c r="K963" s="61">
        <v>9</v>
      </c>
      <c r="L963" s="69">
        <f t="shared" si="195"/>
        <v>2.52</v>
      </c>
      <c r="M963" s="69">
        <f t="shared" si="196"/>
        <v>3.6</v>
      </c>
      <c r="N963" s="56">
        <f>INDEX(Rate_Chart!$A$1:$AK$127,MATCH(Data!J963,Rate_Chart!$A$1:$A$127,0),MATCH(Data!K963,Rate_Chart!$A$1:$AK$1,0))</f>
        <v>52.604999999999997</v>
      </c>
      <c r="O963" s="57">
        <f t="shared" si="197"/>
        <v>2104.1999999999998</v>
      </c>
      <c r="P963" s="58">
        <f t="shared" si="198"/>
        <v>427.6829268292683</v>
      </c>
      <c r="Q963" s="58">
        <f t="shared" si="199"/>
        <v>285.1219512195122</v>
      </c>
      <c r="R963" s="66">
        <f t="shared" si="200"/>
        <v>36.823500000000003</v>
      </c>
      <c r="S963" s="64">
        <f t="shared" si="201"/>
        <v>150</v>
      </c>
      <c r="T963" s="66">
        <f t="shared" si="202"/>
        <v>2291.0234999999998</v>
      </c>
      <c r="U963" s="68">
        <f t="shared" si="203"/>
        <v>57.275587499999993</v>
      </c>
      <c r="V963" s="68">
        <f t="shared" si="204"/>
        <v>465.65518292682924</v>
      </c>
      <c r="W963" s="68">
        <f t="shared" si="205"/>
        <v>310.43678861788618</v>
      </c>
    </row>
    <row r="964" spans="1:23" x14ac:dyDescent="0.25">
      <c r="A964" s="1" t="s">
        <v>946</v>
      </c>
      <c r="B964" s="61" t="s">
        <v>390</v>
      </c>
      <c r="C964" s="1" t="s">
        <v>585</v>
      </c>
      <c r="D964" s="1" t="s">
        <v>589</v>
      </c>
      <c r="E964" s="1" t="s">
        <v>898</v>
      </c>
      <c r="F964" s="62" t="str">
        <f t="shared" si="194"/>
        <v>64544</v>
      </c>
      <c r="G964" s="269">
        <v>10620008</v>
      </c>
      <c r="H964" s="1" t="s">
        <v>381</v>
      </c>
      <c r="I964" s="61">
        <v>20</v>
      </c>
      <c r="J964" s="61">
        <v>7</v>
      </c>
      <c r="K964" s="61">
        <v>9</v>
      </c>
      <c r="L964" s="69">
        <f t="shared" si="195"/>
        <v>1.4</v>
      </c>
      <c r="M964" s="69">
        <f t="shared" si="196"/>
        <v>1.8</v>
      </c>
      <c r="N964" s="56">
        <f>INDEX(Rate_Chart!$A$1:$AK$127,MATCH(Data!J964,Rate_Chart!$A$1:$A$127,0),MATCH(Data!K964,Rate_Chart!$A$1:$AK$1,0))</f>
        <v>58.45</v>
      </c>
      <c r="O964" s="57">
        <f t="shared" si="197"/>
        <v>1169</v>
      </c>
      <c r="P964" s="58">
        <f t="shared" si="198"/>
        <v>449.61538461538464</v>
      </c>
      <c r="Q964" s="58">
        <f t="shared" si="199"/>
        <v>299.74358974358978</v>
      </c>
      <c r="R964" s="66">
        <f t="shared" si="200"/>
        <v>20.457500000000003</v>
      </c>
      <c r="S964" s="64">
        <f t="shared" si="201"/>
        <v>75</v>
      </c>
      <c r="T964" s="66">
        <f t="shared" si="202"/>
        <v>1264.4575</v>
      </c>
      <c r="U964" s="68">
        <f t="shared" si="203"/>
        <v>63.222875000000002</v>
      </c>
      <c r="V964" s="68">
        <f t="shared" si="204"/>
        <v>486.32980769230767</v>
      </c>
      <c r="W964" s="68">
        <f t="shared" si="205"/>
        <v>324.21987179487178</v>
      </c>
    </row>
    <row r="965" spans="1:23" x14ac:dyDescent="0.25">
      <c r="A965" s="1" t="s">
        <v>946</v>
      </c>
      <c r="B965" s="61" t="s">
        <v>391</v>
      </c>
      <c r="C965" s="1" t="s">
        <v>585</v>
      </c>
      <c r="D965" s="1" t="s">
        <v>589</v>
      </c>
      <c r="E965" s="1" t="s">
        <v>898</v>
      </c>
      <c r="F965" s="62" t="str">
        <f t="shared" ref="F965:F1028" si="206">MID(E965,2,5)</f>
        <v>64544</v>
      </c>
      <c r="G965" s="269">
        <v>10620008</v>
      </c>
      <c r="H965" s="1" t="s">
        <v>381</v>
      </c>
      <c r="I965" s="61">
        <v>36</v>
      </c>
      <c r="J965" s="61">
        <v>6.6</v>
      </c>
      <c r="K965" s="61">
        <v>9</v>
      </c>
      <c r="L965" s="69">
        <f t="shared" si="195"/>
        <v>2.3759999999999999</v>
      </c>
      <c r="M965" s="69">
        <f t="shared" si="196"/>
        <v>3.24</v>
      </c>
      <c r="N965" s="56">
        <f>INDEX(Rate_Chart!$A$1:$AK$127,MATCH(Data!J965,Rate_Chart!$A$1:$A$127,0),MATCH(Data!K965,Rate_Chart!$A$1:$AK$1,0))</f>
        <v>55.11</v>
      </c>
      <c r="O965" s="57">
        <f t="shared" si="197"/>
        <v>1983.96</v>
      </c>
      <c r="P965" s="58">
        <f t="shared" si="198"/>
        <v>437.38095238095235</v>
      </c>
      <c r="Q965" s="58">
        <f t="shared" si="199"/>
        <v>291.58730158730157</v>
      </c>
      <c r="R965" s="66">
        <f t="shared" si="200"/>
        <v>34.719300000000004</v>
      </c>
      <c r="S965" s="64">
        <f t="shared" si="201"/>
        <v>135</v>
      </c>
      <c r="T965" s="66">
        <f t="shared" si="202"/>
        <v>2153.6793000000002</v>
      </c>
      <c r="U965" s="68">
        <f t="shared" si="203"/>
        <v>59.824425000000005</v>
      </c>
      <c r="V965" s="68">
        <f t="shared" si="204"/>
        <v>474.79702380952386</v>
      </c>
      <c r="W965" s="68">
        <f t="shared" si="205"/>
        <v>316.53134920634926</v>
      </c>
    </row>
    <row r="966" spans="1:23" x14ac:dyDescent="0.25">
      <c r="A966" s="1" t="s">
        <v>947</v>
      </c>
      <c r="B966" s="61" t="s">
        <v>390</v>
      </c>
      <c r="C966" s="1" t="s">
        <v>585</v>
      </c>
      <c r="D966" s="1" t="s">
        <v>589</v>
      </c>
      <c r="E966" s="1" t="s">
        <v>898</v>
      </c>
      <c r="F966" s="62" t="str">
        <f t="shared" si="206"/>
        <v>64544</v>
      </c>
      <c r="G966" s="269">
        <v>10620008</v>
      </c>
      <c r="H966" s="1" t="s">
        <v>381</v>
      </c>
      <c r="I966" s="61">
        <v>20</v>
      </c>
      <c r="J966" s="61">
        <v>6.5</v>
      </c>
      <c r="K966" s="61">
        <v>9</v>
      </c>
      <c r="L966" s="69">
        <f t="shared" si="195"/>
        <v>1.3</v>
      </c>
      <c r="M966" s="69">
        <f t="shared" si="196"/>
        <v>1.8</v>
      </c>
      <c r="N966" s="56">
        <f>INDEX(Rate_Chart!$A$1:$AK$127,MATCH(Data!J966,Rate_Chart!$A$1:$A$127,0),MATCH(Data!K966,Rate_Chart!$A$1:$AK$1,0))</f>
        <v>54.274999999999999</v>
      </c>
      <c r="O966" s="57">
        <f t="shared" si="197"/>
        <v>1085.5</v>
      </c>
      <c r="P966" s="58">
        <f t="shared" si="198"/>
        <v>434.2</v>
      </c>
      <c r="Q966" s="58">
        <f t="shared" si="199"/>
        <v>289.46666666666664</v>
      </c>
      <c r="R966" s="66">
        <f t="shared" si="200"/>
        <v>18.996250000000003</v>
      </c>
      <c r="S966" s="64">
        <f t="shared" si="201"/>
        <v>75</v>
      </c>
      <c r="T966" s="66">
        <f t="shared" si="202"/>
        <v>1179.4962499999999</v>
      </c>
      <c r="U966" s="68">
        <f t="shared" si="203"/>
        <v>58.974812499999999</v>
      </c>
      <c r="V966" s="68">
        <f t="shared" si="204"/>
        <v>471.79849999999999</v>
      </c>
      <c r="W966" s="68">
        <f t="shared" si="205"/>
        <v>314.53233333333333</v>
      </c>
    </row>
    <row r="967" spans="1:23" x14ac:dyDescent="0.25">
      <c r="A967" s="1" t="s">
        <v>947</v>
      </c>
      <c r="B967" s="61" t="s">
        <v>391</v>
      </c>
      <c r="C967" s="1" t="s">
        <v>585</v>
      </c>
      <c r="D967" s="1" t="s">
        <v>589</v>
      </c>
      <c r="E967" s="1" t="s">
        <v>898</v>
      </c>
      <c r="F967" s="62" t="str">
        <f t="shared" si="206"/>
        <v>64544</v>
      </c>
      <c r="G967" s="269">
        <v>10620008</v>
      </c>
      <c r="H967" s="1" t="s">
        <v>381</v>
      </c>
      <c r="I967" s="61">
        <v>37</v>
      </c>
      <c r="J967" s="61">
        <v>6</v>
      </c>
      <c r="K967" s="61">
        <v>9</v>
      </c>
      <c r="L967" s="69">
        <f t="shared" si="195"/>
        <v>2.2200000000000002</v>
      </c>
      <c r="M967" s="69">
        <f t="shared" si="196"/>
        <v>3.33</v>
      </c>
      <c r="N967" s="56">
        <f>INDEX(Rate_Chart!$A$1:$AK$127,MATCH(Data!J967,Rate_Chart!$A$1:$A$127,0),MATCH(Data!K967,Rate_Chart!$A$1:$AK$1,0))</f>
        <v>50.1</v>
      </c>
      <c r="O967" s="57">
        <f t="shared" si="197"/>
        <v>1853.7</v>
      </c>
      <c r="P967" s="58">
        <f t="shared" si="198"/>
        <v>417.5</v>
      </c>
      <c r="Q967" s="58">
        <f t="shared" si="199"/>
        <v>278.33333333333331</v>
      </c>
      <c r="R967" s="66">
        <f t="shared" si="200"/>
        <v>32.439750000000004</v>
      </c>
      <c r="S967" s="64">
        <f t="shared" si="201"/>
        <v>138.75</v>
      </c>
      <c r="T967" s="66">
        <f t="shared" si="202"/>
        <v>2024.88975</v>
      </c>
      <c r="U967" s="68">
        <f t="shared" si="203"/>
        <v>54.726750000000003</v>
      </c>
      <c r="V967" s="68">
        <f t="shared" si="204"/>
        <v>456.05625000000003</v>
      </c>
      <c r="W967" s="68">
        <f t="shared" si="205"/>
        <v>304.03750000000002</v>
      </c>
    </row>
    <row r="968" spans="1:23" x14ac:dyDescent="0.25">
      <c r="A968" s="1" t="s">
        <v>941</v>
      </c>
      <c r="B968" s="61" t="s">
        <v>390</v>
      </c>
      <c r="C968" s="1" t="s">
        <v>585</v>
      </c>
      <c r="D968" s="1" t="s">
        <v>588</v>
      </c>
      <c r="E968" s="1" t="s">
        <v>370</v>
      </c>
      <c r="F968" s="62" t="str">
        <f t="shared" si="206"/>
        <v>64547</v>
      </c>
      <c r="G968" s="269">
        <v>10620029</v>
      </c>
      <c r="H968" s="1" t="s">
        <v>381</v>
      </c>
      <c r="I968" s="61">
        <v>64</v>
      </c>
      <c r="J968" s="61">
        <v>7.4</v>
      </c>
      <c r="K968" s="61">
        <v>9</v>
      </c>
      <c r="L968" s="69">
        <f t="shared" si="195"/>
        <v>4.7360000000000007</v>
      </c>
      <c r="M968" s="69">
        <f t="shared" si="196"/>
        <v>5.76</v>
      </c>
      <c r="N968" s="56">
        <f>INDEX(Rate_Chart!$A$1:$AK$127,MATCH(Data!J968,Rate_Chart!$A$1:$A$127,0),MATCH(Data!K968,Rate_Chart!$A$1:$AK$1,0))</f>
        <v>61.790000000000006</v>
      </c>
      <c r="O968" s="57">
        <f t="shared" si="197"/>
        <v>3954.5600000000004</v>
      </c>
      <c r="P968" s="58">
        <f t="shared" si="198"/>
        <v>461.11940298507466</v>
      </c>
      <c r="Q968" s="58">
        <f t="shared" si="199"/>
        <v>307.41293532338312</v>
      </c>
      <c r="R968" s="66">
        <f t="shared" si="200"/>
        <v>69.20480000000002</v>
      </c>
      <c r="S968" s="64">
        <f t="shared" si="201"/>
        <v>240</v>
      </c>
      <c r="T968" s="66">
        <f t="shared" si="202"/>
        <v>4263.7648000000008</v>
      </c>
      <c r="U968" s="68">
        <f t="shared" si="203"/>
        <v>66.621325000000013</v>
      </c>
      <c r="V968" s="68">
        <f t="shared" si="204"/>
        <v>497.17406716417918</v>
      </c>
      <c r="W968" s="68">
        <f t="shared" si="205"/>
        <v>331.44937810945277</v>
      </c>
    </row>
    <row r="969" spans="1:23" x14ac:dyDescent="0.25">
      <c r="A969" s="1" t="s">
        <v>941</v>
      </c>
      <c r="B969" s="61" t="s">
        <v>391</v>
      </c>
      <c r="C969" s="1" t="s">
        <v>585</v>
      </c>
      <c r="D969" s="1" t="s">
        <v>588</v>
      </c>
      <c r="E969" s="1" t="s">
        <v>370</v>
      </c>
      <c r="F969" s="62" t="str">
        <f t="shared" si="206"/>
        <v>64547</v>
      </c>
      <c r="G969" s="269">
        <v>10620029</v>
      </c>
      <c r="H969" s="1" t="s">
        <v>381</v>
      </c>
      <c r="I969" s="61">
        <v>68</v>
      </c>
      <c r="J969" s="61">
        <v>6</v>
      </c>
      <c r="K969" s="61">
        <v>9</v>
      </c>
      <c r="L969" s="69">
        <f t="shared" si="195"/>
        <v>4.08</v>
      </c>
      <c r="M969" s="69">
        <f t="shared" si="196"/>
        <v>6.12</v>
      </c>
      <c r="N969" s="56">
        <f>INDEX(Rate_Chart!$A$1:$AK$127,MATCH(Data!J969,Rate_Chart!$A$1:$A$127,0),MATCH(Data!K969,Rate_Chart!$A$1:$AK$1,0))</f>
        <v>50.1</v>
      </c>
      <c r="O969" s="57">
        <f t="shared" si="197"/>
        <v>3406.8</v>
      </c>
      <c r="P969" s="58">
        <f t="shared" si="198"/>
        <v>417.5</v>
      </c>
      <c r="Q969" s="58">
        <f t="shared" si="199"/>
        <v>278.33333333333331</v>
      </c>
      <c r="R969" s="66">
        <f t="shared" si="200"/>
        <v>59.619000000000007</v>
      </c>
      <c r="S969" s="64">
        <f t="shared" si="201"/>
        <v>255</v>
      </c>
      <c r="T969" s="66">
        <f t="shared" si="202"/>
        <v>3721.4190000000003</v>
      </c>
      <c r="U969" s="68">
        <f t="shared" si="203"/>
        <v>54.726750000000003</v>
      </c>
      <c r="V969" s="68">
        <f t="shared" si="204"/>
        <v>456.05625000000003</v>
      </c>
      <c r="W969" s="68">
        <f t="shared" si="205"/>
        <v>304.03750000000002</v>
      </c>
    </row>
    <row r="970" spans="1:23" x14ac:dyDescent="0.25">
      <c r="A970" s="1" t="s">
        <v>941</v>
      </c>
      <c r="B970" s="61" t="s">
        <v>391</v>
      </c>
      <c r="C970" s="1" t="s">
        <v>585</v>
      </c>
      <c r="D970" s="1" t="s">
        <v>588</v>
      </c>
      <c r="E970" s="1" t="s">
        <v>370</v>
      </c>
      <c r="F970" s="62" t="str">
        <f t="shared" si="206"/>
        <v>64547</v>
      </c>
      <c r="G970" s="269">
        <v>10620029</v>
      </c>
      <c r="H970" s="1" t="s">
        <v>382</v>
      </c>
      <c r="I970" s="61">
        <v>18</v>
      </c>
      <c r="J970" s="61">
        <v>3</v>
      </c>
      <c r="K970" s="61">
        <v>8.1</v>
      </c>
      <c r="L970" s="69">
        <f t="shared" si="195"/>
        <v>0.54</v>
      </c>
      <c r="M970" s="69">
        <f t="shared" si="196"/>
        <v>1.4579999999999997</v>
      </c>
      <c r="N970" s="56">
        <f>INDEX(Rate_Chart!$A$1:$AK$127,MATCH(Data!J970,Rate_Chart!$A$1:$A$127,0),MATCH(Data!K970,Rate_Chart!$A$1:$AK$1,0))</f>
        <v>35.029125900000004</v>
      </c>
      <c r="O970" s="57">
        <f t="shared" si="197"/>
        <v>630.52426620000006</v>
      </c>
      <c r="P970" s="58">
        <f t="shared" si="198"/>
        <v>417.01340357142868</v>
      </c>
      <c r="Q970" s="58">
        <f t="shared" si="199"/>
        <v>278.00893571428577</v>
      </c>
      <c r="R970" s="66">
        <f t="shared" si="200"/>
        <v>11.034174658500001</v>
      </c>
      <c r="S970" s="64">
        <f t="shared" si="201"/>
        <v>67.5</v>
      </c>
      <c r="T970" s="66">
        <f t="shared" si="202"/>
        <v>709.05844085850003</v>
      </c>
      <c r="U970" s="68">
        <f t="shared" si="203"/>
        <v>39.392135603250004</v>
      </c>
      <c r="V970" s="68">
        <f t="shared" si="204"/>
        <v>468.9539952767858</v>
      </c>
      <c r="W970" s="68">
        <f t="shared" si="205"/>
        <v>312.63599685119055</v>
      </c>
    </row>
    <row r="971" spans="1:23" x14ac:dyDescent="0.25">
      <c r="A971" s="1" t="s">
        <v>942</v>
      </c>
      <c r="B971" s="61" t="s">
        <v>390</v>
      </c>
      <c r="C971" s="1" t="s">
        <v>585</v>
      </c>
      <c r="D971" s="1" t="s">
        <v>588</v>
      </c>
      <c r="E971" s="1" t="s">
        <v>370</v>
      </c>
      <c r="F971" s="62" t="str">
        <f t="shared" si="206"/>
        <v>64547</v>
      </c>
      <c r="G971" s="269">
        <v>10620029</v>
      </c>
      <c r="H971" s="1" t="s">
        <v>381</v>
      </c>
      <c r="I971" s="61">
        <v>129</v>
      </c>
      <c r="J971" s="61">
        <v>6.4</v>
      </c>
      <c r="K971" s="61">
        <v>9</v>
      </c>
      <c r="L971" s="69">
        <f t="shared" si="195"/>
        <v>8.2560000000000002</v>
      </c>
      <c r="M971" s="69">
        <f t="shared" si="196"/>
        <v>11.61</v>
      </c>
      <c r="N971" s="56">
        <f>INDEX(Rate_Chart!$A$1:$AK$127,MATCH(Data!J971,Rate_Chart!$A$1:$A$127,0),MATCH(Data!K971,Rate_Chart!$A$1:$AK$1,0))</f>
        <v>53.44</v>
      </c>
      <c r="O971" s="57">
        <f t="shared" si="197"/>
        <v>6893.7599999999993</v>
      </c>
      <c r="P971" s="58">
        <f t="shared" si="198"/>
        <v>430.96774193548384</v>
      </c>
      <c r="Q971" s="58">
        <f t="shared" si="199"/>
        <v>287.31182795698925</v>
      </c>
      <c r="R971" s="66">
        <f t="shared" si="200"/>
        <v>120.6408</v>
      </c>
      <c r="S971" s="64">
        <f t="shared" si="201"/>
        <v>483.75</v>
      </c>
      <c r="T971" s="66">
        <f t="shared" si="202"/>
        <v>7498.1507999999994</v>
      </c>
      <c r="U971" s="68">
        <f t="shared" si="203"/>
        <v>58.125199999999992</v>
      </c>
      <c r="V971" s="68">
        <f t="shared" si="204"/>
        <v>468.75161290322575</v>
      </c>
      <c r="W971" s="68">
        <f t="shared" si="205"/>
        <v>312.50107526881715</v>
      </c>
    </row>
    <row r="972" spans="1:23" x14ac:dyDescent="0.25">
      <c r="A972" s="1" t="s">
        <v>942</v>
      </c>
      <c r="B972" s="61" t="s">
        <v>390</v>
      </c>
      <c r="C972" s="1" t="s">
        <v>585</v>
      </c>
      <c r="D972" s="1" t="s">
        <v>588</v>
      </c>
      <c r="E972" s="1" t="s">
        <v>370</v>
      </c>
      <c r="F972" s="62" t="str">
        <f t="shared" si="206"/>
        <v>64547</v>
      </c>
      <c r="G972" s="269">
        <v>10620029</v>
      </c>
      <c r="H972" s="1" t="s">
        <v>382</v>
      </c>
      <c r="I972" s="61">
        <v>24</v>
      </c>
      <c r="J972" s="61">
        <v>3</v>
      </c>
      <c r="K972" s="61">
        <v>8.1</v>
      </c>
      <c r="L972" s="69">
        <f t="shared" si="195"/>
        <v>0.72</v>
      </c>
      <c r="M972" s="69">
        <f t="shared" si="196"/>
        <v>1.9439999999999997</v>
      </c>
      <c r="N972" s="56">
        <f>INDEX(Rate_Chart!$A$1:$AK$127,MATCH(Data!J972,Rate_Chart!$A$1:$A$127,0),MATCH(Data!K972,Rate_Chart!$A$1:$AK$1,0))</f>
        <v>35.029125900000004</v>
      </c>
      <c r="O972" s="57">
        <f t="shared" si="197"/>
        <v>840.69902160000015</v>
      </c>
      <c r="P972" s="58">
        <f t="shared" si="198"/>
        <v>417.01340357142868</v>
      </c>
      <c r="Q972" s="58">
        <f t="shared" si="199"/>
        <v>278.00893571428577</v>
      </c>
      <c r="R972" s="66">
        <f t="shared" si="200"/>
        <v>14.712232878000004</v>
      </c>
      <c r="S972" s="64">
        <f t="shared" si="201"/>
        <v>90</v>
      </c>
      <c r="T972" s="66">
        <f t="shared" si="202"/>
        <v>945.41125447800016</v>
      </c>
      <c r="U972" s="68">
        <f t="shared" si="203"/>
        <v>39.392135603250004</v>
      </c>
      <c r="V972" s="68">
        <f t="shared" si="204"/>
        <v>468.9539952767858</v>
      </c>
      <c r="W972" s="68">
        <f t="shared" si="205"/>
        <v>312.63599685119055</v>
      </c>
    </row>
    <row r="973" spans="1:23" x14ac:dyDescent="0.25">
      <c r="A973" s="1" t="s">
        <v>942</v>
      </c>
      <c r="B973" s="61" t="s">
        <v>391</v>
      </c>
      <c r="C973" s="1" t="s">
        <v>585</v>
      </c>
      <c r="D973" s="1" t="s">
        <v>588</v>
      </c>
      <c r="E973" s="1" t="s">
        <v>370</v>
      </c>
      <c r="F973" s="62" t="str">
        <f t="shared" si="206"/>
        <v>64547</v>
      </c>
      <c r="G973" s="269">
        <v>10620029</v>
      </c>
      <c r="H973" s="1" t="s">
        <v>381</v>
      </c>
      <c r="I973" s="61">
        <v>110</v>
      </c>
      <c r="J973" s="61">
        <v>5.6</v>
      </c>
      <c r="K973" s="61">
        <v>8.8000000000000007</v>
      </c>
      <c r="L973" s="69">
        <f t="shared" si="195"/>
        <v>6.16</v>
      </c>
      <c r="M973" s="69">
        <f t="shared" si="196"/>
        <v>9.6800000000000015</v>
      </c>
      <c r="N973" s="56">
        <f>INDEX(Rate_Chart!$A$1:$AK$127,MATCH(Data!J973,Rate_Chart!$A$1:$A$127,0),MATCH(Data!K973,Rate_Chart!$A$1:$AK$1,0))</f>
        <v>46.292400000000001</v>
      </c>
      <c r="O973" s="57">
        <f t="shared" si="197"/>
        <v>5092.1639999999998</v>
      </c>
      <c r="P973" s="58">
        <f t="shared" si="198"/>
        <v>403.71279069767445</v>
      </c>
      <c r="Q973" s="58">
        <f t="shared" si="199"/>
        <v>269.14186046511628</v>
      </c>
      <c r="R973" s="66">
        <f t="shared" si="200"/>
        <v>89.112870000000001</v>
      </c>
      <c r="S973" s="64">
        <f t="shared" si="201"/>
        <v>412.5</v>
      </c>
      <c r="T973" s="66">
        <f t="shared" si="202"/>
        <v>5593.7768699999997</v>
      </c>
      <c r="U973" s="68">
        <f t="shared" si="203"/>
        <v>50.852516999999999</v>
      </c>
      <c r="V973" s="68">
        <f t="shared" si="204"/>
        <v>443.48125290697675</v>
      </c>
      <c r="W973" s="68">
        <f t="shared" si="205"/>
        <v>295.65416860465115</v>
      </c>
    </row>
    <row r="974" spans="1:23" x14ac:dyDescent="0.25">
      <c r="A974" s="1" t="s">
        <v>943</v>
      </c>
      <c r="B974" s="61" t="s">
        <v>390</v>
      </c>
      <c r="C974" s="1" t="s">
        <v>585</v>
      </c>
      <c r="D974" s="1" t="s">
        <v>588</v>
      </c>
      <c r="E974" s="1" t="s">
        <v>370</v>
      </c>
      <c r="F974" s="62" t="str">
        <f t="shared" si="206"/>
        <v>64547</v>
      </c>
      <c r="G974" s="269">
        <v>10620029</v>
      </c>
      <c r="H974" s="1" t="s">
        <v>381</v>
      </c>
      <c r="I974" s="61">
        <v>135</v>
      </c>
      <c r="J974" s="61">
        <v>6.6</v>
      </c>
      <c r="K974" s="61">
        <v>9</v>
      </c>
      <c r="L974" s="69">
        <f t="shared" si="195"/>
        <v>8.91</v>
      </c>
      <c r="M974" s="69">
        <f t="shared" si="196"/>
        <v>12.15</v>
      </c>
      <c r="N974" s="56">
        <f>INDEX(Rate_Chart!$A$1:$AK$127,MATCH(Data!J974,Rate_Chart!$A$1:$A$127,0),MATCH(Data!K974,Rate_Chart!$A$1:$AK$1,0))</f>
        <v>55.11</v>
      </c>
      <c r="O974" s="57">
        <f t="shared" si="197"/>
        <v>7439.85</v>
      </c>
      <c r="P974" s="58">
        <f t="shared" si="198"/>
        <v>437.38095238095235</v>
      </c>
      <c r="Q974" s="58">
        <f t="shared" si="199"/>
        <v>291.58730158730157</v>
      </c>
      <c r="R974" s="66">
        <f t="shared" si="200"/>
        <v>130.19737500000002</v>
      </c>
      <c r="S974" s="64">
        <f t="shared" si="201"/>
        <v>506.25</v>
      </c>
      <c r="T974" s="66">
        <f t="shared" si="202"/>
        <v>8076.2973750000001</v>
      </c>
      <c r="U974" s="68">
        <f t="shared" si="203"/>
        <v>59.824424999999998</v>
      </c>
      <c r="V974" s="68">
        <f t="shared" si="204"/>
        <v>474.79702380952381</v>
      </c>
      <c r="W974" s="68">
        <f t="shared" si="205"/>
        <v>316.5313492063492</v>
      </c>
    </row>
    <row r="975" spans="1:23" x14ac:dyDescent="0.25">
      <c r="A975" s="1" t="s">
        <v>943</v>
      </c>
      <c r="B975" s="61" t="s">
        <v>390</v>
      </c>
      <c r="C975" s="1" t="s">
        <v>585</v>
      </c>
      <c r="D975" s="1" t="s">
        <v>588</v>
      </c>
      <c r="E975" s="1" t="s">
        <v>370</v>
      </c>
      <c r="F975" s="62" t="str">
        <f t="shared" si="206"/>
        <v>64547</v>
      </c>
      <c r="G975" s="269">
        <v>10620029</v>
      </c>
      <c r="H975" s="1" t="s">
        <v>382</v>
      </c>
      <c r="I975" s="61">
        <v>34</v>
      </c>
      <c r="J975" s="61">
        <v>3.3</v>
      </c>
      <c r="K975" s="61">
        <v>8.1</v>
      </c>
      <c r="L975" s="69">
        <f t="shared" si="195"/>
        <v>1.1219999999999999</v>
      </c>
      <c r="M975" s="69">
        <f t="shared" si="196"/>
        <v>2.7539999999999996</v>
      </c>
      <c r="N975" s="56">
        <f>INDEX(Rate_Chart!$A$1:$AK$127,MATCH(Data!J975,Rate_Chart!$A$1:$A$127,0),MATCH(Data!K975,Rate_Chart!$A$1:$AK$1,0))</f>
        <v>36.280125900000002</v>
      </c>
      <c r="O975" s="57">
        <f t="shared" si="197"/>
        <v>1233.5242806000001</v>
      </c>
      <c r="P975" s="58">
        <f t="shared" si="198"/>
        <v>417.0129413793104</v>
      </c>
      <c r="Q975" s="58">
        <f t="shared" si="199"/>
        <v>278.00862758620696</v>
      </c>
      <c r="R975" s="66">
        <f t="shared" si="200"/>
        <v>21.586674910500005</v>
      </c>
      <c r="S975" s="64">
        <f t="shared" si="201"/>
        <v>127.5</v>
      </c>
      <c r="T975" s="66">
        <f t="shared" si="202"/>
        <v>1382.6109555105002</v>
      </c>
      <c r="U975" s="68">
        <f t="shared" si="203"/>
        <v>40.665028103250002</v>
      </c>
      <c r="V975" s="68">
        <f t="shared" si="204"/>
        <v>467.4141161293104</v>
      </c>
      <c r="W975" s="68">
        <f t="shared" si="205"/>
        <v>311.6094107528736</v>
      </c>
    </row>
    <row r="976" spans="1:23" x14ac:dyDescent="0.25">
      <c r="A976" s="1" t="s">
        <v>943</v>
      </c>
      <c r="B976" s="61" t="s">
        <v>391</v>
      </c>
      <c r="C976" s="1" t="s">
        <v>585</v>
      </c>
      <c r="D976" s="1" t="s">
        <v>588</v>
      </c>
      <c r="E976" s="1" t="s">
        <v>370</v>
      </c>
      <c r="F976" s="62" t="str">
        <f t="shared" si="206"/>
        <v>64547</v>
      </c>
      <c r="G976" s="269">
        <v>10620029</v>
      </c>
      <c r="H976" s="1" t="s">
        <v>381</v>
      </c>
      <c r="I976" s="61">
        <v>80</v>
      </c>
      <c r="J976" s="61">
        <v>6</v>
      </c>
      <c r="K976" s="61">
        <v>8.8000000000000007</v>
      </c>
      <c r="L976" s="69">
        <f t="shared" si="195"/>
        <v>4.8</v>
      </c>
      <c r="M976" s="69">
        <f t="shared" si="196"/>
        <v>7.04</v>
      </c>
      <c r="N976" s="56">
        <f>INDEX(Rate_Chart!$A$1:$AK$127,MATCH(Data!J976,Rate_Chart!$A$1:$A$127,0),MATCH(Data!K976,Rate_Chart!$A$1:$AK$1,0))</f>
        <v>49.599000000000004</v>
      </c>
      <c r="O976" s="57">
        <f t="shared" si="197"/>
        <v>3967.92</v>
      </c>
      <c r="P976" s="58">
        <f t="shared" si="198"/>
        <v>417.96910112359552</v>
      </c>
      <c r="Q976" s="58">
        <f t="shared" si="199"/>
        <v>278.64606741573033</v>
      </c>
      <c r="R976" s="66">
        <f t="shared" si="200"/>
        <v>69.438600000000008</v>
      </c>
      <c r="S976" s="64">
        <f t="shared" si="201"/>
        <v>300</v>
      </c>
      <c r="T976" s="66">
        <f t="shared" si="202"/>
        <v>4337.3586000000005</v>
      </c>
      <c r="U976" s="68">
        <f t="shared" si="203"/>
        <v>54.216982500000007</v>
      </c>
      <c r="V976" s="68">
        <f t="shared" si="204"/>
        <v>456.8846839887641</v>
      </c>
      <c r="W976" s="68">
        <f t="shared" si="205"/>
        <v>304.58978932584273</v>
      </c>
    </row>
    <row r="977" spans="1:23" x14ac:dyDescent="0.25">
      <c r="A977" s="1" t="s">
        <v>943</v>
      </c>
      <c r="B977" s="61" t="s">
        <v>391</v>
      </c>
      <c r="C977" s="1" t="s">
        <v>585</v>
      </c>
      <c r="D977" s="1" t="s">
        <v>588</v>
      </c>
      <c r="E977" s="1" t="s">
        <v>370</v>
      </c>
      <c r="F977" s="62" t="str">
        <f t="shared" si="206"/>
        <v>64547</v>
      </c>
      <c r="G977" s="269">
        <v>10620029</v>
      </c>
      <c r="H977" s="1" t="s">
        <v>382</v>
      </c>
      <c r="I977" s="61">
        <v>18</v>
      </c>
      <c r="J977" s="61">
        <v>3.2</v>
      </c>
      <c r="K977" s="61">
        <v>8.1</v>
      </c>
      <c r="L977" s="69">
        <f t="shared" si="195"/>
        <v>0.57600000000000007</v>
      </c>
      <c r="M977" s="69">
        <f t="shared" si="196"/>
        <v>1.4579999999999997</v>
      </c>
      <c r="N977" s="56">
        <f>INDEX(Rate_Chart!$A$1:$AK$127,MATCH(Data!J977,Rate_Chart!$A$1:$A$127,0),MATCH(Data!K977,Rate_Chart!$A$1:$AK$1,0))</f>
        <v>35.8631259</v>
      </c>
      <c r="O977" s="57">
        <f t="shared" si="197"/>
        <v>645.5362662</v>
      </c>
      <c r="P977" s="58">
        <f t="shared" si="198"/>
        <v>417.01309186046512</v>
      </c>
      <c r="Q977" s="58">
        <f t="shared" si="199"/>
        <v>278.00872790697673</v>
      </c>
      <c r="R977" s="66">
        <f t="shared" si="200"/>
        <v>11.296884658500002</v>
      </c>
      <c r="S977" s="64">
        <f t="shared" si="201"/>
        <v>67.5</v>
      </c>
      <c r="T977" s="66">
        <f t="shared" si="202"/>
        <v>724.33315085849995</v>
      </c>
      <c r="U977" s="68">
        <f t="shared" si="203"/>
        <v>40.24073060325</v>
      </c>
      <c r="V977" s="68">
        <f t="shared" si="204"/>
        <v>467.91547213081401</v>
      </c>
      <c r="W977" s="68">
        <f t="shared" si="205"/>
        <v>311.94364808720934</v>
      </c>
    </row>
    <row r="978" spans="1:23" x14ac:dyDescent="0.25">
      <c r="A978" s="1" t="s">
        <v>944</v>
      </c>
      <c r="B978" s="61" t="s">
        <v>390</v>
      </c>
      <c r="C978" s="1" t="s">
        <v>585</v>
      </c>
      <c r="D978" s="1" t="s">
        <v>588</v>
      </c>
      <c r="E978" s="1" t="s">
        <v>370</v>
      </c>
      <c r="F978" s="62" t="str">
        <f t="shared" si="206"/>
        <v>64547</v>
      </c>
      <c r="G978" s="269">
        <v>10620029</v>
      </c>
      <c r="H978" s="1" t="s">
        <v>381</v>
      </c>
      <c r="I978" s="61">
        <v>142</v>
      </c>
      <c r="J978" s="61">
        <v>6.3</v>
      </c>
      <c r="K978" s="61">
        <v>9</v>
      </c>
      <c r="L978" s="69">
        <f t="shared" si="195"/>
        <v>8.9459999999999997</v>
      </c>
      <c r="M978" s="69">
        <f t="shared" si="196"/>
        <v>12.78</v>
      </c>
      <c r="N978" s="56">
        <f>INDEX(Rate_Chart!$A$1:$AK$127,MATCH(Data!J978,Rate_Chart!$A$1:$A$127,0),MATCH(Data!K978,Rate_Chart!$A$1:$AK$1,0))</f>
        <v>52.604999999999997</v>
      </c>
      <c r="O978" s="57">
        <f t="shared" si="197"/>
        <v>7469.91</v>
      </c>
      <c r="P978" s="58">
        <f t="shared" si="198"/>
        <v>427.6829268292683</v>
      </c>
      <c r="Q978" s="58">
        <f t="shared" si="199"/>
        <v>285.1219512195122</v>
      </c>
      <c r="R978" s="66">
        <f t="shared" si="200"/>
        <v>130.72342500000002</v>
      </c>
      <c r="S978" s="64">
        <f t="shared" si="201"/>
        <v>532.5</v>
      </c>
      <c r="T978" s="66">
        <f t="shared" si="202"/>
        <v>8133.133425</v>
      </c>
      <c r="U978" s="68">
        <f t="shared" si="203"/>
        <v>57.2755875</v>
      </c>
      <c r="V978" s="68">
        <f t="shared" si="204"/>
        <v>465.6551829268293</v>
      </c>
      <c r="W978" s="68">
        <f t="shared" si="205"/>
        <v>310.43678861788618</v>
      </c>
    </row>
    <row r="979" spans="1:23" x14ac:dyDescent="0.25">
      <c r="A979" s="1" t="s">
        <v>944</v>
      </c>
      <c r="B979" s="61" t="s">
        <v>390</v>
      </c>
      <c r="C979" s="1" t="s">
        <v>585</v>
      </c>
      <c r="D979" s="1" t="s">
        <v>588</v>
      </c>
      <c r="E979" s="1" t="s">
        <v>370</v>
      </c>
      <c r="F979" s="62" t="str">
        <f t="shared" si="206"/>
        <v>64547</v>
      </c>
      <c r="G979" s="269">
        <v>10620029</v>
      </c>
      <c r="H979" s="1" t="s">
        <v>382</v>
      </c>
      <c r="I979" s="61">
        <v>28</v>
      </c>
      <c r="J979" s="61">
        <v>3.4</v>
      </c>
      <c r="K979" s="61">
        <v>8.1</v>
      </c>
      <c r="L979" s="69">
        <f t="shared" si="195"/>
        <v>0.95200000000000007</v>
      </c>
      <c r="M979" s="69">
        <f t="shared" si="196"/>
        <v>2.2679999999999998</v>
      </c>
      <c r="N979" s="56">
        <f>INDEX(Rate_Chart!$A$1:$AK$127,MATCH(Data!J979,Rate_Chart!$A$1:$A$127,0),MATCH(Data!K979,Rate_Chart!$A$1:$AK$1,0))</f>
        <v>36.697125900000003</v>
      </c>
      <c r="O979" s="57">
        <f t="shared" si="197"/>
        <v>1027.5195252000001</v>
      </c>
      <c r="P979" s="58">
        <f t="shared" si="198"/>
        <v>417.01279431818188</v>
      </c>
      <c r="Q979" s="58">
        <f t="shared" si="199"/>
        <v>278.00852954545456</v>
      </c>
      <c r="R979" s="66">
        <f t="shared" si="200"/>
        <v>17.981591691000002</v>
      </c>
      <c r="S979" s="64">
        <f t="shared" si="201"/>
        <v>105</v>
      </c>
      <c r="T979" s="66">
        <f t="shared" si="202"/>
        <v>1150.501116891</v>
      </c>
      <c r="U979" s="68">
        <f t="shared" si="203"/>
        <v>41.089325603250003</v>
      </c>
      <c r="V979" s="68">
        <f t="shared" si="204"/>
        <v>466.92415458238645</v>
      </c>
      <c r="W979" s="68">
        <f t="shared" si="205"/>
        <v>311.28276972159097</v>
      </c>
    </row>
    <row r="980" spans="1:23" x14ac:dyDescent="0.25">
      <c r="A980" s="1" t="s">
        <v>944</v>
      </c>
      <c r="B980" s="61" t="s">
        <v>391</v>
      </c>
      <c r="C980" s="1" t="s">
        <v>585</v>
      </c>
      <c r="D980" s="1" t="s">
        <v>588</v>
      </c>
      <c r="E980" s="1" t="s">
        <v>370</v>
      </c>
      <c r="F980" s="62" t="str">
        <f t="shared" si="206"/>
        <v>64547</v>
      </c>
      <c r="G980" s="269">
        <v>10620029</v>
      </c>
      <c r="H980" s="1" t="s">
        <v>381</v>
      </c>
      <c r="I980" s="61">
        <v>79</v>
      </c>
      <c r="J980" s="61">
        <v>6</v>
      </c>
      <c r="K980" s="61">
        <v>9</v>
      </c>
      <c r="L980" s="69">
        <f t="shared" si="195"/>
        <v>4.74</v>
      </c>
      <c r="M980" s="69">
        <f t="shared" si="196"/>
        <v>7.11</v>
      </c>
      <c r="N980" s="56">
        <f>INDEX(Rate_Chart!$A$1:$AK$127,MATCH(Data!J980,Rate_Chart!$A$1:$A$127,0),MATCH(Data!K980,Rate_Chart!$A$1:$AK$1,0))</f>
        <v>50.1</v>
      </c>
      <c r="O980" s="57">
        <f t="shared" si="197"/>
        <v>3957.9</v>
      </c>
      <c r="P980" s="58">
        <f t="shared" si="198"/>
        <v>417.5</v>
      </c>
      <c r="Q980" s="58">
        <f t="shared" si="199"/>
        <v>278.33333333333331</v>
      </c>
      <c r="R980" s="66">
        <f t="shared" si="200"/>
        <v>69.263250000000014</v>
      </c>
      <c r="S980" s="64">
        <f t="shared" si="201"/>
        <v>296.25</v>
      </c>
      <c r="T980" s="66">
        <f t="shared" si="202"/>
        <v>4323.4132500000005</v>
      </c>
      <c r="U980" s="68">
        <f t="shared" si="203"/>
        <v>54.72675000000001</v>
      </c>
      <c r="V980" s="68">
        <f t="shared" si="204"/>
        <v>456.05625000000009</v>
      </c>
      <c r="W980" s="68">
        <f t="shared" si="205"/>
        <v>304.03750000000008</v>
      </c>
    </row>
    <row r="981" spans="1:23" x14ac:dyDescent="0.25">
      <c r="A981" s="1" t="s">
        <v>944</v>
      </c>
      <c r="B981" s="61" t="s">
        <v>391</v>
      </c>
      <c r="C981" s="1" t="s">
        <v>585</v>
      </c>
      <c r="D981" s="1" t="s">
        <v>588</v>
      </c>
      <c r="E981" s="1" t="s">
        <v>370</v>
      </c>
      <c r="F981" s="62" t="str">
        <f t="shared" si="206"/>
        <v>64547</v>
      </c>
      <c r="G981" s="269">
        <v>10620029</v>
      </c>
      <c r="H981" s="1" t="s">
        <v>382</v>
      </c>
      <c r="I981" s="61">
        <v>10</v>
      </c>
      <c r="J981" s="61">
        <v>3.4</v>
      </c>
      <c r="K981" s="61">
        <v>8.1999999999999993</v>
      </c>
      <c r="L981" s="69">
        <f t="shared" si="195"/>
        <v>0.34</v>
      </c>
      <c r="M981" s="69">
        <f t="shared" si="196"/>
        <v>0.82</v>
      </c>
      <c r="N981" s="56">
        <f>INDEX(Rate_Chart!$A$1:$AK$127,MATCH(Data!J981,Rate_Chart!$A$1:$A$127,0),MATCH(Data!K981,Rate_Chart!$A$1:$AK$1,0))</f>
        <v>36.975139800000001</v>
      </c>
      <c r="O981" s="57">
        <f t="shared" si="197"/>
        <v>369.75139799999999</v>
      </c>
      <c r="P981" s="58">
        <f t="shared" si="198"/>
        <v>417.01285488721805</v>
      </c>
      <c r="Q981" s="58">
        <f t="shared" si="199"/>
        <v>278.00856992481204</v>
      </c>
      <c r="R981" s="66">
        <f t="shared" si="200"/>
        <v>6.4706494650000002</v>
      </c>
      <c r="S981" s="64">
        <f t="shared" si="201"/>
        <v>37.5</v>
      </c>
      <c r="T981" s="66">
        <f t="shared" si="202"/>
        <v>413.722047465</v>
      </c>
      <c r="U981" s="68">
        <f t="shared" si="203"/>
        <v>41.372204746500003</v>
      </c>
      <c r="V981" s="68">
        <f t="shared" si="204"/>
        <v>466.60381293045111</v>
      </c>
      <c r="W981" s="68">
        <f t="shared" si="205"/>
        <v>311.06920862030074</v>
      </c>
    </row>
    <row r="982" spans="1:23" x14ac:dyDescent="0.25">
      <c r="A982" s="1" t="s">
        <v>945</v>
      </c>
      <c r="B982" s="61" t="s">
        <v>390</v>
      </c>
      <c r="C982" s="1" t="s">
        <v>585</v>
      </c>
      <c r="D982" s="1" t="s">
        <v>588</v>
      </c>
      <c r="E982" s="1" t="s">
        <v>370</v>
      </c>
      <c r="F982" s="62" t="str">
        <f t="shared" si="206"/>
        <v>64547</v>
      </c>
      <c r="G982" s="269">
        <v>10620029</v>
      </c>
      <c r="H982" s="1" t="s">
        <v>381</v>
      </c>
      <c r="I982" s="61">
        <v>144</v>
      </c>
      <c r="J982" s="61">
        <v>6.3</v>
      </c>
      <c r="K982" s="61">
        <v>9</v>
      </c>
      <c r="L982" s="69">
        <f t="shared" si="195"/>
        <v>9.0719999999999992</v>
      </c>
      <c r="M982" s="69">
        <f t="shared" si="196"/>
        <v>12.96</v>
      </c>
      <c r="N982" s="56">
        <f>INDEX(Rate_Chart!$A$1:$AK$127,MATCH(Data!J982,Rate_Chart!$A$1:$A$127,0),MATCH(Data!K982,Rate_Chart!$A$1:$AK$1,0))</f>
        <v>52.604999999999997</v>
      </c>
      <c r="O982" s="57">
        <f t="shared" si="197"/>
        <v>7575.12</v>
      </c>
      <c r="P982" s="58">
        <f t="shared" si="198"/>
        <v>427.6829268292683</v>
      </c>
      <c r="Q982" s="58">
        <f t="shared" si="199"/>
        <v>285.1219512195122</v>
      </c>
      <c r="R982" s="66">
        <f t="shared" si="200"/>
        <v>132.56460000000001</v>
      </c>
      <c r="S982" s="64">
        <f t="shared" si="201"/>
        <v>540</v>
      </c>
      <c r="T982" s="66">
        <f t="shared" si="202"/>
        <v>8247.6846000000005</v>
      </c>
      <c r="U982" s="68">
        <f t="shared" si="203"/>
        <v>57.2755875</v>
      </c>
      <c r="V982" s="68">
        <f t="shared" si="204"/>
        <v>465.6551829268293</v>
      </c>
      <c r="W982" s="68">
        <f t="shared" si="205"/>
        <v>310.43678861788618</v>
      </c>
    </row>
    <row r="983" spans="1:23" x14ac:dyDescent="0.25">
      <c r="A983" s="1" t="s">
        <v>945</v>
      </c>
      <c r="B983" s="61" t="s">
        <v>390</v>
      </c>
      <c r="C983" s="1" t="s">
        <v>585</v>
      </c>
      <c r="D983" s="1" t="s">
        <v>588</v>
      </c>
      <c r="E983" s="1" t="s">
        <v>370</v>
      </c>
      <c r="F983" s="62" t="str">
        <f t="shared" si="206"/>
        <v>64547</v>
      </c>
      <c r="G983" s="269">
        <v>10620029</v>
      </c>
      <c r="H983" s="1" t="s">
        <v>382</v>
      </c>
      <c r="I983" s="61">
        <v>24</v>
      </c>
      <c r="J983" s="61">
        <v>3.4</v>
      </c>
      <c r="K983" s="61">
        <v>8.1</v>
      </c>
      <c r="L983" s="69">
        <f t="shared" si="195"/>
        <v>0.81599999999999995</v>
      </c>
      <c r="M983" s="69">
        <f t="shared" si="196"/>
        <v>1.9439999999999997</v>
      </c>
      <c r="N983" s="56">
        <f>INDEX(Rate_Chart!$A$1:$AK$127,MATCH(Data!J983,Rate_Chart!$A$1:$A$127,0),MATCH(Data!K983,Rate_Chart!$A$1:$AK$1,0))</f>
        <v>36.697125900000003</v>
      </c>
      <c r="O983" s="57">
        <f t="shared" si="197"/>
        <v>880.73102160000008</v>
      </c>
      <c r="P983" s="58">
        <f t="shared" si="198"/>
        <v>417.01279431818188</v>
      </c>
      <c r="Q983" s="58">
        <f t="shared" si="199"/>
        <v>278.00852954545456</v>
      </c>
      <c r="R983" s="66">
        <f t="shared" si="200"/>
        <v>15.412792878000003</v>
      </c>
      <c r="S983" s="64">
        <f t="shared" si="201"/>
        <v>90</v>
      </c>
      <c r="T983" s="66">
        <f t="shared" si="202"/>
        <v>986.14381447800008</v>
      </c>
      <c r="U983" s="68">
        <f t="shared" si="203"/>
        <v>41.089325603250003</v>
      </c>
      <c r="V983" s="68">
        <f t="shared" si="204"/>
        <v>466.92415458238645</v>
      </c>
      <c r="W983" s="68">
        <f t="shared" si="205"/>
        <v>311.28276972159097</v>
      </c>
    </row>
    <row r="984" spans="1:23" x14ac:dyDescent="0.25">
      <c r="A984" s="1" t="s">
        <v>945</v>
      </c>
      <c r="B984" s="61" t="s">
        <v>391</v>
      </c>
      <c r="C984" s="1" t="s">
        <v>585</v>
      </c>
      <c r="D984" s="1" t="s">
        <v>588</v>
      </c>
      <c r="E984" s="1" t="s">
        <v>370</v>
      </c>
      <c r="F984" s="62" t="str">
        <f t="shared" si="206"/>
        <v>64547</v>
      </c>
      <c r="G984" s="269">
        <v>10620029</v>
      </c>
      <c r="H984" s="1" t="s">
        <v>381</v>
      </c>
      <c r="I984" s="61">
        <v>81</v>
      </c>
      <c r="J984" s="61">
        <v>6.3</v>
      </c>
      <c r="K984" s="61">
        <v>9</v>
      </c>
      <c r="L984" s="69">
        <f t="shared" si="195"/>
        <v>5.1029999999999998</v>
      </c>
      <c r="M984" s="69">
        <f t="shared" si="196"/>
        <v>7.29</v>
      </c>
      <c r="N984" s="56">
        <f>INDEX(Rate_Chart!$A$1:$AK$127,MATCH(Data!J984,Rate_Chart!$A$1:$A$127,0),MATCH(Data!K984,Rate_Chart!$A$1:$AK$1,0))</f>
        <v>52.604999999999997</v>
      </c>
      <c r="O984" s="57">
        <f t="shared" si="197"/>
        <v>4261.0050000000001</v>
      </c>
      <c r="P984" s="58">
        <f t="shared" si="198"/>
        <v>427.6829268292683</v>
      </c>
      <c r="Q984" s="58">
        <f t="shared" si="199"/>
        <v>285.1219512195122</v>
      </c>
      <c r="R984" s="66">
        <f t="shared" si="200"/>
        <v>74.567587500000002</v>
      </c>
      <c r="S984" s="64">
        <f t="shared" si="201"/>
        <v>303.75</v>
      </c>
      <c r="T984" s="66">
        <f t="shared" si="202"/>
        <v>4639.3225874999998</v>
      </c>
      <c r="U984" s="68">
        <f t="shared" si="203"/>
        <v>57.2755875</v>
      </c>
      <c r="V984" s="68">
        <f t="shared" si="204"/>
        <v>465.6551829268293</v>
      </c>
      <c r="W984" s="68">
        <f t="shared" si="205"/>
        <v>310.43678861788618</v>
      </c>
    </row>
    <row r="985" spans="1:23" x14ac:dyDescent="0.25">
      <c r="A985" s="1" t="s">
        <v>945</v>
      </c>
      <c r="B985" s="61" t="s">
        <v>391</v>
      </c>
      <c r="C985" s="1" t="s">
        <v>585</v>
      </c>
      <c r="D985" s="1" t="s">
        <v>588</v>
      </c>
      <c r="E985" s="1" t="s">
        <v>370</v>
      </c>
      <c r="F985" s="62" t="str">
        <f t="shared" si="206"/>
        <v>64547</v>
      </c>
      <c r="G985" s="269">
        <v>10620029</v>
      </c>
      <c r="H985" s="1" t="s">
        <v>382</v>
      </c>
      <c r="I985" s="61">
        <v>12</v>
      </c>
      <c r="J985" s="61">
        <v>3.4</v>
      </c>
      <c r="K985" s="61">
        <v>8.1</v>
      </c>
      <c r="L985" s="69">
        <f t="shared" si="195"/>
        <v>0.40799999999999997</v>
      </c>
      <c r="M985" s="69">
        <f t="shared" si="196"/>
        <v>0.97199999999999986</v>
      </c>
      <c r="N985" s="56">
        <f>INDEX(Rate_Chart!$A$1:$AK$127,MATCH(Data!J985,Rate_Chart!$A$1:$A$127,0),MATCH(Data!K985,Rate_Chart!$A$1:$AK$1,0))</f>
        <v>36.697125900000003</v>
      </c>
      <c r="O985" s="57">
        <f t="shared" si="197"/>
        <v>440.36551080000004</v>
      </c>
      <c r="P985" s="58">
        <f t="shared" si="198"/>
        <v>417.01279431818188</v>
      </c>
      <c r="Q985" s="58">
        <f t="shared" si="199"/>
        <v>278.00852954545456</v>
      </c>
      <c r="R985" s="66">
        <f t="shared" si="200"/>
        <v>7.7063964390000015</v>
      </c>
      <c r="S985" s="64">
        <f t="shared" si="201"/>
        <v>45</v>
      </c>
      <c r="T985" s="66">
        <f t="shared" si="202"/>
        <v>493.07190723900004</v>
      </c>
      <c r="U985" s="68">
        <f t="shared" si="203"/>
        <v>41.089325603250003</v>
      </c>
      <c r="V985" s="68">
        <f t="shared" si="204"/>
        <v>466.92415458238645</v>
      </c>
      <c r="W985" s="68">
        <f t="shared" si="205"/>
        <v>311.28276972159097</v>
      </c>
    </row>
    <row r="986" spans="1:23" x14ac:dyDescent="0.25">
      <c r="A986" s="1" t="s">
        <v>946</v>
      </c>
      <c r="B986" s="61" t="s">
        <v>390</v>
      </c>
      <c r="C986" s="1" t="s">
        <v>585</v>
      </c>
      <c r="D986" s="1" t="s">
        <v>588</v>
      </c>
      <c r="E986" s="1" t="s">
        <v>370</v>
      </c>
      <c r="F986" s="62" t="str">
        <f t="shared" si="206"/>
        <v>64547</v>
      </c>
      <c r="G986" s="269">
        <v>10620029</v>
      </c>
      <c r="H986" s="1" t="s">
        <v>381</v>
      </c>
      <c r="I986" s="61">
        <v>160</v>
      </c>
      <c r="J986" s="61">
        <v>6.4</v>
      </c>
      <c r="K986" s="61">
        <v>9</v>
      </c>
      <c r="L986" s="69">
        <f t="shared" si="195"/>
        <v>10.24</v>
      </c>
      <c r="M986" s="69">
        <f t="shared" si="196"/>
        <v>14.4</v>
      </c>
      <c r="N986" s="56">
        <f>INDEX(Rate_Chart!$A$1:$AK$127,MATCH(Data!J986,Rate_Chart!$A$1:$A$127,0),MATCH(Data!K986,Rate_Chart!$A$1:$AK$1,0))</f>
        <v>53.44</v>
      </c>
      <c r="O986" s="57">
        <f t="shared" si="197"/>
        <v>8550.4</v>
      </c>
      <c r="P986" s="58">
        <f t="shared" si="198"/>
        <v>430.96774193548384</v>
      </c>
      <c r="Q986" s="58">
        <f t="shared" si="199"/>
        <v>287.31182795698925</v>
      </c>
      <c r="R986" s="66">
        <f t="shared" si="200"/>
        <v>149.63200000000001</v>
      </c>
      <c r="S986" s="64">
        <f t="shared" si="201"/>
        <v>600</v>
      </c>
      <c r="T986" s="66">
        <f t="shared" si="202"/>
        <v>9300.0319999999992</v>
      </c>
      <c r="U986" s="68">
        <f t="shared" si="203"/>
        <v>58.125199999999992</v>
      </c>
      <c r="V986" s="68">
        <f t="shared" si="204"/>
        <v>468.75161290322575</v>
      </c>
      <c r="W986" s="68">
        <f t="shared" si="205"/>
        <v>312.50107526881715</v>
      </c>
    </row>
    <row r="987" spans="1:23" x14ac:dyDescent="0.25">
      <c r="A987" s="1" t="s">
        <v>946</v>
      </c>
      <c r="B987" s="61" t="s">
        <v>390</v>
      </c>
      <c r="C987" s="1" t="s">
        <v>585</v>
      </c>
      <c r="D987" s="1" t="s">
        <v>588</v>
      </c>
      <c r="E987" s="1" t="s">
        <v>370</v>
      </c>
      <c r="F987" s="62" t="str">
        <f t="shared" si="206"/>
        <v>64547</v>
      </c>
      <c r="G987" s="269">
        <v>10620029</v>
      </c>
      <c r="H987" s="1" t="s">
        <v>382</v>
      </c>
      <c r="I987" s="61">
        <v>31</v>
      </c>
      <c r="J987" s="61">
        <v>3.2</v>
      </c>
      <c r="K987" s="61">
        <v>8.5</v>
      </c>
      <c r="L987" s="69">
        <f t="shared" si="195"/>
        <v>0.99199999999999999</v>
      </c>
      <c r="M987" s="69">
        <f t="shared" si="196"/>
        <v>2.6349999999999998</v>
      </c>
      <c r="N987" s="56">
        <f>INDEX(Rate_Chart!$A$1:$AK$127,MATCH(Data!J987,Rate_Chart!$A$1:$A$127,0),MATCH(Data!K987,Rate_Chart!$A$1:$AK$1,0))</f>
        <v>36.975181500000005</v>
      </c>
      <c r="O987" s="57">
        <f t="shared" si="197"/>
        <v>1146.2306265000002</v>
      </c>
      <c r="P987" s="58">
        <f t="shared" si="198"/>
        <v>417.01332518796994</v>
      </c>
      <c r="Q987" s="58">
        <f t="shared" si="199"/>
        <v>278.00888345864661</v>
      </c>
      <c r="R987" s="66">
        <f t="shared" si="200"/>
        <v>20.059035963750006</v>
      </c>
      <c r="S987" s="64">
        <f t="shared" si="201"/>
        <v>116.25</v>
      </c>
      <c r="T987" s="66">
        <f t="shared" si="202"/>
        <v>1282.5396624637501</v>
      </c>
      <c r="U987" s="68">
        <f t="shared" si="203"/>
        <v>41.372247176250006</v>
      </c>
      <c r="V987" s="68">
        <f t="shared" si="204"/>
        <v>466.60429146146623</v>
      </c>
      <c r="W987" s="68">
        <f t="shared" si="205"/>
        <v>311.06952764097747</v>
      </c>
    </row>
    <row r="988" spans="1:23" x14ac:dyDescent="0.25">
      <c r="A988" s="1" t="s">
        <v>946</v>
      </c>
      <c r="B988" s="61" t="s">
        <v>391</v>
      </c>
      <c r="C988" s="1" t="s">
        <v>585</v>
      </c>
      <c r="D988" s="1" t="s">
        <v>588</v>
      </c>
      <c r="E988" s="1" t="s">
        <v>370</v>
      </c>
      <c r="F988" s="62" t="str">
        <f t="shared" si="206"/>
        <v>64547</v>
      </c>
      <c r="G988" s="269">
        <v>10620029</v>
      </c>
      <c r="H988" s="1" t="s">
        <v>381</v>
      </c>
      <c r="I988" s="61">
        <v>81</v>
      </c>
      <c r="J988" s="61">
        <v>5.8</v>
      </c>
      <c r="K988" s="61">
        <v>9</v>
      </c>
      <c r="L988" s="69">
        <f t="shared" si="195"/>
        <v>4.6980000000000004</v>
      </c>
      <c r="M988" s="69">
        <f t="shared" si="196"/>
        <v>7.29</v>
      </c>
      <c r="N988" s="56">
        <f>INDEX(Rate_Chart!$A$1:$AK$127,MATCH(Data!J988,Rate_Chart!$A$1:$A$127,0),MATCH(Data!K988,Rate_Chart!$A$1:$AK$1,0))</f>
        <v>48.43</v>
      </c>
      <c r="O988" s="57">
        <f t="shared" si="197"/>
        <v>3922.83</v>
      </c>
      <c r="P988" s="58">
        <f t="shared" si="198"/>
        <v>410.42372881355936</v>
      </c>
      <c r="Q988" s="58">
        <f t="shared" si="199"/>
        <v>273.61581920903956</v>
      </c>
      <c r="R988" s="66">
        <f t="shared" si="200"/>
        <v>68.649525000000011</v>
      </c>
      <c r="S988" s="64">
        <f t="shared" si="201"/>
        <v>303.75</v>
      </c>
      <c r="T988" s="66">
        <f t="shared" si="202"/>
        <v>4295.2295249999997</v>
      </c>
      <c r="U988" s="68">
        <f t="shared" si="203"/>
        <v>53.027524999999997</v>
      </c>
      <c r="V988" s="68">
        <f t="shared" si="204"/>
        <v>449.38580508474575</v>
      </c>
      <c r="W988" s="68">
        <f t="shared" si="205"/>
        <v>299.59053672316384</v>
      </c>
    </row>
    <row r="989" spans="1:23" x14ac:dyDescent="0.25">
      <c r="A989" s="1" t="s">
        <v>946</v>
      </c>
      <c r="B989" s="61" t="s">
        <v>391</v>
      </c>
      <c r="C989" s="1" t="s">
        <v>585</v>
      </c>
      <c r="D989" s="1" t="s">
        <v>588</v>
      </c>
      <c r="E989" s="1" t="s">
        <v>370</v>
      </c>
      <c r="F989" s="62" t="str">
        <f t="shared" si="206"/>
        <v>64547</v>
      </c>
      <c r="G989" s="269">
        <v>10620029</v>
      </c>
      <c r="H989" s="1" t="s">
        <v>382</v>
      </c>
      <c r="I989" s="61">
        <v>16</v>
      </c>
      <c r="J989" s="61">
        <v>3.5</v>
      </c>
      <c r="K989" s="61">
        <v>8.1</v>
      </c>
      <c r="L989" s="69">
        <f t="shared" si="195"/>
        <v>0.56000000000000005</v>
      </c>
      <c r="M989" s="69">
        <f t="shared" si="196"/>
        <v>1.296</v>
      </c>
      <c r="N989" s="56">
        <f>INDEX(Rate_Chart!$A$1:$AK$127,MATCH(Data!J989,Rate_Chart!$A$1:$A$127,0),MATCH(Data!K989,Rate_Chart!$A$1:$AK$1,0))</f>
        <v>37.114125900000005</v>
      </c>
      <c r="O989" s="57">
        <f t="shared" si="197"/>
        <v>593.82601440000008</v>
      </c>
      <c r="P989" s="58">
        <f t="shared" si="198"/>
        <v>417.01265056179784</v>
      </c>
      <c r="Q989" s="58">
        <f t="shared" si="199"/>
        <v>278.00843370786521</v>
      </c>
      <c r="R989" s="66">
        <f t="shared" si="200"/>
        <v>10.391955252000002</v>
      </c>
      <c r="S989" s="64">
        <f t="shared" si="201"/>
        <v>60</v>
      </c>
      <c r="T989" s="66">
        <f t="shared" si="202"/>
        <v>664.21796965200008</v>
      </c>
      <c r="U989" s="68">
        <f t="shared" si="203"/>
        <v>41.513623103250005</v>
      </c>
      <c r="V989" s="68">
        <f t="shared" si="204"/>
        <v>466.44520340730344</v>
      </c>
      <c r="W989" s="68">
        <f t="shared" si="205"/>
        <v>310.96346893820231</v>
      </c>
    </row>
    <row r="990" spans="1:23" x14ac:dyDescent="0.25">
      <c r="A990" s="1" t="s">
        <v>947</v>
      </c>
      <c r="B990" s="61" t="s">
        <v>390</v>
      </c>
      <c r="C990" s="1" t="s">
        <v>585</v>
      </c>
      <c r="D990" s="1" t="s">
        <v>588</v>
      </c>
      <c r="E990" s="1" t="s">
        <v>370</v>
      </c>
      <c r="F990" s="62" t="str">
        <f t="shared" si="206"/>
        <v>64547</v>
      </c>
      <c r="G990" s="269">
        <v>10620029</v>
      </c>
      <c r="H990" s="1" t="s">
        <v>381</v>
      </c>
      <c r="I990" s="61">
        <v>157</v>
      </c>
      <c r="J990" s="61">
        <v>6.2</v>
      </c>
      <c r="K990" s="61">
        <v>9</v>
      </c>
      <c r="L990" s="69">
        <f t="shared" si="195"/>
        <v>9.734</v>
      </c>
      <c r="M990" s="69">
        <f t="shared" si="196"/>
        <v>14.13</v>
      </c>
      <c r="N990" s="56">
        <f>INDEX(Rate_Chart!$A$1:$AK$127,MATCH(Data!J990,Rate_Chart!$A$1:$A$127,0),MATCH(Data!K990,Rate_Chart!$A$1:$AK$1,0))</f>
        <v>51.77</v>
      </c>
      <c r="O990" s="57">
        <f t="shared" si="197"/>
        <v>8127.89</v>
      </c>
      <c r="P990" s="58">
        <f t="shared" si="198"/>
        <v>424.34426229508199</v>
      </c>
      <c r="Q990" s="58">
        <f t="shared" si="199"/>
        <v>282.89617486338801</v>
      </c>
      <c r="R990" s="66">
        <f t="shared" si="200"/>
        <v>142.23807500000001</v>
      </c>
      <c r="S990" s="64">
        <f t="shared" si="201"/>
        <v>588.75</v>
      </c>
      <c r="T990" s="66">
        <f t="shared" si="202"/>
        <v>8858.8780750000005</v>
      </c>
      <c r="U990" s="68">
        <f t="shared" si="203"/>
        <v>56.425975000000001</v>
      </c>
      <c r="V990" s="68">
        <f t="shared" si="204"/>
        <v>462.50799180327868</v>
      </c>
      <c r="W990" s="68">
        <f t="shared" si="205"/>
        <v>308.33866120218579</v>
      </c>
    </row>
    <row r="991" spans="1:23" x14ac:dyDescent="0.25">
      <c r="A991" s="1" t="s">
        <v>947</v>
      </c>
      <c r="B991" s="61" t="s">
        <v>390</v>
      </c>
      <c r="C991" s="1" t="s">
        <v>585</v>
      </c>
      <c r="D991" s="1" t="s">
        <v>588</v>
      </c>
      <c r="E991" s="1" t="s">
        <v>370</v>
      </c>
      <c r="F991" s="62" t="str">
        <f t="shared" si="206"/>
        <v>64547</v>
      </c>
      <c r="G991" s="269">
        <v>10620029</v>
      </c>
      <c r="H991" s="1" t="s">
        <v>382</v>
      </c>
      <c r="I991" s="61">
        <v>35</v>
      </c>
      <c r="J991" s="61">
        <v>3</v>
      </c>
      <c r="K991" s="61">
        <v>8.1</v>
      </c>
      <c r="L991" s="69">
        <f t="shared" si="195"/>
        <v>1.05</v>
      </c>
      <c r="M991" s="69">
        <f t="shared" si="196"/>
        <v>2.835</v>
      </c>
      <c r="N991" s="56">
        <f>INDEX(Rate_Chart!$A$1:$AK$127,MATCH(Data!J991,Rate_Chart!$A$1:$A$127,0),MATCH(Data!K991,Rate_Chart!$A$1:$AK$1,0))</f>
        <v>35.029125900000004</v>
      </c>
      <c r="O991" s="57">
        <f t="shared" si="197"/>
        <v>1226.0194065000001</v>
      </c>
      <c r="P991" s="58">
        <f t="shared" si="198"/>
        <v>417.01340357142868</v>
      </c>
      <c r="Q991" s="58">
        <f t="shared" si="199"/>
        <v>278.00893571428577</v>
      </c>
      <c r="R991" s="66">
        <f t="shared" si="200"/>
        <v>21.455339613750002</v>
      </c>
      <c r="S991" s="64">
        <f t="shared" si="201"/>
        <v>131.25</v>
      </c>
      <c r="T991" s="66">
        <f t="shared" si="202"/>
        <v>1378.7247461137501</v>
      </c>
      <c r="U991" s="68">
        <f t="shared" si="203"/>
        <v>39.392135603250004</v>
      </c>
      <c r="V991" s="68">
        <f t="shared" si="204"/>
        <v>468.9539952767858</v>
      </c>
      <c r="W991" s="68">
        <f t="shared" si="205"/>
        <v>312.63599685119055</v>
      </c>
    </row>
    <row r="992" spans="1:23" x14ac:dyDescent="0.25">
      <c r="A992" s="1" t="s">
        <v>947</v>
      </c>
      <c r="B992" s="61" t="s">
        <v>391</v>
      </c>
      <c r="C992" s="1" t="s">
        <v>585</v>
      </c>
      <c r="D992" s="1" t="s">
        <v>588</v>
      </c>
      <c r="E992" s="1" t="s">
        <v>370</v>
      </c>
      <c r="F992" s="62" t="str">
        <f t="shared" si="206"/>
        <v>64547</v>
      </c>
      <c r="G992" s="269">
        <v>10620029</v>
      </c>
      <c r="H992" s="1" t="s">
        <v>381</v>
      </c>
      <c r="I992" s="61">
        <v>80</v>
      </c>
      <c r="J992" s="61">
        <v>6</v>
      </c>
      <c r="K992" s="61">
        <v>9</v>
      </c>
      <c r="L992" s="69">
        <f t="shared" si="195"/>
        <v>4.8</v>
      </c>
      <c r="M992" s="69">
        <f t="shared" si="196"/>
        <v>7.2</v>
      </c>
      <c r="N992" s="56">
        <f>INDEX(Rate_Chart!$A$1:$AK$127,MATCH(Data!J992,Rate_Chart!$A$1:$A$127,0),MATCH(Data!K992,Rate_Chart!$A$1:$AK$1,0))</f>
        <v>50.1</v>
      </c>
      <c r="O992" s="57">
        <f t="shared" si="197"/>
        <v>4008</v>
      </c>
      <c r="P992" s="58">
        <f t="shared" si="198"/>
        <v>417.5</v>
      </c>
      <c r="Q992" s="58">
        <f t="shared" si="199"/>
        <v>278.33333333333331</v>
      </c>
      <c r="R992" s="66">
        <f t="shared" si="200"/>
        <v>70.14</v>
      </c>
      <c r="S992" s="64">
        <f t="shared" si="201"/>
        <v>300</v>
      </c>
      <c r="T992" s="66">
        <f t="shared" si="202"/>
        <v>4378.1400000000003</v>
      </c>
      <c r="U992" s="68">
        <f t="shared" si="203"/>
        <v>54.726750000000003</v>
      </c>
      <c r="V992" s="68">
        <f t="shared" si="204"/>
        <v>456.05625000000003</v>
      </c>
      <c r="W992" s="68">
        <f t="shared" si="205"/>
        <v>304.03750000000002</v>
      </c>
    </row>
    <row r="993" spans="1:23" x14ac:dyDescent="0.25">
      <c r="A993" s="1" t="s">
        <v>947</v>
      </c>
      <c r="B993" s="61" t="s">
        <v>391</v>
      </c>
      <c r="C993" s="1" t="s">
        <v>585</v>
      </c>
      <c r="D993" s="1" t="s">
        <v>588</v>
      </c>
      <c r="E993" s="1" t="s">
        <v>370</v>
      </c>
      <c r="F993" s="62" t="str">
        <f t="shared" si="206"/>
        <v>64547</v>
      </c>
      <c r="G993" s="269">
        <v>10620029</v>
      </c>
      <c r="H993" s="1" t="s">
        <v>382</v>
      </c>
      <c r="I993" s="61">
        <v>23</v>
      </c>
      <c r="J993" s="61">
        <v>3.8</v>
      </c>
      <c r="K993" s="61">
        <v>8.1999999999999993</v>
      </c>
      <c r="L993" s="69">
        <f t="shared" si="195"/>
        <v>0.87399999999999989</v>
      </c>
      <c r="M993" s="69">
        <f t="shared" si="196"/>
        <v>1.8859999999999999</v>
      </c>
      <c r="N993" s="56">
        <f>INDEX(Rate_Chart!$A$1:$AK$127,MATCH(Data!J993,Rate_Chart!$A$1:$A$127,0),MATCH(Data!K993,Rate_Chart!$A$1:$AK$1,0))</f>
        <v>38.6431398</v>
      </c>
      <c r="O993" s="57">
        <f t="shared" si="197"/>
        <v>888.79221540000003</v>
      </c>
      <c r="P993" s="58">
        <f t="shared" si="198"/>
        <v>417.01230000000004</v>
      </c>
      <c r="Q993" s="58">
        <f t="shared" si="199"/>
        <v>278.00820000000004</v>
      </c>
      <c r="R993" s="66">
        <f t="shared" si="200"/>
        <v>15.553863769500001</v>
      </c>
      <c r="S993" s="64">
        <f t="shared" si="201"/>
        <v>86.25</v>
      </c>
      <c r="T993" s="66">
        <f t="shared" si="202"/>
        <v>990.59607916950006</v>
      </c>
      <c r="U993" s="68">
        <f t="shared" si="203"/>
        <v>43.069394746500002</v>
      </c>
      <c r="V993" s="68">
        <f t="shared" si="204"/>
        <v>464.77764114928061</v>
      </c>
      <c r="W993" s="68">
        <f t="shared" si="205"/>
        <v>309.85176076618706</v>
      </c>
    </row>
    <row r="994" spans="1:23" x14ac:dyDescent="0.25">
      <c r="A994" s="1" t="s">
        <v>941</v>
      </c>
      <c r="B994" s="61" t="s">
        <v>391</v>
      </c>
      <c r="C994" s="1" t="s">
        <v>585</v>
      </c>
      <c r="D994" s="1" t="s">
        <v>589</v>
      </c>
      <c r="E994" s="1" t="s">
        <v>590</v>
      </c>
      <c r="F994" s="62" t="str">
        <f t="shared" si="206"/>
        <v>64552</v>
      </c>
      <c r="G994" s="269">
        <v>10620020</v>
      </c>
      <c r="H994" s="1" t="s">
        <v>381</v>
      </c>
      <c r="I994" s="61">
        <v>10</v>
      </c>
      <c r="J994" s="61">
        <v>6.3</v>
      </c>
      <c r="K994" s="61">
        <v>9</v>
      </c>
      <c r="L994" s="69">
        <f t="shared" si="195"/>
        <v>0.63</v>
      </c>
      <c r="M994" s="69">
        <f t="shared" si="196"/>
        <v>0.9</v>
      </c>
      <c r="N994" s="56">
        <f>INDEX(Rate_Chart!$A$1:$AK$127,MATCH(Data!J994,Rate_Chart!$A$1:$A$127,0),MATCH(Data!K994,Rate_Chart!$A$1:$AK$1,0))</f>
        <v>52.604999999999997</v>
      </c>
      <c r="O994" s="57">
        <f t="shared" si="197"/>
        <v>526.04999999999995</v>
      </c>
      <c r="P994" s="58">
        <f t="shared" si="198"/>
        <v>427.6829268292683</v>
      </c>
      <c r="Q994" s="58">
        <f t="shared" si="199"/>
        <v>285.1219512195122</v>
      </c>
      <c r="R994" s="66">
        <f t="shared" si="200"/>
        <v>9.2058750000000007</v>
      </c>
      <c r="S994" s="64">
        <f t="shared" si="201"/>
        <v>37.5</v>
      </c>
      <c r="T994" s="66">
        <f t="shared" si="202"/>
        <v>572.75587499999995</v>
      </c>
      <c r="U994" s="68">
        <f t="shared" si="203"/>
        <v>57.275587499999993</v>
      </c>
      <c r="V994" s="68">
        <f t="shared" si="204"/>
        <v>465.65518292682924</v>
      </c>
      <c r="W994" s="68">
        <f t="shared" si="205"/>
        <v>310.43678861788618</v>
      </c>
    </row>
    <row r="995" spans="1:23" x14ac:dyDescent="0.25">
      <c r="A995" s="1" t="s">
        <v>942</v>
      </c>
      <c r="B995" s="61" t="s">
        <v>390</v>
      </c>
      <c r="C995" s="1" t="s">
        <v>585</v>
      </c>
      <c r="D995" s="1" t="s">
        <v>589</v>
      </c>
      <c r="E995" s="1" t="s">
        <v>590</v>
      </c>
      <c r="F995" s="62" t="str">
        <f t="shared" si="206"/>
        <v>64552</v>
      </c>
      <c r="G995" s="269">
        <v>10620020</v>
      </c>
      <c r="H995" s="1" t="s">
        <v>381</v>
      </c>
      <c r="I995" s="61">
        <v>11</v>
      </c>
      <c r="J995" s="61">
        <v>6.7</v>
      </c>
      <c r="K995" s="61">
        <v>9</v>
      </c>
      <c r="L995" s="69">
        <f t="shared" si="195"/>
        <v>0.73699999999999999</v>
      </c>
      <c r="M995" s="69">
        <f t="shared" si="196"/>
        <v>0.99</v>
      </c>
      <c r="N995" s="56">
        <f>INDEX(Rate_Chart!$A$1:$AK$127,MATCH(Data!J995,Rate_Chart!$A$1:$A$127,0),MATCH(Data!K995,Rate_Chart!$A$1:$AK$1,0))</f>
        <v>55.945</v>
      </c>
      <c r="O995" s="57">
        <f t="shared" si="197"/>
        <v>615.39499999999998</v>
      </c>
      <c r="P995" s="58">
        <f t="shared" si="198"/>
        <v>440.51181102362204</v>
      </c>
      <c r="Q995" s="58">
        <f t="shared" si="199"/>
        <v>293.67454068241472</v>
      </c>
      <c r="R995" s="66">
        <f t="shared" si="200"/>
        <v>10.769412500000001</v>
      </c>
      <c r="S995" s="64">
        <f t="shared" si="201"/>
        <v>41.25</v>
      </c>
      <c r="T995" s="66">
        <f t="shared" si="202"/>
        <v>667.41441250000003</v>
      </c>
      <c r="U995" s="68">
        <f t="shared" si="203"/>
        <v>60.674037500000004</v>
      </c>
      <c r="V995" s="68">
        <f t="shared" si="204"/>
        <v>477.74832677165358</v>
      </c>
      <c r="W995" s="68">
        <f t="shared" si="205"/>
        <v>318.4988845144357</v>
      </c>
    </row>
    <row r="996" spans="1:23" x14ac:dyDescent="0.25">
      <c r="A996" s="1" t="s">
        <v>942</v>
      </c>
      <c r="B996" s="61" t="s">
        <v>391</v>
      </c>
      <c r="C996" s="1" t="s">
        <v>585</v>
      </c>
      <c r="D996" s="1" t="s">
        <v>589</v>
      </c>
      <c r="E996" s="1" t="s">
        <v>590</v>
      </c>
      <c r="F996" s="62" t="str">
        <f t="shared" si="206"/>
        <v>64552</v>
      </c>
      <c r="G996" s="269">
        <v>10620020</v>
      </c>
      <c r="H996" s="1" t="s">
        <v>381</v>
      </c>
      <c r="I996" s="61">
        <v>11</v>
      </c>
      <c r="J996" s="61">
        <v>6.4</v>
      </c>
      <c r="K996" s="61">
        <v>9</v>
      </c>
      <c r="L996" s="69">
        <f t="shared" si="195"/>
        <v>0.70400000000000007</v>
      </c>
      <c r="M996" s="69">
        <f t="shared" si="196"/>
        <v>0.99</v>
      </c>
      <c r="N996" s="56">
        <f>INDEX(Rate_Chart!$A$1:$AK$127,MATCH(Data!J996,Rate_Chart!$A$1:$A$127,0),MATCH(Data!K996,Rate_Chart!$A$1:$AK$1,0))</f>
        <v>53.44</v>
      </c>
      <c r="O996" s="57">
        <f t="shared" si="197"/>
        <v>587.83999999999992</v>
      </c>
      <c r="P996" s="58">
        <f t="shared" si="198"/>
        <v>430.96774193548384</v>
      </c>
      <c r="Q996" s="58">
        <f t="shared" si="199"/>
        <v>287.31182795698925</v>
      </c>
      <c r="R996" s="66">
        <f t="shared" si="200"/>
        <v>10.2872</v>
      </c>
      <c r="S996" s="64">
        <f t="shared" si="201"/>
        <v>41.25</v>
      </c>
      <c r="T996" s="66">
        <f t="shared" si="202"/>
        <v>639.3771999999999</v>
      </c>
      <c r="U996" s="68">
        <f t="shared" si="203"/>
        <v>58.125199999999992</v>
      </c>
      <c r="V996" s="68">
        <f t="shared" si="204"/>
        <v>468.75161290322575</v>
      </c>
      <c r="W996" s="68">
        <f t="shared" si="205"/>
        <v>312.50107526881715</v>
      </c>
    </row>
    <row r="997" spans="1:23" x14ac:dyDescent="0.25">
      <c r="A997" s="1" t="s">
        <v>943</v>
      </c>
      <c r="B997" s="61" t="s">
        <v>390</v>
      </c>
      <c r="C997" s="1" t="s">
        <v>585</v>
      </c>
      <c r="D997" s="1" t="s">
        <v>589</v>
      </c>
      <c r="E997" s="1" t="s">
        <v>590</v>
      </c>
      <c r="F997" s="62" t="str">
        <f t="shared" si="206"/>
        <v>64552</v>
      </c>
      <c r="G997" s="269">
        <v>10620020</v>
      </c>
      <c r="H997" s="1" t="s">
        <v>381</v>
      </c>
      <c r="I997" s="61">
        <v>15</v>
      </c>
      <c r="J997" s="61">
        <v>6.2</v>
      </c>
      <c r="K997" s="61">
        <v>9</v>
      </c>
      <c r="L997" s="69">
        <f t="shared" si="195"/>
        <v>0.93</v>
      </c>
      <c r="M997" s="69">
        <f t="shared" si="196"/>
        <v>1.35</v>
      </c>
      <c r="N997" s="56">
        <f>INDEX(Rate_Chart!$A$1:$AK$127,MATCH(Data!J997,Rate_Chart!$A$1:$A$127,0),MATCH(Data!K997,Rate_Chart!$A$1:$AK$1,0))</f>
        <v>51.77</v>
      </c>
      <c r="O997" s="57">
        <f t="shared" si="197"/>
        <v>776.55000000000007</v>
      </c>
      <c r="P997" s="58">
        <f t="shared" si="198"/>
        <v>424.34426229508199</v>
      </c>
      <c r="Q997" s="58">
        <f t="shared" si="199"/>
        <v>282.89617486338801</v>
      </c>
      <c r="R997" s="66">
        <f t="shared" si="200"/>
        <v>13.589625000000002</v>
      </c>
      <c r="S997" s="64">
        <f t="shared" si="201"/>
        <v>56.25</v>
      </c>
      <c r="T997" s="66">
        <f t="shared" si="202"/>
        <v>846.38962500000002</v>
      </c>
      <c r="U997" s="68">
        <f t="shared" si="203"/>
        <v>56.425975000000001</v>
      </c>
      <c r="V997" s="68">
        <f t="shared" si="204"/>
        <v>462.50799180327868</v>
      </c>
      <c r="W997" s="68">
        <f t="shared" si="205"/>
        <v>308.33866120218579</v>
      </c>
    </row>
    <row r="998" spans="1:23" x14ac:dyDescent="0.25">
      <c r="A998" s="1" t="s">
        <v>943</v>
      </c>
      <c r="B998" s="61" t="s">
        <v>391</v>
      </c>
      <c r="C998" s="1" t="s">
        <v>585</v>
      </c>
      <c r="D998" s="1" t="s">
        <v>589</v>
      </c>
      <c r="E998" s="1" t="s">
        <v>590</v>
      </c>
      <c r="F998" s="62" t="str">
        <f t="shared" si="206"/>
        <v>64552</v>
      </c>
      <c r="G998" s="269">
        <v>10620020</v>
      </c>
      <c r="H998" s="1" t="s">
        <v>381</v>
      </c>
      <c r="I998" s="61">
        <v>10</v>
      </c>
      <c r="J998" s="61">
        <v>6.7</v>
      </c>
      <c r="K998" s="61">
        <v>9</v>
      </c>
      <c r="L998" s="69">
        <f t="shared" si="195"/>
        <v>0.67</v>
      </c>
      <c r="M998" s="69">
        <f t="shared" si="196"/>
        <v>0.9</v>
      </c>
      <c r="N998" s="56">
        <f>INDEX(Rate_Chart!$A$1:$AK$127,MATCH(Data!J998,Rate_Chart!$A$1:$A$127,0),MATCH(Data!K998,Rate_Chart!$A$1:$AK$1,0))</f>
        <v>55.945</v>
      </c>
      <c r="O998" s="57">
        <f t="shared" si="197"/>
        <v>559.45000000000005</v>
      </c>
      <c r="P998" s="58">
        <f t="shared" si="198"/>
        <v>440.51181102362204</v>
      </c>
      <c r="Q998" s="58">
        <f t="shared" si="199"/>
        <v>293.67454068241472</v>
      </c>
      <c r="R998" s="66">
        <f t="shared" si="200"/>
        <v>9.7903750000000009</v>
      </c>
      <c r="S998" s="64">
        <f t="shared" si="201"/>
        <v>37.5</v>
      </c>
      <c r="T998" s="66">
        <f t="shared" si="202"/>
        <v>606.74037500000009</v>
      </c>
      <c r="U998" s="68">
        <f t="shared" si="203"/>
        <v>60.674037500000011</v>
      </c>
      <c r="V998" s="68">
        <f t="shared" si="204"/>
        <v>477.74832677165364</v>
      </c>
      <c r="W998" s="68">
        <f t="shared" si="205"/>
        <v>318.49888451443576</v>
      </c>
    </row>
    <row r="999" spans="1:23" x14ac:dyDescent="0.25">
      <c r="A999" s="1" t="s">
        <v>944</v>
      </c>
      <c r="B999" s="61" t="s">
        <v>390</v>
      </c>
      <c r="C999" s="1" t="s">
        <v>585</v>
      </c>
      <c r="D999" s="1" t="s">
        <v>589</v>
      </c>
      <c r="E999" s="1" t="s">
        <v>590</v>
      </c>
      <c r="F999" s="62" t="str">
        <f t="shared" si="206"/>
        <v>64552</v>
      </c>
      <c r="G999" s="269">
        <v>10620020</v>
      </c>
      <c r="H999" s="1" t="s">
        <v>381</v>
      </c>
      <c r="I999" s="61">
        <v>12</v>
      </c>
      <c r="J999" s="61">
        <v>7</v>
      </c>
      <c r="K999" s="61">
        <v>9</v>
      </c>
      <c r="L999" s="69">
        <f t="shared" si="195"/>
        <v>0.84</v>
      </c>
      <c r="M999" s="69">
        <f t="shared" si="196"/>
        <v>1.08</v>
      </c>
      <c r="N999" s="56">
        <f>INDEX(Rate_Chart!$A$1:$AK$127,MATCH(Data!J999,Rate_Chart!$A$1:$A$127,0),MATCH(Data!K999,Rate_Chart!$A$1:$AK$1,0))</f>
        <v>58.45</v>
      </c>
      <c r="O999" s="57">
        <f t="shared" si="197"/>
        <v>701.40000000000009</v>
      </c>
      <c r="P999" s="58">
        <f t="shared" si="198"/>
        <v>449.61538461538464</v>
      </c>
      <c r="Q999" s="58">
        <f t="shared" si="199"/>
        <v>299.74358974358978</v>
      </c>
      <c r="R999" s="66">
        <f t="shared" si="200"/>
        <v>12.274500000000003</v>
      </c>
      <c r="S999" s="64">
        <f t="shared" si="201"/>
        <v>45</v>
      </c>
      <c r="T999" s="66">
        <f t="shared" si="202"/>
        <v>758.67450000000008</v>
      </c>
      <c r="U999" s="68">
        <f t="shared" si="203"/>
        <v>63.222875000000009</v>
      </c>
      <c r="V999" s="68">
        <f t="shared" si="204"/>
        <v>486.32980769230772</v>
      </c>
      <c r="W999" s="68">
        <f t="shared" si="205"/>
        <v>324.21987179487184</v>
      </c>
    </row>
    <row r="1000" spans="1:23" x14ac:dyDescent="0.25">
      <c r="A1000" s="1" t="s">
        <v>944</v>
      </c>
      <c r="B1000" s="61" t="s">
        <v>391</v>
      </c>
      <c r="C1000" s="1" t="s">
        <v>585</v>
      </c>
      <c r="D1000" s="1" t="s">
        <v>589</v>
      </c>
      <c r="E1000" s="1" t="s">
        <v>590</v>
      </c>
      <c r="F1000" s="62" t="str">
        <f t="shared" si="206"/>
        <v>64552</v>
      </c>
      <c r="G1000" s="269">
        <v>10620020</v>
      </c>
      <c r="H1000" s="1" t="s">
        <v>381</v>
      </c>
      <c r="I1000" s="61">
        <v>12</v>
      </c>
      <c r="J1000" s="61">
        <v>6.6</v>
      </c>
      <c r="K1000" s="61">
        <v>9</v>
      </c>
      <c r="L1000" s="69">
        <f t="shared" si="195"/>
        <v>0.79199999999999993</v>
      </c>
      <c r="M1000" s="69">
        <f t="shared" si="196"/>
        <v>1.08</v>
      </c>
      <c r="N1000" s="56">
        <f>INDEX(Rate_Chart!$A$1:$AK$127,MATCH(Data!J1000,Rate_Chart!$A$1:$A$127,0),MATCH(Data!K1000,Rate_Chart!$A$1:$AK$1,0))</f>
        <v>55.11</v>
      </c>
      <c r="O1000" s="57">
        <f t="shared" si="197"/>
        <v>661.31999999999994</v>
      </c>
      <c r="P1000" s="58">
        <f t="shared" si="198"/>
        <v>437.38095238095235</v>
      </c>
      <c r="Q1000" s="58">
        <f t="shared" si="199"/>
        <v>291.58730158730157</v>
      </c>
      <c r="R1000" s="66">
        <f t="shared" si="200"/>
        <v>11.5731</v>
      </c>
      <c r="S1000" s="64">
        <f t="shared" si="201"/>
        <v>45</v>
      </c>
      <c r="T1000" s="66">
        <f t="shared" si="202"/>
        <v>717.89309999999989</v>
      </c>
      <c r="U1000" s="68">
        <f t="shared" si="203"/>
        <v>59.824424999999991</v>
      </c>
      <c r="V1000" s="68">
        <f t="shared" si="204"/>
        <v>474.79702380952375</v>
      </c>
      <c r="W1000" s="68">
        <f t="shared" si="205"/>
        <v>316.53134920634915</v>
      </c>
    </row>
    <row r="1001" spans="1:23" x14ac:dyDescent="0.25">
      <c r="A1001" s="1" t="s">
        <v>945</v>
      </c>
      <c r="B1001" s="61" t="s">
        <v>390</v>
      </c>
      <c r="C1001" s="1" t="s">
        <v>585</v>
      </c>
      <c r="D1001" s="1" t="s">
        <v>589</v>
      </c>
      <c r="E1001" s="1" t="s">
        <v>590</v>
      </c>
      <c r="F1001" s="62" t="str">
        <f t="shared" si="206"/>
        <v>64552</v>
      </c>
      <c r="G1001" s="269">
        <v>10620020</v>
      </c>
      <c r="H1001" s="1" t="s">
        <v>381</v>
      </c>
      <c r="I1001" s="61">
        <v>14</v>
      </c>
      <c r="J1001" s="61">
        <v>6.2</v>
      </c>
      <c r="K1001" s="61">
        <v>9</v>
      </c>
      <c r="L1001" s="69">
        <f t="shared" si="195"/>
        <v>0.86799999999999999</v>
      </c>
      <c r="M1001" s="69">
        <f t="shared" si="196"/>
        <v>1.26</v>
      </c>
      <c r="N1001" s="56">
        <f>INDEX(Rate_Chart!$A$1:$AK$127,MATCH(Data!J1001,Rate_Chart!$A$1:$A$127,0),MATCH(Data!K1001,Rate_Chart!$A$1:$AK$1,0))</f>
        <v>51.77</v>
      </c>
      <c r="O1001" s="57">
        <f t="shared" si="197"/>
        <v>724.78000000000009</v>
      </c>
      <c r="P1001" s="58">
        <f t="shared" si="198"/>
        <v>424.34426229508199</v>
      </c>
      <c r="Q1001" s="58">
        <f t="shared" si="199"/>
        <v>282.89617486338801</v>
      </c>
      <c r="R1001" s="66">
        <f t="shared" si="200"/>
        <v>12.683650000000002</v>
      </c>
      <c r="S1001" s="64">
        <f t="shared" si="201"/>
        <v>52.5</v>
      </c>
      <c r="T1001" s="66">
        <f t="shared" si="202"/>
        <v>789.96365000000014</v>
      </c>
      <c r="U1001" s="68">
        <f t="shared" si="203"/>
        <v>56.425975000000008</v>
      </c>
      <c r="V1001" s="68">
        <f t="shared" si="204"/>
        <v>462.50799180327874</v>
      </c>
      <c r="W1001" s="68">
        <f t="shared" si="205"/>
        <v>308.33866120218585</v>
      </c>
    </row>
    <row r="1002" spans="1:23" x14ac:dyDescent="0.25">
      <c r="A1002" s="1" t="s">
        <v>945</v>
      </c>
      <c r="B1002" s="61" t="s">
        <v>391</v>
      </c>
      <c r="C1002" s="1" t="s">
        <v>585</v>
      </c>
      <c r="D1002" s="1" t="s">
        <v>589</v>
      </c>
      <c r="E1002" s="1" t="s">
        <v>590</v>
      </c>
      <c r="F1002" s="62" t="str">
        <f t="shared" si="206"/>
        <v>64552</v>
      </c>
      <c r="G1002" s="269">
        <v>10620020</v>
      </c>
      <c r="H1002" s="1" t="s">
        <v>381</v>
      </c>
      <c r="I1002" s="61">
        <v>14</v>
      </c>
      <c r="J1002" s="61">
        <v>6.4</v>
      </c>
      <c r="K1002" s="61">
        <v>9</v>
      </c>
      <c r="L1002" s="69">
        <f t="shared" si="195"/>
        <v>0.89600000000000013</v>
      </c>
      <c r="M1002" s="69">
        <f t="shared" si="196"/>
        <v>1.26</v>
      </c>
      <c r="N1002" s="56">
        <f>INDEX(Rate_Chart!$A$1:$AK$127,MATCH(Data!J1002,Rate_Chart!$A$1:$A$127,0),MATCH(Data!K1002,Rate_Chart!$A$1:$AK$1,0))</f>
        <v>53.44</v>
      </c>
      <c r="O1002" s="57">
        <f t="shared" si="197"/>
        <v>748.16</v>
      </c>
      <c r="P1002" s="58">
        <f t="shared" si="198"/>
        <v>430.96774193548384</v>
      </c>
      <c r="Q1002" s="58">
        <f t="shared" si="199"/>
        <v>287.31182795698925</v>
      </c>
      <c r="R1002" s="66">
        <f t="shared" si="200"/>
        <v>13.0928</v>
      </c>
      <c r="S1002" s="64">
        <f t="shared" si="201"/>
        <v>52.5</v>
      </c>
      <c r="T1002" s="66">
        <f t="shared" si="202"/>
        <v>813.75279999999998</v>
      </c>
      <c r="U1002" s="68">
        <f t="shared" si="203"/>
        <v>58.1252</v>
      </c>
      <c r="V1002" s="68">
        <f t="shared" si="204"/>
        <v>468.7516129032258</v>
      </c>
      <c r="W1002" s="68">
        <f t="shared" si="205"/>
        <v>312.5010752688172</v>
      </c>
    </row>
    <row r="1003" spans="1:23" x14ac:dyDescent="0.25">
      <c r="A1003" s="1" t="s">
        <v>946</v>
      </c>
      <c r="B1003" s="61" t="s">
        <v>390</v>
      </c>
      <c r="C1003" s="1" t="s">
        <v>585</v>
      </c>
      <c r="D1003" s="1" t="s">
        <v>589</v>
      </c>
      <c r="E1003" s="1" t="s">
        <v>590</v>
      </c>
      <c r="F1003" s="62" t="str">
        <f t="shared" si="206"/>
        <v>64552</v>
      </c>
      <c r="G1003" s="269">
        <v>10620020</v>
      </c>
      <c r="H1003" s="1" t="s">
        <v>381</v>
      </c>
      <c r="I1003" s="61">
        <v>15</v>
      </c>
      <c r="J1003" s="61">
        <v>6.2</v>
      </c>
      <c r="K1003" s="61">
        <v>9</v>
      </c>
      <c r="L1003" s="69">
        <f t="shared" si="195"/>
        <v>0.93</v>
      </c>
      <c r="M1003" s="69">
        <f t="shared" si="196"/>
        <v>1.35</v>
      </c>
      <c r="N1003" s="56">
        <f>INDEX(Rate_Chart!$A$1:$AK$127,MATCH(Data!J1003,Rate_Chart!$A$1:$A$127,0),MATCH(Data!K1003,Rate_Chart!$A$1:$AK$1,0))</f>
        <v>51.77</v>
      </c>
      <c r="O1003" s="57">
        <f t="shared" si="197"/>
        <v>776.55000000000007</v>
      </c>
      <c r="P1003" s="58">
        <f t="shared" si="198"/>
        <v>424.34426229508199</v>
      </c>
      <c r="Q1003" s="58">
        <f t="shared" si="199"/>
        <v>282.89617486338801</v>
      </c>
      <c r="R1003" s="66">
        <f t="shared" si="200"/>
        <v>13.589625000000002</v>
      </c>
      <c r="S1003" s="64">
        <f t="shared" si="201"/>
        <v>56.25</v>
      </c>
      <c r="T1003" s="66">
        <f t="shared" si="202"/>
        <v>846.38962500000002</v>
      </c>
      <c r="U1003" s="68">
        <f t="shared" si="203"/>
        <v>56.425975000000001</v>
      </c>
      <c r="V1003" s="68">
        <f t="shared" si="204"/>
        <v>462.50799180327868</v>
      </c>
      <c r="W1003" s="68">
        <f t="shared" si="205"/>
        <v>308.33866120218579</v>
      </c>
    </row>
    <row r="1004" spans="1:23" x14ac:dyDescent="0.25">
      <c r="A1004" s="1" t="s">
        <v>946</v>
      </c>
      <c r="B1004" s="61" t="s">
        <v>391</v>
      </c>
      <c r="C1004" s="1" t="s">
        <v>585</v>
      </c>
      <c r="D1004" s="1" t="s">
        <v>589</v>
      </c>
      <c r="E1004" s="1" t="s">
        <v>590</v>
      </c>
      <c r="F1004" s="62" t="str">
        <f t="shared" si="206"/>
        <v>64552</v>
      </c>
      <c r="G1004" s="269">
        <v>10620020</v>
      </c>
      <c r="H1004" s="1" t="s">
        <v>381</v>
      </c>
      <c r="I1004" s="61">
        <v>13</v>
      </c>
      <c r="J1004" s="61">
        <v>6.3</v>
      </c>
      <c r="K1004" s="61">
        <v>9</v>
      </c>
      <c r="L1004" s="69">
        <f t="shared" si="195"/>
        <v>0.81899999999999995</v>
      </c>
      <c r="M1004" s="69">
        <f t="shared" si="196"/>
        <v>1.17</v>
      </c>
      <c r="N1004" s="56">
        <f>INDEX(Rate_Chart!$A$1:$AK$127,MATCH(Data!J1004,Rate_Chart!$A$1:$A$127,0),MATCH(Data!K1004,Rate_Chart!$A$1:$AK$1,0))</f>
        <v>52.604999999999997</v>
      </c>
      <c r="O1004" s="57">
        <f t="shared" si="197"/>
        <v>683.86500000000001</v>
      </c>
      <c r="P1004" s="58">
        <f t="shared" si="198"/>
        <v>427.6829268292683</v>
      </c>
      <c r="Q1004" s="58">
        <f t="shared" si="199"/>
        <v>285.1219512195122</v>
      </c>
      <c r="R1004" s="66">
        <f t="shared" si="200"/>
        <v>11.967637500000002</v>
      </c>
      <c r="S1004" s="64">
        <f t="shared" si="201"/>
        <v>48.75</v>
      </c>
      <c r="T1004" s="66">
        <f t="shared" si="202"/>
        <v>744.58263750000003</v>
      </c>
      <c r="U1004" s="68">
        <f t="shared" si="203"/>
        <v>57.2755875</v>
      </c>
      <c r="V1004" s="68">
        <f t="shared" si="204"/>
        <v>465.6551829268293</v>
      </c>
      <c r="W1004" s="68">
        <f t="shared" si="205"/>
        <v>310.43678861788618</v>
      </c>
    </row>
    <row r="1005" spans="1:23" x14ac:dyDescent="0.25">
      <c r="A1005" s="1" t="s">
        <v>947</v>
      </c>
      <c r="B1005" s="61" t="s">
        <v>390</v>
      </c>
      <c r="C1005" s="1" t="s">
        <v>585</v>
      </c>
      <c r="D1005" s="1" t="s">
        <v>589</v>
      </c>
      <c r="E1005" s="1" t="s">
        <v>590</v>
      </c>
      <c r="F1005" s="62" t="str">
        <f t="shared" si="206"/>
        <v>64552</v>
      </c>
      <c r="G1005" s="269">
        <v>10620020</v>
      </c>
      <c r="H1005" s="1" t="s">
        <v>381</v>
      </c>
      <c r="I1005" s="61">
        <v>17</v>
      </c>
      <c r="J1005" s="61">
        <v>5.9</v>
      </c>
      <c r="K1005" s="61">
        <v>9</v>
      </c>
      <c r="L1005" s="69">
        <f t="shared" si="195"/>
        <v>1.0030000000000001</v>
      </c>
      <c r="M1005" s="69">
        <f t="shared" si="196"/>
        <v>1.53</v>
      </c>
      <c r="N1005" s="56">
        <f>INDEX(Rate_Chart!$A$1:$AK$127,MATCH(Data!J1005,Rate_Chart!$A$1:$A$127,0),MATCH(Data!K1005,Rate_Chart!$A$1:$AK$1,0))</f>
        <v>49.265000000000001</v>
      </c>
      <c r="O1005" s="57">
        <f t="shared" si="197"/>
        <v>837.505</v>
      </c>
      <c r="P1005" s="58">
        <f t="shared" si="198"/>
        <v>413.99159663865549</v>
      </c>
      <c r="Q1005" s="58">
        <f t="shared" si="199"/>
        <v>275.99439775910366</v>
      </c>
      <c r="R1005" s="66">
        <f t="shared" si="200"/>
        <v>14.656337500000001</v>
      </c>
      <c r="S1005" s="64">
        <f t="shared" si="201"/>
        <v>63.75</v>
      </c>
      <c r="T1005" s="66">
        <f t="shared" si="202"/>
        <v>915.91133749999995</v>
      </c>
      <c r="U1005" s="68">
        <f t="shared" si="203"/>
        <v>53.877137499999996</v>
      </c>
      <c r="V1005" s="68">
        <f t="shared" si="204"/>
        <v>452.74905462184876</v>
      </c>
      <c r="W1005" s="68">
        <f t="shared" si="205"/>
        <v>301.83270308123252</v>
      </c>
    </row>
    <row r="1006" spans="1:23" x14ac:dyDescent="0.25">
      <c r="A1006" s="1" t="s">
        <v>947</v>
      </c>
      <c r="B1006" s="61" t="s">
        <v>391</v>
      </c>
      <c r="C1006" s="1" t="s">
        <v>585</v>
      </c>
      <c r="D1006" s="1" t="s">
        <v>589</v>
      </c>
      <c r="E1006" s="1" t="s">
        <v>590</v>
      </c>
      <c r="F1006" s="62" t="str">
        <f t="shared" si="206"/>
        <v>64552</v>
      </c>
      <c r="G1006" s="269">
        <v>10620020</v>
      </c>
      <c r="H1006" s="1" t="s">
        <v>381</v>
      </c>
      <c r="I1006" s="61">
        <v>15</v>
      </c>
      <c r="J1006" s="61">
        <v>6</v>
      </c>
      <c r="K1006" s="61">
        <v>9</v>
      </c>
      <c r="L1006" s="69">
        <f t="shared" si="195"/>
        <v>0.9</v>
      </c>
      <c r="M1006" s="69">
        <f t="shared" si="196"/>
        <v>1.35</v>
      </c>
      <c r="N1006" s="56">
        <f>INDEX(Rate_Chart!$A$1:$AK$127,MATCH(Data!J1006,Rate_Chart!$A$1:$A$127,0),MATCH(Data!K1006,Rate_Chart!$A$1:$AK$1,0))</f>
        <v>50.1</v>
      </c>
      <c r="O1006" s="57">
        <f t="shared" si="197"/>
        <v>751.5</v>
      </c>
      <c r="P1006" s="58">
        <f t="shared" si="198"/>
        <v>417.5</v>
      </c>
      <c r="Q1006" s="58">
        <f t="shared" si="199"/>
        <v>278.33333333333331</v>
      </c>
      <c r="R1006" s="66">
        <f t="shared" si="200"/>
        <v>13.151250000000001</v>
      </c>
      <c r="S1006" s="64">
        <f t="shared" si="201"/>
        <v>56.25</v>
      </c>
      <c r="T1006" s="66">
        <f t="shared" si="202"/>
        <v>820.90125</v>
      </c>
      <c r="U1006" s="68">
        <f t="shared" si="203"/>
        <v>54.726750000000003</v>
      </c>
      <c r="V1006" s="68">
        <f t="shared" si="204"/>
        <v>456.05625000000003</v>
      </c>
      <c r="W1006" s="68">
        <f t="shared" si="205"/>
        <v>304.03750000000002</v>
      </c>
    </row>
    <row r="1007" spans="1:23" x14ac:dyDescent="0.25">
      <c r="A1007" s="1" t="s">
        <v>941</v>
      </c>
      <c r="B1007" s="61" t="s">
        <v>391</v>
      </c>
      <c r="C1007" s="1" t="s">
        <v>585</v>
      </c>
      <c r="D1007" s="1" t="s">
        <v>588</v>
      </c>
      <c r="E1007" s="1" t="s">
        <v>371</v>
      </c>
      <c r="F1007" s="62" t="str">
        <f t="shared" si="206"/>
        <v>64553</v>
      </c>
      <c r="G1007" s="269">
        <v>10620031</v>
      </c>
      <c r="H1007" s="1" t="s">
        <v>381</v>
      </c>
      <c r="I1007" s="61">
        <v>8</v>
      </c>
      <c r="J1007" s="61">
        <v>5.6</v>
      </c>
      <c r="K1007" s="61">
        <v>8.8000000000000007</v>
      </c>
      <c r="L1007" s="69">
        <f t="shared" si="195"/>
        <v>0.44799999999999995</v>
      </c>
      <c r="M1007" s="69">
        <f t="shared" si="196"/>
        <v>0.70400000000000007</v>
      </c>
      <c r="N1007" s="56">
        <f>INDEX(Rate_Chart!$A$1:$AK$127,MATCH(Data!J1007,Rate_Chart!$A$1:$A$127,0),MATCH(Data!K1007,Rate_Chart!$A$1:$AK$1,0))</f>
        <v>46.292400000000001</v>
      </c>
      <c r="O1007" s="57">
        <f t="shared" si="197"/>
        <v>370.33920000000001</v>
      </c>
      <c r="P1007" s="58">
        <f t="shared" si="198"/>
        <v>403.71279069767445</v>
      </c>
      <c r="Q1007" s="58">
        <f t="shared" si="199"/>
        <v>269.14186046511628</v>
      </c>
      <c r="R1007" s="66">
        <f t="shared" si="200"/>
        <v>6.4809360000000007</v>
      </c>
      <c r="S1007" s="64">
        <f t="shared" si="201"/>
        <v>30</v>
      </c>
      <c r="T1007" s="66">
        <f t="shared" si="202"/>
        <v>406.82013599999999</v>
      </c>
      <c r="U1007" s="68">
        <f t="shared" si="203"/>
        <v>50.852516999999999</v>
      </c>
      <c r="V1007" s="68">
        <f t="shared" si="204"/>
        <v>443.48125290697675</v>
      </c>
      <c r="W1007" s="68">
        <f t="shared" si="205"/>
        <v>295.65416860465115</v>
      </c>
    </row>
    <row r="1008" spans="1:23" x14ac:dyDescent="0.25">
      <c r="A1008" s="1" t="s">
        <v>942</v>
      </c>
      <c r="B1008" s="61" t="s">
        <v>390</v>
      </c>
      <c r="C1008" s="1" t="s">
        <v>585</v>
      </c>
      <c r="D1008" s="1" t="s">
        <v>588</v>
      </c>
      <c r="E1008" s="1" t="s">
        <v>371</v>
      </c>
      <c r="F1008" s="62" t="str">
        <f t="shared" si="206"/>
        <v>64553</v>
      </c>
      <c r="G1008" s="269">
        <v>10620031</v>
      </c>
      <c r="H1008" s="1" t="s">
        <v>381</v>
      </c>
      <c r="I1008" s="61">
        <v>5</v>
      </c>
      <c r="J1008" s="61">
        <v>7.3</v>
      </c>
      <c r="K1008" s="61">
        <v>9</v>
      </c>
      <c r="L1008" s="69">
        <f t="shared" ref="L1008:L1022" si="207">J1008*I1008/100</f>
        <v>0.36499999999999999</v>
      </c>
      <c r="M1008" s="69">
        <f t="shared" ref="M1008:M1022" si="208">K1008*I1008/100</f>
        <v>0.45</v>
      </c>
      <c r="N1008" s="56">
        <f>INDEX(Rate_Chart!$A$1:$AK$127,MATCH(Data!J1008,Rate_Chart!$A$1:$A$127,0),MATCH(Data!K1008,Rate_Chart!$A$1:$AK$1,0))</f>
        <v>60.954999999999998</v>
      </c>
      <c r="O1008" s="57">
        <f t="shared" ref="O1008:O1022" si="209">N1008*I1008</f>
        <v>304.77499999999998</v>
      </c>
      <c r="P1008" s="58">
        <f t="shared" ref="P1008:P1022" si="210">N1008/(J1008%+K1008%*2/3)</f>
        <v>458.30827067669168</v>
      </c>
      <c r="Q1008" s="58">
        <f t="shared" ref="Q1008:Q1022" si="211">P1008*2/3</f>
        <v>305.53884711779443</v>
      </c>
      <c r="R1008" s="66">
        <f t="shared" ref="R1008:R1022" si="212">O1008*1.75%</f>
        <v>5.3335625000000002</v>
      </c>
      <c r="S1008" s="64">
        <f t="shared" ref="S1008:S1022" si="213">I1008*3.75</f>
        <v>18.75</v>
      </c>
      <c r="T1008" s="66">
        <f t="shared" ref="T1008:T1022" si="214">R1008+S1008+O1008</f>
        <v>328.85856249999995</v>
      </c>
      <c r="U1008" s="68">
        <f t="shared" ref="U1008:U1022" si="215">T1008/I1008</f>
        <v>65.771712499999992</v>
      </c>
      <c r="V1008" s="68">
        <f t="shared" ref="V1008:V1022" si="216">U1008/(J1008%+K1008%*2/3)</f>
        <v>494.52415413533828</v>
      </c>
      <c r="W1008" s="68">
        <f t="shared" ref="W1008:W1022" si="217">V1008*2/3</f>
        <v>329.68276942355885</v>
      </c>
    </row>
    <row r="1009" spans="1:23" x14ac:dyDescent="0.25">
      <c r="A1009" s="1" t="s">
        <v>942</v>
      </c>
      <c r="B1009" s="61" t="s">
        <v>391</v>
      </c>
      <c r="C1009" s="1" t="s">
        <v>585</v>
      </c>
      <c r="D1009" s="1" t="s">
        <v>588</v>
      </c>
      <c r="E1009" s="1" t="s">
        <v>371</v>
      </c>
      <c r="F1009" s="62" t="str">
        <f t="shared" si="206"/>
        <v>64553</v>
      </c>
      <c r="G1009" s="269">
        <v>10620031</v>
      </c>
      <c r="H1009" s="1" t="s">
        <v>382</v>
      </c>
      <c r="I1009" s="61">
        <v>5</v>
      </c>
      <c r="J1009" s="61">
        <v>4.3</v>
      </c>
      <c r="K1009" s="61">
        <v>8.5</v>
      </c>
      <c r="L1009" s="69">
        <f t="shared" si="207"/>
        <v>0.215</v>
      </c>
      <c r="M1009" s="69">
        <f t="shared" si="208"/>
        <v>0.42499999999999999</v>
      </c>
      <c r="N1009" s="56">
        <f>INDEX(Rate_Chart!$A$1:$AK$127,MATCH(Data!J1009,Rate_Chart!$A$1:$A$127,0),MATCH(Data!K1009,Rate_Chart!$A$1:$AK$1,0))</f>
        <v>41.562181500000001</v>
      </c>
      <c r="O1009" s="57">
        <f t="shared" si="209"/>
        <v>207.81090750000001</v>
      </c>
      <c r="P1009" s="58">
        <f t="shared" si="210"/>
        <v>417.01185451505017</v>
      </c>
      <c r="Q1009" s="58">
        <f t="shared" si="211"/>
        <v>278.00790301003343</v>
      </c>
      <c r="R1009" s="66">
        <f t="shared" si="212"/>
        <v>3.6366908812500007</v>
      </c>
      <c r="S1009" s="64">
        <f t="shared" si="213"/>
        <v>18.75</v>
      </c>
      <c r="T1009" s="66">
        <f t="shared" si="214"/>
        <v>230.19759838125</v>
      </c>
      <c r="U1009" s="68">
        <f t="shared" si="215"/>
        <v>46.039519676250002</v>
      </c>
      <c r="V1009" s="68">
        <f t="shared" si="216"/>
        <v>461.93498002926424</v>
      </c>
      <c r="W1009" s="68">
        <f t="shared" si="217"/>
        <v>307.95665335284281</v>
      </c>
    </row>
    <row r="1010" spans="1:23" x14ac:dyDescent="0.25">
      <c r="A1010" s="1" t="s">
        <v>943</v>
      </c>
      <c r="B1010" s="61" t="s">
        <v>390</v>
      </c>
      <c r="C1010" s="1" t="s">
        <v>585</v>
      </c>
      <c r="D1010" s="1" t="s">
        <v>588</v>
      </c>
      <c r="E1010" s="1" t="s">
        <v>371</v>
      </c>
      <c r="F1010" s="62" t="str">
        <f t="shared" si="206"/>
        <v>64553</v>
      </c>
      <c r="G1010" s="269">
        <v>10620031</v>
      </c>
      <c r="H1010" s="1" t="s">
        <v>381</v>
      </c>
      <c r="I1010" s="61">
        <v>10</v>
      </c>
      <c r="J1010" s="61">
        <v>5.9</v>
      </c>
      <c r="K1010" s="61">
        <v>8.8000000000000007</v>
      </c>
      <c r="L1010" s="69">
        <f t="shared" si="207"/>
        <v>0.59</v>
      </c>
      <c r="M1010" s="69">
        <f t="shared" si="208"/>
        <v>0.88</v>
      </c>
      <c r="N1010" s="56">
        <f>INDEX(Rate_Chart!$A$1:$AK$127,MATCH(Data!J1010,Rate_Chart!$A$1:$A$127,0),MATCH(Data!K1010,Rate_Chart!$A$1:$AK$1,0))</f>
        <v>48.772350000000003</v>
      </c>
      <c r="O1010" s="57">
        <f t="shared" si="209"/>
        <v>487.72350000000006</v>
      </c>
      <c r="P1010" s="58">
        <f t="shared" si="210"/>
        <v>414.49589235127479</v>
      </c>
      <c r="Q1010" s="58">
        <f t="shared" si="211"/>
        <v>276.33059490084986</v>
      </c>
      <c r="R1010" s="66">
        <f t="shared" si="212"/>
        <v>8.5351612500000016</v>
      </c>
      <c r="S1010" s="64">
        <f t="shared" si="213"/>
        <v>37.5</v>
      </c>
      <c r="T1010" s="66">
        <f t="shared" si="214"/>
        <v>533.75866125000005</v>
      </c>
      <c r="U1010" s="68">
        <f t="shared" si="215"/>
        <v>53.375866125000002</v>
      </c>
      <c r="V1010" s="68">
        <f t="shared" si="216"/>
        <v>453.61925885269125</v>
      </c>
      <c r="W1010" s="68">
        <f t="shared" si="217"/>
        <v>302.41283923512748</v>
      </c>
    </row>
    <row r="1011" spans="1:23" x14ac:dyDescent="0.25">
      <c r="A1011" s="1" t="s">
        <v>944</v>
      </c>
      <c r="B1011" s="61" t="s">
        <v>390</v>
      </c>
      <c r="C1011" s="1" t="s">
        <v>585</v>
      </c>
      <c r="D1011" s="1" t="s">
        <v>588</v>
      </c>
      <c r="E1011" s="1" t="s">
        <v>371</v>
      </c>
      <c r="F1011" s="62" t="str">
        <f t="shared" si="206"/>
        <v>64553</v>
      </c>
      <c r="G1011" s="269">
        <v>10620031</v>
      </c>
      <c r="H1011" s="1" t="s">
        <v>381</v>
      </c>
      <c r="I1011" s="61">
        <v>5</v>
      </c>
      <c r="J1011" s="61">
        <v>6.7</v>
      </c>
      <c r="K1011" s="61">
        <v>9</v>
      </c>
      <c r="L1011" s="69">
        <f t="shared" si="207"/>
        <v>0.33500000000000002</v>
      </c>
      <c r="M1011" s="69">
        <f t="shared" si="208"/>
        <v>0.45</v>
      </c>
      <c r="N1011" s="56">
        <f>INDEX(Rate_Chart!$A$1:$AK$127,MATCH(Data!J1011,Rate_Chart!$A$1:$A$127,0),MATCH(Data!K1011,Rate_Chart!$A$1:$AK$1,0))</f>
        <v>55.945</v>
      </c>
      <c r="O1011" s="57">
        <f t="shared" si="209"/>
        <v>279.72500000000002</v>
      </c>
      <c r="P1011" s="58">
        <f t="shared" si="210"/>
        <v>440.51181102362204</v>
      </c>
      <c r="Q1011" s="58">
        <f t="shared" si="211"/>
        <v>293.67454068241472</v>
      </c>
      <c r="R1011" s="66">
        <f t="shared" si="212"/>
        <v>4.8951875000000005</v>
      </c>
      <c r="S1011" s="64">
        <f t="shared" si="213"/>
        <v>18.75</v>
      </c>
      <c r="T1011" s="66">
        <f t="shared" si="214"/>
        <v>303.37018750000004</v>
      </c>
      <c r="U1011" s="68">
        <f t="shared" si="215"/>
        <v>60.674037500000011</v>
      </c>
      <c r="V1011" s="68">
        <f t="shared" si="216"/>
        <v>477.74832677165364</v>
      </c>
      <c r="W1011" s="68">
        <f t="shared" si="217"/>
        <v>318.49888451443576</v>
      </c>
    </row>
    <row r="1012" spans="1:23" x14ac:dyDescent="0.25">
      <c r="A1012" s="1" t="s">
        <v>944</v>
      </c>
      <c r="B1012" s="61" t="s">
        <v>391</v>
      </c>
      <c r="C1012" s="1" t="s">
        <v>585</v>
      </c>
      <c r="D1012" s="1" t="s">
        <v>588</v>
      </c>
      <c r="E1012" s="1" t="s">
        <v>371</v>
      </c>
      <c r="F1012" s="62" t="str">
        <f t="shared" si="206"/>
        <v>64553</v>
      </c>
      <c r="G1012" s="269">
        <v>10620031</v>
      </c>
      <c r="H1012" s="1" t="s">
        <v>381</v>
      </c>
      <c r="I1012" s="61">
        <v>7</v>
      </c>
      <c r="J1012" s="61">
        <v>5.9</v>
      </c>
      <c r="K1012" s="61">
        <v>8.6</v>
      </c>
      <c r="L1012" s="69">
        <f t="shared" si="207"/>
        <v>0.41300000000000003</v>
      </c>
      <c r="M1012" s="69">
        <f t="shared" si="208"/>
        <v>0.60199999999999998</v>
      </c>
      <c r="N1012" s="56">
        <f>INDEX(Rate_Chart!$A$1:$AK$127,MATCH(Data!J1012,Rate_Chart!$A$1:$A$127,0),MATCH(Data!K1012,Rate_Chart!$A$1:$AK$1,0))</f>
        <v>48.279699999999998</v>
      </c>
      <c r="O1012" s="57">
        <f t="shared" si="209"/>
        <v>337.9579</v>
      </c>
      <c r="P1012" s="58">
        <f t="shared" si="210"/>
        <v>415.01174785100284</v>
      </c>
      <c r="Q1012" s="58">
        <f t="shared" si="211"/>
        <v>276.67449856733521</v>
      </c>
      <c r="R1012" s="66">
        <f t="shared" si="212"/>
        <v>5.9142632500000003</v>
      </c>
      <c r="S1012" s="64">
        <f t="shared" si="213"/>
        <v>26.25</v>
      </c>
      <c r="T1012" s="66">
        <f t="shared" si="214"/>
        <v>370.12216324999997</v>
      </c>
      <c r="U1012" s="68">
        <f t="shared" si="215"/>
        <v>52.874594749999993</v>
      </c>
      <c r="V1012" s="68">
        <f t="shared" si="216"/>
        <v>454.50941045845269</v>
      </c>
      <c r="W1012" s="68">
        <f t="shared" si="217"/>
        <v>303.00627363896848</v>
      </c>
    </row>
    <row r="1013" spans="1:23" x14ac:dyDescent="0.25">
      <c r="A1013" s="1" t="s">
        <v>945</v>
      </c>
      <c r="B1013" s="61" t="s">
        <v>391</v>
      </c>
      <c r="C1013" s="1" t="s">
        <v>585</v>
      </c>
      <c r="D1013" s="1" t="s">
        <v>588</v>
      </c>
      <c r="E1013" s="1" t="s">
        <v>371</v>
      </c>
      <c r="F1013" s="62" t="str">
        <f t="shared" si="206"/>
        <v>64553</v>
      </c>
      <c r="G1013" s="269">
        <v>10620031</v>
      </c>
      <c r="H1013" s="1" t="s">
        <v>382</v>
      </c>
      <c r="I1013" s="61">
        <v>15</v>
      </c>
      <c r="J1013" s="61">
        <v>4</v>
      </c>
      <c r="K1013" s="61">
        <v>8.5</v>
      </c>
      <c r="L1013" s="69">
        <f t="shared" si="207"/>
        <v>0.6</v>
      </c>
      <c r="M1013" s="69">
        <f t="shared" si="208"/>
        <v>1.2749999999999999</v>
      </c>
      <c r="N1013" s="56">
        <f>INDEX(Rate_Chart!$A$1:$AK$127,MATCH(Data!J1013,Rate_Chart!$A$1:$A$127,0),MATCH(Data!K1013,Rate_Chart!$A$1:$AK$1,0))</f>
        <v>40.311181500000004</v>
      </c>
      <c r="O1013" s="57">
        <f t="shared" si="209"/>
        <v>604.66772250000008</v>
      </c>
      <c r="P1013" s="58">
        <f t="shared" si="210"/>
        <v>417.0122224137931</v>
      </c>
      <c r="Q1013" s="58">
        <f t="shared" si="211"/>
        <v>278.00814827586208</v>
      </c>
      <c r="R1013" s="66">
        <f t="shared" si="212"/>
        <v>10.581685143750002</v>
      </c>
      <c r="S1013" s="64">
        <f t="shared" si="213"/>
        <v>56.25</v>
      </c>
      <c r="T1013" s="66">
        <f t="shared" si="214"/>
        <v>671.49940764375015</v>
      </c>
      <c r="U1013" s="68">
        <f t="shared" si="215"/>
        <v>44.766627176250012</v>
      </c>
      <c r="V1013" s="68">
        <f t="shared" si="216"/>
        <v>463.10303975431043</v>
      </c>
      <c r="W1013" s="68">
        <f t="shared" si="217"/>
        <v>308.73535983620695</v>
      </c>
    </row>
    <row r="1014" spans="1:23" x14ac:dyDescent="0.25">
      <c r="A1014" s="1" t="s">
        <v>946</v>
      </c>
      <c r="B1014" s="61" t="s">
        <v>390</v>
      </c>
      <c r="C1014" s="1" t="s">
        <v>585</v>
      </c>
      <c r="D1014" s="1" t="s">
        <v>588</v>
      </c>
      <c r="E1014" s="1" t="s">
        <v>371</v>
      </c>
      <c r="F1014" s="62" t="str">
        <f t="shared" si="206"/>
        <v>64553</v>
      </c>
      <c r="G1014" s="269">
        <v>10620031</v>
      </c>
      <c r="H1014" s="1" t="s">
        <v>381</v>
      </c>
      <c r="I1014" s="61">
        <v>9</v>
      </c>
      <c r="J1014" s="61">
        <v>5.6</v>
      </c>
      <c r="K1014" s="61">
        <v>9</v>
      </c>
      <c r="L1014" s="69">
        <f t="shared" si="207"/>
        <v>0.504</v>
      </c>
      <c r="M1014" s="69">
        <f t="shared" si="208"/>
        <v>0.81</v>
      </c>
      <c r="N1014" s="56">
        <f>INDEX(Rate_Chart!$A$1:$AK$127,MATCH(Data!J1014,Rate_Chart!$A$1:$A$127,0),MATCH(Data!K1014,Rate_Chart!$A$1:$AK$1,0))</f>
        <v>46.76</v>
      </c>
      <c r="O1014" s="57">
        <f t="shared" si="209"/>
        <v>420.84</v>
      </c>
      <c r="P1014" s="58">
        <f t="shared" si="210"/>
        <v>403.10344827586209</v>
      </c>
      <c r="Q1014" s="58">
        <f t="shared" si="211"/>
        <v>268.73563218390808</v>
      </c>
      <c r="R1014" s="66">
        <f t="shared" si="212"/>
        <v>7.3647</v>
      </c>
      <c r="S1014" s="64">
        <f t="shared" si="213"/>
        <v>33.75</v>
      </c>
      <c r="T1014" s="66">
        <f t="shared" si="214"/>
        <v>461.9547</v>
      </c>
      <c r="U1014" s="68">
        <f t="shared" si="215"/>
        <v>51.328299999999999</v>
      </c>
      <c r="V1014" s="68">
        <f t="shared" si="216"/>
        <v>442.48534482758623</v>
      </c>
      <c r="W1014" s="68">
        <f t="shared" si="217"/>
        <v>294.99022988505749</v>
      </c>
    </row>
    <row r="1015" spans="1:23" x14ac:dyDescent="0.25">
      <c r="A1015" s="1" t="s">
        <v>946</v>
      </c>
      <c r="B1015" s="61" t="s">
        <v>391</v>
      </c>
      <c r="C1015" s="1" t="s">
        <v>585</v>
      </c>
      <c r="D1015" s="1" t="s">
        <v>588</v>
      </c>
      <c r="E1015" s="1" t="s">
        <v>371</v>
      </c>
      <c r="F1015" s="62" t="str">
        <f t="shared" si="206"/>
        <v>64553</v>
      </c>
      <c r="G1015" s="269">
        <v>10620031</v>
      </c>
      <c r="H1015" s="1" t="s">
        <v>382</v>
      </c>
      <c r="I1015" s="61">
        <v>6</v>
      </c>
      <c r="J1015" s="61">
        <v>4.5</v>
      </c>
      <c r="K1015" s="61">
        <v>8.5</v>
      </c>
      <c r="L1015" s="69">
        <f t="shared" si="207"/>
        <v>0.27</v>
      </c>
      <c r="M1015" s="69">
        <f t="shared" si="208"/>
        <v>0.51</v>
      </c>
      <c r="N1015" s="56">
        <f>INDEX(Rate_Chart!$A$1:$AK$127,MATCH(Data!J1015,Rate_Chart!$A$1:$A$127,0),MATCH(Data!K1015,Rate_Chart!$A$1:$AK$1,0))</f>
        <v>42.396181500000004</v>
      </c>
      <c r="O1015" s="57">
        <f t="shared" si="209"/>
        <v>254.37708900000001</v>
      </c>
      <c r="P1015" s="58">
        <f t="shared" si="210"/>
        <v>417.01162131147544</v>
      </c>
      <c r="Q1015" s="58">
        <f t="shared" si="211"/>
        <v>278.00774754098364</v>
      </c>
      <c r="R1015" s="66">
        <f t="shared" si="212"/>
        <v>4.4515990575000011</v>
      </c>
      <c r="S1015" s="64">
        <f t="shared" si="213"/>
        <v>22.5</v>
      </c>
      <c r="T1015" s="66">
        <f t="shared" si="214"/>
        <v>281.32868805750002</v>
      </c>
      <c r="U1015" s="68">
        <f t="shared" si="215"/>
        <v>46.888114676250005</v>
      </c>
      <c r="V1015" s="68">
        <f t="shared" si="216"/>
        <v>461.19457058606559</v>
      </c>
      <c r="W1015" s="68">
        <f t="shared" si="217"/>
        <v>307.46304705737708</v>
      </c>
    </row>
    <row r="1016" spans="1:23" x14ac:dyDescent="0.25">
      <c r="A1016" s="1" t="s">
        <v>947</v>
      </c>
      <c r="B1016" s="61" t="s">
        <v>390</v>
      </c>
      <c r="C1016" s="1" t="s">
        <v>585</v>
      </c>
      <c r="D1016" s="1" t="s">
        <v>588</v>
      </c>
      <c r="E1016" s="1" t="s">
        <v>371</v>
      </c>
      <c r="F1016" s="62" t="str">
        <f t="shared" si="206"/>
        <v>64553</v>
      </c>
      <c r="G1016" s="269">
        <v>10620031</v>
      </c>
      <c r="H1016" s="1" t="s">
        <v>382</v>
      </c>
      <c r="I1016" s="61">
        <v>10</v>
      </c>
      <c r="J1016" s="61">
        <v>4.9000000000000004</v>
      </c>
      <c r="K1016" s="61">
        <v>8.5</v>
      </c>
      <c r="L1016" s="69">
        <f t="shared" si="207"/>
        <v>0.49</v>
      </c>
      <c r="M1016" s="69">
        <f t="shared" si="208"/>
        <v>0.85</v>
      </c>
      <c r="N1016" s="56">
        <f>INDEX(Rate_Chart!$A$1:$AK$127,MATCH(Data!J1016,Rate_Chart!$A$1:$A$127,0),MATCH(Data!K1016,Rate_Chart!$A$1:$AK$1,0))</f>
        <v>44.064181500000004</v>
      </c>
      <c r="O1016" s="57">
        <f t="shared" si="209"/>
        <v>440.64181500000007</v>
      </c>
      <c r="P1016" s="58">
        <f t="shared" si="210"/>
        <v>417.01118138801263</v>
      </c>
      <c r="Q1016" s="58">
        <f t="shared" si="211"/>
        <v>278.00745425867507</v>
      </c>
      <c r="R1016" s="66">
        <f t="shared" si="212"/>
        <v>7.7112317625000015</v>
      </c>
      <c r="S1016" s="64">
        <f t="shared" si="213"/>
        <v>37.5</v>
      </c>
      <c r="T1016" s="66">
        <f t="shared" si="214"/>
        <v>485.85304676250007</v>
      </c>
      <c r="U1016" s="68">
        <f t="shared" si="215"/>
        <v>48.585304676250004</v>
      </c>
      <c r="V1016" s="68">
        <f t="shared" si="216"/>
        <v>459.79783605283916</v>
      </c>
      <c r="W1016" s="68">
        <f t="shared" si="217"/>
        <v>306.53189070189279</v>
      </c>
    </row>
    <row r="1017" spans="1:23" x14ac:dyDescent="0.25">
      <c r="A1017" s="1" t="s">
        <v>947</v>
      </c>
      <c r="B1017" s="61" t="s">
        <v>391</v>
      </c>
      <c r="C1017" s="1" t="s">
        <v>585</v>
      </c>
      <c r="D1017" s="1" t="s">
        <v>588</v>
      </c>
      <c r="E1017" s="1" t="s">
        <v>371</v>
      </c>
      <c r="F1017" s="62" t="str">
        <f t="shared" si="206"/>
        <v>64553</v>
      </c>
      <c r="G1017" s="269">
        <v>10620031</v>
      </c>
      <c r="H1017" s="1" t="s">
        <v>382</v>
      </c>
      <c r="I1017" s="61">
        <v>8</v>
      </c>
      <c r="J1017" s="61">
        <v>4.5</v>
      </c>
      <c r="K1017" s="61">
        <v>8.3000000000000007</v>
      </c>
      <c r="L1017" s="69">
        <f t="shared" si="207"/>
        <v>0.36</v>
      </c>
      <c r="M1017" s="69">
        <f t="shared" si="208"/>
        <v>0.66400000000000003</v>
      </c>
      <c r="N1017" s="56">
        <f>INDEX(Rate_Chart!$A$1:$AK$127,MATCH(Data!J1017,Rate_Chart!$A$1:$A$127,0),MATCH(Data!K1017,Rate_Chart!$A$1:$AK$1,0))</f>
        <v>41.840153700000002</v>
      </c>
      <c r="O1017" s="57">
        <f t="shared" si="209"/>
        <v>334.72122960000002</v>
      </c>
      <c r="P1017" s="58">
        <f t="shared" si="210"/>
        <v>417.01149867109638</v>
      </c>
      <c r="Q1017" s="58">
        <f t="shared" si="211"/>
        <v>278.00766578073092</v>
      </c>
      <c r="R1017" s="66">
        <f t="shared" si="212"/>
        <v>5.8576215180000011</v>
      </c>
      <c r="S1017" s="64">
        <f t="shared" si="213"/>
        <v>30</v>
      </c>
      <c r="T1017" s="66">
        <f t="shared" si="214"/>
        <v>370.57885111799999</v>
      </c>
      <c r="U1017" s="68">
        <f t="shared" si="215"/>
        <v>46.322356389749999</v>
      </c>
      <c r="V1017" s="68">
        <f t="shared" si="216"/>
        <v>461.68461518023258</v>
      </c>
      <c r="W1017" s="68">
        <f t="shared" si="217"/>
        <v>307.78974345348837</v>
      </c>
    </row>
    <row r="1018" spans="1:23" x14ac:dyDescent="0.25">
      <c r="A1018" s="1" t="s">
        <v>941</v>
      </c>
      <c r="B1018" s="61" t="s">
        <v>390</v>
      </c>
      <c r="C1018" s="1" t="s">
        <v>585</v>
      </c>
      <c r="D1018" s="1" t="s">
        <v>854</v>
      </c>
      <c r="E1018" s="1" t="s">
        <v>372</v>
      </c>
      <c r="F1018" s="62" t="str">
        <f t="shared" si="206"/>
        <v>64555</v>
      </c>
      <c r="G1018" s="269">
        <v>10620017</v>
      </c>
      <c r="H1018" s="1" t="s">
        <v>382</v>
      </c>
      <c r="I1018" s="61">
        <v>11</v>
      </c>
      <c r="J1018" s="61">
        <v>3.4</v>
      </c>
      <c r="K1018" s="61">
        <v>8.3000000000000007</v>
      </c>
      <c r="L1018" s="69">
        <f t="shared" si="207"/>
        <v>0.374</v>
      </c>
      <c r="M1018" s="69">
        <f t="shared" si="208"/>
        <v>0.91300000000000014</v>
      </c>
      <c r="N1018" s="56">
        <f>INDEX(Rate_Chart!$A$1:$AK$127,MATCH(Data!J1018,Rate_Chart!$A$1:$A$127,0),MATCH(Data!K1018,Rate_Chart!$A$1:$AK$1,0))</f>
        <v>37.253153700000006</v>
      </c>
      <c r="O1018" s="57">
        <f t="shared" si="209"/>
        <v>409.78469070000006</v>
      </c>
      <c r="P1018" s="58">
        <f t="shared" si="210"/>
        <v>417.01291455223878</v>
      </c>
      <c r="Q1018" s="58">
        <f t="shared" si="211"/>
        <v>278.0086097014925</v>
      </c>
      <c r="R1018" s="66">
        <f t="shared" si="212"/>
        <v>7.1712320872500017</v>
      </c>
      <c r="S1018" s="64">
        <f t="shared" si="213"/>
        <v>41.25</v>
      </c>
      <c r="T1018" s="66">
        <f t="shared" si="214"/>
        <v>458.20592278725007</v>
      </c>
      <c r="U1018" s="68">
        <f t="shared" si="215"/>
        <v>41.65508388975001</v>
      </c>
      <c r="V1018" s="68">
        <f t="shared" si="216"/>
        <v>466.28825249720154</v>
      </c>
      <c r="W1018" s="68">
        <f t="shared" si="217"/>
        <v>310.85883499813434</v>
      </c>
    </row>
    <row r="1019" spans="1:23" x14ac:dyDescent="0.25">
      <c r="A1019" s="1" t="s">
        <v>941</v>
      </c>
      <c r="B1019" s="61" t="s">
        <v>391</v>
      </c>
      <c r="C1019" s="1" t="s">
        <v>585</v>
      </c>
      <c r="D1019" s="1" t="s">
        <v>854</v>
      </c>
      <c r="E1019" s="1" t="s">
        <v>372</v>
      </c>
      <c r="F1019" s="62" t="str">
        <f t="shared" si="206"/>
        <v>64555</v>
      </c>
      <c r="G1019" s="269">
        <v>10620017</v>
      </c>
      <c r="H1019" s="1" t="s">
        <v>382</v>
      </c>
      <c r="I1019" s="61">
        <v>29</v>
      </c>
      <c r="J1019" s="61">
        <v>4.5999999999999996</v>
      </c>
      <c r="K1019" s="61">
        <v>8.3000000000000007</v>
      </c>
      <c r="L1019" s="69">
        <f t="shared" si="207"/>
        <v>1.3339999999999999</v>
      </c>
      <c r="M1019" s="69">
        <f t="shared" si="208"/>
        <v>2.407</v>
      </c>
      <c r="N1019" s="56">
        <f>INDEX(Rate_Chart!$A$1:$AK$127,MATCH(Data!J1019,Rate_Chart!$A$1:$A$127,0),MATCH(Data!K1019,Rate_Chart!$A$1:$AK$1,0))</f>
        <v>42.257153700000003</v>
      </c>
      <c r="O1019" s="57">
        <f t="shared" si="209"/>
        <v>1225.4574573</v>
      </c>
      <c r="P1019" s="58">
        <f t="shared" si="210"/>
        <v>417.01138519736844</v>
      </c>
      <c r="Q1019" s="58">
        <f t="shared" si="211"/>
        <v>278.00759013157898</v>
      </c>
      <c r="R1019" s="66">
        <f t="shared" si="212"/>
        <v>21.445505502750002</v>
      </c>
      <c r="S1019" s="64">
        <f t="shared" si="213"/>
        <v>108.75</v>
      </c>
      <c r="T1019" s="66">
        <f t="shared" si="214"/>
        <v>1355.6529628027499</v>
      </c>
      <c r="U1019" s="68">
        <f t="shared" si="215"/>
        <v>46.74665388975</v>
      </c>
      <c r="V1019" s="68">
        <f t="shared" si="216"/>
        <v>461.31566338569081</v>
      </c>
      <c r="W1019" s="68">
        <f t="shared" si="217"/>
        <v>307.54377559046054</v>
      </c>
    </row>
    <row r="1020" spans="1:23" x14ac:dyDescent="0.25">
      <c r="A1020" s="1" t="s">
        <v>942</v>
      </c>
      <c r="B1020" s="61" t="s">
        <v>390</v>
      </c>
      <c r="C1020" s="1" t="s">
        <v>585</v>
      </c>
      <c r="D1020" s="1" t="s">
        <v>854</v>
      </c>
      <c r="E1020" s="1" t="s">
        <v>372</v>
      </c>
      <c r="F1020" s="62" t="str">
        <f t="shared" si="206"/>
        <v>64555</v>
      </c>
      <c r="G1020" s="269">
        <v>10620017</v>
      </c>
      <c r="H1020" s="1" t="s">
        <v>382</v>
      </c>
      <c r="I1020" s="61">
        <v>15</v>
      </c>
      <c r="J1020" s="61">
        <v>4.5</v>
      </c>
      <c r="K1020" s="61">
        <v>8.5</v>
      </c>
      <c r="L1020" s="69">
        <f t="shared" si="207"/>
        <v>0.67500000000000004</v>
      </c>
      <c r="M1020" s="69">
        <f t="shared" si="208"/>
        <v>1.2749999999999999</v>
      </c>
      <c r="N1020" s="56">
        <f>INDEX(Rate_Chart!$A$1:$AK$127,MATCH(Data!J1020,Rate_Chart!$A$1:$A$127,0),MATCH(Data!K1020,Rate_Chart!$A$1:$AK$1,0))</f>
        <v>42.396181500000004</v>
      </c>
      <c r="O1020" s="57">
        <f t="shared" si="209"/>
        <v>635.94272250000006</v>
      </c>
      <c r="P1020" s="58">
        <f t="shared" si="210"/>
        <v>417.01162131147544</v>
      </c>
      <c r="Q1020" s="58">
        <f t="shared" si="211"/>
        <v>278.00774754098364</v>
      </c>
      <c r="R1020" s="66">
        <f t="shared" si="212"/>
        <v>11.128997643750003</v>
      </c>
      <c r="S1020" s="64">
        <f t="shared" si="213"/>
        <v>56.25</v>
      </c>
      <c r="T1020" s="66">
        <f t="shared" si="214"/>
        <v>703.3217201437501</v>
      </c>
      <c r="U1020" s="68">
        <f t="shared" si="215"/>
        <v>46.888114676250005</v>
      </c>
      <c r="V1020" s="68">
        <f t="shared" si="216"/>
        <v>461.19457058606559</v>
      </c>
      <c r="W1020" s="68">
        <f t="shared" si="217"/>
        <v>307.46304705737708</v>
      </c>
    </row>
    <row r="1021" spans="1:23" x14ac:dyDescent="0.25">
      <c r="A1021" s="1" t="s">
        <v>942</v>
      </c>
      <c r="B1021" s="61" t="s">
        <v>391</v>
      </c>
      <c r="C1021" s="1" t="s">
        <v>585</v>
      </c>
      <c r="D1021" s="1" t="s">
        <v>854</v>
      </c>
      <c r="E1021" s="1" t="s">
        <v>372</v>
      </c>
      <c r="F1021" s="62" t="str">
        <f t="shared" si="206"/>
        <v>64555</v>
      </c>
      <c r="G1021" s="269">
        <v>10620017</v>
      </c>
      <c r="H1021" s="1" t="s">
        <v>382</v>
      </c>
      <c r="I1021" s="61">
        <v>25</v>
      </c>
      <c r="J1021" s="61">
        <v>4.5</v>
      </c>
      <c r="K1021" s="61">
        <v>8.4</v>
      </c>
      <c r="L1021" s="69">
        <f t="shared" si="207"/>
        <v>1.125</v>
      </c>
      <c r="M1021" s="69">
        <f t="shared" si="208"/>
        <v>2.1</v>
      </c>
      <c r="N1021" s="56">
        <f>INDEX(Rate_Chart!$A$1:$AK$127,MATCH(Data!J1021,Rate_Chart!$A$1:$A$127,0),MATCH(Data!K1021,Rate_Chart!$A$1:$AK$1,0))</f>
        <v>42.118167600000007</v>
      </c>
      <c r="O1021" s="57">
        <f t="shared" si="209"/>
        <v>1052.9541900000002</v>
      </c>
      <c r="P1021" s="58">
        <f t="shared" si="210"/>
        <v>417.01156039603967</v>
      </c>
      <c r="Q1021" s="58">
        <f t="shared" si="211"/>
        <v>278.00770693069313</v>
      </c>
      <c r="R1021" s="66">
        <f t="shared" si="212"/>
        <v>18.426698325000004</v>
      </c>
      <c r="S1021" s="64">
        <f t="shared" si="213"/>
        <v>93.75</v>
      </c>
      <c r="T1021" s="66">
        <f t="shared" si="214"/>
        <v>1165.1308883250001</v>
      </c>
      <c r="U1021" s="68">
        <f t="shared" si="215"/>
        <v>46.605235533000005</v>
      </c>
      <c r="V1021" s="68">
        <f t="shared" si="216"/>
        <v>461.43797557425745</v>
      </c>
      <c r="W1021" s="68">
        <f t="shared" si="217"/>
        <v>307.62531704950499</v>
      </c>
    </row>
    <row r="1022" spans="1:23" x14ac:dyDescent="0.25">
      <c r="A1022" s="1" t="s">
        <v>943</v>
      </c>
      <c r="B1022" s="61" t="s">
        <v>390</v>
      </c>
      <c r="C1022" s="1" t="s">
        <v>585</v>
      </c>
      <c r="D1022" s="1" t="s">
        <v>854</v>
      </c>
      <c r="E1022" s="1" t="s">
        <v>372</v>
      </c>
      <c r="F1022" s="62" t="str">
        <f t="shared" si="206"/>
        <v>64555</v>
      </c>
      <c r="G1022" s="269">
        <v>10620017</v>
      </c>
      <c r="H1022" s="1" t="s">
        <v>382</v>
      </c>
      <c r="I1022" s="61">
        <v>23</v>
      </c>
      <c r="J1022" s="61">
        <v>3.3</v>
      </c>
      <c r="K1022" s="61">
        <v>8</v>
      </c>
      <c r="L1022" s="69">
        <f t="shared" si="207"/>
        <v>0.7589999999999999</v>
      </c>
      <c r="M1022" s="69">
        <f t="shared" si="208"/>
        <v>1.84</v>
      </c>
      <c r="N1022" s="56">
        <f>INDEX(Rate_Chart!$A$1:$AK$127,MATCH(Data!J1022,Rate_Chart!$A$1:$A$127,0),MATCH(Data!K1022,Rate_Chart!$A$1:$AK$1,0))</f>
        <v>36.002112000000004</v>
      </c>
      <c r="O1022" s="57">
        <f t="shared" si="209"/>
        <v>828.04857600000014</v>
      </c>
      <c r="P1022" s="58">
        <f t="shared" si="210"/>
        <v>417.01288030888031</v>
      </c>
      <c r="Q1022" s="58">
        <f t="shared" si="211"/>
        <v>278.00858687258687</v>
      </c>
      <c r="R1022" s="66">
        <f t="shared" si="212"/>
        <v>14.490850080000003</v>
      </c>
      <c r="S1022" s="64">
        <f t="shared" si="213"/>
        <v>86.25</v>
      </c>
      <c r="T1022" s="66">
        <f t="shared" si="214"/>
        <v>928.78942608000011</v>
      </c>
      <c r="U1022" s="68">
        <f t="shared" si="215"/>
        <v>40.382148960000002</v>
      </c>
      <c r="V1022" s="68">
        <f t="shared" si="216"/>
        <v>467.74689915057911</v>
      </c>
      <c r="W1022" s="68">
        <f t="shared" si="217"/>
        <v>311.83126610038607</v>
      </c>
    </row>
    <row r="1023" spans="1:23" x14ac:dyDescent="0.25">
      <c r="A1023" s="1" t="s">
        <v>943</v>
      </c>
      <c r="B1023" s="61" t="s">
        <v>391</v>
      </c>
      <c r="C1023" s="1" t="s">
        <v>585</v>
      </c>
      <c r="D1023" s="1" t="s">
        <v>854</v>
      </c>
      <c r="E1023" s="1" t="s">
        <v>372</v>
      </c>
      <c r="F1023" s="62" t="str">
        <f t="shared" si="206"/>
        <v>64555</v>
      </c>
      <c r="G1023" s="269">
        <v>10620017</v>
      </c>
      <c r="H1023" s="1" t="s">
        <v>382</v>
      </c>
      <c r="I1023" s="61">
        <v>24</v>
      </c>
      <c r="J1023" s="61">
        <v>4.0999999999999996</v>
      </c>
      <c r="K1023" s="61">
        <v>8.3000000000000007</v>
      </c>
      <c r="L1023" s="69">
        <f t="shared" ref="L1023:L1055" si="218">J1023*I1023/100</f>
        <v>0.98399999999999987</v>
      </c>
      <c r="M1023" s="69">
        <f t="shared" ref="M1023:M1055" si="219">K1023*I1023/100</f>
        <v>1.9920000000000002</v>
      </c>
      <c r="N1023" s="56">
        <f>INDEX(Rate_Chart!$A$1:$AK$127,MATCH(Data!J1023,Rate_Chart!$A$1:$A$127,0),MATCH(Data!K1023,Rate_Chart!$A$1:$AK$1,0))</f>
        <v>40.172153700000003</v>
      </c>
      <c r="O1023" s="57">
        <f t="shared" ref="O1023:O1055" si="220">N1023*I1023</f>
        <v>964.13168880000012</v>
      </c>
      <c r="P1023" s="58">
        <f t="shared" ref="P1023:P1055" si="221">N1023/(J1023%+K1023%*2/3)</f>
        <v>417.01197612456752</v>
      </c>
      <c r="Q1023" s="58">
        <f t="shared" ref="Q1023:Q1055" si="222">P1023*2/3</f>
        <v>278.00798408304502</v>
      </c>
      <c r="R1023" s="66">
        <f t="shared" ref="R1023:R1055" si="223">O1023*1.75%</f>
        <v>16.872304554000003</v>
      </c>
      <c r="S1023" s="64">
        <f t="shared" ref="S1023:S1055" si="224">I1023*3.75</f>
        <v>90</v>
      </c>
      <c r="T1023" s="66">
        <f t="shared" ref="T1023:T1055" si="225">R1023+S1023+O1023</f>
        <v>1071.0039933540002</v>
      </c>
      <c r="U1023" s="68">
        <f t="shared" ref="U1023:U1055" si="226">T1023/I1023</f>
        <v>44.625166389750007</v>
      </c>
      <c r="V1023" s="68">
        <f t="shared" ref="V1023:V1055" si="227">U1023/(J1023%+K1023%*2/3)</f>
        <v>463.23702134688591</v>
      </c>
      <c r="W1023" s="68">
        <f t="shared" ref="W1023:W1055" si="228">V1023*2/3</f>
        <v>308.82468089792394</v>
      </c>
    </row>
    <row r="1024" spans="1:23" x14ac:dyDescent="0.25">
      <c r="A1024" s="1" t="s">
        <v>944</v>
      </c>
      <c r="B1024" s="61" t="s">
        <v>390</v>
      </c>
      <c r="C1024" s="1" t="s">
        <v>585</v>
      </c>
      <c r="D1024" s="1" t="s">
        <v>854</v>
      </c>
      <c r="E1024" s="1" t="s">
        <v>372</v>
      </c>
      <c r="F1024" s="62" t="str">
        <f t="shared" si="206"/>
        <v>64555</v>
      </c>
      <c r="G1024" s="269">
        <v>10620017</v>
      </c>
      <c r="H1024" s="1" t="s">
        <v>382</v>
      </c>
      <c r="I1024" s="61">
        <v>21</v>
      </c>
      <c r="J1024" s="61">
        <v>3.4</v>
      </c>
      <c r="K1024" s="61">
        <v>8</v>
      </c>
      <c r="L1024" s="69">
        <f t="shared" si="218"/>
        <v>0.71399999999999997</v>
      </c>
      <c r="M1024" s="69">
        <f t="shared" si="219"/>
        <v>1.68</v>
      </c>
      <c r="N1024" s="56">
        <f>INDEX(Rate_Chart!$A$1:$AK$127,MATCH(Data!J1024,Rate_Chart!$A$1:$A$127,0),MATCH(Data!K1024,Rate_Chart!$A$1:$AK$1,0))</f>
        <v>36.419112000000005</v>
      </c>
      <c r="O1024" s="57">
        <f t="shared" si="220"/>
        <v>764.80135200000007</v>
      </c>
      <c r="P1024" s="58">
        <f t="shared" si="221"/>
        <v>417.01273282442747</v>
      </c>
      <c r="Q1024" s="58">
        <f t="shared" si="222"/>
        <v>278.00848854961833</v>
      </c>
      <c r="R1024" s="66">
        <f t="shared" si="223"/>
        <v>13.384023660000002</v>
      </c>
      <c r="S1024" s="64">
        <f t="shared" si="224"/>
        <v>78.75</v>
      </c>
      <c r="T1024" s="66">
        <f t="shared" si="225"/>
        <v>856.93537566000009</v>
      </c>
      <c r="U1024" s="68">
        <f t="shared" si="226"/>
        <v>40.806446460000004</v>
      </c>
      <c r="V1024" s="68">
        <f t="shared" si="227"/>
        <v>467.24938694656487</v>
      </c>
      <c r="W1024" s="68">
        <f t="shared" si="228"/>
        <v>311.49959129770991</v>
      </c>
    </row>
    <row r="1025" spans="1:23" x14ac:dyDescent="0.25">
      <c r="A1025" s="1" t="s">
        <v>944</v>
      </c>
      <c r="B1025" s="61" t="s">
        <v>391</v>
      </c>
      <c r="C1025" s="1" t="s">
        <v>585</v>
      </c>
      <c r="D1025" s="1" t="s">
        <v>854</v>
      </c>
      <c r="E1025" s="1" t="s">
        <v>372</v>
      </c>
      <c r="F1025" s="62" t="str">
        <f t="shared" si="206"/>
        <v>64555</v>
      </c>
      <c r="G1025" s="269">
        <v>10620017</v>
      </c>
      <c r="H1025" s="1" t="s">
        <v>382</v>
      </c>
      <c r="I1025" s="61">
        <v>17</v>
      </c>
      <c r="J1025" s="61">
        <v>4.3</v>
      </c>
      <c r="K1025" s="61">
        <v>8.5</v>
      </c>
      <c r="L1025" s="69">
        <f t="shared" si="218"/>
        <v>0.73099999999999998</v>
      </c>
      <c r="M1025" s="69">
        <f t="shared" si="219"/>
        <v>1.4450000000000001</v>
      </c>
      <c r="N1025" s="56">
        <f>INDEX(Rate_Chart!$A$1:$AK$127,MATCH(Data!J1025,Rate_Chart!$A$1:$A$127,0),MATCH(Data!K1025,Rate_Chart!$A$1:$AK$1,0))</f>
        <v>41.562181500000001</v>
      </c>
      <c r="O1025" s="57">
        <f t="shared" si="220"/>
        <v>706.55708549999997</v>
      </c>
      <c r="P1025" s="58">
        <f t="shared" si="221"/>
        <v>417.01185451505017</v>
      </c>
      <c r="Q1025" s="58">
        <f t="shared" si="222"/>
        <v>278.00790301003343</v>
      </c>
      <c r="R1025" s="66">
        <f t="shared" si="223"/>
        <v>12.36474899625</v>
      </c>
      <c r="S1025" s="64">
        <f t="shared" si="224"/>
        <v>63.75</v>
      </c>
      <c r="T1025" s="66">
        <f t="shared" si="225"/>
        <v>782.67183449624997</v>
      </c>
      <c r="U1025" s="68">
        <f t="shared" si="226"/>
        <v>46.039519676249995</v>
      </c>
      <c r="V1025" s="68">
        <f t="shared" si="227"/>
        <v>461.93498002926418</v>
      </c>
      <c r="W1025" s="68">
        <f t="shared" si="228"/>
        <v>307.95665335284281</v>
      </c>
    </row>
    <row r="1026" spans="1:23" x14ac:dyDescent="0.25">
      <c r="A1026" s="1" t="s">
        <v>945</v>
      </c>
      <c r="B1026" s="61" t="s">
        <v>390</v>
      </c>
      <c r="C1026" s="1" t="s">
        <v>585</v>
      </c>
      <c r="D1026" s="1" t="s">
        <v>854</v>
      </c>
      <c r="E1026" s="1" t="s">
        <v>372</v>
      </c>
      <c r="F1026" s="62" t="str">
        <f t="shared" si="206"/>
        <v>64555</v>
      </c>
      <c r="G1026" s="269">
        <v>10620017</v>
      </c>
      <c r="H1026" s="1" t="s">
        <v>382</v>
      </c>
      <c r="I1026" s="61">
        <v>23</v>
      </c>
      <c r="J1026" s="61">
        <v>3.2</v>
      </c>
      <c r="K1026" s="61">
        <v>8</v>
      </c>
      <c r="L1026" s="69">
        <f t="shared" si="218"/>
        <v>0.7360000000000001</v>
      </c>
      <c r="M1026" s="69">
        <f t="shared" si="219"/>
        <v>1.84</v>
      </c>
      <c r="N1026" s="56">
        <f>INDEX(Rate_Chart!$A$1:$AK$127,MATCH(Data!J1026,Rate_Chart!$A$1:$A$127,0),MATCH(Data!K1026,Rate_Chart!$A$1:$AK$1,0))</f>
        <v>35.585112000000002</v>
      </c>
      <c r="O1026" s="57">
        <f t="shared" si="220"/>
        <v>818.45757600000002</v>
      </c>
      <c r="P1026" s="58">
        <f t="shared" si="221"/>
        <v>417.01303124999998</v>
      </c>
      <c r="Q1026" s="58">
        <f t="shared" si="222"/>
        <v>278.00868750000001</v>
      </c>
      <c r="R1026" s="66">
        <f t="shared" si="223"/>
        <v>14.323007580000002</v>
      </c>
      <c r="S1026" s="64">
        <f t="shared" si="224"/>
        <v>86.25</v>
      </c>
      <c r="T1026" s="66">
        <f t="shared" si="225"/>
        <v>919.03058357999998</v>
      </c>
      <c r="U1026" s="68">
        <f t="shared" si="226"/>
        <v>39.957851460000001</v>
      </c>
      <c r="V1026" s="68">
        <f t="shared" si="227"/>
        <v>468.25607179687495</v>
      </c>
      <c r="W1026" s="68">
        <f t="shared" si="228"/>
        <v>312.17071453124998</v>
      </c>
    </row>
    <row r="1027" spans="1:23" x14ac:dyDescent="0.25">
      <c r="A1027" s="1" t="s">
        <v>945</v>
      </c>
      <c r="B1027" s="61" t="s">
        <v>391</v>
      </c>
      <c r="C1027" s="1" t="s">
        <v>585</v>
      </c>
      <c r="D1027" s="1" t="s">
        <v>854</v>
      </c>
      <c r="E1027" s="1" t="s">
        <v>372</v>
      </c>
      <c r="F1027" s="62" t="str">
        <f t="shared" si="206"/>
        <v>64555</v>
      </c>
      <c r="G1027" s="269">
        <v>10620017</v>
      </c>
      <c r="H1027" s="1" t="s">
        <v>382</v>
      </c>
      <c r="I1027" s="61">
        <v>19</v>
      </c>
      <c r="J1027" s="61">
        <v>4.5</v>
      </c>
      <c r="K1027" s="61">
        <v>8.1999999999999993</v>
      </c>
      <c r="L1027" s="69">
        <f t="shared" si="218"/>
        <v>0.85499999999999998</v>
      </c>
      <c r="M1027" s="69">
        <f t="shared" si="219"/>
        <v>1.5579999999999998</v>
      </c>
      <c r="N1027" s="56">
        <f>INDEX(Rate_Chart!$A$1:$AK$127,MATCH(Data!J1027,Rate_Chart!$A$1:$A$127,0),MATCH(Data!K1027,Rate_Chart!$A$1:$AK$1,0))</f>
        <v>41.562139799999997</v>
      </c>
      <c r="O1027" s="57">
        <f t="shared" si="220"/>
        <v>789.68065619999993</v>
      </c>
      <c r="P1027" s="58">
        <f t="shared" si="221"/>
        <v>417.01143612040136</v>
      </c>
      <c r="Q1027" s="58">
        <f t="shared" si="222"/>
        <v>278.00762408026759</v>
      </c>
      <c r="R1027" s="66">
        <f t="shared" si="223"/>
        <v>13.8194114835</v>
      </c>
      <c r="S1027" s="64">
        <f t="shared" si="224"/>
        <v>71.25</v>
      </c>
      <c r="T1027" s="66">
        <f t="shared" si="225"/>
        <v>874.75006768349999</v>
      </c>
      <c r="U1027" s="68">
        <f t="shared" si="226"/>
        <v>46.039477246499999</v>
      </c>
      <c r="V1027" s="68">
        <f t="shared" si="227"/>
        <v>461.93455431270905</v>
      </c>
      <c r="W1027" s="68">
        <f t="shared" si="228"/>
        <v>307.95636954180605</v>
      </c>
    </row>
    <row r="1028" spans="1:23" x14ac:dyDescent="0.25">
      <c r="A1028" s="1" t="s">
        <v>946</v>
      </c>
      <c r="B1028" s="61" t="s">
        <v>390</v>
      </c>
      <c r="C1028" s="1" t="s">
        <v>585</v>
      </c>
      <c r="D1028" s="1" t="s">
        <v>854</v>
      </c>
      <c r="E1028" s="1" t="s">
        <v>372</v>
      </c>
      <c r="F1028" s="62" t="str">
        <f t="shared" si="206"/>
        <v>64555</v>
      </c>
      <c r="G1028" s="269">
        <v>10620017</v>
      </c>
      <c r="H1028" s="1" t="s">
        <v>382</v>
      </c>
      <c r="I1028" s="61">
        <v>29</v>
      </c>
      <c r="J1028" s="61">
        <v>3.5</v>
      </c>
      <c r="K1028" s="61">
        <v>8.1</v>
      </c>
      <c r="L1028" s="69">
        <f t="shared" si="218"/>
        <v>1.0149999999999999</v>
      </c>
      <c r="M1028" s="69">
        <f t="shared" si="219"/>
        <v>2.3489999999999998</v>
      </c>
      <c r="N1028" s="56">
        <f>INDEX(Rate_Chart!$A$1:$AK$127,MATCH(Data!J1028,Rate_Chart!$A$1:$A$127,0),MATCH(Data!K1028,Rate_Chart!$A$1:$AK$1,0))</f>
        <v>37.114125900000005</v>
      </c>
      <c r="O1028" s="57">
        <f t="shared" si="220"/>
        <v>1076.3096511000001</v>
      </c>
      <c r="P1028" s="58">
        <f t="shared" si="221"/>
        <v>417.01265056179784</v>
      </c>
      <c r="Q1028" s="58">
        <f t="shared" si="222"/>
        <v>278.00843370786521</v>
      </c>
      <c r="R1028" s="66">
        <f t="shared" si="223"/>
        <v>18.835418894250004</v>
      </c>
      <c r="S1028" s="64">
        <f t="shared" si="224"/>
        <v>108.75</v>
      </c>
      <c r="T1028" s="66">
        <f t="shared" si="225"/>
        <v>1203.8950699942502</v>
      </c>
      <c r="U1028" s="68">
        <f t="shared" si="226"/>
        <v>41.513623103250005</v>
      </c>
      <c r="V1028" s="68">
        <f t="shared" si="227"/>
        <v>466.44520340730344</v>
      </c>
      <c r="W1028" s="68">
        <f t="shared" si="228"/>
        <v>310.96346893820231</v>
      </c>
    </row>
    <row r="1029" spans="1:23" x14ac:dyDescent="0.25">
      <c r="A1029" s="1" t="s">
        <v>946</v>
      </c>
      <c r="B1029" s="61" t="s">
        <v>391</v>
      </c>
      <c r="C1029" s="1" t="s">
        <v>585</v>
      </c>
      <c r="D1029" s="1" t="s">
        <v>854</v>
      </c>
      <c r="E1029" s="1" t="s">
        <v>372</v>
      </c>
      <c r="F1029" s="62" t="str">
        <f t="shared" ref="F1029:F1092" si="229">MID(E1029,2,5)</f>
        <v>64555</v>
      </c>
      <c r="G1029" s="269">
        <v>10620017</v>
      </c>
      <c r="H1029" s="1" t="s">
        <v>382</v>
      </c>
      <c r="I1029" s="61">
        <v>21</v>
      </c>
      <c r="J1029" s="61">
        <v>4.7</v>
      </c>
      <c r="K1029" s="61">
        <v>8.5</v>
      </c>
      <c r="L1029" s="69">
        <f t="shared" si="218"/>
        <v>0.98699999999999999</v>
      </c>
      <c r="M1029" s="69">
        <f t="shared" si="219"/>
        <v>1.7849999999999999</v>
      </c>
      <c r="N1029" s="56">
        <f>INDEX(Rate_Chart!$A$1:$AK$127,MATCH(Data!J1029,Rate_Chart!$A$1:$A$127,0),MATCH(Data!K1029,Rate_Chart!$A$1:$AK$1,0))</f>
        <v>43.2301815</v>
      </c>
      <c r="O1029" s="57">
        <f t="shared" si="220"/>
        <v>907.83381150000002</v>
      </c>
      <c r="P1029" s="58">
        <f t="shared" si="221"/>
        <v>417.01139710610931</v>
      </c>
      <c r="Q1029" s="58">
        <f t="shared" si="222"/>
        <v>278.00759807073956</v>
      </c>
      <c r="R1029" s="66">
        <f t="shared" si="223"/>
        <v>15.887091701250002</v>
      </c>
      <c r="S1029" s="64">
        <f t="shared" si="224"/>
        <v>78.75</v>
      </c>
      <c r="T1029" s="66">
        <f t="shared" si="225"/>
        <v>1002.4709032012501</v>
      </c>
      <c r="U1029" s="68">
        <f t="shared" si="226"/>
        <v>47.736709676250001</v>
      </c>
      <c r="V1029" s="68">
        <f t="shared" si="227"/>
        <v>460.48272999598072</v>
      </c>
      <c r="W1029" s="68">
        <f t="shared" si="228"/>
        <v>306.98848666398715</v>
      </c>
    </row>
    <row r="1030" spans="1:23" x14ac:dyDescent="0.25">
      <c r="A1030" s="1" t="s">
        <v>947</v>
      </c>
      <c r="B1030" s="61" t="s">
        <v>390</v>
      </c>
      <c r="C1030" s="1" t="s">
        <v>585</v>
      </c>
      <c r="D1030" s="1" t="s">
        <v>854</v>
      </c>
      <c r="E1030" s="1" t="s">
        <v>372</v>
      </c>
      <c r="F1030" s="62" t="str">
        <f t="shared" si="229"/>
        <v>64555</v>
      </c>
      <c r="G1030" s="269">
        <v>10620017</v>
      </c>
      <c r="H1030" s="1" t="s">
        <v>382</v>
      </c>
      <c r="I1030" s="61">
        <v>15</v>
      </c>
      <c r="J1030" s="61">
        <v>3.2</v>
      </c>
      <c r="K1030" s="61">
        <v>8.1</v>
      </c>
      <c r="L1030" s="69">
        <f t="shared" si="218"/>
        <v>0.48</v>
      </c>
      <c r="M1030" s="69">
        <f t="shared" si="219"/>
        <v>1.2150000000000001</v>
      </c>
      <c r="N1030" s="56">
        <f>INDEX(Rate_Chart!$A$1:$AK$127,MATCH(Data!J1030,Rate_Chart!$A$1:$A$127,0),MATCH(Data!K1030,Rate_Chart!$A$1:$AK$1,0))</f>
        <v>35.8631259</v>
      </c>
      <c r="O1030" s="57">
        <f t="shared" si="220"/>
        <v>537.9468885</v>
      </c>
      <c r="P1030" s="58">
        <f t="shared" si="221"/>
        <v>417.01309186046512</v>
      </c>
      <c r="Q1030" s="58">
        <f t="shared" si="222"/>
        <v>278.00872790697673</v>
      </c>
      <c r="R1030" s="66">
        <f t="shared" si="223"/>
        <v>9.4140705487500007</v>
      </c>
      <c r="S1030" s="64">
        <f t="shared" si="224"/>
        <v>56.25</v>
      </c>
      <c r="T1030" s="66">
        <f t="shared" si="225"/>
        <v>603.61095904875003</v>
      </c>
      <c r="U1030" s="68">
        <f t="shared" si="226"/>
        <v>40.24073060325</v>
      </c>
      <c r="V1030" s="68">
        <f t="shared" si="227"/>
        <v>467.91547213081401</v>
      </c>
      <c r="W1030" s="68">
        <f t="shared" si="228"/>
        <v>311.94364808720934</v>
      </c>
    </row>
    <row r="1031" spans="1:23" x14ac:dyDescent="0.25">
      <c r="A1031" s="1" t="s">
        <v>947</v>
      </c>
      <c r="B1031" s="61" t="s">
        <v>391</v>
      </c>
      <c r="C1031" s="1" t="s">
        <v>585</v>
      </c>
      <c r="D1031" s="1" t="s">
        <v>854</v>
      </c>
      <c r="E1031" s="1" t="s">
        <v>372</v>
      </c>
      <c r="F1031" s="62" t="str">
        <f t="shared" si="229"/>
        <v>64555</v>
      </c>
      <c r="G1031" s="269">
        <v>10620017</v>
      </c>
      <c r="H1031" s="1" t="s">
        <v>382</v>
      </c>
      <c r="I1031" s="61">
        <v>9</v>
      </c>
      <c r="J1031" s="61">
        <v>4.5999999999999996</v>
      </c>
      <c r="K1031" s="61">
        <v>8.5</v>
      </c>
      <c r="L1031" s="69">
        <f t="shared" si="218"/>
        <v>0.41399999999999998</v>
      </c>
      <c r="M1031" s="69">
        <f t="shared" si="219"/>
        <v>0.76500000000000001</v>
      </c>
      <c r="N1031" s="56">
        <f>INDEX(Rate_Chart!$A$1:$AK$127,MATCH(Data!J1031,Rate_Chart!$A$1:$A$127,0),MATCH(Data!K1031,Rate_Chart!$A$1:$AK$1,0))</f>
        <v>42.813181499999999</v>
      </c>
      <c r="O1031" s="57">
        <f t="shared" si="220"/>
        <v>385.31863349999998</v>
      </c>
      <c r="P1031" s="58">
        <f t="shared" si="221"/>
        <v>417.01150811688308</v>
      </c>
      <c r="Q1031" s="58">
        <f t="shared" si="222"/>
        <v>278.00767207792205</v>
      </c>
      <c r="R1031" s="66">
        <f t="shared" si="223"/>
        <v>6.7430760862500003</v>
      </c>
      <c r="S1031" s="64">
        <f t="shared" si="224"/>
        <v>33.75</v>
      </c>
      <c r="T1031" s="66">
        <f t="shared" si="225"/>
        <v>425.81170958625</v>
      </c>
      <c r="U1031" s="68">
        <f t="shared" si="226"/>
        <v>47.31241217625</v>
      </c>
      <c r="V1031" s="68">
        <f t="shared" si="227"/>
        <v>460.83518353490257</v>
      </c>
      <c r="W1031" s="68">
        <f t="shared" si="228"/>
        <v>307.22345568993507</v>
      </c>
    </row>
    <row r="1032" spans="1:23" x14ac:dyDescent="0.25">
      <c r="A1032" s="1" t="s">
        <v>941</v>
      </c>
      <c r="B1032" s="61" t="s">
        <v>390</v>
      </c>
      <c r="C1032" s="1" t="s">
        <v>585</v>
      </c>
      <c r="D1032" s="1" t="s">
        <v>587</v>
      </c>
      <c r="E1032" s="1" t="s">
        <v>373</v>
      </c>
      <c r="F1032" s="62" t="str">
        <f t="shared" si="229"/>
        <v>64559</v>
      </c>
      <c r="G1032" s="269">
        <v>10620042</v>
      </c>
      <c r="H1032" s="1" t="s">
        <v>381</v>
      </c>
      <c r="I1032" s="61">
        <v>21</v>
      </c>
      <c r="J1032" s="61">
        <v>8.6</v>
      </c>
      <c r="K1032" s="61">
        <v>9</v>
      </c>
      <c r="L1032" s="69">
        <f t="shared" si="218"/>
        <v>1.806</v>
      </c>
      <c r="M1032" s="69">
        <f t="shared" si="219"/>
        <v>1.89</v>
      </c>
      <c r="N1032" s="56">
        <f>INDEX(Rate_Chart!$A$1:$AK$127,MATCH(Data!J1032,Rate_Chart!$A$1:$A$127,0),MATCH(Data!K1032,Rate_Chart!$A$1:$AK$1,0))</f>
        <v>71.809999999999988</v>
      </c>
      <c r="O1032" s="57">
        <f t="shared" si="220"/>
        <v>1508.0099999999998</v>
      </c>
      <c r="P1032" s="58">
        <f t="shared" si="221"/>
        <v>491.84931506849313</v>
      </c>
      <c r="Q1032" s="58">
        <f t="shared" si="222"/>
        <v>327.89954337899542</v>
      </c>
      <c r="R1032" s="66">
        <f t="shared" si="223"/>
        <v>26.390174999999999</v>
      </c>
      <c r="S1032" s="64">
        <f t="shared" si="224"/>
        <v>78.75</v>
      </c>
      <c r="T1032" s="66">
        <f t="shared" si="225"/>
        <v>1613.1501749999998</v>
      </c>
      <c r="U1032" s="68">
        <f t="shared" si="226"/>
        <v>76.816674999999989</v>
      </c>
      <c r="V1032" s="68">
        <f t="shared" si="227"/>
        <v>526.14160958904108</v>
      </c>
      <c r="W1032" s="68">
        <f t="shared" si="228"/>
        <v>350.76107305936074</v>
      </c>
    </row>
    <row r="1033" spans="1:23" x14ac:dyDescent="0.25">
      <c r="A1033" s="1" t="s">
        <v>941</v>
      </c>
      <c r="B1033" s="61" t="s">
        <v>391</v>
      </c>
      <c r="C1033" s="1" t="s">
        <v>585</v>
      </c>
      <c r="D1033" s="1" t="s">
        <v>587</v>
      </c>
      <c r="E1033" s="1" t="s">
        <v>373</v>
      </c>
      <c r="F1033" s="62" t="str">
        <f t="shared" si="229"/>
        <v>64559</v>
      </c>
      <c r="G1033" s="269">
        <v>10620042</v>
      </c>
      <c r="H1033" s="1" t="s">
        <v>381</v>
      </c>
      <c r="I1033" s="61">
        <v>26</v>
      </c>
      <c r="J1033" s="61">
        <v>5.5</v>
      </c>
      <c r="K1033" s="61">
        <v>8.5</v>
      </c>
      <c r="L1033" s="69">
        <f t="shared" si="218"/>
        <v>1.43</v>
      </c>
      <c r="M1033" s="69">
        <f t="shared" si="219"/>
        <v>2.21</v>
      </c>
      <c r="N1033" s="56">
        <f>INDEX(Rate_Chart!$A$1:$AK$127,MATCH(Data!J1033,Rate_Chart!$A$1:$A$127,0),MATCH(Data!K1033,Rate_Chart!$A$1:$AK$1,0))</f>
        <v>46.566181499999999</v>
      </c>
      <c r="O1033" s="57">
        <f t="shared" si="220"/>
        <v>1210.7207189999999</v>
      </c>
      <c r="P1033" s="58">
        <f t="shared" si="221"/>
        <v>417.01058059701495</v>
      </c>
      <c r="Q1033" s="58">
        <f t="shared" si="222"/>
        <v>278.00705373134332</v>
      </c>
      <c r="R1033" s="66">
        <f t="shared" si="223"/>
        <v>21.187612582500002</v>
      </c>
      <c r="S1033" s="64">
        <f t="shared" si="224"/>
        <v>97.5</v>
      </c>
      <c r="T1033" s="66">
        <f t="shared" si="225"/>
        <v>1329.4083315824998</v>
      </c>
      <c r="U1033" s="68">
        <f t="shared" si="226"/>
        <v>51.131089676249992</v>
      </c>
      <c r="V1033" s="68">
        <f t="shared" si="227"/>
        <v>457.89035530970142</v>
      </c>
      <c r="W1033" s="68">
        <f t="shared" si="228"/>
        <v>305.26023687313426</v>
      </c>
    </row>
    <row r="1034" spans="1:23" x14ac:dyDescent="0.25">
      <c r="A1034" s="1" t="s">
        <v>942</v>
      </c>
      <c r="B1034" s="61" t="s">
        <v>390</v>
      </c>
      <c r="C1034" s="1" t="s">
        <v>585</v>
      </c>
      <c r="D1034" s="1" t="s">
        <v>587</v>
      </c>
      <c r="E1034" s="1" t="s">
        <v>373</v>
      </c>
      <c r="F1034" s="62" t="str">
        <f t="shared" si="229"/>
        <v>64559</v>
      </c>
      <c r="G1034" s="269">
        <v>10620042</v>
      </c>
      <c r="H1034" s="1" t="s">
        <v>381</v>
      </c>
      <c r="I1034" s="61">
        <v>29</v>
      </c>
      <c r="J1034" s="61">
        <v>7.7</v>
      </c>
      <c r="K1034" s="61">
        <v>9</v>
      </c>
      <c r="L1034" s="69">
        <f t="shared" si="218"/>
        <v>2.2330000000000001</v>
      </c>
      <c r="M1034" s="69">
        <f t="shared" si="219"/>
        <v>2.61</v>
      </c>
      <c r="N1034" s="56">
        <f>INDEX(Rate_Chart!$A$1:$AK$127,MATCH(Data!J1034,Rate_Chart!$A$1:$A$127,0),MATCH(Data!K1034,Rate_Chart!$A$1:$AK$1,0))</f>
        <v>64.295000000000002</v>
      </c>
      <c r="O1034" s="57">
        <f t="shared" si="220"/>
        <v>1864.5550000000001</v>
      </c>
      <c r="P1034" s="58">
        <f t="shared" si="221"/>
        <v>469.30656934306569</v>
      </c>
      <c r="Q1034" s="58">
        <f t="shared" si="222"/>
        <v>312.87104622871044</v>
      </c>
      <c r="R1034" s="66">
        <f t="shared" si="223"/>
        <v>32.629712500000004</v>
      </c>
      <c r="S1034" s="64">
        <f t="shared" si="224"/>
        <v>108.75</v>
      </c>
      <c r="T1034" s="66">
        <f t="shared" si="225"/>
        <v>2005.9347125000002</v>
      </c>
      <c r="U1034" s="68">
        <f t="shared" si="226"/>
        <v>69.170162500000004</v>
      </c>
      <c r="V1034" s="68">
        <f t="shared" si="227"/>
        <v>504.89169708029198</v>
      </c>
      <c r="W1034" s="68">
        <f t="shared" si="228"/>
        <v>336.59446472019465</v>
      </c>
    </row>
    <row r="1035" spans="1:23" x14ac:dyDescent="0.25">
      <c r="A1035" s="1" t="s">
        <v>942</v>
      </c>
      <c r="B1035" s="61" t="s">
        <v>391</v>
      </c>
      <c r="C1035" s="1" t="s">
        <v>585</v>
      </c>
      <c r="D1035" s="1" t="s">
        <v>587</v>
      </c>
      <c r="E1035" s="1" t="s">
        <v>373</v>
      </c>
      <c r="F1035" s="62" t="str">
        <f t="shared" si="229"/>
        <v>64559</v>
      </c>
      <c r="G1035" s="269">
        <v>10620042</v>
      </c>
      <c r="H1035" s="1" t="s">
        <v>381</v>
      </c>
      <c r="I1035" s="61">
        <v>27</v>
      </c>
      <c r="J1035" s="61">
        <v>5.6</v>
      </c>
      <c r="K1035" s="61">
        <v>8.8000000000000007</v>
      </c>
      <c r="L1035" s="69">
        <f t="shared" si="218"/>
        <v>1.5119999999999998</v>
      </c>
      <c r="M1035" s="69">
        <f t="shared" si="219"/>
        <v>2.3760000000000003</v>
      </c>
      <c r="N1035" s="56">
        <f>INDEX(Rate_Chart!$A$1:$AK$127,MATCH(Data!J1035,Rate_Chart!$A$1:$A$127,0),MATCH(Data!K1035,Rate_Chart!$A$1:$AK$1,0))</f>
        <v>46.292400000000001</v>
      </c>
      <c r="O1035" s="57">
        <f t="shared" si="220"/>
        <v>1249.8948</v>
      </c>
      <c r="P1035" s="58">
        <f t="shared" si="221"/>
        <v>403.71279069767445</v>
      </c>
      <c r="Q1035" s="58">
        <f t="shared" si="222"/>
        <v>269.14186046511628</v>
      </c>
      <c r="R1035" s="66">
        <f t="shared" si="223"/>
        <v>21.873159000000001</v>
      </c>
      <c r="S1035" s="64">
        <f t="shared" si="224"/>
        <v>101.25</v>
      </c>
      <c r="T1035" s="66">
        <f t="shared" si="225"/>
        <v>1373.017959</v>
      </c>
      <c r="U1035" s="68">
        <f t="shared" si="226"/>
        <v>50.852516999999999</v>
      </c>
      <c r="V1035" s="68">
        <f t="shared" si="227"/>
        <v>443.48125290697675</v>
      </c>
      <c r="W1035" s="68">
        <f t="shared" si="228"/>
        <v>295.65416860465115</v>
      </c>
    </row>
    <row r="1036" spans="1:23" x14ac:dyDescent="0.25">
      <c r="A1036" s="1" t="s">
        <v>943</v>
      </c>
      <c r="B1036" s="61" t="s">
        <v>390</v>
      </c>
      <c r="C1036" s="1" t="s">
        <v>585</v>
      </c>
      <c r="D1036" s="1" t="s">
        <v>587</v>
      </c>
      <c r="E1036" s="1" t="s">
        <v>373</v>
      </c>
      <c r="F1036" s="62" t="str">
        <f t="shared" si="229"/>
        <v>64559</v>
      </c>
      <c r="G1036" s="269">
        <v>10620042</v>
      </c>
      <c r="H1036" s="1" t="s">
        <v>381</v>
      </c>
      <c r="I1036" s="61">
        <v>30</v>
      </c>
      <c r="J1036" s="61">
        <v>7.8</v>
      </c>
      <c r="K1036" s="61">
        <v>9</v>
      </c>
      <c r="L1036" s="69">
        <f t="shared" si="218"/>
        <v>2.34</v>
      </c>
      <c r="M1036" s="69">
        <f t="shared" si="219"/>
        <v>2.7</v>
      </c>
      <c r="N1036" s="56">
        <f>INDEX(Rate_Chart!$A$1:$AK$127,MATCH(Data!J1036,Rate_Chart!$A$1:$A$127,0),MATCH(Data!K1036,Rate_Chart!$A$1:$AK$1,0))</f>
        <v>65.13</v>
      </c>
      <c r="O1036" s="57">
        <f t="shared" si="220"/>
        <v>1953.8999999999999</v>
      </c>
      <c r="P1036" s="58">
        <f t="shared" si="221"/>
        <v>471.95652173913038</v>
      </c>
      <c r="Q1036" s="58">
        <f t="shared" si="222"/>
        <v>314.63768115942025</v>
      </c>
      <c r="R1036" s="66">
        <f t="shared" si="223"/>
        <v>34.193249999999999</v>
      </c>
      <c r="S1036" s="64">
        <f t="shared" si="224"/>
        <v>112.5</v>
      </c>
      <c r="T1036" s="66">
        <f t="shared" si="225"/>
        <v>2100.5932499999999</v>
      </c>
      <c r="U1036" s="68">
        <f t="shared" si="226"/>
        <v>70.019774999999996</v>
      </c>
      <c r="V1036" s="68">
        <f t="shared" si="227"/>
        <v>507.3896739130434</v>
      </c>
      <c r="W1036" s="68">
        <f t="shared" si="228"/>
        <v>338.25978260869562</v>
      </c>
    </row>
    <row r="1037" spans="1:23" x14ac:dyDescent="0.25">
      <c r="A1037" s="1" t="s">
        <v>943</v>
      </c>
      <c r="B1037" s="61" t="s">
        <v>390</v>
      </c>
      <c r="C1037" s="1" t="s">
        <v>585</v>
      </c>
      <c r="D1037" s="1" t="s">
        <v>587</v>
      </c>
      <c r="E1037" s="1" t="s">
        <v>373</v>
      </c>
      <c r="F1037" s="62" t="str">
        <f t="shared" si="229"/>
        <v>64559</v>
      </c>
      <c r="G1037" s="269">
        <v>10620042</v>
      </c>
      <c r="H1037" s="1" t="s">
        <v>382</v>
      </c>
      <c r="I1037" s="61">
        <v>40</v>
      </c>
      <c r="J1037" s="61">
        <v>3.1</v>
      </c>
      <c r="K1037" s="61">
        <v>8.1</v>
      </c>
      <c r="L1037" s="69">
        <f t="shared" si="218"/>
        <v>1.24</v>
      </c>
      <c r="M1037" s="69">
        <f t="shared" si="219"/>
        <v>3.24</v>
      </c>
      <c r="N1037" s="56">
        <f>INDEX(Rate_Chart!$A$1:$AK$127,MATCH(Data!J1037,Rate_Chart!$A$1:$A$127,0),MATCH(Data!K1037,Rate_Chart!$A$1:$AK$1,0))</f>
        <v>35.446125899999998</v>
      </c>
      <c r="O1037" s="57">
        <f t="shared" si="220"/>
        <v>1417.8450359999999</v>
      </c>
      <c r="P1037" s="58">
        <f t="shared" si="221"/>
        <v>417.01324588235298</v>
      </c>
      <c r="Q1037" s="58">
        <f t="shared" si="222"/>
        <v>278.0088305882353</v>
      </c>
      <c r="R1037" s="66">
        <f t="shared" si="223"/>
        <v>24.812288130000002</v>
      </c>
      <c r="S1037" s="64">
        <f t="shared" si="224"/>
        <v>150</v>
      </c>
      <c r="T1037" s="66">
        <f t="shared" si="225"/>
        <v>1592.65732413</v>
      </c>
      <c r="U1037" s="68">
        <f t="shared" si="226"/>
        <v>39.816433103249999</v>
      </c>
      <c r="V1037" s="68">
        <f t="shared" si="227"/>
        <v>468.42862474411766</v>
      </c>
      <c r="W1037" s="68">
        <f t="shared" si="228"/>
        <v>312.28574982941177</v>
      </c>
    </row>
    <row r="1038" spans="1:23" x14ac:dyDescent="0.25">
      <c r="A1038" s="1" t="s">
        <v>943</v>
      </c>
      <c r="B1038" s="61" t="s">
        <v>391</v>
      </c>
      <c r="C1038" s="1" t="s">
        <v>585</v>
      </c>
      <c r="D1038" s="1" t="s">
        <v>587</v>
      </c>
      <c r="E1038" s="1" t="s">
        <v>373</v>
      </c>
      <c r="F1038" s="62" t="str">
        <f t="shared" si="229"/>
        <v>64559</v>
      </c>
      <c r="G1038" s="269">
        <v>10620042</v>
      </c>
      <c r="H1038" s="1" t="s">
        <v>382</v>
      </c>
      <c r="I1038" s="61">
        <v>30</v>
      </c>
      <c r="J1038" s="61">
        <v>5</v>
      </c>
      <c r="K1038" s="61">
        <v>8.5</v>
      </c>
      <c r="L1038" s="69">
        <f t="shared" si="218"/>
        <v>1.5</v>
      </c>
      <c r="M1038" s="69">
        <f t="shared" si="219"/>
        <v>2.5499999999999998</v>
      </c>
      <c r="N1038" s="56">
        <f>INDEX(Rate_Chart!$A$1:$AK$127,MATCH(Data!J1038,Rate_Chart!$A$1:$A$127,0),MATCH(Data!K1038,Rate_Chart!$A$1:$AK$1,0))</f>
        <v>44.481181500000005</v>
      </c>
      <c r="O1038" s="57">
        <f t="shared" si="220"/>
        <v>1334.4354450000001</v>
      </c>
      <c r="P1038" s="58">
        <f t="shared" si="221"/>
        <v>417.01107656250002</v>
      </c>
      <c r="Q1038" s="58">
        <f t="shared" si="222"/>
        <v>278.00738437500002</v>
      </c>
      <c r="R1038" s="66">
        <f t="shared" si="223"/>
        <v>23.352620287500002</v>
      </c>
      <c r="S1038" s="64">
        <f t="shared" si="224"/>
        <v>112.5</v>
      </c>
      <c r="T1038" s="66">
        <f t="shared" si="225"/>
        <v>1470.2880652875001</v>
      </c>
      <c r="U1038" s="68">
        <f t="shared" si="226"/>
        <v>49.009602176250006</v>
      </c>
      <c r="V1038" s="68">
        <f t="shared" si="227"/>
        <v>459.46502040234378</v>
      </c>
      <c r="W1038" s="68">
        <f t="shared" si="228"/>
        <v>306.3100136015625</v>
      </c>
    </row>
    <row r="1039" spans="1:23" x14ac:dyDescent="0.25">
      <c r="A1039" s="1" t="s">
        <v>944</v>
      </c>
      <c r="B1039" s="61" t="s">
        <v>390</v>
      </c>
      <c r="C1039" s="1" t="s">
        <v>585</v>
      </c>
      <c r="D1039" s="1" t="s">
        <v>587</v>
      </c>
      <c r="E1039" s="1" t="s">
        <v>373</v>
      </c>
      <c r="F1039" s="62" t="str">
        <f t="shared" si="229"/>
        <v>64559</v>
      </c>
      <c r="G1039" s="269">
        <v>10620042</v>
      </c>
      <c r="H1039" s="1" t="s">
        <v>381</v>
      </c>
      <c r="I1039" s="61">
        <v>30</v>
      </c>
      <c r="J1039" s="61">
        <v>7.6</v>
      </c>
      <c r="K1039" s="61">
        <v>9</v>
      </c>
      <c r="L1039" s="69">
        <f t="shared" si="218"/>
        <v>2.2799999999999998</v>
      </c>
      <c r="M1039" s="69">
        <f t="shared" si="219"/>
        <v>2.7</v>
      </c>
      <c r="N1039" s="56">
        <f>INDEX(Rate_Chart!$A$1:$AK$127,MATCH(Data!J1039,Rate_Chart!$A$1:$A$127,0),MATCH(Data!K1039,Rate_Chart!$A$1:$AK$1,0))</f>
        <v>63.46</v>
      </c>
      <c r="O1039" s="57">
        <f t="shared" si="220"/>
        <v>1903.8</v>
      </c>
      <c r="P1039" s="58">
        <f t="shared" si="221"/>
        <v>466.61764705882348</v>
      </c>
      <c r="Q1039" s="58">
        <f t="shared" si="222"/>
        <v>311.07843137254901</v>
      </c>
      <c r="R1039" s="66">
        <f t="shared" si="223"/>
        <v>33.316500000000005</v>
      </c>
      <c r="S1039" s="64">
        <f t="shared" si="224"/>
        <v>112.5</v>
      </c>
      <c r="T1039" s="66">
        <f t="shared" si="225"/>
        <v>2049.6165000000001</v>
      </c>
      <c r="U1039" s="68">
        <f t="shared" si="226"/>
        <v>68.320549999999997</v>
      </c>
      <c r="V1039" s="68">
        <f t="shared" si="227"/>
        <v>502.35698529411758</v>
      </c>
      <c r="W1039" s="68">
        <f t="shared" si="228"/>
        <v>334.90465686274507</v>
      </c>
    </row>
    <row r="1040" spans="1:23" x14ac:dyDescent="0.25">
      <c r="A1040" s="1" t="s">
        <v>944</v>
      </c>
      <c r="B1040" s="61" t="s">
        <v>390</v>
      </c>
      <c r="C1040" s="1" t="s">
        <v>585</v>
      </c>
      <c r="D1040" s="1" t="s">
        <v>587</v>
      </c>
      <c r="E1040" s="1" t="s">
        <v>373</v>
      </c>
      <c r="F1040" s="62" t="str">
        <f t="shared" si="229"/>
        <v>64559</v>
      </c>
      <c r="G1040" s="269">
        <v>10620042</v>
      </c>
      <c r="H1040" s="1" t="s">
        <v>382</v>
      </c>
      <c r="I1040" s="61">
        <v>39</v>
      </c>
      <c r="J1040" s="61">
        <v>3.4</v>
      </c>
      <c r="K1040" s="61">
        <v>8.1</v>
      </c>
      <c r="L1040" s="69">
        <f t="shared" si="218"/>
        <v>1.3259999999999998</v>
      </c>
      <c r="M1040" s="69">
        <f t="shared" si="219"/>
        <v>3.1589999999999998</v>
      </c>
      <c r="N1040" s="56">
        <f>INDEX(Rate_Chart!$A$1:$AK$127,MATCH(Data!J1040,Rate_Chart!$A$1:$A$127,0),MATCH(Data!K1040,Rate_Chart!$A$1:$AK$1,0))</f>
        <v>36.697125900000003</v>
      </c>
      <c r="O1040" s="57">
        <f t="shared" si="220"/>
        <v>1431.1879101000002</v>
      </c>
      <c r="P1040" s="58">
        <f t="shared" si="221"/>
        <v>417.01279431818188</v>
      </c>
      <c r="Q1040" s="58">
        <f t="shared" si="222"/>
        <v>278.00852954545456</v>
      </c>
      <c r="R1040" s="66">
        <f t="shared" si="223"/>
        <v>25.045788426750004</v>
      </c>
      <c r="S1040" s="64">
        <f t="shared" si="224"/>
        <v>146.25</v>
      </c>
      <c r="T1040" s="66">
        <f t="shared" si="225"/>
        <v>1602.4836985267502</v>
      </c>
      <c r="U1040" s="68">
        <f t="shared" si="226"/>
        <v>41.089325603250003</v>
      </c>
      <c r="V1040" s="68">
        <f t="shared" si="227"/>
        <v>466.92415458238645</v>
      </c>
      <c r="W1040" s="68">
        <f t="shared" si="228"/>
        <v>311.28276972159097</v>
      </c>
    </row>
    <row r="1041" spans="1:23" x14ac:dyDescent="0.25">
      <c r="A1041" s="1" t="s">
        <v>944</v>
      </c>
      <c r="B1041" s="61" t="s">
        <v>391</v>
      </c>
      <c r="C1041" s="1" t="s">
        <v>585</v>
      </c>
      <c r="D1041" s="1" t="s">
        <v>587</v>
      </c>
      <c r="E1041" s="1" t="s">
        <v>373</v>
      </c>
      <c r="F1041" s="62" t="str">
        <f t="shared" si="229"/>
        <v>64559</v>
      </c>
      <c r="G1041" s="269">
        <v>10620042</v>
      </c>
      <c r="H1041" s="1" t="s">
        <v>381</v>
      </c>
      <c r="I1041" s="61">
        <v>28</v>
      </c>
      <c r="J1041" s="61">
        <v>5.6</v>
      </c>
      <c r="K1041" s="61">
        <v>8.8000000000000007</v>
      </c>
      <c r="L1041" s="69">
        <f t="shared" si="218"/>
        <v>1.5679999999999998</v>
      </c>
      <c r="M1041" s="69">
        <f t="shared" si="219"/>
        <v>2.4640000000000004</v>
      </c>
      <c r="N1041" s="56">
        <f>INDEX(Rate_Chart!$A$1:$AK$127,MATCH(Data!J1041,Rate_Chart!$A$1:$A$127,0),MATCH(Data!K1041,Rate_Chart!$A$1:$AK$1,0))</f>
        <v>46.292400000000001</v>
      </c>
      <c r="O1041" s="57">
        <f t="shared" si="220"/>
        <v>1296.1872000000001</v>
      </c>
      <c r="P1041" s="58">
        <f t="shared" si="221"/>
        <v>403.71279069767445</v>
      </c>
      <c r="Q1041" s="58">
        <f t="shared" si="222"/>
        <v>269.14186046511628</v>
      </c>
      <c r="R1041" s="66">
        <f t="shared" si="223"/>
        <v>22.683276000000003</v>
      </c>
      <c r="S1041" s="64">
        <f t="shared" si="224"/>
        <v>105</v>
      </c>
      <c r="T1041" s="66">
        <f t="shared" si="225"/>
        <v>1423.8704760000001</v>
      </c>
      <c r="U1041" s="68">
        <f t="shared" si="226"/>
        <v>50.852516999999999</v>
      </c>
      <c r="V1041" s="68">
        <f t="shared" si="227"/>
        <v>443.48125290697675</v>
      </c>
      <c r="W1041" s="68">
        <f t="shared" si="228"/>
        <v>295.65416860465115</v>
      </c>
    </row>
    <row r="1042" spans="1:23" x14ac:dyDescent="0.25">
      <c r="A1042" s="1" t="s">
        <v>945</v>
      </c>
      <c r="B1042" s="61" t="s">
        <v>390</v>
      </c>
      <c r="C1042" s="1" t="s">
        <v>585</v>
      </c>
      <c r="D1042" s="1" t="s">
        <v>587</v>
      </c>
      <c r="E1042" s="1" t="s">
        <v>373</v>
      </c>
      <c r="F1042" s="62" t="str">
        <f t="shared" si="229"/>
        <v>64559</v>
      </c>
      <c r="G1042" s="269">
        <v>10620042</v>
      </c>
      <c r="H1042" s="1" t="s">
        <v>381</v>
      </c>
      <c r="I1042" s="61">
        <v>40</v>
      </c>
      <c r="J1042" s="61">
        <v>6.9</v>
      </c>
      <c r="K1042" s="61">
        <v>9</v>
      </c>
      <c r="L1042" s="69">
        <f t="shared" si="218"/>
        <v>2.76</v>
      </c>
      <c r="M1042" s="69">
        <f t="shared" si="219"/>
        <v>3.6</v>
      </c>
      <c r="N1042" s="56">
        <f>INDEX(Rate_Chart!$A$1:$AK$127,MATCH(Data!J1042,Rate_Chart!$A$1:$A$127,0),MATCH(Data!K1042,Rate_Chart!$A$1:$AK$1,0))</f>
        <v>57.615000000000002</v>
      </c>
      <c r="O1042" s="57">
        <f t="shared" si="220"/>
        <v>2304.6</v>
      </c>
      <c r="P1042" s="58">
        <f t="shared" si="221"/>
        <v>446.62790697674421</v>
      </c>
      <c r="Q1042" s="58">
        <f t="shared" si="222"/>
        <v>297.75193798449612</v>
      </c>
      <c r="R1042" s="66">
        <f t="shared" si="223"/>
        <v>40.330500000000001</v>
      </c>
      <c r="S1042" s="64">
        <f t="shared" si="224"/>
        <v>150</v>
      </c>
      <c r="T1042" s="66">
        <f t="shared" si="225"/>
        <v>2494.9304999999999</v>
      </c>
      <c r="U1042" s="68">
        <f t="shared" si="226"/>
        <v>62.373262499999996</v>
      </c>
      <c r="V1042" s="68">
        <f t="shared" si="227"/>
        <v>483.51366279069765</v>
      </c>
      <c r="W1042" s="68">
        <f t="shared" si="228"/>
        <v>322.3424418604651</v>
      </c>
    </row>
    <row r="1043" spans="1:23" x14ac:dyDescent="0.25">
      <c r="A1043" s="1" t="s">
        <v>945</v>
      </c>
      <c r="B1043" s="61" t="s">
        <v>390</v>
      </c>
      <c r="C1043" s="1" t="s">
        <v>585</v>
      </c>
      <c r="D1043" s="1" t="s">
        <v>587</v>
      </c>
      <c r="E1043" s="1" t="s">
        <v>373</v>
      </c>
      <c r="F1043" s="62" t="str">
        <f t="shared" si="229"/>
        <v>64559</v>
      </c>
      <c r="G1043" s="269">
        <v>10620042</v>
      </c>
      <c r="H1043" s="1" t="s">
        <v>382</v>
      </c>
      <c r="I1043" s="61">
        <v>28</v>
      </c>
      <c r="J1043" s="61">
        <v>4</v>
      </c>
      <c r="K1043" s="61">
        <v>8.1</v>
      </c>
      <c r="L1043" s="69">
        <f t="shared" si="218"/>
        <v>1.1200000000000001</v>
      </c>
      <c r="M1043" s="69">
        <f t="shared" si="219"/>
        <v>2.2679999999999998</v>
      </c>
      <c r="N1043" s="56">
        <f>INDEX(Rate_Chart!$A$1:$AK$127,MATCH(Data!J1043,Rate_Chart!$A$1:$A$127,0),MATCH(Data!K1043,Rate_Chart!$A$1:$AK$1,0))</f>
        <v>39.199125899999999</v>
      </c>
      <c r="O1043" s="57">
        <f t="shared" si="220"/>
        <v>1097.5755251999999</v>
      </c>
      <c r="P1043" s="58">
        <f t="shared" si="221"/>
        <v>417.01197765957443</v>
      </c>
      <c r="Q1043" s="58">
        <f t="shared" si="222"/>
        <v>278.00798510638293</v>
      </c>
      <c r="R1043" s="66">
        <f t="shared" si="223"/>
        <v>19.207571691000002</v>
      </c>
      <c r="S1043" s="64">
        <f t="shared" si="224"/>
        <v>105</v>
      </c>
      <c r="T1043" s="66">
        <f t="shared" si="225"/>
        <v>1221.7830968909998</v>
      </c>
      <c r="U1043" s="68">
        <f t="shared" si="226"/>
        <v>43.635110603249991</v>
      </c>
      <c r="V1043" s="68">
        <f t="shared" si="227"/>
        <v>464.20330428989354</v>
      </c>
      <c r="W1043" s="68">
        <f t="shared" si="228"/>
        <v>309.46886952659571</v>
      </c>
    </row>
    <row r="1044" spans="1:23" x14ac:dyDescent="0.25">
      <c r="A1044" s="1" t="s">
        <v>945</v>
      </c>
      <c r="B1044" s="61" t="s">
        <v>391</v>
      </c>
      <c r="C1044" s="1" t="s">
        <v>585</v>
      </c>
      <c r="D1044" s="1" t="s">
        <v>587</v>
      </c>
      <c r="E1044" s="1" t="s">
        <v>373</v>
      </c>
      <c r="F1044" s="62" t="str">
        <f t="shared" si="229"/>
        <v>64559</v>
      </c>
      <c r="G1044" s="269">
        <v>10620042</v>
      </c>
      <c r="H1044" s="1" t="s">
        <v>382</v>
      </c>
      <c r="I1044" s="61">
        <v>27</v>
      </c>
      <c r="J1044" s="61">
        <v>4.8</v>
      </c>
      <c r="K1044" s="61">
        <v>8.5</v>
      </c>
      <c r="L1044" s="69">
        <f t="shared" si="218"/>
        <v>1.296</v>
      </c>
      <c r="M1044" s="69">
        <f t="shared" si="219"/>
        <v>2.2949999999999999</v>
      </c>
      <c r="N1044" s="56">
        <f>INDEX(Rate_Chart!$A$1:$AK$127,MATCH(Data!J1044,Rate_Chart!$A$1:$A$127,0),MATCH(Data!K1044,Rate_Chart!$A$1:$AK$1,0))</f>
        <v>43.647181500000002</v>
      </c>
      <c r="O1044" s="57">
        <f t="shared" si="220"/>
        <v>1178.4739005000001</v>
      </c>
      <c r="P1044" s="58">
        <f t="shared" si="221"/>
        <v>417.0112882165605</v>
      </c>
      <c r="Q1044" s="58">
        <f t="shared" si="222"/>
        <v>278.00752547770702</v>
      </c>
      <c r="R1044" s="66">
        <f t="shared" si="223"/>
        <v>20.623293258750003</v>
      </c>
      <c r="S1044" s="64">
        <f t="shared" si="224"/>
        <v>101.25</v>
      </c>
      <c r="T1044" s="66">
        <f t="shared" si="225"/>
        <v>1300.3471937587501</v>
      </c>
      <c r="U1044" s="68">
        <f t="shared" si="226"/>
        <v>48.161007176250003</v>
      </c>
      <c r="V1044" s="68">
        <f t="shared" si="227"/>
        <v>460.13701123805731</v>
      </c>
      <c r="W1044" s="68">
        <f t="shared" si="228"/>
        <v>306.75800749203819</v>
      </c>
    </row>
    <row r="1045" spans="1:23" x14ac:dyDescent="0.25">
      <c r="A1045" s="1" t="s">
        <v>946</v>
      </c>
      <c r="B1045" s="61" t="s">
        <v>390</v>
      </c>
      <c r="C1045" s="1" t="s">
        <v>585</v>
      </c>
      <c r="D1045" s="1" t="s">
        <v>587</v>
      </c>
      <c r="E1045" s="1" t="s">
        <v>373</v>
      </c>
      <c r="F1045" s="62" t="str">
        <f t="shared" si="229"/>
        <v>64559</v>
      </c>
      <c r="G1045" s="269">
        <v>10620042</v>
      </c>
      <c r="H1045" s="1" t="s">
        <v>381</v>
      </c>
      <c r="I1045" s="61">
        <v>40</v>
      </c>
      <c r="J1045" s="61">
        <v>7.4</v>
      </c>
      <c r="K1045" s="61">
        <v>9</v>
      </c>
      <c r="L1045" s="69">
        <f t="shared" si="218"/>
        <v>2.96</v>
      </c>
      <c r="M1045" s="69">
        <f t="shared" si="219"/>
        <v>3.6</v>
      </c>
      <c r="N1045" s="56">
        <f>INDEX(Rate_Chart!$A$1:$AK$127,MATCH(Data!J1045,Rate_Chart!$A$1:$A$127,0),MATCH(Data!K1045,Rate_Chart!$A$1:$AK$1,0))</f>
        <v>61.790000000000006</v>
      </c>
      <c r="O1045" s="57">
        <f t="shared" si="220"/>
        <v>2471.6000000000004</v>
      </c>
      <c r="P1045" s="58">
        <f t="shared" si="221"/>
        <v>461.11940298507466</v>
      </c>
      <c r="Q1045" s="58">
        <f t="shared" si="222"/>
        <v>307.41293532338312</v>
      </c>
      <c r="R1045" s="66">
        <f t="shared" si="223"/>
        <v>43.253000000000007</v>
      </c>
      <c r="S1045" s="64">
        <f t="shared" si="224"/>
        <v>150</v>
      </c>
      <c r="T1045" s="66">
        <f t="shared" si="225"/>
        <v>2664.8530000000005</v>
      </c>
      <c r="U1045" s="68">
        <f t="shared" si="226"/>
        <v>66.621325000000013</v>
      </c>
      <c r="V1045" s="68">
        <f t="shared" si="227"/>
        <v>497.17406716417918</v>
      </c>
      <c r="W1045" s="68">
        <f t="shared" si="228"/>
        <v>331.44937810945277</v>
      </c>
    </row>
    <row r="1046" spans="1:23" x14ac:dyDescent="0.25">
      <c r="A1046" s="1" t="s">
        <v>946</v>
      </c>
      <c r="B1046" s="61" t="s">
        <v>390</v>
      </c>
      <c r="C1046" s="1" t="s">
        <v>585</v>
      </c>
      <c r="D1046" s="1" t="s">
        <v>587</v>
      </c>
      <c r="E1046" s="1" t="s">
        <v>373</v>
      </c>
      <c r="F1046" s="62" t="str">
        <f t="shared" si="229"/>
        <v>64559</v>
      </c>
      <c r="G1046" s="269">
        <v>10620042</v>
      </c>
      <c r="H1046" s="1" t="s">
        <v>382</v>
      </c>
      <c r="I1046" s="61">
        <v>34</v>
      </c>
      <c r="J1046" s="61">
        <v>3.2</v>
      </c>
      <c r="K1046" s="61">
        <v>8.1</v>
      </c>
      <c r="L1046" s="69">
        <f t="shared" si="218"/>
        <v>1.0880000000000001</v>
      </c>
      <c r="M1046" s="69">
        <f t="shared" si="219"/>
        <v>2.7539999999999996</v>
      </c>
      <c r="N1046" s="56">
        <f>INDEX(Rate_Chart!$A$1:$AK$127,MATCH(Data!J1046,Rate_Chart!$A$1:$A$127,0),MATCH(Data!K1046,Rate_Chart!$A$1:$AK$1,0))</f>
        <v>35.8631259</v>
      </c>
      <c r="O1046" s="57">
        <f t="shared" si="220"/>
        <v>1219.3462806</v>
      </c>
      <c r="P1046" s="58">
        <f t="shared" si="221"/>
        <v>417.01309186046512</v>
      </c>
      <c r="Q1046" s="58">
        <f t="shared" si="222"/>
        <v>278.00872790697673</v>
      </c>
      <c r="R1046" s="66">
        <f t="shared" si="223"/>
        <v>21.338559910500003</v>
      </c>
      <c r="S1046" s="64">
        <f t="shared" si="224"/>
        <v>127.5</v>
      </c>
      <c r="T1046" s="66">
        <f t="shared" si="225"/>
        <v>1368.1848405105</v>
      </c>
      <c r="U1046" s="68">
        <f t="shared" si="226"/>
        <v>40.24073060325</v>
      </c>
      <c r="V1046" s="68">
        <f t="shared" si="227"/>
        <v>467.91547213081401</v>
      </c>
      <c r="W1046" s="68">
        <f t="shared" si="228"/>
        <v>311.94364808720934</v>
      </c>
    </row>
    <row r="1047" spans="1:23" x14ac:dyDescent="0.25">
      <c r="A1047" s="1" t="s">
        <v>946</v>
      </c>
      <c r="B1047" s="61" t="s">
        <v>391</v>
      </c>
      <c r="C1047" s="1" t="s">
        <v>585</v>
      </c>
      <c r="D1047" s="1" t="s">
        <v>587</v>
      </c>
      <c r="E1047" s="1" t="s">
        <v>373</v>
      </c>
      <c r="F1047" s="62" t="str">
        <f t="shared" si="229"/>
        <v>64559</v>
      </c>
      <c r="G1047" s="269">
        <v>10620042</v>
      </c>
      <c r="H1047" s="1" t="s">
        <v>381</v>
      </c>
      <c r="I1047" s="61">
        <v>28</v>
      </c>
      <c r="J1047" s="61">
        <v>5.6</v>
      </c>
      <c r="K1047" s="61">
        <v>8.8000000000000007</v>
      </c>
      <c r="L1047" s="69">
        <f t="shared" si="218"/>
        <v>1.5679999999999998</v>
      </c>
      <c r="M1047" s="69">
        <f t="shared" si="219"/>
        <v>2.4640000000000004</v>
      </c>
      <c r="N1047" s="56">
        <f>INDEX(Rate_Chart!$A$1:$AK$127,MATCH(Data!J1047,Rate_Chart!$A$1:$A$127,0),MATCH(Data!K1047,Rate_Chart!$A$1:$AK$1,0))</f>
        <v>46.292400000000001</v>
      </c>
      <c r="O1047" s="57">
        <f t="shared" si="220"/>
        <v>1296.1872000000001</v>
      </c>
      <c r="P1047" s="58">
        <f t="shared" si="221"/>
        <v>403.71279069767445</v>
      </c>
      <c r="Q1047" s="58">
        <f t="shared" si="222"/>
        <v>269.14186046511628</v>
      </c>
      <c r="R1047" s="66">
        <f t="shared" si="223"/>
        <v>22.683276000000003</v>
      </c>
      <c r="S1047" s="64">
        <f t="shared" si="224"/>
        <v>105</v>
      </c>
      <c r="T1047" s="66">
        <f t="shared" si="225"/>
        <v>1423.8704760000001</v>
      </c>
      <c r="U1047" s="68">
        <f t="shared" si="226"/>
        <v>50.852516999999999</v>
      </c>
      <c r="V1047" s="68">
        <f t="shared" si="227"/>
        <v>443.48125290697675</v>
      </c>
      <c r="W1047" s="68">
        <f t="shared" si="228"/>
        <v>295.65416860465115</v>
      </c>
    </row>
    <row r="1048" spans="1:23" x14ac:dyDescent="0.25">
      <c r="A1048" s="1" t="s">
        <v>947</v>
      </c>
      <c r="B1048" s="61" t="s">
        <v>390</v>
      </c>
      <c r="C1048" s="1" t="s">
        <v>585</v>
      </c>
      <c r="D1048" s="1" t="s">
        <v>587</v>
      </c>
      <c r="E1048" s="1" t="s">
        <v>373</v>
      </c>
      <c r="F1048" s="62" t="str">
        <f t="shared" si="229"/>
        <v>64559</v>
      </c>
      <c r="G1048" s="269">
        <v>10620042</v>
      </c>
      <c r="H1048" s="1" t="s">
        <v>381</v>
      </c>
      <c r="I1048" s="61">
        <v>40</v>
      </c>
      <c r="J1048" s="61">
        <v>6.9</v>
      </c>
      <c r="K1048" s="61">
        <v>9</v>
      </c>
      <c r="L1048" s="69">
        <f t="shared" si="218"/>
        <v>2.76</v>
      </c>
      <c r="M1048" s="69">
        <f t="shared" si="219"/>
        <v>3.6</v>
      </c>
      <c r="N1048" s="56">
        <f>INDEX(Rate_Chart!$A$1:$AK$127,MATCH(Data!J1048,Rate_Chart!$A$1:$A$127,0),MATCH(Data!K1048,Rate_Chart!$A$1:$AK$1,0))</f>
        <v>57.615000000000002</v>
      </c>
      <c r="O1048" s="57">
        <f t="shared" si="220"/>
        <v>2304.6</v>
      </c>
      <c r="P1048" s="58">
        <f t="shared" si="221"/>
        <v>446.62790697674421</v>
      </c>
      <c r="Q1048" s="58">
        <f t="shared" si="222"/>
        <v>297.75193798449612</v>
      </c>
      <c r="R1048" s="66">
        <f t="shared" si="223"/>
        <v>40.330500000000001</v>
      </c>
      <c r="S1048" s="64">
        <f t="shared" si="224"/>
        <v>150</v>
      </c>
      <c r="T1048" s="66">
        <f t="shared" si="225"/>
        <v>2494.9304999999999</v>
      </c>
      <c r="U1048" s="68">
        <f t="shared" si="226"/>
        <v>62.373262499999996</v>
      </c>
      <c r="V1048" s="68">
        <f t="shared" si="227"/>
        <v>483.51366279069765</v>
      </c>
      <c r="W1048" s="68">
        <f t="shared" si="228"/>
        <v>322.3424418604651</v>
      </c>
    </row>
    <row r="1049" spans="1:23" x14ac:dyDescent="0.25">
      <c r="A1049" s="1" t="s">
        <v>947</v>
      </c>
      <c r="B1049" s="61" t="s">
        <v>390</v>
      </c>
      <c r="C1049" s="1" t="s">
        <v>585</v>
      </c>
      <c r="D1049" s="1" t="s">
        <v>587</v>
      </c>
      <c r="E1049" s="1" t="s">
        <v>373</v>
      </c>
      <c r="F1049" s="62" t="str">
        <f t="shared" si="229"/>
        <v>64559</v>
      </c>
      <c r="G1049" s="269">
        <v>10620042</v>
      </c>
      <c r="H1049" s="1" t="s">
        <v>382</v>
      </c>
      <c r="I1049" s="61">
        <v>36</v>
      </c>
      <c r="J1049" s="61">
        <v>3.7</v>
      </c>
      <c r="K1049" s="61">
        <v>8.1</v>
      </c>
      <c r="L1049" s="69">
        <f t="shared" si="218"/>
        <v>1.3320000000000001</v>
      </c>
      <c r="M1049" s="69">
        <f t="shared" si="219"/>
        <v>2.9159999999999995</v>
      </c>
      <c r="N1049" s="56">
        <f>INDEX(Rate_Chart!$A$1:$AK$127,MATCH(Data!J1049,Rate_Chart!$A$1:$A$127,0),MATCH(Data!K1049,Rate_Chart!$A$1:$AK$1,0))</f>
        <v>37.948125900000008</v>
      </c>
      <c r="O1049" s="57">
        <f t="shared" si="220"/>
        <v>1366.1325324000004</v>
      </c>
      <c r="P1049" s="58">
        <f t="shared" si="221"/>
        <v>417.01237252747262</v>
      </c>
      <c r="Q1049" s="58">
        <f t="shared" si="222"/>
        <v>278.00824835164843</v>
      </c>
      <c r="R1049" s="66">
        <f t="shared" si="223"/>
        <v>23.90731931700001</v>
      </c>
      <c r="S1049" s="64">
        <f t="shared" si="224"/>
        <v>135</v>
      </c>
      <c r="T1049" s="66">
        <f t="shared" si="225"/>
        <v>1525.0398517170004</v>
      </c>
      <c r="U1049" s="68">
        <f t="shared" si="226"/>
        <v>42.362218103250008</v>
      </c>
      <c r="V1049" s="68">
        <f t="shared" si="227"/>
        <v>465.51888025549459</v>
      </c>
      <c r="W1049" s="68">
        <f t="shared" si="228"/>
        <v>310.34592017032975</v>
      </c>
    </row>
    <row r="1050" spans="1:23" x14ac:dyDescent="0.25">
      <c r="A1050" s="1" t="s">
        <v>947</v>
      </c>
      <c r="B1050" s="61" t="s">
        <v>391</v>
      </c>
      <c r="C1050" s="1" t="s">
        <v>585</v>
      </c>
      <c r="D1050" s="1" t="s">
        <v>587</v>
      </c>
      <c r="E1050" s="1" t="s">
        <v>373</v>
      </c>
      <c r="F1050" s="62" t="str">
        <f t="shared" si="229"/>
        <v>64559</v>
      </c>
      <c r="G1050" s="269">
        <v>10620042</v>
      </c>
      <c r="H1050" s="1" t="s">
        <v>381</v>
      </c>
      <c r="I1050" s="61">
        <v>37</v>
      </c>
      <c r="J1050" s="61">
        <v>5.6</v>
      </c>
      <c r="K1050" s="61">
        <v>8.6</v>
      </c>
      <c r="L1050" s="69">
        <f t="shared" si="218"/>
        <v>2.0720000000000001</v>
      </c>
      <c r="M1050" s="69">
        <f t="shared" si="219"/>
        <v>3.1819999999999999</v>
      </c>
      <c r="N1050" s="56">
        <f>INDEX(Rate_Chart!$A$1:$AK$127,MATCH(Data!J1050,Rate_Chart!$A$1:$A$127,0),MATCH(Data!K1050,Rate_Chart!$A$1:$AK$1,0))</f>
        <v>45.824799999999996</v>
      </c>
      <c r="O1050" s="57">
        <f t="shared" si="220"/>
        <v>1695.5175999999999</v>
      </c>
      <c r="P1050" s="58">
        <f t="shared" si="221"/>
        <v>404.33647058823533</v>
      </c>
      <c r="Q1050" s="58">
        <f t="shared" si="222"/>
        <v>269.55764705882353</v>
      </c>
      <c r="R1050" s="66">
        <f t="shared" si="223"/>
        <v>29.671558000000001</v>
      </c>
      <c r="S1050" s="64">
        <f t="shared" si="224"/>
        <v>138.75</v>
      </c>
      <c r="T1050" s="66">
        <f t="shared" si="225"/>
        <v>1863.9391579999999</v>
      </c>
      <c r="U1050" s="68">
        <f t="shared" si="226"/>
        <v>50.376733999999999</v>
      </c>
      <c r="V1050" s="68">
        <f t="shared" si="227"/>
        <v>444.50059411764715</v>
      </c>
      <c r="W1050" s="68">
        <f t="shared" si="228"/>
        <v>296.33372941176475</v>
      </c>
    </row>
    <row r="1051" spans="1:23" x14ac:dyDescent="0.25">
      <c r="A1051" s="1" t="s">
        <v>941</v>
      </c>
      <c r="B1051" s="61" t="s">
        <v>390</v>
      </c>
      <c r="C1051" s="1" t="s">
        <v>585</v>
      </c>
      <c r="D1051" s="1" t="s">
        <v>587</v>
      </c>
      <c r="E1051" s="1" t="s">
        <v>374</v>
      </c>
      <c r="F1051" s="62" t="str">
        <f t="shared" si="229"/>
        <v>64560</v>
      </c>
      <c r="G1051" s="269">
        <v>10620048</v>
      </c>
      <c r="H1051" s="1" t="s">
        <v>381</v>
      </c>
      <c r="I1051" s="61">
        <v>19</v>
      </c>
      <c r="J1051" s="61">
        <v>5.6</v>
      </c>
      <c r="K1051" s="61">
        <v>8.6</v>
      </c>
      <c r="L1051" s="69">
        <f t="shared" si="218"/>
        <v>1.0639999999999998</v>
      </c>
      <c r="M1051" s="69">
        <f t="shared" si="219"/>
        <v>1.6340000000000001</v>
      </c>
      <c r="N1051" s="56">
        <f>INDEX(Rate_Chart!$A$1:$AK$127,MATCH(Data!J1051,Rate_Chart!$A$1:$A$127,0),MATCH(Data!K1051,Rate_Chart!$A$1:$AK$1,0))</f>
        <v>45.824799999999996</v>
      </c>
      <c r="O1051" s="57">
        <f t="shared" si="220"/>
        <v>870.67119999999989</v>
      </c>
      <c r="P1051" s="58">
        <f t="shared" si="221"/>
        <v>404.33647058823533</v>
      </c>
      <c r="Q1051" s="58">
        <f t="shared" si="222"/>
        <v>269.55764705882353</v>
      </c>
      <c r="R1051" s="66">
        <f t="shared" si="223"/>
        <v>15.236746</v>
      </c>
      <c r="S1051" s="64">
        <f t="shared" si="224"/>
        <v>71.25</v>
      </c>
      <c r="T1051" s="66">
        <f t="shared" si="225"/>
        <v>957.15794599999992</v>
      </c>
      <c r="U1051" s="68">
        <f t="shared" si="226"/>
        <v>50.376733999999999</v>
      </c>
      <c r="V1051" s="68">
        <f t="shared" si="227"/>
        <v>444.50059411764715</v>
      </c>
      <c r="W1051" s="68">
        <f t="shared" si="228"/>
        <v>296.33372941176475</v>
      </c>
    </row>
    <row r="1052" spans="1:23" x14ac:dyDescent="0.25">
      <c r="A1052" s="1" t="s">
        <v>942</v>
      </c>
      <c r="B1052" s="61" t="s">
        <v>390</v>
      </c>
      <c r="C1052" s="1" t="s">
        <v>585</v>
      </c>
      <c r="D1052" s="1" t="s">
        <v>587</v>
      </c>
      <c r="E1052" s="1" t="s">
        <v>374</v>
      </c>
      <c r="F1052" s="62" t="str">
        <f t="shared" si="229"/>
        <v>64560</v>
      </c>
      <c r="G1052" s="269">
        <v>10620048</v>
      </c>
      <c r="H1052" s="1" t="s">
        <v>381</v>
      </c>
      <c r="I1052" s="61">
        <v>21</v>
      </c>
      <c r="J1052" s="61">
        <v>5.5</v>
      </c>
      <c r="K1052" s="61">
        <v>8.6</v>
      </c>
      <c r="L1052" s="69">
        <f t="shared" si="218"/>
        <v>1.155</v>
      </c>
      <c r="M1052" s="69">
        <f t="shared" si="219"/>
        <v>1.806</v>
      </c>
      <c r="N1052" s="56">
        <f>INDEX(Rate_Chart!$A$1:$AK$127,MATCH(Data!J1052,Rate_Chart!$A$1:$A$127,0),MATCH(Data!K1052,Rate_Chart!$A$1:$AK$1,0))</f>
        <v>46.566181499999999</v>
      </c>
      <c r="O1052" s="57">
        <f t="shared" si="220"/>
        <v>977.88981149999995</v>
      </c>
      <c r="P1052" s="58">
        <f t="shared" si="221"/>
        <v>414.53574035608312</v>
      </c>
      <c r="Q1052" s="58">
        <f t="shared" si="222"/>
        <v>276.35716023738877</v>
      </c>
      <c r="R1052" s="66">
        <f t="shared" si="223"/>
        <v>17.11307170125</v>
      </c>
      <c r="S1052" s="64">
        <f t="shared" si="224"/>
        <v>78.75</v>
      </c>
      <c r="T1052" s="66">
        <f t="shared" si="225"/>
        <v>1073.7528832012499</v>
      </c>
      <c r="U1052" s="68">
        <f t="shared" si="226"/>
        <v>51.131089676249999</v>
      </c>
      <c r="V1052" s="68">
        <f t="shared" si="227"/>
        <v>455.17290512982197</v>
      </c>
      <c r="W1052" s="68">
        <f t="shared" si="228"/>
        <v>303.44860341988129</v>
      </c>
    </row>
    <row r="1053" spans="1:23" x14ac:dyDescent="0.25">
      <c r="A1053" s="1" t="s">
        <v>943</v>
      </c>
      <c r="B1053" s="61" t="s">
        <v>390</v>
      </c>
      <c r="C1053" s="1" t="s">
        <v>585</v>
      </c>
      <c r="D1053" s="1" t="s">
        <v>587</v>
      </c>
      <c r="E1053" s="1" t="s">
        <v>374</v>
      </c>
      <c r="F1053" s="62" t="str">
        <f t="shared" si="229"/>
        <v>64560</v>
      </c>
      <c r="G1053" s="269">
        <v>10620048</v>
      </c>
      <c r="H1053" s="1" t="s">
        <v>381</v>
      </c>
      <c r="I1053" s="61">
        <v>20</v>
      </c>
      <c r="J1053" s="61">
        <v>5.9</v>
      </c>
      <c r="K1053" s="61">
        <v>9</v>
      </c>
      <c r="L1053" s="69">
        <f t="shared" si="218"/>
        <v>1.18</v>
      </c>
      <c r="M1053" s="69">
        <f t="shared" si="219"/>
        <v>1.8</v>
      </c>
      <c r="N1053" s="56">
        <f>INDEX(Rate_Chart!$A$1:$AK$127,MATCH(Data!J1053,Rate_Chart!$A$1:$A$127,0),MATCH(Data!K1053,Rate_Chart!$A$1:$AK$1,0))</f>
        <v>49.265000000000001</v>
      </c>
      <c r="O1053" s="57">
        <f t="shared" si="220"/>
        <v>985.3</v>
      </c>
      <c r="P1053" s="58">
        <f t="shared" si="221"/>
        <v>413.99159663865549</v>
      </c>
      <c r="Q1053" s="58">
        <f t="shared" si="222"/>
        <v>275.99439775910366</v>
      </c>
      <c r="R1053" s="66">
        <f t="shared" si="223"/>
        <v>17.242750000000001</v>
      </c>
      <c r="S1053" s="64">
        <f t="shared" si="224"/>
        <v>75</v>
      </c>
      <c r="T1053" s="66">
        <f t="shared" si="225"/>
        <v>1077.5427500000001</v>
      </c>
      <c r="U1053" s="68">
        <f t="shared" si="226"/>
        <v>53.877137500000003</v>
      </c>
      <c r="V1053" s="68">
        <f t="shared" si="227"/>
        <v>452.74905462184881</v>
      </c>
      <c r="W1053" s="68">
        <f t="shared" si="228"/>
        <v>301.83270308123252</v>
      </c>
    </row>
    <row r="1054" spans="1:23" x14ac:dyDescent="0.25">
      <c r="A1054" s="1" t="s">
        <v>944</v>
      </c>
      <c r="B1054" s="61" t="s">
        <v>390</v>
      </c>
      <c r="C1054" s="1" t="s">
        <v>585</v>
      </c>
      <c r="D1054" s="1" t="s">
        <v>587</v>
      </c>
      <c r="E1054" s="1" t="s">
        <v>374</v>
      </c>
      <c r="F1054" s="62" t="str">
        <f t="shared" si="229"/>
        <v>64560</v>
      </c>
      <c r="G1054" s="269">
        <v>10620048</v>
      </c>
      <c r="H1054" s="1" t="s">
        <v>381</v>
      </c>
      <c r="I1054" s="61">
        <v>15</v>
      </c>
      <c r="J1054" s="61">
        <v>5.9</v>
      </c>
      <c r="K1054" s="61">
        <v>9</v>
      </c>
      <c r="L1054" s="69">
        <f t="shared" si="218"/>
        <v>0.88500000000000001</v>
      </c>
      <c r="M1054" s="69">
        <f t="shared" si="219"/>
        <v>1.35</v>
      </c>
      <c r="N1054" s="56">
        <f>INDEX(Rate_Chart!$A$1:$AK$127,MATCH(Data!J1054,Rate_Chart!$A$1:$A$127,0),MATCH(Data!K1054,Rate_Chart!$A$1:$AK$1,0))</f>
        <v>49.265000000000001</v>
      </c>
      <c r="O1054" s="57">
        <f t="shared" si="220"/>
        <v>738.97500000000002</v>
      </c>
      <c r="P1054" s="58">
        <f t="shared" si="221"/>
        <v>413.99159663865549</v>
      </c>
      <c r="Q1054" s="58">
        <f t="shared" si="222"/>
        <v>275.99439775910366</v>
      </c>
      <c r="R1054" s="66">
        <f t="shared" si="223"/>
        <v>12.932062500000002</v>
      </c>
      <c r="S1054" s="64">
        <f t="shared" si="224"/>
        <v>56.25</v>
      </c>
      <c r="T1054" s="66">
        <f t="shared" si="225"/>
        <v>808.15706250000005</v>
      </c>
      <c r="U1054" s="68">
        <f t="shared" si="226"/>
        <v>53.877137500000003</v>
      </c>
      <c r="V1054" s="68">
        <f t="shared" si="227"/>
        <v>452.74905462184881</v>
      </c>
      <c r="W1054" s="68">
        <f t="shared" si="228"/>
        <v>301.83270308123252</v>
      </c>
    </row>
    <row r="1055" spans="1:23" x14ac:dyDescent="0.25">
      <c r="A1055" s="1" t="s">
        <v>945</v>
      </c>
      <c r="B1055" s="61" t="s">
        <v>390</v>
      </c>
      <c r="C1055" s="1" t="s">
        <v>585</v>
      </c>
      <c r="D1055" s="1" t="s">
        <v>587</v>
      </c>
      <c r="E1055" s="1" t="s">
        <v>374</v>
      </c>
      <c r="F1055" s="62" t="str">
        <f t="shared" si="229"/>
        <v>64560</v>
      </c>
      <c r="G1055" s="269">
        <v>10620048</v>
      </c>
      <c r="H1055" s="1" t="s">
        <v>381</v>
      </c>
      <c r="I1055" s="61">
        <v>18</v>
      </c>
      <c r="J1055" s="61">
        <v>5.6</v>
      </c>
      <c r="K1055" s="61">
        <v>9</v>
      </c>
      <c r="L1055" s="69">
        <f t="shared" si="218"/>
        <v>1.008</v>
      </c>
      <c r="M1055" s="69">
        <f t="shared" si="219"/>
        <v>1.62</v>
      </c>
      <c r="N1055" s="56">
        <f>INDEX(Rate_Chart!$A$1:$AK$127,MATCH(Data!J1055,Rate_Chart!$A$1:$A$127,0),MATCH(Data!K1055,Rate_Chart!$A$1:$AK$1,0))</f>
        <v>46.76</v>
      </c>
      <c r="O1055" s="57">
        <f t="shared" si="220"/>
        <v>841.68</v>
      </c>
      <c r="P1055" s="58">
        <f t="shared" si="221"/>
        <v>403.10344827586209</v>
      </c>
      <c r="Q1055" s="58">
        <f t="shared" si="222"/>
        <v>268.73563218390808</v>
      </c>
      <c r="R1055" s="66">
        <f t="shared" si="223"/>
        <v>14.7294</v>
      </c>
      <c r="S1055" s="64">
        <f t="shared" si="224"/>
        <v>67.5</v>
      </c>
      <c r="T1055" s="66">
        <f t="shared" si="225"/>
        <v>923.90940000000001</v>
      </c>
      <c r="U1055" s="68">
        <f t="shared" si="226"/>
        <v>51.328299999999999</v>
      </c>
      <c r="V1055" s="68">
        <f t="shared" si="227"/>
        <v>442.48534482758623</v>
      </c>
      <c r="W1055" s="68">
        <f t="shared" si="228"/>
        <v>294.99022988505749</v>
      </c>
    </row>
    <row r="1056" spans="1:23" x14ac:dyDescent="0.25">
      <c r="A1056" s="1" t="s">
        <v>946</v>
      </c>
      <c r="B1056" s="61" t="s">
        <v>390</v>
      </c>
      <c r="C1056" s="1" t="s">
        <v>585</v>
      </c>
      <c r="D1056" s="1" t="s">
        <v>587</v>
      </c>
      <c r="E1056" s="1" t="s">
        <v>374</v>
      </c>
      <c r="F1056" s="62" t="str">
        <f t="shared" si="229"/>
        <v>64560</v>
      </c>
      <c r="G1056" s="269">
        <v>10620048</v>
      </c>
      <c r="H1056" s="1" t="s">
        <v>381</v>
      </c>
      <c r="I1056" s="61">
        <v>20</v>
      </c>
      <c r="J1056" s="61">
        <v>6.8</v>
      </c>
      <c r="K1056" s="61">
        <v>9</v>
      </c>
      <c r="L1056" s="69">
        <f t="shared" ref="L1056:L1119" si="230">J1056*I1056/100</f>
        <v>1.36</v>
      </c>
      <c r="M1056" s="69">
        <f t="shared" ref="M1056:M1119" si="231">K1056*I1056/100</f>
        <v>1.8</v>
      </c>
      <c r="N1056" s="56">
        <f>INDEX(Rate_Chart!$A$1:$AK$127,MATCH(Data!J1056,Rate_Chart!$A$1:$A$127,0),MATCH(Data!K1056,Rate_Chart!$A$1:$AK$1,0))</f>
        <v>56.78</v>
      </c>
      <c r="O1056" s="57">
        <f t="shared" ref="O1056:O1119" si="232">N1056*I1056</f>
        <v>1135.5999999999999</v>
      </c>
      <c r="P1056" s="58">
        <f t="shared" ref="P1056:P1119" si="233">N1056/(J1056%+K1056%*2/3)</f>
        <v>443.59375</v>
      </c>
      <c r="Q1056" s="58">
        <f t="shared" ref="Q1056:Q1119" si="234">P1056*2/3</f>
        <v>295.72916666666669</v>
      </c>
      <c r="R1056" s="66">
        <f t="shared" ref="R1056:R1119" si="235">O1056*1.75%</f>
        <v>19.873000000000001</v>
      </c>
      <c r="S1056" s="64">
        <f t="shared" ref="S1056:S1119" si="236">I1056*3.75</f>
        <v>75</v>
      </c>
      <c r="T1056" s="66">
        <f t="shared" ref="T1056:T1119" si="237">R1056+S1056+O1056</f>
        <v>1230.473</v>
      </c>
      <c r="U1056" s="68">
        <f t="shared" ref="U1056:U1119" si="238">T1056/I1056</f>
        <v>61.523649999999996</v>
      </c>
      <c r="V1056" s="68">
        <f t="shared" ref="V1056:V1119" si="239">U1056/(J1056%+K1056%*2/3)</f>
        <v>480.65351562499995</v>
      </c>
      <c r="W1056" s="68">
        <f t="shared" ref="W1056:W1119" si="240">V1056*2/3</f>
        <v>320.4356770833333</v>
      </c>
    </row>
    <row r="1057" spans="1:23" x14ac:dyDescent="0.25">
      <c r="A1057" s="1" t="s">
        <v>947</v>
      </c>
      <c r="B1057" s="61" t="s">
        <v>390</v>
      </c>
      <c r="C1057" s="1" t="s">
        <v>585</v>
      </c>
      <c r="D1057" s="1" t="s">
        <v>587</v>
      </c>
      <c r="E1057" s="1" t="s">
        <v>374</v>
      </c>
      <c r="F1057" s="62" t="str">
        <f t="shared" si="229"/>
        <v>64560</v>
      </c>
      <c r="G1057" s="269">
        <v>10620048</v>
      </c>
      <c r="H1057" s="1" t="s">
        <v>381</v>
      </c>
      <c r="I1057" s="61">
        <v>17</v>
      </c>
      <c r="J1057" s="61">
        <v>5.7</v>
      </c>
      <c r="K1057" s="61">
        <v>9</v>
      </c>
      <c r="L1057" s="69">
        <f t="shared" si="230"/>
        <v>0.96900000000000008</v>
      </c>
      <c r="M1057" s="69">
        <f t="shared" si="231"/>
        <v>1.53</v>
      </c>
      <c r="N1057" s="56">
        <f>INDEX(Rate_Chart!$A$1:$AK$127,MATCH(Data!J1057,Rate_Chart!$A$1:$A$127,0),MATCH(Data!K1057,Rate_Chart!$A$1:$AK$1,0))</f>
        <v>47.594999999999999</v>
      </c>
      <c r="O1057" s="57">
        <f t="shared" si="232"/>
        <v>809.11500000000001</v>
      </c>
      <c r="P1057" s="58">
        <f t="shared" si="233"/>
        <v>406.79487179487182</v>
      </c>
      <c r="Q1057" s="58">
        <f t="shared" si="234"/>
        <v>271.19658119658123</v>
      </c>
      <c r="R1057" s="66">
        <f t="shared" si="235"/>
        <v>14.159512500000002</v>
      </c>
      <c r="S1057" s="64">
        <f t="shared" si="236"/>
        <v>63.75</v>
      </c>
      <c r="T1057" s="66">
        <f t="shared" si="237"/>
        <v>887.02451250000001</v>
      </c>
      <c r="U1057" s="68">
        <f t="shared" si="238"/>
        <v>52.177912499999998</v>
      </c>
      <c r="V1057" s="68">
        <f t="shared" si="239"/>
        <v>445.9650641025641</v>
      </c>
      <c r="W1057" s="68">
        <f t="shared" si="240"/>
        <v>297.31004273504271</v>
      </c>
    </row>
    <row r="1058" spans="1:23" x14ac:dyDescent="0.25">
      <c r="A1058" s="1" t="s">
        <v>941</v>
      </c>
      <c r="B1058" s="61" t="s">
        <v>390</v>
      </c>
      <c r="C1058" s="1" t="s">
        <v>585</v>
      </c>
      <c r="D1058" s="1" t="s">
        <v>588</v>
      </c>
      <c r="E1058" s="1" t="s">
        <v>375</v>
      </c>
      <c r="F1058" s="62" t="str">
        <f t="shared" si="229"/>
        <v>64562</v>
      </c>
      <c r="G1058" s="269">
        <v>10620054</v>
      </c>
      <c r="H1058" s="1" t="s">
        <v>381</v>
      </c>
      <c r="I1058" s="61">
        <v>16</v>
      </c>
      <c r="J1058" s="61">
        <v>6.8</v>
      </c>
      <c r="K1058" s="61">
        <v>9</v>
      </c>
      <c r="L1058" s="69">
        <f t="shared" si="230"/>
        <v>1.0880000000000001</v>
      </c>
      <c r="M1058" s="69">
        <f t="shared" si="231"/>
        <v>1.44</v>
      </c>
      <c r="N1058" s="56">
        <f>INDEX(Rate_Chart!$A$1:$AK$127,MATCH(Data!J1058,Rate_Chart!$A$1:$A$127,0),MATCH(Data!K1058,Rate_Chart!$A$1:$AK$1,0))</f>
        <v>56.78</v>
      </c>
      <c r="O1058" s="57">
        <f t="shared" si="232"/>
        <v>908.48</v>
      </c>
      <c r="P1058" s="58">
        <f t="shared" si="233"/>
        <v>443.59375</v>
      </c>
      <c r="Q1058" s="58">
        <f t="shared" si="234"/>
        <v>295.72916666666669</v>
      </c>
      <c r="R1058" s="66">
        <f t="shared" si="235"/>
        <v>15.898400000000002</v>
      </c>
      <c r="S1058" s="64">
        <f t="shared" si="236"/>
        <v>60</v>
      </c>
      <c r="T1058" s="66">
        <f t="shared" si="237"/>
        <v>984.37840000000006</v>
      </c>
      <c r="U1058" s="68">
        <f t="shared" si="238"/>
        <v>61.523650000000004</v>
      </c>
      <c r="V1058" s="68">
        <f t="shared" si="239"/>
        <v>480.65351562500001</v>
      </c>
      <c r="W1058" s="68">
        <f t="shared" si="240"/>
        <v>320.43567708333336</v>
      </c>
    </row>
    <row r="1059" spans="1:23" x14ac:dyDescent="0.25">
      <c r="A1059" s="1" t="s">
        <v>941</v>
      </c>
      <c r="B1059" s="61" t="s">
        <v>390</v>
      </c>
      <c r="C1059" s="1" t="s">
        <v>585</v>
      </c>
      <c r="D1059" s="1" t="s">
        <v>588</v>
      </c>
      <c r="E1059" s="1" t="s">
        <v>375</v>
      </c>
      <c r="F1059" s="62" t="str">
        <f t="shared" si="229"/>
        <v>64562</v>
      </c>
      <c r="G1059" s="269">
        <v>10620054</v>
      </c>
      <c r="H1059" s="1" t="s">
        <v>382</v>
      </c>
      <c r="I1059" s="61">
        <v>24</v>
      </c>
      <c r="J1059" s="61">
        <v>4.5</v>
      </c>
      <c r="K1059" s="61">
        <v>8.5</v>
      </c>
      <c r="L1059" s="69">
        <f t="shared" si="230"/>
        <v>1.08</v>
      </c>
      <c r="M1059" s="69">
        <f t="shared" si="231"/>
        <v>2.04</v>
      </c>
      <c r="N1059" s="56">
        <f>INDEX(Rate_Chart!$A$1:$AK$127,MATCH(Data!J1059,Rate_Chart!$A$1:$A$127,0),MATCH(Data!K1059,Rate_Chart!$A$1:$AK$1,0))</f>
        <v>42.396181500000004</v>
      </c>
      <c r="O1059" s="57">
        <f t="shared" si="232"/>
        <v>1017.508356</v>
      </c>
      <c r="P1059" s="58">
        <f t="shared" si="233"/>
        <v>417.01162131147544</v>
      </c>
      <c r="Q1059" s="58">
        <f t="shared" si="234"/>
        <v>278.00774754098364</v>
      </c>
      <c r="R1059" s="66">
        <f t="shared" si="235"/>
        <v>17.806396230000004</v>
      </c>
      <c r="S1059" s="64">
        <f t="shared" si="236"/>
        <v>90</v>
      </c>
      <c r="T1059" s="66">
        <f t="shared" si="237"/>
        <v>1125.3147522300001</v>
      </c>
      <c r="U1059" s="68">
        <f t="shared" si="238"/>
        <v>46.888114676250005</v>
      </c>
      <c r="V1059" s="68">
        <f t="shared" si="239"/>
        <v>461.19457058606559</v>
      </c>
      <c r="W1059" s="68">
        <f t="shared" si="240"/>
        <v>307.46304705737708</v>
      </c>
    </row>
    <row r="1060" spans="1:23" x14ac:dyDescent="0.25">
      <c r="A1060" s="1" t="s">
        <v>941</v>
      </c>
      <c r="B1060" s="61" t="s">
        <v>391</v>
      </c>
      <c r="C1060" s="1" t="s">
        <v>585</v>
      </c>
      <c r="D1060" s="1" t="s">
        <v>588</v>
      </c>
      <c r="E1060" s="1" t="s">
        <v>375</v>
      </c>
      <c r="F1060" s="62" t="str">
        <f t="shared" si="229"/>
        <v>64562</v>
      </c>
      <c r="G1060" s="269">
        <v>10620054</v>
      </c>
      <c r="H1060" s="1" t="s">
        <v>381</v>
      </c>
      <c r="I1060" s="61">
        <v>25</v>
      </c>
      <c r="J1060" s="61">
        <v>6.4</v>
      </c>
      <c r="K1060" s="61">
        <v>9</v>
      </c>
      <c r="L1060" s="69">
        <f t="shared" si="230"/>
        <v>1.6</v>
      </c>
      <c r="M1060" s="69">
        <f t="shared" si="231"/>
        <v>2.25</v>
      </c>
      <c r="N1060" s="56">
        <f>INDEX(Rate_Chart!$A$1:$AK$127,MATCH(Data!J1060,Rate_Chart!$A$1:$A$127,0),MATCH(Data!K1060,Rate_Chart!$A$1:$AK$1,0))</f>
        <v>53.44</v>
      </c>
      <c r="O1060" s="57">
        <f t="shared" si="232"/>
        <v>1336</v>
      </c>
      <c r="P1060" s="58">
        <f t="shared" si="233"/>
        <v>430.96774193548384</v>
      </c>
      <c r="Q1060" s="58">
        <f t="shared" si="234"/>
        <v>287.31182795698925</v>
      </c>
      <c r="R1060" s="66">
        <f t="shared" si="235"/>
        <v>23.380000000000003</v>
      </c>
      <c r="S1060" s="64">
        <f t="shared" si="236"/>
        <v>93.75</v>
      </c>
      <c r="T1060" s="66">
        <f t="shared" si="237"/>
        <v>1453.13</v>
      </c>
      <c r="U1060" s="68">
        <f t="shared" si="238"/>
        <v>58.125200000000007</v>
      </c>
      <c r="V1060" s="68">
        <f t="shared" si="239"/>
        <v>468.75161290322586</v>
      </c>
      <c r="W1060" s="68">
        <f t="shared" si="240"/>
        <v>312.50107526881726</v>
      </c>
    </row>
    <row r="1061" spans="1:23" x14ac:dyDescent="0.25">
      <c r="A1061" s="1" t="s">
        <v>941</v>
      </c>
      <c r="B1061" s="61" t="s">
        <v>391</v>
      </c>
      <c r="C1061" s="1" t="s">
        <v>585</v>
      </c>
      <c r="D1061" s="1" t="s">
        <v>588</v>
      </c>
      <c r="E1061" s="1" t="s">
        <v>375</v>
      </c>
      <c r="F1061" s="62" t="str">
        <f t="shared" si="229"/>
        <v>64562</v>
      </c>
      <c r="G1061" s="269">
        <v>10620054</v>
      </c>
      <c r="H1061" s="1" t="s">
        <v>382</v>
      </c>
      <c r="I1061" s="61">
        <v>34</v>
      </c>
      <c r="J1061" s="61">
        <v>3.8</v>
      </c>
      <c r="K1061" s="61">
        <v>8.3000000000000007</v>
      </c>
      <c r="L1061" s="69">
        <f t="shared" si="230"/>
        <v>1.2919999999999998</v>
      </c>
      <c r="M1061" s="69">
        <f t="shared" si="231"/>
        <v>2.8220000000000005</v>
      </c>
      <c r="N1061" s="56">
        <f>INDEX(Rate_Chart!$A$1:$AK$127,MATCH(Data!J1061,Rate_Chart!$A$1:$A$127,0),MATCH(Data!K1061,Rate_Chart!$A$1:$AK$1,0))</f>
        <v>38.921153700000005</v>
      </c>
      <c r="O1061" s="57">
        <f t="shared" si="232"/>
        <v>1323.3192258000001</v>
      </c>
      <c r="P1061" s="58">
        <f t="shared" si="233"/>
        <v>417.01236107142859</v>
      </c>
      <c r="Q1061" s="58">
        <f t="shared" si="234"/>
        <v>278.00824071428571</v>
      </c>
      <c r="R1061" s="66">
        <f t="shared" si="235"/>
        <v>23.158086451500004</v>
      </c>
      <c r="S1061" s="64">
        <f t="shared" si="236"/>
        <v>127.5</v>
      </c>
      <c r="T1061" s="66">
        <f t="shared" si="237"/>
        <v>1473.9773122515001</v>
      </c>
      <c r="U1061" s="68">
        <f t="shared" si="238"/>
        <v>43.352273889750002</v>
      </c>
      <c r="V1061" s="68">
        <f t="shared" si="239"/>
        <v>464.48864881874999</v>
      </c>
      <c r="W1061" s="68">
        <f t="shared" si="240"/>
        <v>309.6590992125</v>
      </c>
    </row>
    <row r="1062" spans="1:23" x14ac:dyDescent="0.25">
      <c r="A1062" s="1" t="s">
        <v>942</v>
      </c>
      <c r="B1062" s="61" t="s">
        <v>390</v>
      </c>
      <c r="C1062" s="1" t="s">
        <v>585</v>
      </c>
      <c r="D1062" s="1" t="s">
        <v>588</v>
      </c>
      <c r="E1062" s="1" t="s">
        <v>375</v>
      </c>
      <c r="F1062" s="62" t="str">
        <f t="shared" si="229"/>
        <v>64562</v>
      </c>
      <c r="G1062" s="269">
        <v>10620054</v>
      </c>
      <c r="H1062" s="1" t="s">
        <v>381</v>
      </c>
      <c r="I1062" s="61">
        <v>26</v>
      </c>
      <c r="J1062" s="61">
        <v>6.7</v>
      </c>
      <c r="K1062" s="61">
        <v>9</v>
      </c>
      <c r="L1062" s="69">
        <f t="shared" si="230"/>
        <v>1.7420000000000002</v>
      </c>
      <c r="M1062" s="69">
        <f t="shared" si="231"/>
        <v>2.34</v>
      </c>
      <c r="N1062" s="56">
        <f>INDEX(Rate_Chart!$A$1:$AK$127,MATCH(Data!J1062,Rate_Chart!$A$1:$A$127,0),MATCH(Data!K1062,Rate_Chart!$A$1:$AK$1,0))</f>
        <v>55.945</v>
      </c>
      <c r="O1062" s="57">
        <f t="shared" si="232"/>
        <v>1454.57</v>
      </c>
      <c r="P1062" s="58">
        <f t="shared" si="233"/>
        <v>440.51181102362204</v>
      </c>
      <c r="Q1062" s="58">
        <f t="shared" si="234"/>
        <v>293.67454068241472</v>
      </c>
      <c r="R1062" s="66">
        <f t="shared" si="235"/>
        <v>25.454975000000001</v>
      </c>
      <c r="S1062" s="64">
        <f t="shared" si="236"/>
        <v>97.5</v>
      </c>
      <c r="T1062" s="66">
        <f t="shared" si="237"/>
        <v>1577.524975</v>
      </c>
      <c r="U1062" s="68">
        <f t="shared" si="238"/>
        <v>60.674037500000004</v>
      </c>
      <c r="V1062" s="68">
        <f t="shared" si="239"/>
        <v>477.74832677165358</v>
      </c>
      <c r="W1062" s="68">
        <f t="shared" si="240"/>
        <v>318.4988845144357</v>
      </c>
    </row>
    <row r="1063" spans="1:23" x14ac:dyDescent="0.25">
      <c r="A1063" s="1" t="s">
        <v>942</v>
      </c>
      <c r="B1063" s="61" t="s">
        <v>390</v>
      </c>
      <c r="C1063" s="1" t="s">
        <v>585</v>
      </c>
      <c r="D1063" s="1" t="s">
        <v>588</v>
      </c>
      <c r="E1063" s="1" t="s">
        <v>375</v>
      </c>
      <c r="F1063" s="62" t="str">
        <f t="shared" si="229"/>
        <v>64562</v>
      </c>
      <c r="G1063" s="269">
        <v>10620054</v>
      </c>
      <c r="H1063" s="1" t="s">
        <v>382</v>
      </c>
      <c r="I1063" s="61">
        <v>35</v>
      </c>
      <c r="J1063" s="61">
        <v>4.0999999999999996</v>
      </c>
      <c r="K1063" s="61">
        <v>8.3000000000000007</v>
      </c>
      <c r="L1063" s="69">
        <f t="shared" si="230"/>
        <v>1.4350000000000001</v>
      </c>
      <c r="M1063" s="69">
        <f t="shared" si="231"/>
        <v>2.9049999999999998</v>
      </c>
      <c r="N1063" s="56">
        <f>INDEX(Rate_Chart!$A$1:$AK$127,MATCH(Data!J1063,Rate_Chart!$A$1:$A$127,0),MATCH(Data!K1063,Rate_Chart!$A$1:$AK$1,0))</f>
        <v>40.172153700000003</v>
      </c>
      <c r="O1063" s="57">
        <f t="shared" si="232"/>
        <v>1406.0253795000001</v>
      </c>
      <c r="P1063" s="58">
        <f t="shared" si="233"/>
        <v>417.01197612456752</v>
      </c>
      <c r="Q1063" s="58">
        <f t="shared" si="234"/>
        <v>278.00798408304502</v>
      </c>
      <c r="R1063" s="66">
        <f t="shared" si="235"/>
        <v>24.605444141250004</v>
      </c>
      <c r="S1063" s="64">
        <f t="shared" si="236"/>
        <v>131.25</v>
      </c>
      <c r="T1063" s="66">
        <f t="shared" si="237"/>
        <v>1561.8808236412501</v>
      </c>
      <c r="U1063" s="68">
        <f t="shared" si="238"/>
        <v>44.625166389750007</v>
      </c>
      <c r="V1063" s="68">
        <f t="shared" si="239"/>
        <v>463.23702134688591</v>
      </c>
      <c r="W1063" s="68">
        <f t="shared" si="240"/>
        <v>308.82468089792394</v>
      </c>
    </row>
    <row r="1064" spans="1:23" x14ac:dyDescent="0.25">
      <c r="A1064" s="1" t="s">
        <v>942</v>
      </c>
      <c r="B1064" s="61" t="s">
        <v>391</v>
      </c>
      <c r="C1064" s="1" t="s">
        <v>585</v>
      </c>
      <c r="D1064" s="1" t="s">
        <v>588</v>
      </c>
      <c r="E1064" s="1" t="s">
        <v>375</v>
      </c>
      <c r="F1064" s="62" t="str">
        <f t="shared" si="229"/>
        <v>64562</v>
      </c>
      <c r="G1064" s="269">
        <v>10620054</v>
      </c>
      <c r="H1064" s="1" t="s">
        <v>381</v>
      </c>
      <c r="I1064" s="61">
        <v>20</v>
      </c>
      <c r="J1064" s="61">
        <v>6.5</v>
      </c>
      <c r="K1064" s="61">
        <v>9</v>
      </c>
      <c r="L1064" s="69">
        <f t="shared" si="230"/>
        <v>1.3</v>
      </c>
      <c r="M1064" s="69">
        <f t="shared" si="231"/>
        <v>1.8</v>
      </c>
      <c r="N1064" s="56">
        <f>INDEX(Rate_Chart!$A$1:$AK$127,MATCH(Data!J1064,Rate_Chart!$A$1:$A$127,0),MATCH(Data!K1064,Rate_Chart!$A$1:$AK$1,0))</f>
        <v>54.274999999999999</v>
      </c>
      <c r="O1064" s="57">
        <f t="shared" si="232"/>
        <v>1085.5</v>
      </c>
      <c r="P1064" s="58">
        <f t="shared" si="233"/>
        <v>434.2</v>
      </c>
      <c r="Q1064" s="58">
        <f t="shared" si="234"/>
        <v>289.46666666666664</v>
      </c>
      <c r="R1064" s="66">
        <f t="shared" si="235"/>
        <v>18.996250000000003</v>
      </c>
      <c r="S1064" s="64">
        <f t="shared" si="236"/>
        <v>75</v>
      </c>
      <c r="T1064" s="66">
        <f t="shared" si="237"/>
        <v>1179.4962499999999</v>
      </c>
      <c r="U1064" s="68">
        <f t="shared" si="238"/>
        <v>58.974812499999999</v>
      </c>
      <c r="V1064" s="68">
        <f t="shared" si="239"/>
        <v>471.79849999999999</v>
      </c>
      <c r="W1064" s="68">
        <f t="shared" si="240"/>
        <v>314.53233333333333</v>
      </c>
    </row>
    <row r="1065" spans="1:23" x14ac:dyDescent="0.25">
      <c r="A1065" s="1" t="s">
        <v>942</v>
      </c>
      <c r="B1065" s="61" t="s">
        <v>391</v>
      </c>
      <c r="C1065" s="1" t="s">
        <v>585</v>
      </c>
      <c r="D1065" s="1" t="s">
        <v>588</v>
      </c>
      <c r="E1065" s="1" t="s">
        <v>375</v>
      </c>
      <c r="F1065" s="62" t="str">
        <f t="shared" si="229"/>
        <v>64562</v>
      </c>
      <c r="G1065" s="269">
        <v>10620054</v>
      </c>
      <c r="H1065" s="1" t="s">
        <v>382</v>
      </c>
      <c r="I1065" s="61">
        <v>28</v>
      </c>
      <c r="J1065" s="61">
        <v>4.0999999999999996</v>
      </c>
      <c r="K1065" s="61">
        <v>8.5</v>
      </c>
      <c r="L1065" s="69">
        <f t="shared" si="230"/>
        <v>1.1479999999999999</v>
      </c>
      <c r="M1065" s="69">
        <f t="shared" si="231"/>
        <v>2.38</v>
      </c>
      <c r="N1065" s="56">
        <f>INDEX(Rate_Chart!$A$1:$AK$127,MATCH(Data!J1065,Rate_Chart!$A$1:$A$127,0),MATCH(Data!K1065,Rate_Chart!$A$1:$AK$1,0))</f>
        <v>40.728181500000005</v>
      </c>
      <c r="O1065" s="57">
        <f t="shared" si="232"/>
        <v>1140.3890820000001</v>
      </c>
      <c r="P1065" s="58">
        <f t="shared" si="233"/>
        <v>417.01209726962463</v>
      </c>
      <c r="Q1065" s="58">
        <f t="shared" si="234"/>
        <v>278.0080648464164</v>
      </c>
      <c r="R1065" s="66">
        <f t="shared" si="235"/>
        <v>19.956808935000005</v>
      </c>
      <c r="S1065" s="64">
        <f t="shared" si="236"/>
        <v>105</v>
      </c>
      <c r="T1065" s="66">
        <f t="shared" si="237"/>
        <v>1265.3458909350002</v>
      </c>
      <c r="U1065" s="68">
        <f t="shared" si="238"/>
        <v>45.190924676250006</v>
      </c>
      <c r="V1065" s="68">
        <f t="shared" si="239"/>
        <v>462.70571340870316</v>
      </c>
      <c r="W1065" s="68">
        <f t="shared" si="240"/>
        <v>308.47047560580211</v>
      </c>
    </row>
    <row r="1066" spans="1:23" x14ac:dyDescent="0.25">
      <c r="A1066" s="1" t="s">
        <v>943</v>
      </c>
      <c r="B1066" s="61" t="s">
        <v>390</v>
      </c>
      <c r="C1066" s="1" t="s">
        <v>585</v>
      </c>
      <c r="D1066" s="1" t="s">
        <v>588</v>
      </c>
      <c r="E1066" s="1" t="s">
        <v>375</v>
      </c>
      <c r="F1066" s="62" t="str">
        <f t="shared" si="229"/>
        <v>64562</v>
      </c>
      <c r="G1066" s="269">
        <v>10620054</v>
      </c>
      <c r="H1066" s="1" t="s">
        <v>381</v>
      </c>
      <c r="I1066" s="61">
        <v>23</v>
      </c>
      <c r="J1066" s="61">
        <v>6.9</v>
      </c>
      <c r="K1066" s="61">
        <v>9</v>
      </c>
      <c r="L1066" s="69">
        <f t="shared" si="230"/>
        <v>1.5870000000000002</v>
      </c>
      <c r="M1066" s="69">
        <f t="shared" si="231"/>
        <v>2.0699999999999998</v>
      </c>
      <c r="N1066" s="56">
        <f>INDEX(Rate_Chart!$A$1:$AK$127,MATCH(Data!J1066,Rate_Chart!$A$1:$A$127,0),MATCH(Data!K1066,Rate_Chart!$A$1:$AK$1,0))</f>
        <v>57.615000000000002</v>
      </c>
      <c r="O1066" s="57">
        <f t="shared" si="232"/>
        <v>1325.145</v>
      </c>
      <c r="P1066" s="58">
        <f t="shared" si="233"/>
        <v>446.62790697674421</v>
      </c>
      <c r="Q1066" s="58">
        <f t="shared" si="234"/>
        <v>297.75193798449612</v>
      </c>
      <c r="R1066" s="66">
        <f t="shared" si="235"/>
        <v>23.190037500000003</v>
      </c>
      <c r="S1066" s="64">
        <f t="shared" si="236"/>
        <v>86.25</v>
      </c>
      <c r="T1066" s="66">
        <f t="shared" si="237"/>
        <v>1434.5850375</v>
      </c>
      <c r="U1066" s="68">
        <f t="shared" si="238"/>
        <v>62.373262500000003</v>
      </c>
      <c r="V1066" s="68">
        <f t="shared" si="239"/>
        <v>483.51366279069771</v>
      </c>
      <c r="W1066" s="68">
        <f t="shared" si="240"/>
        <v>322.34244186046516</v>
      </c>
    </row>
    <row r="1067" spans="1:23" x14ac:dyDescent="0.25">
      <c r="A1067" s="1" t="s">
        <v>943</v>
      </c>
      <c r="B1067" s="61" t="s">
        <v>390</v>
      </c>
      <c r="C1067" s="1" t="s">
        <v>585</v>
      </c>
      <c r="D1067" s="1" t="s">
        <v>588</v>
      </c>
      <c r="E1067" s="1" t="s">
        <v>375</v>
      </c>
      <c r="F1067" s="62" t="str">
        <f t="shared" si="229"/>
        <v>64562</v>
      </c>
      <c r="G1067" s="269">
        <v>10620054</v>
      </c>
      <c r="H1067" s="1" t="s">
        <v>382</v>
      </c>
      <c r="I1067" s="61">
        <v>40</v>
      </c>
      <c r="J1067" s="61">
        <v>3.4</v>
      </c>
      <c r="K1067" s="61">
        <v>8.3000000000000007</v>
      </c>
      <c r="L1067" s="69">
        <f t="shared" si="230"/>
        <v>1.36</v>
      </c>
      <c r="M1067" s="69">
        <f t="shared" si="231"/>
        <v>3.32</v>
      </c>
      <c r="N1067" s="56">
        <f>INDEX(Rate_Chart!$A$1:$AK$127,MATCH(Data!J1067,Rate_Chart!$A$1:$A$127,0),MATCH(Data!K1067,Rate_Chart!$A$1:$AK$1,0))</f>
        <v>37.253153700000006</v>
      </c>
      <c r="O1067" s="57">
        <f t="shared" si="232"/>
        <v>1490.1261480000003</v>
      </c>
      <c r="P1067" s="58">
        <f t="shared" si="233"/>
        <v>417.01291455223878</v>
      </c>
      <c r="Q1067" s="58">
        <f t="shared" si="234"/>
        <v>278.0086097014925</v>
      </c>
      <c r="R1067" s="66">
        <f t="shared" si="235"/>
        <v>26.077207590000008</v>
      </c>
      <c r="S1067" s="64">
        <f t="shared" si="236"/>
        <v>150</v>
      </c>
      <c r="T1067" s="66">
        <f t="shared" si="237"/>
        <v>1666.2033555900002</v>
      </c>
      <c r="U1067" s="68">
        <f t="shared" si="238"/>
        <v>41.655083889750003</v>
      </c>
      <c r="V1067" s="68">
        <f t="shared" si="239"/>
        <v>466.28825249720143</v>
      </c>
      <c r="W1067" s="68">
        <f t="shared" si="240"/>
        <v>310.85883499813428</v>
      </c>
    </row>
    <row r="1068" spans="1:23" x14ac:dyDescent="0.25">
      <c r="A1068" s="1" t="s">
        <v>943</v>
      </c>
      <c r="B1068" s="61" t="s">
        <v>391</v>
      </c>
      <c r="C1068" s="1" t="s">
        <v>585</v>
      </c>
      <c r="D1068" s="1" t="s">
        <v>588</v>
      </c>
      <c r="E1068" s="1" t="s">
        <v>375</v>
      </c>
      <c r="F1068" s="62" t="str">
        <f t="shared" si="229"/>
        <v>64562</v>
      </c>
      <c r="G1068" s="269">
        <v>10620054</v>
      </c>
      <c r="H1068" s="1" t="s">
        <v>381</v>
      </c>
      <c r="I1068" s="61">
        <v>14</v>
      </c>
      <c r="J1068" s="61">
        <v>7</v>
      </c>
      <c r="K1068" s="61">
        <v>9</v>
      </c>
      <c r="L1068" s="69">
        <f t="shared" si="230"/>
        <v>0.98</v>
      </c>
      <c r="M1068" s="69">
        <f t="shared" si="231"/>
        <v>1.26</v>
      </c>
      <c r="N1068" s="56">
        <f>INDEX(Rate_Chart!$A$1:$AK$127,MATCH(Data!J1068,Rate_Chart!$A$1:$A$127,0),MATCH(Data!K1068,Rate_Chart!$A$1:$AK$1,0))</f>
        <v>58.45</v>
      </c>
      <c r="O1068" s="57">
        <f t="shared" si="232"/>
        <v>818.30000000000007</v>
      </c>
      <c r="P1068" s="58">
        <f t="shared" si="233"/>
        <v>449.61538461538464</v>
      </c>
      <c r="Q1068" s="58">
        <f t="shared" si="234"/>
        <v>299.74358974358978</v>
      </c>
      <c r="R1068" s="66">
        <f t="shared" si="235"/>
        <v>14.320250000000003</v>
      </c>
      <c r="S1068" s="64">
        <f t="shared" si="236"/>
        <v>52.5</v>
      </c>
      <c r="T1068" s="66">
        <f t="shared" si="237"/>
        <v>885.12025000000006</v>
      </c>
      <c r="U1068" s="68">
        <f t="shared" si="238"/>
        <v>63.222875000000002</v>
      </c>
      <c r="V1068" s="68">
        <f t="shared" si="239"/>
        <v>486.32980769230767</v>
      </c>
      <c r="W1068" s="68">
        <f t="shared" si="240"/>
        <v>324.21987179487178</v>
      </c>
    </row>
    <row r="1069" spans="1:23" x14ac:dyDescent="0.25">
      <c r="A1069" s="1" t="s">
        <v>943</v>
      </c>
      <c r="B1069" s="61" t="s">
        <v>391</v>
      </c>
      <c r="C1069" s="1" t="s">
        <v>585</v>
      </c>
      <c r="D1069" s="1" t="s">
        <v>588</v>
      </c>
      <c r="E1069" s="1" t="s">
        <v>375</v>
      </c>
      <c r="F1069" s="62" t="str">
        <f t="shared" si="229"/>
        <v>64562</v>
      </c>
      <c r="G1069" s="269">
        <v>10620054</v>
      </c>
      <c r="H1069" s="1" t="s">
        <v>382</v>
      </c>
      <c r="I1069" s="61">
        <v>24</v>
      </c>
      <c r="J1069" s="61">
        <v>4.2</v>
      </c>
      <c r="K1069" s="61">
        <v>8.4</v>
      </c>
      <c r="L1069" s="69">
        <f t="shared" si="230"/>
        <v>1.008</v>
      </c>
      <c r="M1069" s="69">
        <f t="shared" si="231"/>
        <v>2.016</v>
      </c>
      <c r="N1069" s="56">
        <f>INDEX(Rate_Chart!$A$1:$AK$127,MATCH(Data!J1069,Rate_Chart!$A$1:$A$127,0),MATCH(Data!K1069,Rate_Chart!$A$1:$AK$1,0))</f>
        <v>40.867167600000002</v>
      </c>
      <c r="O1069" s="57">
        <f t="shared" si="232"/>
        <v>980.81202240000005</v>
      </c>
      <c r="P1069" s="58">
        <f t="shared" si="233"/>
        <v>417.01191428571428</v>
      </c>
      <c r="Q1069" s="58">
        <f t="shared" si="234"/>
        <v>278.00794285714284</v>
      </c>
      <c r="R1069" s="66">
        <f t="shared" si="235"/>
        <v>17.164210392000001</v>
      </c>
      <c r="S1069" s="64">
        <f t="shared" si="236"/>
        <v>90</v>
      </c>
      <c r="T1069" s="66">
        <f t="shared" si="237"/>
        <v>1087.976232792</v>
      </c>
      <c r="U1069" s="68">
        <f t="shared" si="238"/>
        <v>45.332343033000001</v>
      </c>
      <c r="V1069" s="68">
        <f t="shared" si="239"/>
        <v>462.57492890816326</v>
      </c>
      <c r="W1069" s="68">
        <f t="shared" si="240"/>
        <v>308.38328593877549</v>
      </c>
    </row>
    <row r="1070" spans="1:23" x14ac:dyDescent="0.25">
      <c r="A1070" s="1" t="s">
        <v>944</v>
      </c>
      <c r="B1070" s="61" t="s">
        <v>390</v>
      </c>
      <c r="C1070" s="1" t="s">
        <v>585</v>
      </c>
      <c r="D1070" s="1" t="s">
        <v>588</v>
      </c>
      <c r="E1070" s="1" t="s">
        <v>375</v>
      </c>
      <c r="F1070" s="62" t="str">
        <f t="shared" si="229"/>
        <v>64562</v>
      </c>
      <c r="G1070" s="269">
        <v>10620054</v>
      </c>
      <c r="H1070" s="1" t="s">
        <v>381</v>
      </c>
      <c r="I1070" s="61">
        <v>20</v>
      </c>
      <c r="J1070" s="61">
        <v>6.9</v>
      </c>
      <c r="K1070" s="61">
        <v>9</v>
      </c>
      <c r="L1070" s="69">
        <f t="shared" si="230"/>
        <v>1.38</v>
      </c>
      <c r="M1070" s="69">
        <f t="shared" si="231"/>
        <v>1.8</v>
      </c>
      <c r="N1070" s="56">
        <f>INDEX(Rate_Chart!$A$1:$AK$127,MATCH(Data!J1070,Rate_Chart!$A$1:$A$127,0),MATCH(Data!K1070,Rate_Chart!$A$1:$AK$1,0))</f>
        <v>57.615000000000002</v>
      </c>
      <c r="O1070" s="57">
        <f t="shared" si="232"/>
        <v>1152.3</v>
      </c>
      <c r="P1070" s="58">
        <f t="shared" si="233"/>
        <v>446.62790697674421</v>
      </c>
      <c r="Q1070" s="58">
        <f t="shared" si="234"/>
        <v>297.75193798449612</v>
      </c>
      <c r="R1070" s="66">
        <f t="shared" si="235"/>
        <v>20.16525</v>
      </c>
      <c r="S1070" s="64">
        <f t="shared" si="236"/>
        <v>75</v>
      </c>
      <c r="T1070" s="66">
        <f t="shared" si="237"/>
        <v>1247.46525</v>
      </c>
      <c r="U1070" s="68">
        <f t="shared" si="238"/>
        <v>62.373262499999996</v>
      </c>
      <c r="V1070" s="68">
        <f t="shared" si="239"/>
        <v>483.51366279069765</v>
      </c>
      <c r="W1070" s="68">
        <f t="shared" si="240"/>
        <v>322.3424418604651</v>
      </c>
    </row>
    <row r="1071" spans="1:23" x14ac:dyDescent="0.25">
      <c r="A1071" s="1" t="s">
        <v>944</v>
      </c>
      <c r="B1071" s="61" t="s">
        <v>390</v>
      </c>
      <c r="C1071" s="1" t="s">
        <v>585</v>
      </c>
      <c r="D1071" s="1" t="s">
        <v>588</v>
      </c>
      <c r="E1071" s="1" t="s">
        <v>375</v>
      </c>
      <c r="F1071" s="62" t="str">
        <f t="shared" si="229"/>
        <v>64562</v>
      </c>
      <c r="G1071" s="269">
        <v>10620054</v>
      </c>
      <c r="H1071" s="1" t="s">
        <v>382</v>
      </c>
      <c r="I1071" s="61">
        <v>36</v>
      </c>
      <c r="J1071" s="61">
        <v>3.6</v>
      </c>
      <c r="K1071" s="61">
        <v>8.4</v>
      </c>
      <c r="L1071" s="69">
        <f t="shared" si="230"/>
        <v>1.296</v>
      </c>
      <c r="M1071" s="69">
        <f t="shared" si="231"/>
        <v>3.0240000000000005</v>
      </c>
      <c r="N1071" s="56">
        <f>INDEX(Rate_Chart!$A$1:$AK$127,MATCH(Data!J1071,Rate_Chart!$A$1:$A$127,0),MATCH(Data!K1071,Rate_Chart!$A$1:$AK$1,0))</f>
        <v>38.365167600000007</v>
      </c>
      <c r="O1071" s="57">
        <f t="shared" si="232"/>
        <v>1381.1460336000002</v>
      </c>
      <c r="P1071" s="58">
        <f t="shared" si="233"/>
        <v>417.01269130434792</v>
      </c>
      <c r="Q1071" s="58">
        <f t="shared" si="234"/>
        <v>278.00846086956528</v>
      </c>
      <c r="R1071" s="66">
        <f t="shared" si="235"/>
        <v>24.170055588000007</v>
      </c>
      <c r="S1071" s="64">
        <f t="shared" si="236"/>
        <v>135</v>
      </c>
      <c r="T1071" s="66">
        <f t="shared" si="237"/>
        <v>1540.3160891880002</v>
      </c>
      <c r="U1071" s="68">
        <f t="shared" si="238"/>
        <v>42.786558033000006</v>
      </c>
      <c r="V1071" s="68">
        <f t="shared" si="239"/>
        <v>465.07128296739137</v>
      </c>
      <c r="W1071" s="68">
        <f t="shared" si="240"/>
        <v>310.04752197826093</v>
      </c>
    </row>
    <row r="1072" spans="1:23" x14ac:dyDescent="0.25">
      <c r="A1072" s="1" t="s">
        <v>944</v>
      </c>
      <c r="B1072" s="61" t="s">
        <v>391</v>
      </c>
      <c r="C1072" s="1" t="s">
        <v>585</v>
      </c>
      <c r="D1072" s="1" t="s">
        <v>588</v>
      </c>
      <c r="E1072" s="1" t="s">
        <v>375</v>
      </c>
      <c r="F1072" s="62" t="str">
        <f t="shared" si="229"/>
        <v>64562</v>
      </c>
      <c r="G1072" s="269">
        <v>10620054</v>
      </c>
      <c r="H1072" s="1" t="s">
        <v>381</v>
      </c>
      <c r="I1072" s="61">
        <v>12</v>
      </c>
      <c r="J1072" s="61">
        <v>6.7</v>
      </c>
      <c r="K1072" s="61">
        <v>9</v>
      </c>
      <c r="L1072" s="69">
        <f t="shared" si="230"/>
        <v>0.80400000000000005</v>
      </c>
      <c r="M1072" s="69">
        <f t="shared" si="231"/>
        <v>1.08</v>
      </c>
      <c r="N1072" s="56">
        <f>INDEX(Rate_Chart!$A$1:$AK$127,MATCH(Data!J1072,Rate_Chart!$A$1:$A$127,0),MATCH(Data!K1072,Rate_Chart!$A$1:$AK$1,0))</f>
        <v>55.945</v>
      </c>
      <c r="O1072" s="57">
        <f t="shared" si="232"/>
        <v>671.34</v>
      </c>
      <c r="P1072" s="58">
        <f t="shared" si="233"/>
        <v>440.51181102362204</v>
      </c>
      <c r="Q1072" s="58">
        <f t="shared" si="234"/>
        <v>293.67454068241472</v>
      </c>
      <c r="R1072" s="66">
        <f t="shared" si="235"/>
        <v>11.748450000000002</v>
      </c>
      <c r="S1072" s="64">
        <f t="shared" si="236"/>
        <v>45</v>
      </c>
      <c r="T1072" s="66">
        <f t="shared" si="237"/>
        <v>728.08845000000008</v>
      </c>
      <c r="U1072" s="68">
        <f t="shared" si="238"/>
        <v>60.674037500000004</v>
      </c>
      <c r="V1072" s="68">
        <f t="shared" si="239"/>
        <v>477.74832677165358</v>
      </c>
      <c r="W1072" s="68">
        <f t="shared" si="240"/>
        <v>318.4988845144357</v>
      </c>
    </row>
    <row r="1073" spans="1:23" x14ac:dyDescent="0.25">
      <c r="A1073" s="1" t="s">
        <v>944</v>
      </c>
      <c r="B1073" s="61" t="s">
        <v>391</v>
      </c>
      <c r="C1073" s="1" t="s">
        <v>585</v>
      </c>
      <c r="D1073" s="1" t="s">
        <v>588</v>
      </c>
      <c r="E1073" s="1" t="s">
        <v>375</v>
      </c>
      <c r="F1073" s="62" t="str">
        <f t="shared" si="229"/>
        <v>64562</v>
      </c>
      <c r="G1073" s="269">
        <v>10620054</v>
      </c>
      <c r="H1073" s="1" t="s">
        <v>382</v>
      </c>
      <c r="I1073" s="61">
        <v>18</v>
      </c>
      <c r="J1073" s="61">
        <v>4</v>
      </c>
      <c r="K1073" s="61">
        <v>8.4</v>
      </c>
      <c r="L1073" s="69">
        <f t="shared" si="230"/>
        <v>0.72</v>
      </c>
      <c r="M1073" s="69">
        <f t="shared" si="231"/>
        <v>1.5120000000000002</v>
      </c>
      <c r="N1073" s="56">
        <f>INDEX(Rate_Chart!$A$1:$AK$127,MATCH(Data!J1073,Rate_Chart!$A$1:$A$127,0),MATCH(Data!K1073,Rate_Chart!$A$1:$AK$1,0))</f>
        <v>40.033167600000006</v>
      </c>
      <c r="O1073" s="57">
        <f t="shared" si="232"/>
        <v>720.59701680000012</v>
      </c>
      <c r="P1073" s="58">
        <f t="shared" si="233"/>
        <v>417.01216250000004</v>
      </c>
      <c r="Q1073" s="58">
        <f t="shared" si="234"/>
        <v>278.00810833333338</v>
      </c>
      <c r="R1073" s="66">
        <f t="shared" si="235"/>
        <v>12.610447794000004</v>
      </c>
      <c r="S1073" s="64">
        <f t="shared" si="236"/>
        <v>67.5</v>
      </c>
      <c r="T1073" s="66">
        <f t="shared" si="237"/>
        <v>800.70746459400016</v>
      </c>
      <c r="U1073" s="68">
        <f t="shared" si="238"/>
        <v>44.483748033000012</v>
      </c>
      <c r="V1073" s="68">
        <f t="shared" si="239"/>
        <v>463.37237534375009</v>
      </c>
      <c r="W1073" s="68">
        <f t="shared" si="240"/>
        <v>308.91491689583341</v>
      </c>
    </row>
    <row r="1074" spans="1:23" x14ac:dyDescent="0.25">
      <c r="A1074" s="1" t="s">
        <v>945</v>
      </c>
      <c r="B1074" s="61" t="s">
        <v>390</v>
      </c>
      <c r="C1074" s="1" t="s">
        <v>585</v>
      </c>
      <c r="D1074" s="1" t="s">
        <v>588</v>
      </c>
      <c r="E1074" s="1" t="s">
        <v>375</v>
      </c>
      <c r="F1074" s="62" t="str">
        <f t="shared" si="229"/>
        <v>64562</v>
      </c>
      <c r="G1074" s="269">
        <v>10620054</v>
      </c>
      <c r="H1074" s="1" t="s">
        <v>381</v>
      </c>
      <c r="I1074" s="61">
        <v>21</v>
      </c>
      <c r="J1074" s="61">
        <v>6.6</v>
      </c>
      <c r="K1074" s="61">
        <v>9</v>
      </c>
      <c r="L1074" s="69">
        <f t="shared" si="230"/>
        <v>1.3859999999999999</v>
      </c>
      <c r="M1074" s="69">
        <f t="shared" si="231"/>
        <v>1.89</v>
      </c>
      <c r="N1074" s="56">
        <f>INDEX(Rate_Chart!$A$1:$AK$127,MATCH(Data!J1074,Rate_Chart!$A$1:$A$127,0),MATCH(Data!K1074,Rate_Chart!$A$1:$AK$1,0))</f>
        <v>55.11</v>
      </c>
      <c r="O1074" s="57">
        <f t="shared" si="232"/>
        <v>1157.31</v>
      </c>
      <c r="P1074" s="58">
        <f t="shared" si="233"/>
        <v>437.38095238095235</v>
      </c>
      <c r="Q1074" s="58">
        <f t="shared" si="234"/>
        <v>291.58730158730157</v>
      </c>
      <c r="R1074" s="66">
        <f t="shared" si="235"/>
        <v>20.252925000000001</v>
      </c>
      <c r="S1074" s="64">
        <f t="shared" si="236"/>
        <v>78.75</v>
      </c>
      <c r="T1074" s="66">
        <f t="shared" si="237"/>
        <v>1256.312925</v>
      </c>
      <c r="U1074" s="68">
        <f t="shared" si="238"/>
        <v>59.824424999999998</v>
      </c>
      <c r="V1074" s="68">
        <f t="shared" si="239"/>
        <v>474.79702380952381</v>
      </c>
      <c r="W1074" s="68">
        <f t="shared" si="240"/>
        <v>316.5313492063492</v>
      </c>
    </row>
    <row r="1075" spans="1:23" x14ac:dyDescent="0.25">
      <c r="A1075" s="1" t="s">
        <v>945</v>
      </c>
      <c r="B1075" s="61" t="s">
        <v>390</v>
      </c>
      <c r="C1075" s="1" t="s">
        <v>585</v>
      </c>
      <c r="D1075" s="1" t="s">
        <v>588</v>
      </c>
      <c r="E1075" s="1" t="s">
        <v>375</v>
      </c>
      <c r="F1075" s="62" t="str">
        <f t="shared" si="229"/>
        <v>64562</v>
      </c>
      <c r="G1075" s="269">
        <v>10620054</v>
      </c>
      <c r="H1075" s="1" t="s">
        <v>382</v>
      </c>
      <c r="I1075" s="61">
        <v>40</v>
      </c>
      <c r="J1075" s="61">
        <v>3.8</v>
      </c>
      <c r="K1075" s="61">
        <v>8.5</v>
      </c>
      <c r="L1075" s="69">
        <f t="shared" si="230"/>
        <v>1.52</v>
      </c>
      <c r="M1075" s="69">
        <f t="shared" si="231"/>
        <v>3.4</v>
      </c>
      <c r="N1075" s="56">
        <f>INDEX(Rate_Chart!$A$1:$AK$127,MATCH(Data!J1075,Rate_Chart!$A$1:$A$127,0),MATCH(Data!K1075,Rate_Chart!$A$1:$AK$1,0))</f>
        <v>39.4771815</v>
      </c>
      <c r="O1075" s="57">
        <f t="shared" si="232"/>
        <v>1579.08726</v>
      </c>
      <c r="P1075" s="58">
        <f t="shared" si="233"/>
        <v>417.0124806338028</v>
      </c>
      <c r="Q1075" s="58">
        <f t="shared" si="234"/>
        <v>278.00832042253518</v>
      </c>
      <c r="R1075" s="66">
        <f t="shared" si="235"/>
        <v>27.634027050000004</v>
      </c>
      <c r="S1075" s="64">
        <f t="shared" si="236"/>
        <v>150</v>
      </c>
      <c r="T1075" s="66">
        <f t="shared" si="237"/>
        <v>1756.72128705</v>
      </c>
      <c r="U1075" s="68">
        <f t="shared" si="238"/>
        <v>43.918032176250001</v>
      </c>
      <c r="V1075" s="68">
        <f t="shared" si="239"/>
        <v>463.92287510123236</v>
      </c>
      <c r="W1075" s="68">
        <f t="shared" si="240"/>
        <v>309.28191673415489</v>
      </c>
    </row>
    <row r="1076" spans="1:23" x14ac:dyDescent="0.25">
      <c r="A1076" s="1" t="s">
        <v>945</v>
      </c>
      <c r="B1076" s="61" t="s">
        <v>391</v>
      </c>
      <c r="C1076" s="1" t="s">
        <v>585</v>
      </c>
      <c r="D1076" s="1" t="s">
        <v>588</v>
      </c>
      <c r="E1076" s="1" t="s">
        <v>375</v>
      </c>
      <c r="F1076" s="62" t="str">
        <f t="shared" si="229"/>
        <v>64562</v>
      </c>
      <c r="G1076" s="269">
        <v>10620054</v>
      </c>
      <c r="H1076" s="1" t="s">
        <v>381</v>
      </c>
      <c r="I1076" s="61">
        <v>21</v>
      </c>
      <c r="J1076" s="61">
        <v>6.7</v>
      </c>
      <c r="K1076" s="61">
        <v>9</v>
      </c>
      <c r="L1076" s="69">
        <f t="shared" si="230"/>
        <v>1.4070000000000003</v>
      </c>
      <c r="M1076" s="69">
        <f t="shared" si="231"/>
        <v>1.89</v>
      </c>
      <c r="N1076" s="56">
        <f>INDEX(Rate_Chart!$A$1:$AK$127,MATCH(Data!J1076,Rate_Chart!$A$1:$A$127,0),MATCH(Data!K1076,Rate_Chart!$A$1:$AK$1,0))</f>
        <v>55.945</v>
      </c>
      <c r="O1076" s="57">
        <f t="shared" si="232"/>
        <v>1174.845</v>
      </c>
      <c r="P1076" s="58">
        <f t="shared" si="233"/>
        <v>440.51181102362204</v>
      </c>
      <c r="Q1076" s="58">
        <f t="shared" si="234"/>
        <v>293.67454068241472</v>
      </c>
      <c r="R1076" s="66">
        <f t="shared" si="235"/>
        <v>20.559787500000002</v>
      </c>
      <c r="S1076" s="64">
        <f t="shared" si="236"/>
        <v>78.75</v>
      </c>
      <c r="T1076" s="66">
        <f t="shared" si="237"/>
        <v>1274.1547875000001</v>
      </c>
      <c r="U1076" s="68">
        <f t="shared" si="238"/>
        <v>60.674037500000004</v>
      </c>
      <c r="V1076" s="68">
        <f t="shared" si="239"/>
        <v>477.74832677165358</v>
      </c>
      <c r="W1076" s="68">
        <f t="shared" si="240"/>
        <v>318.4988845144357</v>
      </c>
    </row>
    <row r="1077" spans="1:23" x14ac:dyDescent="0.25">
      <c r="A1077" s="1" t="s">
        <v>945</v>
      </c>
      <c r="B1077" s="61" t="s">
        <v>391</v>
      </c>
      <c r="C1077" s="1" t="s">
        <v>585</v>
      </c>
      <c r="D1077" s="1" t="s">
        <v>588</v>
      </c>
      <c r="E1077" s="1" t="s">
        <v>375</v>
      </c>
      <c r="F1077" s="62" t="str">
        <f t="shared" si="229"/>
        <v>64562</v>
      </c>
      <c r="G1077" s="269">
        <v>10620054</v>
      </c>
      <c r="H1077" s="1" t="s">
        <v>382</v>
      </c>
      <c r="I1077" s="61">
        <v>28</v>
      </c>
      <c r="J1077" s="61">
        <v>3.5</v>
      </c>
      <c r="K1077" s="61">
        <v>8.3000000000000007</v>
      </c>
      <c r="L1077" s="69">
        <f t="shared" si="230"/>
        <v>0.98</v>
      </c>
      <c r="M1077" s="69">
        <f t="shared" si="231"/>
        <v>2.3240000000000003</v>
      </c>
      <c r="N1077" s="56">
        <f>INDEX(Rate_Chart!$A$1:$AK$127,MATCH(Data!J1077,Rate_Chart!$A$1:$A$127,0),MATCH(Data!K1077,Rate_Chart!$A$1:$AK$1,0))</f>
        <v>37.670153700000007</v>
      </c>
      <c r="O1077" s="57">
        <f t="shared" si="232"/>
        <v>1054.7643036000002</v>
      </c>
      <c r="P1077" s="58">
        <f t="shared" si="233"/>
        <v>417.01277158671587</v>
      </c>
      <c r="Q1077" s="58">
        <f t="shared" si="234"/>
        <v>278.00851439114393</v>
      </c>
      <c r="R1077" s="66">
        <f t="shared" si="235"/>
        <v>18.458375313000005</v>
      </c>
      <c r="S1077" s="64">
        <f t="shared" si="236"/>
        <v>105</v>
      </c>
      <c r="T1077" s="66">
        <f t="shared" si="237"/>
        <v>1178.2226789130002</v>
      </c>
      <c r="U1077" s="68">
        <f t="shared" si="238"/>
        <v>42.079381389750004</v>
      </c>
      <c r="V1077" s="68">
        <f t="shared" si="239"/>
        <v>465.82341021863465</v>
      </c>
      <c r="W1077" s="68">
        <f t="shared" si="240"/>
        <v>310.54894014575643</v>
      </c>
    </row>
    <row r="1078" spans="1:23" x14ac:dyDescent="0.25">
      <c r="A1078" s="1" t="s">
        <v>946</v>
      </c>
      <c r="B1078" s="61" t="s">
        <v>390</v>
      </c>
      <c r="C1078" s="1" t="s">
        <v>585</v>
      </c>
      <c r="D1078" s="1" t="s">
        <v>588</v>
      </c>
      <c r="E1078" s="1" t="s">
        <v>375</v>
      </c>
      <c r="F1078" s="62" t="str">
        <f t="shared" si="229"/>
        <v>64562</v>
      </c>
      <c r="G1078" s="269">
        <v>10620054</v>
      </c>
      <c r="H1078" s="1" t="s">
        <v>381</v>
      </c>
      <c r="I1078" s="61">
        <v>29</v>
      </c>
      <c r="J1078" s="61">
        <v>6.9</v>
      </c>
      <c r="K1078" s="61">
        <v>9</v>
      </c>
      <c r="L1078" s="69">
        <f t="shared" si="230"/>
        <v>2.0010000000000003</v>
      </c>
      <c r="M1078" s="69">
        <f t="shared" si="231"/>
        <v>2.61</v>
      </c>
      <c r="N1078" s="56">
        <f>INDEX(Rate_Chart!$A$1:$AK$127,MATCH(Data!J1078,Rate_Chart!$A$1:$A$127,0),MATCH(Data!K1078,Rate_Chart!$A$1:$AK$1,0))</f>
        <v>57.615000000000002</v>
      </c>
      <c r="O1078" s="57">
        <f t="shared" si="232"/>
        <v>1670.835</v>
      </c>
      <c r="P1078" s="58">
        <f t="shared" si="233"/>
        <v>446.62790697674421</v>
      </c>
      <c r="Q1078" s="58">
        <f t="shared" si="234"/>
        <v>297.75193798449612</v>
      </c>
      <c r="R1078" s="66">
        <f t="shared" si="235"/>
        <v>29.239612500000003</v>
      </c>
      <c r="S1078" s="64">
        <f t="shared" si="236"/>
        <v>108.75</v>
      </c>
      <c r="T1078" s="66">
        <f t="shared" si="237"/>
        <v>1808.8246125000001</v>
      </c>
      <c r="U1078" s="68">
        <f t="shared" si="238"/>
        <v>62.373262500000003</v>
      </c>
      <c r="V1078" s="68">
        <f t="shared" si="239"/>
        <v>483.51366279069771</v>
      </c>
      <c r="W1078" s="68">
        <f t="shared" si="240"/>
        <v>322.34244186046516</v>
      </c>
    </row>
    <row r="1079" spans="1:23" x14ac:dyDescent="0.25">
      <c r="A1079" s="1" t="s">
        <v>946</v>
      </c>
      <c r="B1079" s="61" t="s">
        <v>390</v>
      </c>
      <c r="C1079" s="1" t="s">
        <v>585</v>
      </c>
      <c r="D1079" s="1" t="s">
        <v>588</v>
      </c>
      <c r="E1079" s="1" t="s">
        <v>375</v>
      </c>
      <c r="F1079" s="62" t="str">
        <f t="shared" si="229"/>
        <v>64562</v>
      </c>
      <c r="G1079" s="269">
        <v>10620054</v>
      </c>
      <c r="H1079" s="1" t="s">
        <v>382</v>
      </c>
      <c r="I1079" s="61">
        <v>37</v>
      </c>
      <c r="J1079" s="61">
        <v>3.5</v>
      </c>
      <c r="K1079" s="61">
        <v>8.1999999999999993</v>
      </c>
      <c r="L1079" s="69">
        <f t="shared" si="230"/>
        <v>1.2949999999999999</v>
      </c>
      <c r="M1079" s="69">
        <f t="shared" si="231"/>
        <v>3.0339999999999998</v>
      </c>
      <c r="N1079" s="56">
        <f>INDEX(Rate_Chart!$A$1:$AK$127,MATCH(Data!J1079,Rate_Chart!$A$1:$A$127,0),MATCH(Data!K1079,Rate_Chart!$A$1:$AK$1,0))</f>
        <v>37.392139800000002</v>
      </c>
      <c r="O1079" s="57">
        <f t="shared" si="232"/>
        <v>1383.5091726000001</v>
      </c>
      <c r="P1079" s="58">
        <f t="shared" si="233"/>
        <v>417.01271152416359</v>
      </c>
      <c r="Q1079" s="58">
        <f t="shared" si="234"/>
        <v>278.00847434944239</v>
      </c>
      <c r="R1079" s="66">
        <f t="shared" si="235"/>
        <v>24.211410520500003</v>
      </c>
      <c r="S1079" s="64">
        <f t="shared" si="236"/>
        <v>138.75</v>
      </c>
      <c r="T1079" s="66">
        <f t="shared" si="237"/>
        <v>1546.4705831205001</v>
      </c>
      <c r="U1079" s="68">
        <f t="shared" si="238"/>
        <v>41.796502246500005</v>
      </c>
      <c r="V1079" s="68">
        <f t="shared" si="239"/>
        <v>466.13199531412641</v>
      </c>
      <c r="W1079" s="68">
        <f t="shared" si="240"/>
        <v>310.75466354275096</v>
      </c>
    </row>
    <row r="1080" spans="1:23" x14ac:dyDescent="0.25">
      <c r="A1080" s="1" t="s">
        <v>946</v>
      </c>
      <c r="B1080" s="61" t="s">
        <v>391</v>
      </c>
      <c r="C1080" s="1" t="s">
        <v>585</v>
      </c>
      <c r="D1080" s="1" t="s">
        <v>588</v>
      </c>
      <c r="E1080" s="1" t="s">
        <v>375</v>
      </c>
      <c r="F1080" s="62" t="str">
        <f t="shared" si="229"/>
        <v>64562</v>
      </c>
      <c r="G1080" s="269">
        <v>10620054</v>
      </c>
      <c r="H1080" s="1" t="s">
        <v>381</v>
      </c>
      <c r="I1080" s="61">
        <v>17</v>
      </c>
      <c r="J1080" s="61">
        <v>6.6</v>
      </c>
      <c r="K1080" s="61">
        <v>9</v>
      </c>
      <c r="L1080" s="69">
        <f t="shared" si="230"/>
        <v>1.1219999999999999</v>
      </c>
      <c r="M1080" s="69">
        <f t="shared" si="231"/>
        <v>1.53</v>
      </c>
      <c r="N1080" s="56">
        <f>INDEX(Rate_Chart!$A$1:$AK$127,MATCH(Data!J1080,Rate_Chart!$A$1:$A$127,0),MATCH(Data!K1080,Rate_Chart!$A$1:$AK$1,0))</f>
        <v>55.11</v>
      </c>
      <c r="O1080" s="57">
        <f t="shared" si="232"/>
        <v>936.87</v>
      </c>
      <c r="P1080" s="58">
        <f t="shared" si="233"/>
        <v>437.38095238095235</v>
      </c>
      <c r="Q1080" s="58">
        <f t="shared" si="234"/>
        <v>291.58730158730157</v>
      </c>
      <c r="R1080" s="66">
        <f t="shared" si="235"/>
        <v>16.395225</v>
      </c>
      <c r="S1080" s="64">
        <f t="shared" si="236"/>
        <v>63.75</v>
      </c>
      <c r="T1080" s="66">
        <f t="shared" si="237"/>
        <v>1017.015225</v>
      </c>
      <c r="U1080" s="68">
        <f t="shared" si="238"/>
        <v>59.824424999999998</v>
      </c>
      <c r="V1080" s="68">
        <f t="shared" si="239"/>
        <v>474.79702380952381</v>
      </c>
      <c r="W1080" s="68">
        <f t="shared" si="240"/>
        <v>316.5313492063492</v>
      </c>
    </row>
    <row r="1081" spans="1:23" x14ac:dyDescent="0.25">
      <c r="A1081" s="1" t="s">
        <v>946</v>
      </c>
      <c r="B1081" s="61" t="s">
        <v>391</v>
      </c>
      <c r="C1081" s="1" t="s">
        <v>585</v>
      </c>
      <c r="D1081" s="1" t="s">
        <v>588</v>
      </c>
      <c r="E1081" s="1" t="s">
        <v>375</v>
      </c>
      <c r="F1081" s="62" t="str">
        <f t="shared" si="229"/>
        <v>64562</v>
      </c>
      <c r="G1081" s="269">
        <v>10620054</v>
      </c>
      <c r="H1081" s="1" t="s">
        <v>382</v>
      </c>
      <c r="I1081" s="61">
        <v>28</v>
      </c>
      <c r="J1081" s="61">
        <v>3.9</v>
      </c>
      <c r="K1081" s="61">
        <v>8.4</v>
      </c>
      <c r="L1081" s="69">
        <f t="shared" si="230"/>
        <v>1.0920000000000001</v>
      </c>
      <c r="M1081" s="69">
        <f t="shared" si="231"/>
        <v>2.3520000000000003</v>
      </c>
      <c r="N1081" s="56">
        <f>INDEX(Rate_Chart!$A$1:$AK$127,MATCH(Data!J1081,Rate_Chart!$A$1:$A$127,0),MATCH(Data!K1081,Rate_Chart!$A$1:$AK$1,0))</f>
        <v>39.616167600000011</v>
      </c>
      <c r="O1081" s="57">
        <f t="shared" si="232"/>
        <v>1109.2526928000002</v>
      </c>
      <c r="P1081" s="58">
        <f t="shared" si="233"/>
        <v>417.01229052631589</v>
      </c>
      <c r="Q1081" s="58">
        <f t="shared" si="234"/>
        <v>278.0081936842106</v>
      </c>
      <c r="R1081" s="66">
        <f t="shared" si="235"/>
        <v>19.411922124000004</v>
      </c>
      <c r="S1081" s="64">
        <f t="shared" si="236"/>
        <v>105</v>
      </c>
      <c r="T1081" s="66">
        <f t="shared" si="237"/>
        <v>1233.6646149240003</v>
      </c>
      <c r="U1081" s="68">
        <f t="shared" si="238"/>
        <v>44.05945053300001</v>
      </c>
      <c r="V1081" s="68">
        <f t="shared" si="239"/>
        <v>463.78368982105275</v>
      </c>
      <c r="W1081" s="68">
        <f t="shared" si="240"/>
        <v>309.18912654736852</v>
      </c>
    </row>
    <row r="1082" spans="1:23" x14ac:dyDescent="0.25">
      <c r="A1082" s="1" t="s">
        <v>947</v>
      </c>
      <c r="B1082" s="61" t="s">
        <v>390</v>
      </c>
      <c r="C1082" s="1" t="s">
        <v>585</v>
      </c>
      <c r="D1082" s="1" t="s">
        <v>588</v>
      </c>
      <c r="E1082" s="1" t="s">
        <v>375</v>
      </c>
      <c r="F1082" s="62" t="str">
        <f t="shared" si="229"/>
        <v>64562</v>
      </c>
      <c r="G1082" s="269">
        <v>10620054</v>
      </c>
      <c r="H1082" s="1" t="s">
        <v>381</v>
      </c>
      <c r="I1082" s="61">
        <v>26</v>
      </c>
      <c r="J1082" s="61">
        <v>6.6</v>
      </c>
      <c r="K1082" s="61">
        <v>9</v>
      </c>
      <c r="L1082" s="69">
        <f t="shared" si="230"/>
        <v>1.716</v>
      </c>
      <c r="M1082" s="69">
        <f t="shared" si="231"/>
        <v>2.34</v>
      </c>
      <c r="N1082" s="56">
        <f>INDEX(Rate_Chart!$A$1:$AK$127,MATCH(Data!J1082,Rate_Chart!$A$1:$A$127,0),MATCH(Data!K1082,Rate_Chart!$A$1:$AK$1,0))</f>
        <v>55.11</v>
      </c>
      <c r="O1082" s="57">
        <f t="shared" si="232"/>
        <v>1432.86</v>
      </c>
      <c r="P1082" s="58">
        <f t="shared" si="233"/>
        <v>437.38095238095235</v>
      </c>
      <c r="Q1082" s="58">
        <f t="shared" si="234"/>
        <v>291.58730158730157</v>
      </c>
      <c r="R1082" s="66">
        <f t="shared" si="235"/>
        <v>25.075050000000001</v>
      </c>
      <c r="S1082" s="64">
        <f t="shared" si="236"/>
        <v>97.5</v>
      </c>
      <c r="T1082" s="66">
        <f t="shared" si="237"/>
        <v>1555.4350499999998</v>
      </c>
      <c r="U1082" s="68">
        <f t="shared" si="238"/>
        <v>59.824424999999991</v>
      </c>
      <c r="V1082" s="68">
        <f t="shared" si="239"/>
        <v>474.79702380952375</v>
      </c>
      <c r="W1082" s="68">
        <f t="shared" si="240"/>
        <v>316.53134920634915</v>
      </c>
    </row>
    <row r="1083" spans="1:23" x14ac:dyDescent="0.25">
      <c r="A1083" s="1" t="s">
        <v>947</v>
      </c>
      <c r="B1083" s="61" t="s">
        <v>390</v>
      </c>
      <c r="C1083" s="1" t="s">
        <v>585</v>
      </c>
      <c r="D1083" s="1" t="s">
        <v>588</v>
      </c>
      <c r="E1083" s="1" t="s">
        <v>375</v>
      </c>
      <c r="F1083" s="62" t="str">
        <f t="shared" si="229"/>
        <v>64562</v>
      </c>
      <c r="G1083" s="269">
        <v>10620054</v>
      </c>
      <c r="H1083" s="1" t="s">
        <v>382</v>
      </c>
      <c r="I1083" s="61">
        <v>38</v>
      </c>
      <c r="J1083" s="61">
        <v>3.2</v>
      </c>
      <c r="K1083" s="61">
        <v>8.3000000000000007</v>
      </c>
      <c r="L1083" s="69">
        <f t="shared" si="230"/>
        <v>1.2160000000000002</v>
      </c>
      <c r="M1083" s="69">
        <f t="shared" si="231"/>
        <v>3.1540000000000004</v>
      </c>
      <c r="N1083" s="56">
        <f>INDEX(Rate_Chart!$A$1:$AK$127,MATCH(Data!J1083,Rate_Chart!$A$1:$A$127,0),MATCH(Data!K1083,Rate_Chart!$A$1:$AK$1,0))</f>
        <v>36.419153700000003</v>
      </c>
      <c r="O1083" s="57">
        <f t="shared" si="232"/>
        <v>1383.9278406000001</v>
      </c>
      <c r="P1083" s="58">
        <f t="shared" si="233"/>
        <v>417.01321030534348</v>
      </c>
      <c r="Q1083" s="58">
        <f t="shared" si="234"/>
        <v>278.00880687022897</v>
      </c>
      <c r="R1083" s="66">
        <f t="shared" si="235"/>
        <v>24.218737210500002</v>
      </c>
      <c r="S1083" s="64">
        <f t="shared" si="236"/>
        <v>142.5</v>
      </c>
      <c r="T1083" s="66">
        <f t="shared" si="237"/>
        <v>1550.6465778105</v>
      </c>
      <c r="U1083" s="68">
        <f t="shared" si="238"/>
        <v>40.80648888975</v>
      </c>
      <c r="V1083" s="68">
        <f t="shared" si="239"/>
        <v>467.24987278339688</v>
      </c>
      <c r="W1083" s="68">
        <f t="shared" si="240"/>
        <v>311.49991518893125</v>
      </c>
    </row>
    <row r="1084" spans="1:23" x14ac:dyDescent="0.25">
      <c r="A1084" s="1" t="s">
        <v>947</v>
      </c>
      <c r="B1084" s="61" t="s">
        <v>391</v>
      </c>
      <c r="C1084" s="1" t="s">
        <v>585</v>
      </c>
      <c r="D1084" s="1" t="s">
        <v>588</v>
      </c>
      <c r="E1084" s="1" t="s">
        <v>375</v>
      </c>
      <c r="F1084" s="62" t="str">
        <f t="shared" si="229"/>
        <v>64562</v>
      </c>
      <c r="G1084" s="269">
        <v>10620054</v>
      </c>
      <c r="H1084" s="1" t="s">
        <v>381</v>
      </c>
      <c r="I1084" s="61">
        <v>20</v>
      </c>
      <c r="J1084" s="61">
        <v>6.2</v>
      </c>
      <c r="K1084" s="61">
        <v>9</v>
      </c>
      <c r="L1084" s="69">
        <f t="shared" si="230"/>
        <v>1.24</v>
      </c>
      <c r="M1084" s="69">
        <f t="shared" si="231"/>
        <v>1.8</v>
      </c>
      <c r="N1084" s="56">
        <f>INDEX(Rate_Chart!$A$1:$AK$127,MATCH(Data!J1084,Rate_Chart!$A$1:$A$127,0),MATCH(Data!K1084,Rate_Chart!$A$1:$AK$1,0))</f>
        <v>51.77</v>
      </c>
      <c r="O1084" s="57">
        <f t="shared" si="232"/>
        <v>1035.4000000000001</v>
      </c>
      <c r="P1084" s="58">
        <f t="shared" si="233"/>
        <v>424.34426229508199</v>
      </c>
      <c r="Q1084" s="58">
        <f t="shared" si="234"/>
        <v>282.89617486338801</v>
      </c>
      <c r="R1084" s="66">
        <f t="shared" si="235"/>
        <v>18.119500000000002</v>
      </c>
      <c r="S1084" s="64">
        <f t="shared" si="236"/>
        <v>75</v>
      </c>
      <c r="T1084" s="66">
        <f t="shared" si="237"/>
        <v>1128.5195000000001</v>
      </c>
      <c r="U1084" s="68">
        <f t="shared" si="238"/>
        <v>56.425975000000008</v>
      </c>
      <c r="V1084" s="68">
        <f t="shared" si="239"/>
        <v>462.50799180327874</v>
      </c>
      <c r="W1084" s="68">
        <f t="shared" si="240"/>
        <v>308.33866120218585</v>
      </c>
    </row>
    <row r="1085" spans="1:23" x14ac:dyDescent="0.25">
      <c r="A1085" s="1" t="s">
        <v>947</v>
      </c>
      <c r="B1085" s="61" t="s">
        <v>391</v>
      </c>
      <c r="C1085" s="1" t="s">
        <v>585</v>
      </c>
      <c r="D1085" s="1" t="s">
        <v>588</v>
      </c>
      <c r="E1085" s="1" t="s">
        <v>375</v>
      </c>
      <c r="F1085" s="62" t="str">
        <f t="shared" si="229"/>
        <v>64562</v>
      </c>
      <c r="G1085" s="269">
        <v>10620054</v>
      </c>
      <c r="H1085" s="1" t="s">
        <v>382</v>
      </c>
      <c r="I1085" s="61">
        <v>30</v>
      </c>
      <c r="J1085" s="61">
        <v>3.4</v>
      </c>
      <c r="K1085" s="61">
        <v>8.1999999999999993</v>
      </c>
      <c r="L1085" s="69">
        <f t="shared" si="230"/>
        <v>1.02</v>
      </c>
      <c r="M1085" s="69">
        <f t="shared" si="231"/>
        <v>2.4599999999999995</v>
      </c>
      <c r="N1085" s="56">
        <f>INDEX(Rate_Chart!$A$1:$AK$127,MATCH(Data!J1085,Rate_Chart!$A$1:$A$127,0),MATCH(Data!K1085,Rate_Chart!$A$1:$AK$1,0))</f>
        <v>36.975139800000001</v>
      </c>
      <c r="O1085" s="57">
        <f t="shared" si="232"/>
        <v>1109.2541940000001</v>
      </c>
      <c r="P1085" s="58">
        <f t="shared" si="233"/>
        <v>417.01285488721805</v>
      </c>
      <c r="Q1085" s="58">
        <f t="shared" si="234"/>
        <v>278.00856992481204</v>
      </c>
      <c r="R1085" s="66">
        <f t="shared" si="235"/>
        <v>19.411948395000003</v>
      </c>
      <c r="S1085" s="64">
        <f t="shared" si="236"/>
        <v>112.5</v>
      </c>
      <c r="T1085" s="66">
        <f t="shared" si="237"/>
        <v>1241.1661423950002</v>
      </c>
      <c r="U1085" s="68">
        <f t="shared" si="238"/>
        <v>41.372204746500003</v>
      </c>
      <c r="V1085" s="68">
        <f t="shared" si="239"/>
        <v>466.60381293045111</v>
      </c>
      <c r="W1085" s="68">
        <f t="shared" si="240"/>
        <v>311.06920862030074</v>
      </c>
    </row>
    <row r="1086" spans="1:23" x14ac:dyDescent="0.25">
      <c r="A1086" s="1" t="s">
        <v>941</v>
      </c>
      <c r="B1086" s="61" t="s">
        <v>390</v>
      </c>
      <c r="C1086" s="1" t="s">
        <v>585</v>
      </c>
      <c r="D1086" s="1" t="s">
        <v>587</v>
      </c>
      <c r="E1086" s="1" t="s">
        <v>376</v>
      </c>
      <c r="F1086" s="62" t="str">
        <f t="shared" si="229"/>
        <v>64567</v>
      </c>
      <c r="G1086" s="269">
        <v>10620069</v>
      </c>
      <c r="H1086" s="1" t="s">
        <v>381</v>
      </c>
      <c r="I1086" s="61">
        <v>14</v>
      </c>
      <c r="J1086" s="61">
        <v>6.7</v>
      </c>
      <c r="K1086" s="61">
        <v>9</v>
      </c>
      <c r="L1086" s="69">
        <f t="shared" si="230"/>
        <v>0.93799999999999994</v>
      </c>
      <c r="M1086" s="69">
        <f t="shared" si="231"/>
        <v>1.26</v>
      </c>
      <c r="N1086" s="56">
        <f>INDEX(Rate_Chart!$A$1:$AK$127,MATCH(Data!J1086,Rate_Chart!$A$1:$A$127,0),MATCH(Data!K1086,Rate_Chart!$A$1:$AK$1,0))</f>
        <v>55.945</v>
      </c>
      <c r="O1086" s="57">
        <f t="shared" si="232"/>
        <v>783.23</v>
      </c>
      <c r="P1086" s="58">
        <f t="shared" si="233"/>
        <v>440.51181102362204</v>
      </c>
      <c r="Q1086" s="58">
        <f t="shared" si="234"/>
        <v>293.67454068241472</v>
      </c>
      <c r="R1086" s="66">
        <f t="shared" si="235"/>
        <v>13.706525000000001</v>
      </c>
      <c r="S1086" s="64">
        <f t="shared" si="236"/>
        <v>52.5</v>
      </c>
      <c r="T1086" s="66">
        <f t="shared" si="237"/>
        <v>849.43652500000007</v>
      </c>
      <c r="U1086" s="68">
        <f t="shared" si="238"/>
        <v>60.674037500000004</v>
      </c>
      <c r="V1086" s="68">
        <f t="shared" si="239"/>
        <v>477.74832677165358</v>
      </c>
      <c r="W1086" s="68">
        <f t="shared" si="240"/>
        <v>318.4988845144357</v>
      </c>
    </row>
    <row r="1087" spans="1:23" x14ac:dyDescent="0.25">
      <c r="A1087" s="1" t="s">
        <v>941</v>
      </c>
      <c r="B1087" s="61" t="s">
        <v>390</v>
      </c>
      <c r="C1087" s="1" t="s">
        <v>585</v>
      </c>
      <c r="D1087" s="1" t="s">
        <v>587</v>
      </c>
      <c r="E1087" s="1" t="s">
        <v>376</v>
      </c>
      <c r="F1087" s="62" t="str">
        <f t="shared" si="229"/>
        <v>64567</v>
      </c>
      <c r="G1087" s="269">
        <v>10620069</v>
      </c>
      <c r="H1087" s="1" t="s">
        <v>382</v>
      </c>
      <c r="I1087" s="61">
        <v>22</v>
      </c>
      <c r="J1087" s="61">
        <v>3.6</v>
      </c>
      <c r="K1087" s="61">
        <v>8.1999999999999993</v>
      </c>
      <c r="L1087" s="69">
        <f t="shared" si="230"/>
        <v>0.79200000000000004</v>
      </c>
      <c r="M1087" s="69">
        <f t="shared" si="231"/>
        <v>1.8039999999999998</v>
      </c>
      <c r="N1087" s="56">
        <f>INDEX(Rate_Chart!$A$1:$AK$127,MATCH(Data!J1087,Rate_Chart!$A$1:$A$127,0),MATCH(Data!K1087,Rate_Chart!$A$1:$AK$1,0))</f>
        <v>37.809139800000004</v>
      </c>
      <c r="O1087" s="57">
        <f t="shared" si="232"/>
        <v>831.8010756000001</v>
      </c>
      <c r="P1087" s="58">
        <f t="shared" si="233"/>
        <v>417.01257132352941</v>
      </c>
      <c r="Q1087" s="58">
        <f t="shared" si="234"/>
        <v>278.00838088235292</v>
      </c>
      <c r="R1087" s="66">
        <f t="shared" si="235"/>
        <v>14.556518823000003</v>
      </c>
      <c r="S1087" s="64">
        <f t="shared" si="236"/>
        <v>82.5</v>
      </c>
      <c r="T1087" s="66">
        <f t="shared" si="237"/>
        <v>928.85759442300014</v>
      </c>
      <c r="U1087" s="68">
        <f t="shared" si="238"/>
        <v>42.220799746500006</v>
      </c>
      <c r="V1087" s="68">
        <f t="shared" si="239"/>
        <v>465.67058543933825</v>
      </c>
      <c r="W1087" s="68">
        <f t="shared" si="240"/>
        <v>310.44705695955884</v>
      </c>
    </row>
    <row r="1088" spans="1:23" x14ac:dyDescent="0.25">
      <c r="A1088" s="1" t="s">
        <v>941</v>
      </c>
      <c r="B1088" s="61" t="s">
        <v>391</v>
      </c>
      <c r="C1088" s="1" t="s">
        <v>585</v>
      </c>
      <c r="D1088" s="1" t="s">
        <v>587</v>
      </c>
      <c r="E1088" s="1" t="s">
        <v>376</v>
      </c>
      <c r="F1088" s="62" t="str">
        <f t="shared" si="229"/>
        <v>64567</v>
      </c>
      <c r="G1088" s="269">
        <v>10620069</v>
      </c>
      <c r="H1088" s="1" t="s">
        <v>381</v>
      </c>
      <c r="I1088" s="61">
        <v>32</v>
      </c>
      <c r="J1088" s="61">
        <v>6.1</v>
      </c>
      <c r="K1088" s="61">
        <v>9</v>
      </c>
      <c r="L1088" s="69">
        <f t="shared" si="230"/>
        <v>1.952</v>
      </c>
      <c r="M1088" s="69">
        <f t="shared" si="231"/>
        <v>2.88</v>
      </c>
      <c r="N1088" s="56">
        <f>INDEX(Rate_Chart!$A$1:$AK$127,MATCH(Data!J1088,Rate_Chart!$A$1:$A$127,0),MATCH(Data!K1088,Rate_Chart!$A$1:$AK$1,0))</f>
        <v>50.935000000000002</v>
      </c>
      <c r="O1088" s="57">
        <f t="shared" si="232"/>
        <v>1629.92</v>
      </c>
      <c r="P1088" s="58">
        <f t="shared" si="233"/>
        <v>420.95041322314052</v>
      </c>
      <c r="Q1088" s="58">
        <f t="shared" si="234"/>
        <v>280.63360881542701</v>
      </c>
      <c r="R1088" s="66">
        <f t="shared" si="235"/>
        <v>28.523600000000005</v>
      </c>
      <c r="S1088" s="64">
        <f t="shared" si="236"/>
        <v>120</v>
      </c>
      <c r="T1088" s="66">
        <f t="shared" si="237"/>
        <v>1778.4436000000001</v>
      </c>
      <c r="U1088" s="68">
        <f t="shared" si="238"/>
        <v>55.576362500000002</v>
      </c>
      <c r="V1088" s="68">
        <f t="shared" si="239"/>
        <v>459.30878099173555</v>
      </c>
      <c r="W1088" s="68">
        <f t="shared" si="240"/>
        <v>306.20585399449038</v>
      </c>
    </row>
    <row r="1089" spans="1:23" x14ac:dyDescent="0.25">
      <c r="A1089" s="1" t="s">
        <v>941</v>
      </c>
      <c r="B1089" s="61" t="s">
        <v>391</v>
      </c>
      <c r="C1089" s="1" t="s">
        <v>585</v>
      </c>
      <c r="D1089" s="1" t="s">
        <v>587</v>
      </c>
      <c r="E1089" s="1" t="s">
        <v>376</v>
      </c>
      <c r="F1089" s="62" t="str">
        <f t="shared" si="229"/>
        <v>64567</v>
      </c>
      <c r="G1089" s="269">
        <v>10620069</v>
      </c>
      <c r="H1089" s="1" t="s">
        <v>382</v>
      </c>
      <c r="I1089" s="61">
        <v>30</v>
      </c>
      <c r="J1089" s="61">
        <v>3.3</v>
      </c>
      <c r="K1089" s="61">
        <v>8.1999999999999993</v>
      </c>
      <c r="L1089" s="69">
        <f t="shared" si="230"/>
        <v>0.99</v>
      </c>
      <c r="M1089" s="69">
        <f t="shared" si="231"/>
        <v>2.4599999999999995</v>
      </c>
      <c r="N1089" s="56">
        <f>INDEX(Rate_Chart!$A$1:$AK$127,MATCH(Data!J1089,Rate_Chart!$A$1:$A$127,0),MATCH(Data!K1089,Rate_Chart!$A$1:$AK$1,0))</f>
        <v>36.558139799999999</v>
      </c>
      <c r="O1089" s="57">
        <f t="shared" si="232"/>
        <v>1096.7441939999999</v>
      </c>
      <c r="P1089" s="58">
        <f t="shared" si="233"/>
        <v>417.0130015209125</v>
      </c>
      <c r="Q1089" s="58">
        <f t="shared" si="234"/>
        <v>278.00866768060831</v>
      </c>
      <c r="R1089" s="66">
        <f t="shared" si="235"/>
        <v>19.193023395000001</v>
      </c>
      <c r="S1089" s="64">
        <f t="shared" si="236"/>
        <v>112.5</v>
      </c>
      <c r="T1089" s="66">
        <f t="shared" si="237"/>
        <v>1228.4372173949998</v>
      </c>
      <c r="U1089" s="68">
        <f t="shared" si="238"/>
        <v>40.947907246499994</v>
      </c>
      <c r="V1089" s="68">
        <f t="shared" si="239"/>
        <v>467.086394446768</v>
      </c>
      <c r="W1089" s="68">
        <f t="shared" si="240"/>
        <v>311.39092963117866</v>
      </c>
    </row>
    <row r="1090" spans="1:23" x14ac:dyDescent="0.25">
      <c r="A1090" s="1" t="s">
        <v>942</v>
      </c>
      <c r="B1090" s="61" t="s">
        <v>390</v>
      </c>
      <c r="C1090" s="1" t="s">
        <v>585</v>
      </c>
      <c r="D1090" s="1" t="s">
        <v>587</v>
      </c>
      <c r="E1090" s="1" t="s">
        <v>376</v>
      </c>
      <c r="F1090" s="62" t="str">
        <f t="shared" si="229"/>
        <v>64567</v>
      </c>
      <c r="G1090" s="269">
        <v>10620069</v>
      </c>
      <c r="H1090" s="1" t="s">
        <v>381</v>
      </c>
      <c r="I1090" s="61">
        <v>28</v>
      </c>
      <c r="J1090" s="61">
        <v>6.4</v>
      </c>
      <c r="K1090" s="61">
        <v>9</v>
      </c>
      <c r="L1090" s="69">
        <f t="shared" si="230"/>
        <v>1.7920000000000003</v>
      </c>
      <c r="M1090" s="69">
        <f t="shared" si="231"/>
        <v>2.52</v>
      </c>
      <c r="N1090" s="56">
        <f>INDEX(Rate_Chart!$A$1:$AK$127,MATCH(Data!J1090,Rate_Chart!$A$1:$A$127,0),MATCH(Data!K1090,Rate_Chart!$A$1:$AK$1,0))</f>
        <v>53.44</v>
      </c>
      <c r="O1090" s="57">
        <f t="shared" si="232"/>
        <v>1496.32</v>
      </c>
      <c r="P1090" s="58">
        <f t="shared" si="233"/>
        <v>430.96774193548384</v>
      </c>
      <c r="Q1090" s="58">
        <f t="shared" si="234"/>
        <v>287.31182795698925</v>
      </c>
      <c r="R1090" s="66">
        <f t="shared" si="235"/>
        <v>26.185600000000001</v>
      </c>
      <c r="S1090" s="64">
        <f t="shared" si="236"/>
        <v>105</v>
      </c>
      <c r="T1090" s="66">
        <f t="shared" si="237"/>
        <v>1627.5056</v>
      </c>
      <c r="U1090" s="68">
        <f t="shared" si="238"/>
        <v>58.1252</v>
      </c>
      <c r="V1090" s="68">
        <f t="shared" si="239"/>
        <v>468.7516129032258</v>
      </c>
      <c r="W1090" s="68">
        <f t="shared" si="240"/>
        <v>312.5010752688172</v>
      </c>
    </row>
    <row r="1091" spans="1:23" x14ac:dyDescent="0.25">
      <c r="A1091" s="1" t="s">
        <v>942</v>
      </c>
      <c r="B1091" s="61" t="s">
        <v>390</v>
      </c>
      <c r="C1091" s="1" t="s">
        <v>585</v>
      </c>
      <c r="D1091" s="1" t="s">
        <v>587</v>
      </c>
      <c r="E1091" s="1" t="s">
        <v>376</v>
      </c>
      <c r="F1091" s="62" t="str">
        <f t="shared" si="229"/>
        <v>64567</v>
      </c>
      <c r="G1091" s="269">
        <v>10620069</v>
      </c>
      <c r="H1091" s="1" t="s">
        <v>382</v>
      </c>
      <c r="I1091" s="61">
        <v>32</v>
      </c>
      <c r="J1091" s="61">
        <v>3.7</v>
      </c>
      <c r="K1091" s="61">
        <v>8.1</v>
      </c>
      <c r="L1091" s="69">
        <f t="shared" si="230"/>
        <v>1.1840000000000002</v>
      </c>
      <c r="M1091" s="69">
        <f t="shared" si="231"/>
        <v>2.5920000000000001</v>
      </c>
      <c r="N1091" s="56">
        <f>INDEX(Rate_Chart!$A$1:$AK$127,MATCH(Data!J1091,Rate_Chart!$A$1:$A$127,0),MATCH(Data!K1091,Rate_Chart!$A$1:$AK$1,0))</f>
        <v>37.948125900000008</v>
      </c>
      <c r="O1091" s="57">
        <f t="shared" si="232"/>
        <v>1214.3400288000003</v>
      </c>
      <c r="P1091" s="58">
        <f t="shared" si="233"/>
        <v>417.01237252747262</v>
      </c>
      <c r="Q1091" s="58">
        <f t="shared" si="234"/>
        <v>278.00824835164843</v>
      </c>
      <c r="R1091" s="66">
        <f t="shared" si="235"/>
        <v>21.250950504000006</v>
      </c>
      <c r="S1091" s="64">
        <f t="shared" si="236"/>
        <v>120</v>
      </c>
      <c r="T1091" s="66">
        <f t="shared" si="237"/>
        <v>1355.5909793040003</v>
      </c>
      <c r="U1091" s="68">
        <f t="shared" si="238"/>
        <v>42.362218103250008</v>
      </c>
      <c r="V1091" s="68">
        <f t="shared" si="239"/>
        <v>465.51888025549459</v>
      </c>
      <c r="W1091" s="68">
        <f t="shared" si="240"/>
        <v>310.34592017032975</v>
      </c>
    </row>
    <row r="1092" spans="1:23" x14ac:dyDescent="0.25">
      <c r="A1092" s="1" t="s">
        <v>942</v>
      </c>
      <c r="B1092" s="61" t="s">
        <v>391</v>
      </c>
      <c r="C1092" s="1" t="s">
        <v>585</v>
      </c>
      <c r="D1092" s="1" t="s">
        <v>587</v>
      </c>
      <c r="E1092" s="1" t="s">
        <v>376</v>
      </c>
      <c r="F1092" s="62" t="str">
        <f t="shared" si="229"/>
        <v>64567</v>
      </c>
      <c r="G1092" s="269">
        <v>10620069</v>
      </c>
      <c r="H1092" s="1" t="s">
        <v>381</v>
      </c>
      <c r="I1092" s="61">
        <v>29</v>
      </c>
      <c r="J1092" s="61">
        <v>7</v>
      </c>
      <c r="K1092" s="61">
        <v>9</v>
      </c>
      <c r="L1092" s="69">
        <f t="shared" si="230"/>
        <v>2.0299999999999998</v>
      </c>
      <c r="M1092" s="69">
        <f t="shared" si="231"/>
        <v>2.61</v>
      </c>
      <c r="N1092" s="56">
        <f>INDEX(Rate_Chart!$A$1:$AK$127,MATCH(Data!J1092,Rate_Chart!$A$1:$A$127,0),MATCH(Data!K1092,Rate_Chart!$A$1:$AK$1,0))</f>
        <v>58.45</v>
      </c>
      <c r="O1092" s="57">
        <f t="shared" si="232"/>
        <v>1695.0500000000002</v>
      </c>
      <c r="P1092" s="58">
        <f t="shared" si="233"/>
        <v>449.61538461538464</v>
      </c>
      <c r="Q1092" s="58">
        <f t="shared" si="234"/>
        <v>299.74358974358978</v>
      </c>
      <c r="R1092" s="66">
        <f t="shared" si="235"/>
        <v>29.663375000000006</v>
      </c>
      <c r="S1092" s="64">
        <f t="shared" si="236"/>
        <v>108.75</v>
      </c>
      <c r="T1092" s="66">
        <f t="shared" si="237"/>
        <v>1833.4633750000003</v>
      </c>
      <c r="U1092" s="68">
        <f t="shared" si="238"/>
        <v>63.222875000000009</v>
      </c>
      <c r="V1092" s="68">
        <f t="shared" si="239"/>
        <v>486.32980769230772</v>
      </c>
      <c r="W1092" s="68">
        <f t="shared" si="240"/>
        <v>324.21987179487184</v>
      </c>
    </row>
    <row r="1093" spans="1:23" x14ac:dyDescent="0.25">
      <c r="A1093" s="1" t="s">
        <v>942</v>
      </c>
      <c r="B1093" s="61" t="s">
        <v>391</v>
      </c>
      <c r="C1093" s="1" t="s">
        <v>585</v>
      </c>
      <c r="D1093" s="1" t="s">
        <v>587</v>
      </c>
      <c r="E1093" s="1" t="s">
        <v>376</v>
      </c>
      <c r="F1093" s="62" t="str">
        <f t="shared" ref="F1093:F1156" si="241">MID(E1093,2,5)</f>
        <v>64567</v>
      </c>
      <c r="G1093" s="269">
        <v>10620069</v>
      </c>
      <c r="H1093" s="1" t="s">
        <v>382</v>
      </c>
      <c r="I1093" s="61">
        <v>37</v>
      </c>
      <c r="J1093" s="61">
        <v>3.6</v>
      </c>
      <c r="K1093" s="61">
        <v>8.1999999999999993</v>
      </c>
      <c r="L1093" s="69">
        <f t="shared" si="230"/>
        <v>1.3320000000000001</v>
      </c>
      <c r="M1093" s="69">
        <f t="shared" si="231"/>
        <v>3.0339999999999998</v>
      </c>
      <c r="N1093" s="56">
        <f>INDEX(Rate_Chart!$A$1:$AK$127,MATCH(Data!J1093,Rate_Chart!$A$1:$A$127,0),MATCH(Data!K1093,Rate_Chart!$A$1:$AK$1,0))</f>
        <v>37.809139800000004</v>
      </c>
      <c r="O1093" s="57">
        <f t="shared" si="232"/>
        <v>1398.9381726000001</v>
      </c>
      <c r="P1093" s="58">
        <f t="shared" si="233"/>
        <v>417.01257132352941</v>
      </c>
      <c r="Q1093" s="58">
        <f t="shared" si="234"/>
        <v>278.00838088235292</v>
      </c>
      <c r="R1093" s="66">
        <f t="shared" si="235"/>
        <v>24.481418020500005</v>
      </c>
      <c r="S1093" s="64">
        <f t="shared" si="236"/>
        <v>138.75</v>
      </c>
      <c r="T1093" s="66">
        <f t="shared" si="237"/>
        <v>1562.1695906205002</v>
      </c>
      <c r="U1093" s="68">
        <f t="shared" si="238"/>
        <v>42.220799746500006</v>
      </c>
      <c r="V1093" s="68">
        <f t="shared" si="239"/>
        <v>465.67058543933825</v>
      </c>
      <c r="W1093" s="68">
        <f t="shared" si="240"/>
        <v>310.44705695955884</v>
      </c>
    </row>
    <row r="1094" spans="1:23" x14ac:dyDescent="0.25">
      <c r="A1094" s="1" t="s">
        <v>943</v>
      </c>
      <c r="B1094" s="61" t="s">
        <v>390</v>
      </c>
      <c r="C1094" s="1" t="s">
        <v>585</v>
      </c>
      <c r="D1094" s="1" t="s">
        <v>587</v>
      </c>
      <c r="E1094" s="1" t="s">
        <v>376</v>
      </c>
      <c r="F1094" s="62" t="str">
        <f t="shared" si="241"/>
        <v>64567</v>
      </c>
      <c r="G1094" s="269">
        <v>10620069</v>
      </c>
      <c r="H1094" s="1" t="s">
        <v>381</v>
      </c>
      <c r="I1094" s="61">
        <v>29</v>
      </c>
      <c r="J1094" s="61">
        <v>6.3</v>
      </c>
      <c r="K1094" s="61">
        <v>9</v>
      </c>
      <c r="L1094" s="69">
        <f t="shared" si="230"/>
        <v>1.827</v>
      </c>
      <c r="M1094" s="69">
        <f t="shared" si="231"/>
        <v>2.61</v>
      </c>
      <c r="N1094" s="56">
        <f>INDEX(Rate_Chart!$A$1:$AK$127,MATCH(Data!J1094,Rate_Chart!$A$1:$A$127,0),MATCH(Data!K1094,Rate_Chart!$A$1:$AK$1,0))</f>
        <v>52.604999999999997</v>
      </c>
      <c r="O1094" s="57">
        <f t="shared" si="232"/>
        <v>1525.5449999999998</v>
      </c>
      <c r="P1094" s="58">
        <f t="shared" si="233"/>
        <v>427.6829268292683</v>
      </c>
      <c r="Q1094" s="58">
        <f t="shared" si="234"/>
        <v>285.1219512195122</v>
      </c>
      <c r="R1094" s="66">
        <f t="shared" si="235"/>
        <v>26.6970375</v>
      </c>
      <c r="S1094" s="64">
        <f t="shared" si="236"/>
        <v>108.75</v>
      </c>
      <c r="T1094" s="66">
        <f t="shared" si="237"/>
        <v>1660.9920374999999</v>
      </c>
      <c r="U1094" s="68">
        <f t="shared" si="238"/>
        <v>57.2755875</v>
      </c>
      <c r="V1094" s="68">
        <f t="shared" si="239"/>
        <v>465.6551829268293</v>
      </c>
      <c r="W1094" s="68">
        <f t="shared" si="240"/>
        <v>310.43678861788618</v>
      </c>
    </row>
    <row r="1095" spans="1:23" x14ac:dyDescent="0.25">
      <c r="A1095" s="1" t="s">
        <v>943</v>
      </c>
      <c r="B1095" s="61" t="s">
        <v>390</v>
      </c>
      <c r="C1095" s="1" t="s">
        <v>585</v>
      </c>
      <c r="D1095" s="1" t="s">
        <v>587</v>
      </c>
      <c r="E1095" s="1" t="s">
        <v>376</v>
      </c>
      <c r="F1095" s="62" t="str">
        <f t="shared" si="241"/>
        <v>64567</v>
      </c>
      <c r="G1095" s="269">
        <v>10620069</v>
      </c>
      <c r="H1095" s="1" t="s">
        <v>382</v>
      </c>
      <c r="I1095" s="61">
        <v>37</v>
      </c>
      <c r="J1095" s="61">
        <v>3.9</v>
      </c>
      <c r="K1095" s="61">
        <v>8.1999999999999993</v>
      </c>
      <c r="L1095" s="69">
        <f t="shared" si="230"/>
        <v>1.4429999999999998</v>
      </c>
      <c r="M1095" s="69">
        <f t="shared" si="231"/>
        <v>3.0339999999999998</v>
      </c>
      <c r="N1095" s="56">
        <f>INDEX(Rate_Chart!$A$1:$AK$127,MATCH(Data!J1095,Rate_Chart!$A$1:$A$127,0),MATCH(Data!K1095,Rate_Chart!$A$1:$AK$1,0))</f>
        <v>39.060139800000002</v>
      </c>
      <c r="O1095" s="57">
        <f t="shared" si="232"/>
        <v>1445.2251726</v>
      </c>
      <c r="P1095" s="58">
        <f t="shared" si="233"/>
        <v>417.01216868327407</v>
      </c>
      <c r="Q1095" s="58">
        <f t="shared" si="234"/>
        <v>278.00811245551603</v>
      </c>
      <c r="R1095" s="66">
        <f t="shared" si="235"/>
        <v>25.2914405205</v>
      </c>
      <c r="S1095" s="64">
        <f t="shared" si="236"/>
        <v>138.75</v>
      </c>
      <c r="T1095" s="66">
        <f t="shared" si="237"/>
        <v>1609.2666131204999</v>
      </c>
      <c r="U1095" s="68">
        <f t="shared" si="238"/>
        <v>43.493692246499997</v>
      </c>
      <c r="V1095" s="68">
        <f t="shared" si="239"/>
        <v>464.34546882384342</v>
      </c>
      <c r="W1095" s="68">
        <f t="shared" si="240"/>
        <v>309.5636458825623</v>
      </c>
    </row>
    <row r="1096" spans="1:23" x14ac:dyDescent="0.25">
      <c r="A1096" s="1" t="s">
        <v>943</v>
      </c>
      <c r="B1096" s="61" t="s">
        <v>391</v>
      </c>
      <c r="C1096" s="1" t="s">
        <v>585</v>
      </c>
      <c r="D1096" s="1" t="s">
        <v>587</v>
      </c>
      <c r="E1096" s="1" t="s">
        <v>376</v>
      </c>
      <c r="F1096" s="62" t="str">
        <f t="shared" si="241"/>
        <v>64567</v>
      </c>
      <c r="G1096" s="269">
        <v>10620069</v>
      </c>
      <c r="H1096" s="1" t="s">
        <v>381</v>
      </c>
      <c r="I1096" s="61">
        <v>26</v>
      </c>
      <c r="J1096" s="61">
        <v>7</v>
      </c>
      <c r="K1096" s="61">
        <v>9</v>
      </c>
      <c r="L1096" s="69">
        <f t="shared" si="230"/>
        <v>1.82</v>
      </c>
      <c r="M1096" s="69">
        <f t="shared" si="231"/>
        <v>2.34</v>
      </c>
      <c r="N1096" s="56">
        <f>INDEX(Rate_Chart!$A$1:$AK$127,MATCH(Data!J1096,Rate_Chart!$A$1:$A$127,0),MATCH(Data!K1096,Rate_Chart!$A$1:$AK$1,0))</f>
        <v>58.45</v>
      </c>
      <c r="O1096" s="57">
        <f t="shared" si="232"/>
        <v>1519.7</v>
      </c>
      <c r="P1096" s="58">
        <f t="shared" si="233"/>
        <v>449.61538461538464</v>
      </c>
      <c r="Q1096" s="58">
        <f t="shared" si="234"/>
        <v>299.74358974358978</v>
      </c>
      <c r="R1096" s="66">
        <f t="shared" si="235"/>
        <v>26.594750000000005</v>
      </c>
      <c r="S1096" s="64">
        <f t="shared" si="236"/>
        <v>97.5</v>
      </c>
      <c r="T1096" s="66">
        <f t="shared" si="237"/>
        <v>1643.79475</v>
      </c>
      <c r="U1096" s="68">
        <f t="shared" si="238"/>
        <v>63.222875000000002</v>
      </c>
      <c r="V1096" s="68">
        <f t="shared" si="239"/>
        <v>486.32980769230767</v>
      </c>
      <c r="W1096" s="68">
        <f t="shared" si="240"/>
        <v>324.21987179487178</v>
      </c>
    </row>
    <row r="1097" spans="1:23" x14ac:dyDescent="0.25">
      <c r="A1097" s="1" t="s">
        <v>943</v>
      </c>
      <c r="B1097" s="61" t="s">
        <v>391</v>
      </c>
      <c r="C1097" s="1" t="s">
        <v>585</v>
      </c>
      <c r="D1097" s="1" t="s">
        <v>587</v>
      </c>
      <c r="E1097" s="1" t="s">
        <v>376</v>
      </c>
      <c r="F1097" s="62" t="str">
        <f t="shared" si="241"/>
        <v>64567</v>
      </c>
      <c r="G1097" s="269">
        <v>10620069</v>
      </c>
      <c r="H1097" s="1" t="s">
        <v>382</v>
      </c>
      <c r="I1097" s="61">
        <v>34</v>
      </c>
      <c r="J1097" s="61">
        <v>3.6</v>
      </c>
      <c r="K1097" s="61">
        <v>8.1999999999999993</v>
      </c>
      <c r="L1097" s="69">
        <f t="shared" si="230"/>
        <v>1.224</v>
      </c>
      <c r="M1097" s="69">
        <f t="shared" si="231"/>
        <v>2.7879999999999994</v>
      </c>
      <c r="N1097" s="56">
        <f>INDEX(Rate_Chart!$A$1:$AK$127,MATCH(Data!J1097,Rate_Chart!$A$1:$A$127,0),MATCH(Data!K1097,Rate_Chart!$A$1:$AK$1,0))</f>
        <v>37.809139800000004</v>
      </c>
      <c r="O1097" s="57">
        <f t="shared" si="232"/>
        <v>1285.5107532000002</v>
      </c>
      <c r="P1097" s="58">
        <f t="shared" si="233"/>
        <v>417.01257132352941</v>
      </c>
      <c r="Q1097" s="58">
        <f t="shared" si="234"/>
        <v>278.00838088235292</v>
      </c>
      <c r="R1097" s="66">
        <f t="shared" si="235"/>
        <v>22.496438181000006</v>
      </c>
      <c r="S1097" s="64">
        <f t="shared" si="236"/>
        <v>127.5</v>
      </c>
      <c r="T1097" s="66">
        <f t="shared" si="237"/>
        <v>1435.5071913810002</v>
      </c>
      <c r="U1097" s="68">
        <f t="shared" si="238"/>
        <v>42.220799746500006</v>
      </c>
      <c r="V1097" s="68">
        <f t="shared" si="239"/>
        <v>465.67058543933825</v>
      </c>
      <c r="W1097" s="68">
        <f t="shared" si="240"/>
        <v>310.44705695955884</v>
      </c>
    </row>
    <row r="1098" spans="1:23" x14ac:dyDescent="0.25">
      <c r="A1098" s="1" t="s">
        <v>944</v>
      </c>
      <c r="B1098" s="61" t="s">
        <v>390</v>
      </c>
      <c r="C1098" s="1" t="s">
        <v>585</v>
      </c>
      <c r="D1098" s="1" t="s">
        <v>587</v>
      </c>
      <c r="E1098" s="1" t="s">
        <v>376</v>
      </c>
      <c r="F1098" s="62" t="str">
        <f t="shared" si="241"/>
        <v>64567</v>
      </c>
      <c r="G1098" s="269">
        <v>10620069</v>
      </c>
      <c r="H1098" s="1" t="s">
        <v>381</v>
      </c>
      <c r="I1098" s="61">
        <v>31</v>
      </c>
      <c r="J1098" s="61">
        <v>6.5</v>
      </c>
      <c r="K1098" s="61">
        <v>9</v>
      </c>
      <c r="L1098" s="69">
        <f t="shared" si="230"/>
        <v>2.0150000000000001</v>
      </c>
      <c r="M1098" s="69">
        <f t="shared" si="231"/>
        <v>2.79</v>
      </c>
      <c r="N1098" s="56">
        <f>INDEX(Rate_Chart!$A$1:$AK$127,MATCH(Data!J1098,Rate_Chart!$A$1:$A$127,0),MATCH(Data!K1098,Rate_Chart!$A$1:$AK$1,0))</f>
        <v>54.274999999999999</v>
      </c>
      <c r="O1098" s="57">
        <f t="shared" si="232"/>
        <v>1682.5249999999999</v>
      </c>
      <c r="P1098" s="58">
        <f t="shared" si="233"/>
        <v>434.2</v>
      </c>
      <c r="Q1098" s="58">
        <f t="shared" si="234"/>
        <v>289.46666666666664</v>
      </c>
      <c r="R1098" s="66">
        <f t="shared" si="235"/>
        <v>29.444187500000002</v>
      </c>
      <c r="S1098" s="64">
        <f t="shared" si="236"/>
        <v>116.25</v>
      </c>
      <c r="T1098" s="66">
        <f t="shared" si="237"/>
        <v>1828.2191874999999</v>
      </c>
      <c r="U1098" s="68">
        <f t="shared" si="238"/>
        <v>58.974812499999999</v>
      </c>
      <c r="V1098" s="68">
        <f t="shared" si="239"/>
        <v>471.79849999999999</v>
      </c>
      <c r="W1098" s="68">
        <f t="shared" si="240"/>
        <v>314.53233333333333</v>
      </c>
    </row>
    <row r="1099" spans="1:23" x14ac:dyDescent="0.25">
      <c r="A1099" s="1" t="s">
        <v>944</v>
      </c>
      <c r="B1099" s="61" t="s">
        <v>390</v>
      </c>
      <c r="C1099" s="1" t="s">
        <v>585</v>
      </c>
      <c r="D1099" s="1" t="s">
        <v>587</v>
      </c>
      <c r="E1099" s="1" t="s">
        <v>376</v>
      </c>
      <c r="F1099" s="62" t="str">
        <f t="shared" si="241"/>
        <v>64567</v>
      </c>
      <c r="G1099" s="269">
        <v>10620069</v>
      </c>
      <c r="H1099" s="1" t="s">
        <v>382</v>
      </c>
      <c r="I1099" s="61">
        <v>26</v>
      </c>
      <c r="J1099" s="61">
        <v>3.8</v>
      </c>
      <c r="K1099" s="61">
        <v>8.1999999999999993</v>
      </c>
      <c r="L1099" s="69">
        <f t="shared" si="230"/>
        <v>0.98799999999999999</v>
      </c>
      <c r="M1099" s="69">
        <f t="shared" si="231"/>
        <v>2.1319999999999997</v>
      </c>
      <c r="N1099" s="56">
        <f>INDEX(Rate_Chart!$A$1:$AK$127,MATCH(Data!J1099,Rate_Chart!$A$1:$A$127,0),MATCH(Data!K1099,Rate_Chart!$A$1:$AK$1,0))</f>
        <v>38.6431398</v>
      </c>
      <c r="O1099" s="57">
        <f t="shared" si="232"/>
        <v>1004.7216347999999</v>
      </c>
      <c r="P1099" s="58">
        <f t="shared" si="233"/>
        <v>417.01230000000004</v>
      </c>
      <c r="Q1099" s="58">
        <f t="shared" si="234"/>
        <v>278.00820000000004</v>
      </c>
      <c r="R1099" s="66">
        <f t="shared" si="235"/>
        <v>17.582628609</v>
      </c>
      <c r="S1099" s="64">
        <f t="shared" si="236"/>
        <v>97.5</v>
      </c>
      <c r="T1099" s="66">
        <f t="shared" si="237"/>
        <v>1119.804263409</v>
      </c>
      <c r="U1099" s="68">
        <f t="shared" si="238"/>
        <v>43.069394746500002</v>
      </c>
      <c r="V1099" s="68">
        <f t="shared" si="239"/>
        <v>464.77764114928061</v>
      </c>
      <c r="W1099" s="68">
        <f t="shared" si="240"/>
        <v>309.85176076618706</v>
      </c>
    </row>
    <row r="1100" spans="1:23" x14ac:dyDescent="0.25">
      <c r="A1100" s="1" t="s">
        <v>944</v>
      </c>
      <c r="B1100" s="61" t="s">
        <v>391</v>
      </c>
      <c r="C1100" s="1" t="s">
        <v>585</v>
      </c>
      <c r="D1100" s="1" t="s">
        <v>587</v>
      </c>
      <c r="E1100" s="1" t="s">
        <v>376</v>
      </c>
      <c r="F1100" s="62" t="str">
        <f t="shared" si="241"/>
        <v>64567</v>
      </c>
      <c r="G1100" s="269">
        <v>10620069</v>
      </c>
      <c r="H1100" s="1" t="s">
        <v>381</v>
      </c>
      <c r="I1100" s="61">
        <v>33</v>
      </c>
      <c r="J1100" s="61">
        <v>6.7</v>
      </c>
      <c r="K1100" s="61">
        <v>9</v>
      </c>
      <c r="L1100" s="69">
        <f t="shared" si="230"/>
        <v>2.2109999999999999</v>
      </c>
      <c r="M1100" s="69">
        <f t="shared" si="231"/>
        <v>2.97</v>
      </c>
      <c r="N1100" s="56">
        <f>INDEX(Rate_Chart!$A$1:$AK$127,MATCH(Data!J1100,Rate_Chart!$A$1:$A$127,0),MATCH(Data!K1100,Rate_Chart!$A$1:$AK$1,0))</f>
        <v>55.945</v>
      </c>
      <c r="O1100" s="57">
        <f t="shared" si="232"/>
        <v>1846.1849999999999</v>
      </c>
      <c r="P1100" s="58">
        <f t="shared" si="233"/>
        <v>440.51181102362204</v>
      </c>
      <c r="Q1100" s="58">
        <f t="shared" si="234"/>
        <v>293.67454068241472</v>
      </c>
      <c r="R1100" s="66">
        <f t="shared" si="235"/>
        <v>32.308237500000004</v>
      </c>
      <c r="S1100" s="64">
        <f t="shared" si="236"/>
        <v>123.75</v>
      </c>
      <c r="T1100" s="66">
        <f t="shared" si="237"/>
        <v>2002.2432374999999</v>
      </c>
      <c r="U1100" s="68">
        <f t="shared" si="238"/>
        <v>60.674037499999997</v>
      </c>
      <c r="V1100" s="68">
        <f t="shared" si="239"/>
        <v>477.74832677165352</v>
      </c>
      <c r="W1100" s="68">
        <f t="shared" si="240"/>
        <v>318.4988845144357</v>
      </c>
    </row>
    <row r="1101" spans="1:23" x14ac:dyDescent="0.25">
      <c r="A1101" s="1" t="s">
        <v>944</v>
      </c>
      <c r="B1101" s="61" t="s">
        <v>391</v>
      </c>
      <c r="C1101" s="1" t="s">
        <v>585</v>
      </c>
      <c r="D1101" s="1" t="s">
        <v>587</v>
      </c>
      <c r="E1101" s="1" t="s">
        <v>376</v>
      </c>
      <c r="F1101" s="62" t="str">
        <f t="shared" si="241"/>
        <v>64567</v>
      </c>
      <c r="G1101" s="269">
        <v>10620069</v>
      </c>
      <c r="H1101" s="1" t="s">
        <v>382</v>
      </c>
      <c r="I1101" s="61">
        <v>28</v>
      </c>
      <c r="J1101" s="61">
        <v>3.7</v>
      </c>
      <c r="K1101" s="61">
        <v>8.1999999999999993</v>
      </c>
      <c r="L1101" s="69">
        <f t="shared" si="230"/>
        <v>1.036</v>
      </c>
      <c r="M1101" s="69">
        <f t="shared" si="231"/>
        <v>2.2959999999999998</v>
      </c>
      <c r="N1101" s="56">
        <f>INDEX(Rate_Chart!$A$1:$AK$127,MATCH(Data!J1101,Rate_Chart!$A$1:$A$127,0),MATCH(Data!K1101,Rate_Chart!$A$1:$AK$1,0))</f>
        <v>38.226139799999999</v>
      </c>
      <c r="O1101" s="57">
        <f t="shared" si="232"/>
        <v>1070.3319144</v>
      </c>
      <c r="P1101" s="58">
        <f t="shared" si="233"/>
        <v>417.01243418181815</v>
      </c>
      <c r="Q1101" s="58">
        <f t="shared" si="234"/>
        <v>278.00828945454543</v>
      </c>
      <c r="R1101" s="66">
        <f t="shared" si="235"/>
        <v>18.730808502000002</v>
      </c>
      <c r="S1101" s="64">
        <f t="shared" si="236"/>
        <v>105</v>
      </c>
      <c r="T1101" s="66">
        <f t="shared" si="237"/>
        <v>1194.0627229019999</v>
      </c>
      <c r="U1101" s="68">
        <f t="shared" si="238"/>
        <v>42.645097246499994</v>
      </c>
      <c r="V1101" s="68">
        <f t="shared" si="239"/>
        <v>465.21924268909078</v>
      </c>
      <c r="W1101" s="68">
        <f t="shared" si="240"/>
        <v>310.14616179272718</v>
      </c>
    </row>
    <row r="1102" spans="1:23" x14ac:dyDescent="0.25">
      <c r="A1102" s="1" t="s">
        <v>945</v>
      </c>
      <c r="B1102" s="61" t="s">
        <v>390</v>
      </c>
      <c r="C1102" s="1" t="s">
        <v>585</v>
      </c>
      <c r="D1102" s="1" t="s">
        <v>587</v>
      </c>
      <c r="E1102" s="1" t="s">
        <v>376</v>
      </c>
      <c r="F1102" s="62" t="str">
        <f t="shared" si="241"/>
        <v>64567</v>
      </c>
      <c r="G1102" s="269">
        <v>10620069</v>
      </c>
      <c r="H1102" s="1" t="s">
        <v>381</v>
      </c>
      <c r="I1102" s="61">
        <v>31</v>
      </c>
      <c r="J1102" s="61">
        <v>6.2</v>
      </c>
      <c r="K1102" s="61">
        <v>9</v>
      </c>
      <c r="L1102" s="69">
        <f t="shared" si="230"/>
        <v>1.9220000000000002</v>
      </c>
      <c r="M1102" s="69">
        <f t="shared" si="231"/>
        <v>2.79</v>
      </c>
      <c r="N1102" s="56">
        <f>INDEX(Rate_Chart!$A$1:$AK$127,MATCH(Data!J1102,Rate_Chart!$A$1:$A$127,0),MATCH(Data!K1102,Rate_Chart!$A$1:$AK$1,0))</f>
        <v>51.77</v>
      </c>
      <c r="O1102" s="57">
        <f t="shared" si="232"/>
        <v>1604.8700000000001</v>
      </c>
      <c r="P1102" s="58">
        <f t="shared" si="233"/>
        <v>424.34426229508199</v>
      </c>
      <c r="Q1102" s="58">
        <f t="shared" si="234"/>
        <v>282.89617486338801</v>
      </c>
      <c r="R1102" s="66">
        <f t="shared" si="235"/>
        <v>28.085225000000005</v>
      </c>
      <c r="S1102" s="64">
        <f t="shared" si="236"/>
        <v>116.25</v>
      </c>
      <c r="T1102" s="66">
        <f t="shared" si="237"/>
        <v>1749.2052250000002</v>
      </c>
      <c r="U1102" s="68">
        <f t="shared" si="238"/>
        <v>56.425975000000008</v>
      </c>
      <c r="V1102" s="68">
        <f t="shared" si="239"/>
        <v>462.50799180327874</v>
      </c>
      <c r="W1102" s="68">
        <f t="shared" si="240"/>
        <v>308.33866120218585</v>
      </c>
    </row>
    <row r="1103" spans="1:23" x14ac:dyDescent="0.25">
      <c r="A1103" s="1" t="s">
        <v>945</v>
      </c>
      <c r="B1103" s="61" t="s">
        <v>390</v>
      </c>
      <c r="C1103" s="1" t="s">
        <v>585</v>
      </c>
      <c r="D1103" s="1" t="s">
        <v>587</v>
      </c>
      <c r="E1103" s="1" t="s">
        <v>376</v>
      </c>
      <c r="F1103" s="62" t="str">
        <f t="shared" si="241"/>
        <v>64567</v>
      </c>
      <c r="G1103" s="269">
        <v>10620069</v>
      </c>
      <c r="H1103" s="1" t="s">
        <v>382</v>
      </c>
      <c r="I1103" s="61">
        <v>30</v>
      </c>
      <c r="J1103" s="61">
        <v>3.8</v>
      </c>
      <c r="K1103" s="61">
        <v>8.1999999999999993</v>
      </c>
      <c r="L1103" s="69">
        <f t="shared" si="230"/>
        <v>1.1399999999999999</v>
      </c>
      <c r="M1103" s="69">
        <f t="shared" si="231"/>
        <v>2.4599999999999995</v>
      </c>
      <c r="N1103" s="56">
        <f>INDEX(Rate_Chart!$A$1:$AK$127,MATCH(Data!J1103,Rate_Chart!$A$1:$A$127,0),MATCH(Data!K1103,Rate_Chart!$A$1:$AK$1,0))</f>
        <v>38.6431398</v>
      </c>
      <c r="O1103" s="57">
        <f t="shared" si="232"/>
        <v>1159.2941940000001</v>
      </c>
      <c r="P1103" s="58">
        <f t="shared" si="233"/>
        <v>417.01230000000004</v>
      </c>
      <c r="Q1103" s="58">
        <f t="shared" si="234"/>
        <v>278.00820000000004</v>
      </c>
      <c r="R1103" s="66">
        <f t="shared" si="235"/>
        <v>20.287648395000001</v>
      </c>
      <c r="S1103" s="64">
        <f t="shared" si="236"/>
        <v>112.5</v>
      </c>
      <c r="T1103" s="66">
        <f t="shared" si="237"/>
        <v>1292.081842395</v>
      </c>
      <c r="U1103" s="68">
        <f t="shared" si="238"/>
        <v>43.069394746500002</v>
      </c>
      <c r="V1103" s="68">
        <f t="shared" si="239"/>
        <v>464.77764114928061</v>
      </c>
      <c r="W1103" s="68">
        <f t="shared" si="240"/>
        <v>309.85176076618706</v>
      </c>
    </row>
    <row r="1104" spans="1:23" x14ac:dyDescent="0.25">
      <c r="A1104" s="1" t="s">
        <v>945</v>
      </c>
      <c r="B1104" s="61" t="s">
        <v>391</v>
      </c>
      <c r="C1104" s="1" t="s">
        <v>585</v>
      </c>
      <c r="D1104" s="1" t="s">
        <v>587</v>
      </c>
      <c r="E1104" s="1" t="s">
        <v>376</v>
      </c>
      <c r="F1104" s="62" t="str">
        <f t="shared" si="241"/>
        <v>64567</v>
      </c>
      <c r="G1104" s="269">
        <v>10620069</v>
      </c>
      <c r="H1104" s="1" t="s">
        <v>381</v>
      </c>
      <c r="I1104" s="61">
        <v>30</v>
      </c>
      <c r="J1104" s="61">
        <v>6.5</v>
      </c>
      <c r="K1104" s="61">
        <v>9</v>
      </c>
      <c r="L1104" s="69">
        <f t="shared" si="230"/>
        <v>1.95</v>
      </c>
      <c r="M1104" s="69">
        <f t="shared" si="231"/>
        <v>2.7</v>
      </c>
      <c r="N1104" s="56">
        <f>INDEX(Rate_Chart!$A$1:$AK$127,MATCH(Data!J1104,Rate_Chart!$A$1:$A$127,0),MATCH(Data!K1104,Rate_Chart!$A$1:$AK$1,0))</f>
        <v>54.274999999999999</v>
      </c>
      <c r="O1104" s="57">
        <f t="shared" si="232"/>
        <v>1628.25</v>
      </c>
      <c r="P1104" s="58">
        <f t="shared" si="233"/>
        <v>434.2</v>
      </c>
      <c r="Q1104" s="58">
        <f t="shared" si="234"/>
        <v>289.46666666666664</v>
      </c>
      <c r="R1104" s="66">
        <f t="shared" si="235"/>
        <v>28.494375000000002</v>
      </c>
      <c r="S1104" s="64">
        <f t="shared" si="236"/>
        <v>112.5</v>
      </c>
      <c r="T1104" s="66">
        <f t="shared" si="237"/>
        <v>1769.244375</v>
      </c>
      <c r="U1104" s="68">
        <f t="shared" si="238"/>
        <v>58.974812499999999</v>
      </c>
      <c r="V1104" s="68">
        <f t="shared" si="239"/>
        <v>471.79849999999999</v>
      </c>
      <c r="W1104" s="68">
        <f t="shared" si="240"/>
        <v>314.53233333333333</v>
      </c>
    </row>
    <row r="1105" spans="1:23" x14ac:dyDescent="0.25">
      <c r="A1105" s="1" t="s">
        <v>945</v>
      </c>
      <c r="B1105" s="61" t="s">
        <v>391</v>
      </c>
      <c r="C1105" s="1" t="s">
        <v>585</v>
      </c>
      <c r="D1105" s="1" t="s">
        <v>587</v>
      </c>
      <c r="E1105" s="1" t="s">
        <v>376</v>
      </c>
      <c r="F1105" s="62" t="str">
        <f t="shared" si="241"/>
        <v>64567</v>
      </c>
      <c r="G1105" s="269">
        <v>10620069</v>
      </c>
      <c r="H1105" s="1" t="s">
        <v>382</v>
      </c>
      <c r="I1105" s="61">
        <v>25</v>
      </c>
      <c r="J1105" s="61">
        <v>3.5</v>
      </c>
      <c r="K1105" s="61">
        <v>8.1999999999999993</v>
      </c>
      <c r="L1105" s="69">
        <f t="shared" si="230"/>
        <v>0.875</v>
      </c>
      <c r="M1105" s="69">
        <f t="shared" si="231"/>
        <v>2.0499999999999998</v>
      </c>
      <c r="N1105" s="56">
        <f>INDEX(Rate_Chart!$A$1:$AK$127,MATCH(Data!J1105,Rate_Chart!$A$1:$A$127,0),MATCH(Data!K1105,Rate_Chart!$A$1:$AK$1,0))</f>
        <v>37.392139800000002</v>
      </c>
      <c r="O1105" s="57">
        <f t="shared" si="232"/>
        <v>934.80349500000011</v>
      </c>
      <c r="P1105" s="58">
        <f t="shared" si="233"/>
        <v>417.01271152416359</v>
      </c>
      <c r="Q1105" s="58">
        <f t="shared" si="234"/>
        <v>278.00847434944239</v>
      </c>
      <c r="R1105" s="66">
        <f t="shared" si="235"/>
        <v>16.359061162500005</v>
      </c>
      <c r="S1105" s="64">
        <f t="shared" si="236"/>
        <v>93.75</v>
      </c>
      <c r="T1105" s="66">
        <f t="shared" si="237"/>
        <v>1044.9125561625001</v>
      </c>
      <c r="U1105" s="68">
        <f t="shared" si="238"/>
        <v>41.796502246500005</v>
      </c>
      <c r="V1105" s="68">
        <f t="shared" si="239"/>
        <v>466.13199531412641</v>
      </c>
      <c r="W1105" s="68">
        <f t="shared" si="240"/>
        <v>310.75466354275096</v>
      </c>
    </row>
    <row r="1106" spans="1:23" x14ac:dyDescent="0.25">
      <c r="A1106" s="1" t="s">
        <v>946</v>
      </c>
      <c r="B1106" s="61" t="s">
        <v>390</v>
      </c>
      <c r="C1106" s="1" t="s">
        <v>585</v>
      </c>
      <c r="D1106" s="1" t="s">
        <v>587</v>
      </c>
      <c r="E1106" s="1" t="s">
        <v>376</v>
      </c>
      <c r="F1106" s="62" t="str">
        <f t="shared" si="241"/>
        <v>64567</v>
      </c>
      <c r="G1106" s="269">
        <v>10620069</v>
      </c>
      <c r="H1106" s="1" t="s">
        <v>381</v>
      </c>
      <c r="I1106" s="61">
        <v>28</v>
      </c>
      <c r="J1106" s="61">
        <v>6.1</v>
      </c>
      <c r="K1106" s="61">
        <v>9</v>
      </c>
      <c r="L1106" s="69">
        <f t="shared" si="230"/>
        <v>1.7079999999999997</v>
      </c>
      <c r="M1106" s="69">
        <f t="shared" si="231"/>
        <v>2.52</v>
      </c>
      <c r="N1106" s="56">
        <f>INDEX(Rate_Chart!$A$1:$AK$127,MATCH(Data!J1106,Rate_Chart!$A$1:$A$127,0),MATCH(Data!K1106,Rate_Chart!$A$1:$AK$1,0))</f>
        <v>50.935000000000002</v>
      </c>
      <c r="O1106" s="57">
        <f t="shared" si="232"/>
        <v>1426.18</v>
      </c>
      <c r="P1106" s="58">
        <f t="shared" si="233"/>
        <v>420.95041322314052</v>
      </c>
      <c r="Q1106" s="58">
        <f t="shared" si="234"/>
        <v>280.63360881542701</v>
      </c>
      <c r="R1106" s="66">
        <f t="shared" si="235"/>
        <v>24.958150000000003</v>
      </c>
      <c r="S1106" s="64">
        <f t="shared" si="236"/>
        <v>105</v>
      </c>
      <c r="T1106" s="66">
        <f t="shared" si="237"/>
        <v>1556.13815</v>
      </c>
      <c r="U1106" s="68">
        <f t="shared" si="238"/>
        <v>55.576362500000002</v>
      </c>
      <c r="V1106" s="68">
        <f t="shared" si="239"/>
        <v>459.30878099173555</v>
      </c>
      <c r="W1106" s="68">
        <f t="shared" si="240"/>
        <v>306.20585399449038</v>
      </c>
    </row>
    <row r="1107" spans="1:23" x14ac:dyDescent="0.25">
      <c r="A1107" s="1" t="s">
        <v>946</v>
      </c>
      <c r="B1107" s="61" t="s">
        <v>390</v>
      </c>
      <c r="C1107" s="1" t="s">
        <v>585</v>
      </c>
      <c r="D1107" s="1" t="s">
        <v>587</v>
      </c>
      <c r="E1107" s="1" t="s">
        <v>376</v>
      </c>
      <c r="F1107" s="62" t="str">
        <f t="shared" si="241"/>
        <v>64567</v>
      </c>
      <c r="G1107" s="269">
        <v>10620069</v>
      </c>
      <c r="H1107" s="1" t="s">
        <v>382</v>
      </c>
      <c r="I1107" s="61">
        <v>29</v>
      </c>
      <c r="J1107" s="61">
        <v>3.8</v>
      </c>
      <c r="K1107" s="61">
        <v>8.3000000000000007</v>
      </c>
      <c r="L1107" s="69">
        <f t="shared" si="230"/>
        <v>1.1019999999999999</v>
      </c>
      <c r="M1107" s="69">
        <f t="shared" si="231"/>
        <v>2.407</v>
      </c>
      <c r="N1107" s="56">
        <f>INDEX(Rate_Chart!$A$1:$AK$127,MATCH(Data!J1107,Rate_Chart!$A$1:$A$127,0),MATCH(Data!K1107,Rate_Chart!$A$1:$AK$1,0))</f>
        <v>38.921153700000005</v>
      </c>
      <c r="O1107" s="57">
        <f t="shared" si="232"/>
        <v>1128.7134573000001</v>
      </c>
      <c r="P1107" s="58">
        <f t="shared" si="233"/>
        <v>417.01236107142859</v>
      </c>
      <c r="Q1107" s="58">
        <f t="shared" si="234"/>
        <v>278.00824071428571</v>
      </c>
      <c r="R1107" s="66">
        <f t="shared" si="235"/>
        <v>19.752485502750002</v>
      </c>
      <c r="S1107" s="64">
        <f t="shared" si="236"/>
        <v>108.75</v>
      </c>
      <c r="T1107" s="66">
        <f t="shared" si="237"/>
        <v>1257.2159428027501</v>
      </c>
      <c r="U1107" s="68">
        <f t="shared" si="238"/>
        <v>43.352273889750002</v>
      </c>
      <c r="V1107" s="68">
        <f t="shared" si="239"/>
        <v>464.48864881874999</v>
      </c>
      <c r="W1107" s="68">
        <f t="shared" si="240"/>
        <v>309.6590992125</v>
      </c>
    </row>
    <row r="1108" spans="1:23" x14ac:dyDescent="0.25">
      <c r="A1108" s="1" t="s">
        <v>946</v>
      </c>
      <c r="B1108" s="61" t="s">
        <v>391</v>
      </c>
      <c r="C1108" s="1" t="s">
        <v>585</v>
      </c>
      <c r="D1108" s="1" t="s">
        <v>587</v>
      </c>
      <c r="E1108" s="1" t="s">
        <v>376</v>
      </c>
      <c r="F1108" s="62" t="str">
        <f t="shared" si="241"/>
        <v>64567</v>
      </c>
      <c r="G1108" s="269">
        <v>10620069</v>
      </c>
      <c r="H1108" s="1" t="s">
        <v>381</v>
      </c>
      <c r="I1108" s="61">
        <v>36</v>
      </c>
      <c r="J1108" s="61">
        <v>6.9</v>
      </c>
      <c r="K1108" s="61">
        <v>9</v>
      </c>
      <c r="L1108" s="69">
        <f t="shared" si="230"/>
        <v>2.484</v>
      </c>
      <c r="M1108" s="69">
        <f t="shared" si="231"/>
        <v>3.24</v>
      </c>
      <c r="N1108" s="56">
        <f>INDEX(Rate_Chart!$A$1:$AK$127,MATCH(Data!J1108,Rate_Chart!$A$1:$A$127,0),MATCH(Data!K1108,Rate_Chart!$A$1:$AK$1,0))</f>
        <v>57.615000000000002</v>
      </c>
      <c r="O1108" s="57">
        <f t="shared" si="232"/>
        <v>2074.14</v>
      </c>
      <c r="P1108" s="58">
        <f t="shared" si="233"/>
        <v>446.62790697674421</v>
      </c>
      <c r="Q1108" s="58">
        <f t="shared" si="234"/>
        <v>297.75193798449612</v>
      </c>
      <c r="R1108" s="66">
        <f t="shared" si="235"/>
        <v>36.297449999999998</v>
      </c>
      <c r="S1108" s="64">
        <f t="shared" si="236"/>
        <v>135</v>
      </c>
      <c r="T1108" s="66">
        <f t="shared" si="237"/>
        <v>2245.4374499999999</v>
      </c>
      <c r="U1108" s="68">
        <f t="shared" si="238"/>
        <v>62.373262499999996</v>
      </c>
      <c r="V1108" s="68">
        <f t="shared" si="239"/>
        <v>483.51366279069765</v>
      </c>
      <c r="W1108" s="68">
        <f t="shared" si="240"/>
        <v>322.3424418604651</v>
      </c>
    </row>
    <row r="1109" spans="1:23" x14ac:dyDescent="0.25">
      <c r="A1109" s="1" t="s">
        <v>946</v>
      </c>
      <c r="B1109" s="61" t="s">
        <v>391</v>
      </c>
      <c r="C1109" s="1" t="s">
        <v>585</v>
      </c>
      <c r="D1109" s="1" t="s">
        <v>587</v>
      </c>
      <c r="E1109" s="1" t="s">
        <v>376</v>
      </c>
      <c r="F1109" s="62" t="str">
        <f t="shared" si="241"/>
        <v>64567</v>
      </c>
      <c r="G1109" s="269">
        <v>10620069</v>
      </c>
      <c r="H1109" s="1" t="s">
        <v>382</v>
      </c>
      <c r="I1109" s="61">
        <v>35</v>
      </c>
      <c r="J1109" s="61">
        <v>3.8</v>
      </c>
      <c r="K1109" s="61">
        <v>8.3000000000000007</v>
      </c>
      <c r="L1109" s="69">
        <f t="shared" si="230"/>
        <v>1.33</v>
      </c>
      <c r="M1109" s="69">
        <f t="shared" si="231"/>
        <v>2.9049999999999998</v>
      </c>
      <c r="N1109" s="56">
        <f>INDEX(Rate_Chart!$A$1:$AK$127,MATCH(Data!J1109,Rate_Chart!$A$1:$A$127,0),MATCH(Data!K1109,Rate_Chart!$A$1:$AK$1,0))</f>
        <v>38.921153700000005</v>
      </c>
      <c r="O1109" s="57">
        <f t="shared" si="232"/>
        <v>1362.2403795000002</v>
      </c>
      <c r="P1109" s="58">
        <f t="shared" si="233"/>
        <v>417.01236107142859</v>
      </c>
      <c r="Q1109" s="58">
        <f t="shared" si="234"/>
        <v>278.00824071428571</v>
      </c>
      <c r="R1109" s="66">
        <f t="shared" si="235"/>
        <v>23.839206641250005</v>
      </c>
      <c r="S1109" s="64">
        <f t="shared" si="236"/>
        <v>131.25</v>
      </c>
      <c r="T1109" s="66">
        <f t="shared" si="237"/>
        <v>1517.3295861412503</v>
      </c>
      <c r="U1109" s="68">
        <f t="shared" si="238"/>
        <v>43.352273889750009</v>
      </c>
      <c r="V1109" s="68">
        <f t="shared" si="239"/>
        <v>464.48864881875005</v>
      </c>
      <c r="W1109" s="68">
        <f t="shared" si="240"/>
        <v>309.65909921250005</v>
      </c>
    </row>
    <row r="1110" spans="1:23" x14ac:dyDescent="0.25">
      <c r="A1110" s="1" t="s">
        <v>947</v>
      </c>
      <c r="B1110" s="61" t="s">
        <v>390</v>
      </c>
      <c r="C1110" s="1" t="s">
        <v>585</v>
      </c>
      <c r="D1110" s="1" t="s">
        <v>587</v>
      </c>
      <c r="E1110" s="1" t="s">
        <v>376</v>
      </c>
      <c r="F1110" s="62" t="str">
        <f t="shared" si="241"/>
        <v>64567</v>
      </c>
      <c r="G1110" s="269">
        <v>10620069</v>
      </c>
      <c r="H1110" s="1" t="s">
        <v>381</v>
      </c>
      <c r="I1110" s="61">
        <v>32</v>
      </c>
      <c r="J1110" s="61">
        <v>6.2</v>
      </c>
      <c r="K1110" s="61">
        <v>9</v>
      </c>
      <c r="L1110" s="69">
        <f t="shared" si="230"/>
        <v>1.984</v>
      </c>
      <c r="M1110" s="69">
        <f t="shared" si="231"/>
        <v>2.88</v>
      </c>
      <c r="N1110" s="56">
        <f>INDEX(Rate_Chart!$A$1:$AK$127,MATCH(Data!J1110,Rate_Chart!$A$1:$A$127,0),MATCH(Data!K1110,Rate_Chart!$A$1:$AK$1,0))</f>
        <v>51.77</v>
      </c>
      <c r="O1110" s="57">
        <f t="shared" si="232"/>
        <v>1656.64</v>
      </c>
      <c r="P1110" s="58">
        <f t="shared" si="233"/>
        <v>424.34426229508199</v>
      </c>
      <c r="Q1110" s="58">
        <f t="shared" si="234"/>
        <v>282.89617486338801</v>
      </c>
      <c r="R1110" s="66">
        <f t="shared" si="235"/>
        <v>28.991200000000003</v>
      </c>
      <c r="S1110" s="64">
        <f t="shared" si="236"/>
        <v>120</v>
      </c>
      <c r="T1110" s="66">
        <f t="shared" si="237"/>
        <v>1805.6312</v>
      </c>
      <c r="U1110" s="68">
        <f t="shared" si="238"/>
        <v>56.425975000000001</v>
      </c>
      <c r="V1110" s="68">
        <f t="shared" si="239"/>
        <v>462.50799180327868</v>
      </c>
      <c r="W1110" s="68">
        <f t="shared" si="240"/>
        <v>308.33866120218579</v>
      </c>
    </row>
    <row r="1111" spans="1:23" x14ac:dyDescent="0.25">
      <c r="A1111" s="1" t="s">
        <v>947</v>
      </c>
      <c r="B1111" s="61" t="s">
        <v>390</v>
      </c>
      <c r="C1111" s="1" t="s">
        <v>585</v>
      </c>
      <c r="D1111" s="1" t="s">
        <v>587</v>
      </c>
      <c r="E1111" s="1" t="s">
        <v>376</v>
      </c>
      <c r="F1111" s="62" t="str">
        <f t="shared" si="241"/>
        <v>64567</v>
      </c>
      <c r="G1111" s="269">
        <v>10620069</v>
      </c>
      <c r="H1111" s="1" t="s">
        <v>382</v>
      </c>
      <c r="I1111" s="61">
        <v>25</v>
      </c>
      <c r="J1111" s="61">
        <v>3.8</v>
      </c>
      <c r="K1111" s="61">
        <v>8.3000000000000007</v>
      </c>
      <c r="L1111" s="69">
        <f t="shared" si="230"/>
        <v>0.95</v>
      </c>
      <c r="M1111" s="69">
        <f t="shared" si="231"/>
        <v>2.0750000000000002</v>
      </c>
      <c r="N1111" s="56">
        <f>INDEX(Rate_Chart!$A$1:$AK$127,MATCH(Data!J1111,Rate_Chart!$A$1:$A$127,0),MATCH(Data!K1111,Rate_Chart!$A$1:$AK$1,0))</f>
        <v>38.921153700000005</v>
      </c>
      <c r="O1111" s="57">
        <f t="shared" si="232"/>
        <v>973.02884250000011</v>
      </c>
      <c r="P1111" s="58">
        <f t="shared" si="233"/>
        <v>417.01236107142859</v>
      </c>
      <c r="Q1111" s="58">
        <f t="shared" si="234"/>
        <v>278.00824071428571</v>
      </c>
      <c r="R1111" s="66">
        <f t="shared" si="235"/>
        <v>17.028004743750003</v>
      </c>
      <c r="S1111" s="64">
        <f t="shared" si="236"/>
        <v>93.75</v>
      </c>
      <c r="T1111" s="66">
        <f t="shared" si="237"/>
        <v>1083.8068472437501</v>
      </c>
      <c r="U1111" s="68">
        <f t="shared" si="238"/>
        <v>43.352273889750002</v>
      </c>
      <c r="V1111" s="68">
        <f t="shared" si="239"/>
        <v>464.48864881874999</v>
      </c>
      <c r="W1111" s="68">
        <f t="shared" si="240"/>
        <v>309.6590992125</v>
      </c>
    </row>
    <row r="1112" spans="1:23" x14ac:dyDescent="0.25">
      <c r="A1112" s="1" t="s">
        <v>947</v>
      </c>
      <c r="B1112" s="61" t="s">
        <v>391</v>
      </c>
      <c r="C1112" s="1" t="s">
        <v>585</v>
      </c>
      <c r="D1112" s="1" t="s">
        <v>587</v>
      </c>
      <c r="E1112" s="1" t="s">
        <v>376</v>
      </c>
      <c r="F1112" s="62" t="str">
        <f t="shared" si="241"/>
        <v>64567</v>
      </c>
      <c r="G1112" s="269">
        <v>10620069</v>
      </c>
      <c r="H1112" s="1" t="s">
        <v>381</v>
      </c>
      <c r="I1112" s="61">
        <v>32</v>
      </c>
      <c r="J1112" s="61">
        <v>6.5</v>
      </c>
      <c r="K1112" s="61">
        <v>9</v>
      </c>
      <c r="L1112" s="69">
        <f t="shared" si="230"/>
        <v>2.08</v>
      </c>
      <c r="M1112" s="69">
        <f t="shared" si="231"/>
        <v>2.88</v>
      </c>
      <c r="N1112" s="56">
        <f>INDEX(Rate_Chart!$A$1:$AK$127,MATCH(Data!J1112,Rate_Chart!$A$1:$A$127,0),MATCH(Data!K1112,Rate_Chart!$A$1:$AK$1,0))</f>
        <v>54.274999999999999</v>
      </c>
      <c r="O1112" s="57">
        <f t="shared" si="232"/>
        <v>1736.8</v>
      </c>
      <c r="P1112" s="58">
        <f t="shared" si="233"/>
        <v>434.2</v>
      </c>
      <c r="Q1112" s="58">
        <f t="shared" si="234"/>
        <v>289.46666666666664</v>
      </c>
      <c r="R1112" s="66">
        <f t="shared" si="235"/>
        <v>30.394000000000002</v>
      </c>
      <c r="S1112" s="64">
        <f t="shared" si="236"/>
        <v>120</v>
      </c>
      <c r="T1112" s="66">
        <f t="shared" si="237"/>
        <v>1887.194</v>
      </c>
      <c r="U1112" s="68">
        <f t="shared" si="238"/>
        <v>58.974812499999999</v>
      </c>
      <c r="V1112" s="68">
        <f t="shared" si="239"/>
        <v>471.79849999999999</v>
      </c>
      <c r="W1112" s="68">
        <f t="shared" si="240"/>
        <v>314.53233333333333</v>
      </c>
    </row>
    <row r="1113" spans="1:23" x14ac:dyDescent="0.25">
      <c r="A1113" s="1" t="s">
        <v>947</v>
      </c>
      <c r="B1113" s="61" t="s">
        <v>391</v>
      </c>
      <c r="C1113" s="1" t="s">
        <v>585</v>
      </c>
      <c r="D1113" s="1" t="s">
        <v>587</v>
      </c>
      <c r="E1113" s="1" t="s">
        <v>376</v>
      </c>
      <c r="F1113" s="62" t="str">
        <f t="shared" si="241"/>
        <v>64567</v>
      </c>
      <c r="G1113" s="269">
        <v>10620069</v>
      </c>
      <c r="H1113" s="1" t="s">
        <v>382</v>
      </c>
      <c r="I1113" s="61">
        <v>26</v>
      </c>
      <c r="J1113" s="61">
        <v>3.6</v>
      </c>
      <c r="K1113" s="61">
        <v>8.1999999999999993</v>
      </c>
      <c r="L1113" s="69">
        <f t="shared" si="230"/>
        <v>0.93600000000000005</v>
      </c>
      <c r="M1113" s="69">
        <f t="shared" si="231"/>
        <v>2.1319999999999997</v>
      </c>
      <c r="N1113" s="56">
        <f>INDEX(Rate_Chart!$A$1:$AK$127,MATCH(Data!J1113,Rate_Chart!$A$1:$A$127,0),MATCH(Data!K1113,Rate_Chart!$A$1:$AK$1,0))</f>
        <v>37.809139800000004</v>
      </c>
      <c r="O1113" s="57">
        <f t="shared" si="232"/>
        <v>983.03763480000009</v>
      </c>
      <c r="P1113" s="58">
        <f t="shared" si="233"/>
        <v>417.01257132352941</v>
      </c>
      <c r="Q1113" s="58">
        <f t="shared" si="234"/>
        <v>278.00838088235292</v>
      </c>
      <c r="R1113" s="66">
        <f t="shared" si="235"/>
        <v>17.203158609000003</v>
      </c>
      <c r="S1113" s="64">
        <f t="shared" si="236"/>
        <v>97.5</v>
      </c>
      <c r="T1113" s="66">
        <f t="shared" si="237"/>
        <v>1097.7407934090002</v>
      </c>
      <c r="U1113" s="68">
        <f t="shared" si="238"/>
        <v>42.220799746500006</v>
      </c>
      <c r="V1113" s="68">
        <f t="shared" si="239"/>
        <v>465.67058543933825</v>
      </c>
      <c r="W1113" s="68">
        <f t="shared" si="240"/>
        <v>310.44705695955884</v>
      </c>
    </row>
    <row r="1114" spans="1:23" x14ac:dyDescent="0.25">
      <c r="A1114" s="1" t="s">
        <v>941</v>
      </c>
      <c r="B1114" s="61" t="s">
        <v>391</v>
      </c>
      <c r="C1114" s="1" t="s">
        <v>585</v>
      </c>
      <c r="D1114" s="1" t="s">
        <v>589</v>
      </c>
      <c r="E1114" s="1" t="s">
        <v>377</v>
      </c>
      <c r="F1114" s="62" t="str">
        <f t="shared" si="241"/>
        <v>64569</v>
      </c>
      <c r="G1114" s="269">
        <v>10620019</v>
      </c>
      <c r="H1114" s="1" t="s">
        <v>381</v>
      </c>
      <c r="I1114" s="61">
        <v>18</v>
      </c>
      <c r="J1114" s="61">
        <v>5.9</v>
      </c>
      <c r="K1114" s="61">
        <v>9</v>
      </c>
      <c r="L1114" s="69">
        <f t="shared" si="230"/>
        <v>1.0620000000000001</v>
      </c>
      <c r="M1114" s="69">
        <f t="shared" si="231"/>
        <v>1.62</v>
      </c>
      <c r="N1114" s="56">
        <f>INDEX(Rate_Chart!$A$1:$AK$127,MATCH(Data!J1114,Rate_Chart!$A$1:$A$127,0),MATCH(Data!K1114,Rate_Chart!$A$1:$AK$1,0))</f>
        <v>49.265000000000001</v>
      </c>
      <c r="O1114" s="57">
        <f t="shared" si="232"/>
        <v>886.77</v>
      </c>
      <c r="P1114" s="58">
        <f t="shared" si="233"/>
        <v>413.99159663865549</v>
      </c>
      <c r="Q1114" s="58">
        <f t="shared" si="234"/>
        <v>275.99439775910366</v>
      </c>
      <c r="R1114" s="66">
        <f t="shared" si="235"/>
        <v>15.518475</v>
      </c>
      <c r="S1114" s="64">
        <f t="shared" si="236"/>
        <v>67.5</v>
      </c>
      <c r="T1114" s="66">
        <f t="shared" si="237"/>
        <v>969.78847499999995</v>
      </c>
      <c r="U1114" s="68">
        <f t="shared" si="238"/>
        <v>53.877137499999996</v>
      </c>
      <c r="V1114" s="68">
        <f t="shared" si="239"/>
        <v>452.74905462184876</v>
      </c>
      <c r="W1114" s="68">
        <f t="shared" si="240"/>
        <v>301.83270308123252</v>
      </c>
    </row>
    <row r="1115" spans="1:23" x14ac:dyDescent="0.25">
      <c r="A1115" s="1" t="s">
        <v>941</v>
      </c>
      <c r="B1115" s="61" t="s">
        <v>391</v>
      </c>
      <c r="C1115" s="1" t="s">
        <v>585</v>
      </c>
      <c r="D1115" s="1" t="s">
        <v>589</v>
      </c>
      <c r="E1115" s="1" t="s">
        <v>377</v>
      </c>
      <c r="F1115" s="62" t="str">
        <f t="shared" si="241"/>
        <v>64569</v>
      </c>
      <c r="G1115" s="269">
        <v>10620019</v>
      </c>
      <c r="H1115" s="1" t="s">
        <v>382</v>
      </c>
      <c r="I1115" s="61">
        <v>29</v>
      </c>
      <c r="J1115" s="61">
        <v>4</v>
      </c>
      <c r="K1115" s="61">
        <v>8.5</v>
      </c>
      <c r="L1115" s="69">
        <f t="shared" si="230"/>
        <v>1.1599999999999999</v>
      </c>
      <c r="M1115" s="69">
        <f t="shared" si="231"/>
        <v>2.4649999999999999</v>
      </c>
      <c r="N1115" s="56">
        <f>INDEX(Rate_Chart!$A$1:$AK$127,MATCH(Data!J1115,Rate_Chart!$A$1:$A$127,0),MATCH(Data!K1115,Rate_Chart!$A$1:$AK$1,0))</f>
        <v>40.311181500000004</v>
      </c>
      <c r="O1115" s="57">
        <f t="shared" si="232"/>
        <v>1169.0242635000002</v>
      </c>
      <c r="P1115" s="58">
        <f t="shared" si="233"/>
        <v>417.0122224137931</v>
      </c>
      <c r="Q1115" s="58">
        <f t="shared" si="234"/>
        <v>278.00814827586208</v>
      </c>
      <c r="R1115" s="66">
        <f t="shared" si="235"/>
        <v>20.457924611250004</v>
      </c>
      <c r="S1115" s="64">
        <f t="shared" si="236"/>
        <v>108.75</v>
      </c>
      <c r="T1115" s="66">
        <f t="shared" si="237"/>
        <v>1298.2321881112503</v>
      </c>
      <c r="U1115" s="68">
        <f t="shared" si="238"/>
        <v>44.766627176250012</v>
      </c>
      <c r="V1115" s="68">
        <f t="shared" si="239"/>
        <v>463.10303975431043</v>
      </c>
      <c r="W1115" s="68">
        <f t="shared" si="240"/>
        <v>308.73535983620695</v>
      </c>
    </row>
    <row r="1116" spans="1:23" x14ac:dyDescent="0.25">
      <c r="A1116" s="1" t="s">
        <v>942</v>
      </c>
      <c r="B1116" s="61" t="s">
        <v>390</v>
      </c>
      <c r="C1116" s="1" t="s">
        <v>585</v>
      </c>
      <c r="D1116" s="1" t="s">
        <v>589</v>
      </c>
      <c r="E1116" s="1" t="s">
        <v>377</v>
      </c>
      <c r="F1116" s="62" t="str">
        <f t="shared" si="241"/>
        <v>64569</v>
      </c>
      <c r="G1116" s="269">
        <v>10620019</v>
      </c>
      <c r="H1116" s="1" t="s">
        <v>381</v>
      </c>
      <c r="I1116" s="61">
        <v>60</v>
      </c>
      <c r="J1116" s="61">
        <v>6.4</v>
      </c>
      <c r="K1116" s="61">
        <v>9</v>
      </c>
      <c r="L1116" s="69">
        <f t="shared" si="230"/>
        <v>3.84</v>
      </c>
      <c r="M1116" s="69">
        <f t="shared" si="231"/>
        <v>5.4</v>
      </c>
      <c r="N1116" s="56">
        <f>INDEX(Rate_Chart!$A$1:$AK$127,MATCH(Data!J1116,Rate_Chart!$A$1:$A$127,0),MATCH(Data!K1116,Rate_Chart!$A$1:$AK$1,0))</f>
        <v>53.44</v>
      </c>
      <c r="O1116" s="57">
        <f t="shared" si="232"/>
        <v>3206.3999999999996</v>
      </c>
      <c r="P1116" s="58">
        <f t="shared" si="233"/>
        <v>430.96774193548384</v>
      </c>
      <c r="Q1116" s="58">
        <f t="shared" si="234"/>
        <v>287.31182795698925</v>
      </c>
      <c r="R1116" s="66">
        <f t="shared" si="235"/>
        <v>56.112000000000002</v>
      </c>
      <c r="S1116" s="64">
        <f t="shared" si="236"/>
        <v>225</v>
      </c>
      <c r="T1116" s="66">
        <f t="shared" si="237"/>
        <v>3487.5119999999997</v>
      </c>
      <c r="U1116" s="68">
        <f t="shared" si="238"/>
        <v>58.125199999999992</v>
      </c>
      <c r="V1116" s="68">
        <f t="shared" si="239"/>
        <v>468.75161290322575</v>
      </c>
      <c r="W1116" s="68">
        <f t="shared" si="240"/>
        <v>312.50107526881715</v>
      </c>
    </row>
    <row r="1117" spans="1:23" x14ac:dyDescent="0.25">
      <c r="A1117" s="1" t="s">
        <v>942</v>
      </c>
      <c r="B1117" s="61" t="s">
        <v>390</v>
      </c>
      <c r="C1117" s="1" t="s">
        <v>585</v>
      </c>
      <c r="D1117" s="1" t="s">
        <v>589</v>
      </c>
      <c r="E1117" s="1" t="s">
        <v>377</v>
      </c>
      <c r="F1117" s="62" t="str">
        <f t="shared" si="241"/>
        <v>64569</v>
      </c>
      <c r="G1117" s="269">
        <v>10620019</v>
      </c>
      <c r="H1117" s="1" t="s">
        <v>382</v>
      </c>
      <c r="I1117" s="61">
        <v>65</v>
      </c>
      <c r="J1117" s="61">
        <v>4.5</v>
      </c>
      <c r="K1117" s="61">
        <v>8.5</v>
      </c>
      <c r="L1117" s="69">
        <f t="shared" si="230"/>
        <v>2.9249999999999998</v>
      </c>
      <c r="M1117" s="69">
        <f t="shared" si="231"/>
        <v>5.5250000000000004</v>
      </c>
      <c r="N1117" s="56">
        <f>INDEX(Rate_Chart!$A$1:$AK$127,MATCH(Data!J1117,Rate_Chart!$A$1:$A$127,0),MATCH(Data!K1117,Rate_Chart!$A$1:$AK$1,0))</f>
        <v>42.396181500000004</v>
      </c>
      <c r="O1117" s="57">
        <f t="shared" si="232"/>
        <v>2755.7517975000001</v>
      </c>
      <c r="P1117" s="58">
        <f t="shared" si="233"/>
        <v>417.01162131147544</v>
      </c>
      <c r="Q1117" s="58">
        <f t="shared" si="234"/>
        <v>278.00774754098364</v>
      </c>
      <c r="R1117" s="66">
        <f t="shared" si="235"/>
        <v>48.225656456250007</v>
      </c>
      <c r="S1117" s="64">
        <f t="shared" si="236"/>
        <v>243.75</v>
      </c>
      <c r="T1117" s="66">
        <f t="shared" si="237"/>
        <v>3047.72745395625</v>
      </c>
      <c r="U1117" s="68">
        <f t="shared" si="238"/>
        <v>46.888114676249998</v>
      </c>
      <c r="V1117" s="68">
        <f t="shared" si="239"/>
        <v>461.19457058606554</v>
      </c>
      <c r="W1117" s="68">
        <f t="shared" si="240"/>
        <v>307.46304705737703</v>
      </c>
    </row>
    <row r="1118" spans="1:23" x14ac:dyDescent="0.25">
      <c r="A1118" s="1" t="s">
        <v>942</v>
      </c>
      <c r="B1118" s="61" t="s">
        <v>391</v>
      </c>
      <c r="C1118" s="1" t="s">
        <v>585</v>
      </c>
      <c r="D1118" s="1" t="s">
        <v>589</v>
      </c>
      <c r="E1118" s="1" t="s">
        <v>377</v>
      </c>
      <c r="F1118" s="62" t="str">
        <f t="shared" si="241"/>
        <v>64569</v>
      </c>
      <c r="G1118" s="269">
        <v>10620019</v>
      </c>
      <c r="H1118" s="1" t="s">
        <v>381</v>
      </c>
      <c r="I1118" s="61">
        <v>10</v>
      </c>
      <c r="J1118" s="61">
        <v>6</v>
      </c>
      <c r="K1118" s="61">
        <v>9</v>
      </c>
      <c r="L1118" s="69">
        <f t="shared" si="230"/>
        <v>0.6</v>
      </c>
      <c r="M1118" s="69">
        <f t="shared" si="231"/>
        <v>0.9</v>
      </c>
      <c r="N1118" s="56">
        <f>INDEX(Rate_Chart!$A$1:$AK$127,MATCH(Data!J1118,Rate_Chart!$A$1:$A$127,0),MATCH(Data!K1118,Rate_Chart!$A$1:$AK$1,0))</f>
        <v>50.1</v>
      </c>
      <c r="O1118" s="57">
        <f t="shared" si="232"/>
        <v>501</v>
      </c>
      <c r="P1118" s="58">
        <f t="shared" si="233"/>
        <v>417.5</v>
      </c>
      <c r="Q1118" s="58">
        <f t="shared" si="234"/>
        <v>278.33333333333331</v>
      </c>
      <c r="R1118" s="66">
        <f t="shared" si="235"/>
        <v>8.7675000000000001</v>
      </c>
      <c r="S1118" s="64">
        <f t="shared" si="236"/>
        <v>37.5</v>
      </c>
      <c r="T1118" s="66">
        <f t="shared" si="237"/>
        <v>547.26750000000004</v>
      </c>
      <c r="U1118" s="68">
        <f t="shared" si="238"/>
        <v>54.726750000000003</v>
      </c>
      <c r="V1118" s="68">
        <f t="shared" si="239"/>
        <v>456.05625000000003</v>
      </c>
      <c r="W1118" s="68">
        <f t="shared" si="240"/>
        <v>304.03750000000002</v>
      </c>
    </row>
    <row r="1119" spans="1:23" x14ac:dyDescent="0.25">
      <c r="A1119" s="1" t="s">
        <v>942</v>
      </c>
      <c r="B1119" s="61" t="s">
        <v>391</v>
      </c>
      <c r="C1119" s="1" t="s">
        <v>585</v>
      </c>
      <c r="D1119" s="1" t="s">
        <v>589</v>
      </c>
      <c r="E1119" s="1" t="s">
        <v>377</v>
      </c>
      <c r="F1119" s="62" t="str">
        <f t="shared" si="241"/>
        <v>64569</v>
      </c>
      <c r="G1119" s="269">
        <v>10620019</v>
      </c>
      <c r="H1119" s="1" t="s">
        <v>382</v>
      </c>
      <c r="I1119" s="61">
        <v>23</v>
      </c>
      <c r="J1119" s="61">
        <v>4.3</v>
      </c>
      <c r="K1119" s="61">
        <v>8.5</v>
      </c>
      <c r="L1119" s="69">
        <f t="shared" si="230"/>
        <v>0.98899999999999988</v>
      </c>
      <c r="M1119" s="69">
        <f t="shared" si="231"/>
        <v>1.9550000000000001</v>
      </c>
      <c r="N1119" s="56">
        <f>INDEX(Rate_Chart!$A$1:$AK$127,MATCH(Data!J1119,Rate_Chart!$A$1:$A$127,0),MATCH(Data!K1119,Rate_Chart!$A$1:$AK$1,0))</f>
        <v>41.562181500000001</v>
      </c>
      <c r="O1119" s="57">
        <f t="shared" si="232"/>
        <v>955.93017450000002</v>
      </c>
      <c r="P1119" s="58">
        <f t="shared" si="233"/>
        <v>417.01185451505017</v>
      </c>
      <c r="Q1119" s="58">
        <f t="shared" si="234"/>
        <v>278.00790301003343</v>
      </c>
      <c r="R1119" s="66">
        <f t="shared" si="235"/>
        <v>16.728778053750002</v>
      </c>
      <c r="S1119" s="64">
        <f t="shared" si="236"/>
        <v>86.25</v>
      </c>
      <c r="T1119" s="66">
        <f t="shared" si="237"/>
        <v>1058.9089525537499</v>
      </c>
      <c r="U1119" s="68">
        <f t="shared" si="238"/>
        <v>46.039519676249995</v>
      </c>
      <c r="V1119" s="68">
        <f t="shared" si="239"/>
        <v>461.93498002926418</v>
      </c>
      <c r="W1119" s="68">
        <f t="shared" si="240"/>
        <v>307.95665335284281</v>
      </c>
    </row>
    <row r="1120" spans="1:23" x14ac:dyDescent="0.25">
      <c r="A1120" s="1" t="s">
        <v>943</v>
      </c>
      <c r="B1120" s="61" t="s">
        <v>390</v>
      </c>
      <c r="C1120" s="1" t="s">
        <v>585</v>
      </c>
      <c r="D1120" s="1" t="s">
        <v>589</v>
      </c>
      <c r="E1120" s="1" t="s">
        <v>377</v>
      </c>
      <c r="F1120" s="62" t="str">
        <f t="shared" si="241"/>
        <v>64569</v>
      </c>
      <c r="G1120" s="269">
        <v>10620019</v>
      </c>
      <c r="H1120" s="1" t="s">
        <v>381</v>
      </c>
      <c r="I1120" s="61">
        <v>38</v>
      </c>
      <c r="J1120" s="61">
        <v>6.5</v>
      </c>
      <c r="K1120" s="61">
        <v>9</v>
      </c>
      <c r="L1120" s="69">
        <f t="shared" ref="L1120:L1183" si="242">J1120*I1120/100</f>
        <v>2.4700000000000002</v>
      </c>
      <c r="M1120" s="69">
        <f t="shared" ref="M1120:M1183" si="243">K1120*I1120/100</f>
        <v>3.42</v>
      </c>
      <c r="N1120" s="56">
        <f>INDEX(Rate_Chart!$A$1:$AK$127,MATCH(Data!J1120,Rate_Chart!$A$1:$A$127,0),MATCH(Data!K1120,Rate_Chart!$A$1:$AK$1,0))</f>
        <v>54.274999999999999</v>
      </c>
      <c r="O1120" s="57">
        <f t="shared" ref="O1120:O1183" si="244">N1120*I1120</f>
        <v>2062.4499999999998</v>
      </c>
      <c r="P1120" s="58">
        <f t="shared" ref="P1120:P1183" si="245">N1120/(J1120%+K1120%*2/3)</f>
        <v>434.2</v>
      </c>
      <c r="Q1120" s="58">
        <f t="shared" ref="Q1120:Q1183" si="246">P1120*2/3</f>
        <v>289.46666666666664</v>
      </c>
      <c r="R1120" s="66">
        <f t="shared" ref="R1120:R1183" si="247">O1120*1.75%</f>
        <v>36.092874999999999</v>
      </c>
      <c r="S1120" s="64">
        <f t="shared" ref="S1120:S1183" si="248">I1120*3.75</f>
        <v>142.5</v>
      </c>
      <c r="T1120" s="66">
        <f t="shared" ref="T1120:T1183" si="249">R1120+S1120+O1120</f>
        <v>2241.0428749999996</v>
      </c>
      <c r="U1120" s="68">
        <f t="shared" ref="U1120:U1183" si="250">T1120/I1120</f>
        <v>58.974812499999992</v>
      </c>
      <c r="V1120" s="68">
        <f t="shared" ref="V1120:V1183" si="251">U1120/(J1120%+K1120%*2/3)</f>
        <v>471.79849999999993</v>
      </c>
      <c r="W1120" s="68">
        <f t="shared" ref="W1120:W1183" si="252">V1120*2/3</f>
        <v>314.53233333333327</v>
      </c>
    </row>
    <row r="1121" spans="1:23" x14ac:dyDescent="0.25">
      <c r="A1121" s="1" t="s">
        <v>943</v>
      </c>
      <c r="B1121" s="61" t="s">
        <v>390</v>
      </c>
      <c r="C1121" s="1" t="s">
        <v>585</v>
      </c>
      <c r="D1121" s="1" t="s">
        <v>589</v>
      </c>
      <c r="E1121" s="1" t="s">
        <v>377</v>
      </c>
      <c r="F1121" s="62" t="str">
        <f t="shared" si="241"/>
        <v>64569</v>
      </c>
      <c r="G1121" s="269">
        <v>10620019</v>
      </c>
      <c r="H1121" s="1" t="s">
        <v>382</v>
      </c>
      <c r="I1121" s="61">
        <v>69</v>
      </c>
      <c r="J1121" s="61">
        <v>4.2</v>
      </c>
      <c r="K1121" s="61">
        <v>8.1999999999999993</v>
      </c>
      <c r="L1121" s="69">
        <f t="shared" si="242"/>
        <v>2.8980000000000001</v>
      </c>
      <c r="M1121" s="69">
        <f t="shared" si="243"/>
        <v>5.6579999999999995</v>
      </c>
      <c r="N1121" s="56">
        <f>INDEX(Rate_Chart!$A$1:$AK$127,MATCH(Data!J1121,Rate_Chart!$A$1:$A$127,0),MATCH(Data!K1121,Rate_Chart!$A$1:$AK$1,0))</f>
        <v>40.311139799999999</v>
      </c>
      <c r="O1121" s="57">
        <f t="shared" si="244"/>
        <v>2781.4686462</v>
      </c>
      <c r="P1121" s="58">
        <f t="shared" si="245"/>
        <v>417.01179103448277</v>
      </c>
      <c r="Q1121" s="58">
        <f t="shared" si="246"/>
        <v>278.00786068965516</v>
      </c>
      <c r="R1121" s="66">
        <f t="shared" si="247"/>
        <v>48.675701308500003</v>
      </c>
      <c r="S1121" s="64">
        <f t="shared" si="248"/>
        <v>258.75</v>
      </c>
      <c r="T1121" s="66">
        <f t="shared" si="249"/>
        <v>3088.8943475084998</v>
      </c>
      <c r="U1121" s="68">
        <f t="shared" si="250"/>
        <v>44.766584746499994</v>
      </c>
      <c r="V1121" s="68">
        <f t="shared" si="251"/>
        <v>463.102600825862</v>
      </c>
      <c r="W1121" s="68">
        <f t="shared" si="252"/>
        <v>308.73506721724135</v>
      </c>
    </row>
    <row r="1122" spans="1:23" x14ac:dyDescent="0.25">
      <c r="A1122" s="1" t="s">
        <v>943</v>
      </c>
      <c r="B1122" s="61" t="s">
        <v>391</v>
      </c>
      <c r="C1122" s="1" t="s">
        <v>585</v>
      </c>
      <c r="D1122" s="1" t="s">
        <v>589</v>
      </c>
      <c r="E1122" s="1" t="s">
        <v>377</v>
      </c>
      <c r="F1122" s="62" t="str">
        <f t="shared" si="241"/>
        <v>64569</v>
      </c>
      <c r="G1122" s="269">
        <v>10620019</v>
      </c>
      <c r="H1122" s="1" t="s">
        <v>381</v>
      </c>
      <c r="I1122" s="61">
        <v>7</v>
      </c>
      <c r="J1122" s="61">
        <v>6.7</v>
      </c>
      <c r="K1122" s="61">
        <v>9</v>
      </c>
      <c r="L1122" s="69">
        <f t="shared" si="242"/>
        <v>0.46899999999999997</v>
      </c>
      <c r="M1122" s="69">
        <f t="shared" si="243"/>
        <v>0.63</v>
      </c>
      <c r="N1122" s="56">
        <f>INDEX(Rate_Chart!$A$1:$AK$127,MATCH(Data!J1122,Rate_Chart!$A$1:$A$127,0),MATCH(Data!K1122,Rate_Chart!$A$1:$AK$1,0))</f>
        <v>55.945</v>
      </c>
      <c r="O1122" s="57">
        <f t="shared" si="244"/>
        <v>391.61500000000001</v>
      </c>
      <c r="P1122" s="58">
        <f t="shared" si="245"/>
        <v>440.51181102362204</v>
      </c>
      <c r="Q1122" s="58">
        <f t="shared" si="246"/>
        <v>293.67454068241472</v>
      </c>
      <c r="R1122" s="66">
        <f t="shared" si="247"/>
        <v>6.8532625000000005</v>
      </c>
      <c r="S1122" s="64">
        <f t="shared" si="248"/>
        <v>26.25</v>
      </c>
      <c r="T1122" s="66">
        <f t="shared" si="249"/>
        <v>424.71826250000004</v>
      </c>
      <c r="U1122" s="68">
        <f t="shared" si="250"/>
        <v>60.674037500000004</v>
      </c>
      <c r="V1122" s="68">
        <f t="shared" si="251"/>
        <v>477.74832677165358</v>
      </c>
      <c r="W1122" s="68">
        <f t="shared" si="252"/>
        <v>318.4988845144357</v>
      </c>
    </row>
    <row r="1123" spans="1:23" x14ac:dyDescent="0.25">
      <c r="A1123" s="1" t="s">
        <v>943</v>
      </c>
      <c r="B1123" s="61" t="s">
        <v>391</v>
      </c>
      <c r="C1123" s="1" t="s">
        <v>585</v>
      </c>
      <c r="D1123" s="1" t="s">
        <v>589</v>
      </c>
      <c r="E1123" s="1" t="s">
        <v>377</v>
      </c>
      <c r="F1123" s="62" t="str">
        <f t="shared" si="241"/>
        <v>64569</v>
      </c>
      <c r="G1123" s="269">
        <v>10620019</v>
      </c>
      <c r="H1123" s="1" t="s">
        <v>382</v>
      </c>
      <c r="I1123" s="61">
        <v>17</v>
      </c>
      <c r="J1123" s="61">
        <v>4.4000000000000004</v>
      </c>
      <c r="K1123" s="61">
        <v>8.5</v>
      </c>
      <c r="L1123" s="69">
        <f t="shared" si="242"/>
        <v>0.74800000000000011</v>
      </c>
      <c r="M1123" s="69">
        <f t="shared" si="243"/>
        <v>1.4450000000000001</v>
      </c>
      <c r="N1123" s="56">
        <f>INDEX(Rate_Chart!$A$1:$AK$127,MATCH(Data!J1123,Rate_Chart!$A$1:$A$127,0),MATCH(Data!K1123,Rate_Chart!$A$1:$AK$1,0))</f>
        <v>41.97918150000001</v>
      </c>
      <c r="O1123" s="57">
        <f t="shared" si="244"/>
        <v>713.64608550000014</v>
      </c>
      <c r="P1123" s="58">
        <f t="shared" si="245"/>
        <v>417.01173675496693</v>
      </c>
      <c r="Q1123" s="58">
        <f t="shared" si="246"/>
        <v>278.00782450331127</v>
      </c>
      <c r="R1123" s="66">
        <f t="shared" si="247"/>
        <v>12.488806496250003</v>
      </c>
      <c r="S1123" s="64">
        <f t="shared" si="248"/>
        <v>63.75</v>
      </c>
      <c r="T1123" s="66">
        <f t="shared" si="249"/>
        <v>789.88489199625019</v>
      </c>
      <c r="U1123" s="68">
        <f t="shared" si="250"/>
        <v>46.463817176250011</v>
      </c>
      <c r="V1123" s="68">
        <f t="shared" si="251"/>
        <v>461.56109777731791</v>
      </c>
      <c r="W1123" s="68">
        <f t="shared" si="252"/>
        <v>307.70739851821196</v>
      </c>
    </row>
    <row r="1124" spans="1:23" x14ac:dyDescent="0.25">
      <c r="A1124" s="1" t="s">
        <v>944</v>
      </c>
      <c r="B1124" s="61" t="s">
        <v>390</v>
      </c>
      <c r="C1124" s="1" t="s">
        <v>585</v>
      </c>
      <c r="D1124" s="1" t="s">
        <v>589</v>
      </c>
      <c r="E1124" s="1" t="s">
        <v>377</v>
      </c>
      <c r="F1124" s="62" t="str">
        <f t="shared" si="241"/>
        <v>64569</v>
      </c>
      <c r="G1124" s="269">
        <v>10620019</v>
      </c>
      <c r="H1124" s="1" t="s">
        <v>381</v>
      </c>
      <c r="I1124" s="61">
        <v>34</v>
      </c>
      <c r="J1124" s="61">
        <v>6.5</v>
      </c>
      <c r="K1124" s="61">
        <v>9</v>
      </c>
      <c r="L1124" s="69">
        <f t="shared" si="242"/>
        <v>2.21</v>
      </c>
      <c r="M1124" s="69">
        <f t="shared" si="243"/>
        <v>3.06</v>
      </c>
      <c r="N1124" s="56">
        <f>INDEX(Rate_Chart!$A$1:$AK$127,MATCH(Data!J1124,Rate_Chart!$A$1:$A$127,0),MATCH(Data!K1124,Rate_Chart!$A$1:$AK$1,0))</f>
        <v>54.274999999999999</v>
      </c>
      <c r="O1124" s="57">
        <f t="shared" si="244"/>
        <v>1845.35</v>
      </c>
      <c r="P1124" s="58">
        <f t="shared" si="245"/>
        <v>434.2</v>
      </c>
      <c r="Q1124" s="58">
        <f t="shared" si="246"/>
        <v>289.46666666666664</v>
      </c>
      <c r="R1124" s="66">
        <f t="shared" si="247"/>
        <v>32.293624999999999</v>
      </c>
      <c r="S1124" s="64">
        <f t="shared" si="248"/>
        <v>127.5</v>
      </c>
      <c r="T1124" s="66">
        <f t="shared" si="249"/>
        <v>2005.1436249999999</v>
      </c>
      <c r="U1124" s="68">
        <f t="shared" si="250"/>
        <v>58.974812499999999</v>
      </c>
      <c r="V1124" s="68">
        <f t="shared" si="251"/>
        <v>471.79849999999999</v>
      </c>
      <c r="W1124" s="68">
        <f t="shared" si="252"/>
        <v>314.53233333333333</v>
      </c>
    </row>
    <row r="1125" spans="1:23" x14ac:dyDescent="0.25">
      <c r="A1125" s="1" t="s">
        <v>944</v>
      </c>
      <c r="B1125" s="61" t="s">
        <v>390</v>
      </c>
      <c r="C1125" s="1" t="s">
        <v>585</v>
      </c>
      <c r="D1125" s="1" t="s">
        <v>589</v>
      </c>
      <c r="E1125" s="1" t="s">
        <v>377</v>
      </c>
      <c r="F1125" s="62" t="str">
        <f t="shared" si="241"/>
        <v>64569</v>
      </c>
      <c r="G1125" s="269">
        <v>10620019</v>
      </c>
      <c r="H1125" s="1" t="s">
        <v>382</v>
      </c>
      <c r="I1125" s="61">
        <v>67</v>
      </c>
      <c r="J1125" s="61">
        <v>4.8</v>
      </c>
      <c r="K1125" s="61">
        <v>8.5</v>
      </c>
      <c r="L1125" s="69">
        <f t="shared" si="242"/>
        <v>3.2159999999999997</v>
      </c>
      <c r="M1125" s="69">
        <f t="shared" si="243"/>
        <v>5.6950000000000003</v>
      </c>
      <c r="N1125" s="56">
        <f>INDEX(Rate_Chart!$A$1:$AK$127,MATCH(Data!J1125,Rate_Chart!$A$1:$A$127,0),MATCH(Data!K1125,Rate_Chart!$A$1:$AK$1,0))</f>
        <v>43.647181500000002</v>
      </c>
      <c r="O1125" s="57">
        <f t="shared" si="244"/>
        <v>2924.3611605000001</v>
      </c>
      <c r="P1125" s="58">
        <f t="shared" si="245"/>
        <v>417.0112882165605</v>
      </c>
      <c r="Q1125" s="58">
        <f t="shared" si="246"/>
        <v>278.00752547770702</v>
      </c>
      <c r="R1125" s="66">
        <f t="shared" si="247"/>
        <v>51.176320308750007</v>
      </c>
      <c r="S1125" s="64">
        <f t="shared" si="248"/>
        <v>251.25</v>
      </c>
      <c r="T1125" s="66">
        <f t="shared" si="249"/>
        <v>3226.7874808087499</v>
      </c>
      <c r="U1125" s="68">
        <f t="shared" si="250"/>
        <v>48.161007176249996</v>
      </c>
      <c r="V1125" s="68">
        <f t="shared" si="251"/>
        <v>460.13701123805726</v>
      </c>
      <c r="W1125" s="68">
        <f t="shared" si="252"/>
        <v>306.75800749203819</v>
      </c>
    </row>
    <row r="1126" spans="1:23" x14ac:dyDescent="0.25">
      <c r="A1126" s="1" t="s">
        <v>944</v>
      </c>
      <c r="B1126" s="61" t="s">
        <v>391</v>
      </c>
      <c r="C1126" s="1" t="s">
        <v>585</v>
      </c>
      <c r="D1126" s="1" t="s">
        <v>589</v>
      </c>
      <c r="E1126" s="1" t="s">
        <v>377</v>
      </c>
      <c r="F1126" s="62" t="str">
        <f t="shared" si="241"/>
        <v>64569</v>
      </c>
      <c r="G1126" s="269">
        <v>10620019</v>
      </c>
      <c r="H1126" s="1" t="s">
        <v>381</v>
      </c>
      <c r="I1126" s="61">
        <v>10</v>
      </c>
      <c r="J1126" s="61">
        <v>6.6</v>
      </c>
      <c r="K1126" s="61">
        <v>9</v>
      </c>
      <c r="L1126" s="69">
        <f t="shared" si="242"/>
        <v>0.66</v>
      </c>
      <c r="M1126" s="69">
        <f t="shared" si="243"/>
        <v>0.9</v>
      </c>
      <c r="N1126" s="56">
        <f>INDEX(Rate_Chart!$A$1:$AK$127,MATCH(Data!J1126,Rate_Chart!$A$1:$A$127,0),MATCH(Data!K1126,Rate_Chart!$A$1:$AK$1,0))</f>
        <v>55.11</v>
      </c>
      <c r="O1126" s="57">
        <f t="shared" si="244"/>
        <v>551.1</v>
      </c>
      <c r="P1126" s="58">
        <f t="shared" si="245"/>
        <v>437.38095238095235</v>
      </c>
      <c r="Q1126" s="58">
        <f t="shared" si="246"/>
        <v>291.58730158730157</v>
      </c>
      <c r="R1126" s="66">
        <f t="shared" si="247"/>
        <v>9.6442500000000013</v>
      </c>
      <c r="S1126" s="64">
        <f t="shared" si="248"/>
        <v>37.5</v>
      </c>
      <c r="T1126" s="66">
        <f t="shared" si="249"/>
        <v>598.24424999999997</v>
      </c>
      <c r="U1126" s="68">
        <f t="shared" si="250"/>
        <v>59.824424999999998</v>
      </c>
      <c r="V1126" s="68">
        <f t="shared" si="251"/>
        <v>474.79702380952381</v>
      </c>
      <c r="W1126" s="68">
        <f t="shared" si="252"/>
        <v>316.5313492063492</v>
      </c>
    </row>
    <row r="1127" spans="1:23" x14ac:dyDescent="0.25">
      <c r="A1127" s="1" t="s">
        <v>944</v>
      </c>
      <c r="B1127" s="61" t="s">
        <v>391</v>
      </c>
      <c r="C1127" s="1" t="s">
        <v>585</v>
      </c>
      <c r="D1127" s="1" t="s">
        <v>589</v>
      </c>
      <c r="E1127" s="1" t="s">
        <v>377</v>
      </c>
      <c r="F1127" s="62" t="str">
        <f t="shared" si="241"/>
        <v>64569</v>
      </c>
      <c r="G1127" s="269">
        <v>10620019</v>
      </c>
      <c r="H1127" s="1" t="s">
        <v>382</v>
      </c>
      <c r="I1127" s="61">
        <v>28</v>
      </c>
      <c r="J1127" s="61">
        <v>4.4000000000000004</v>
      </c>
      <c r="K1127" s="61">
        <v>8.4</v>
      </c>
      <c r="L1127" s="69">
        <f t="shared" si="242"/>
        <v>1.2320000000000002</v>
      </c>
      <c r="M1127" s="69">
        <f t="shared" si="243"/>
        <v>2.3520000000000003</v>
      </c>
      <c r="N1127" s="56">
        <f>INDEX(Rate_Chart!$A$1:$AK$127,MATCH(Data!J1127,Rate_Chart!$A$1:$A$127,0),MATCH(Data!K1127,Rate_Chart!$A$1:$AK$1,0))</f>
        <v>41.701167600000005</v>
      </c>
      <c r="O1127" s="57">
        <f t="shared" si="244"/>
        <v>1167.6326928000001</v>
      </c>
      <c r="P1127" s="58">
        <f t="shared" si="245"/>
        <v>417.01167600000002</v>
      </c>
      <c r="Q1127" s="58">
        <f t="shared" si="246"/>
        <v>278.00778400000002</v>
      </c>
      <c r="R1127" s="66">
        <f t="shared" si="247"/>
        <v>20.433572124000005</v>
      </c>
      <c r="S1127" s="64">
        <f t="shared" si="248"/>
        <v>105</v>
      </c>
      <c r="T1127" s="66">
        <f t="shared" si="249"/>
        <v>1293.0662649240001</v>
      </c>
      <c r="U1127" s="68">
        <f t="shared" si="250"/>
        <v>46.180938033000004</v>
      </c>
      <c r="V1127" s="68">
        <f t="shared" si="251"/>
        <v>461.80938033000001</v>
      </c>
      <c r="W1127" s="68">
        <f t="shared" si="252"/>
        <v>307.87292022000003</v>
      </c>
    </row>
    <row r="1128" spans="1:23" x14ac:dyDescent="0.25">
      <c r="A1128" s="1" t="s">
        <v>945</v>
      </c>
      <c r="B1128" s="61" t="s">
        <v>390</v>
      </c>
      <c r="C1128" s="1" t="s">
        <v>585</v>
      </c>
      <c r="D1128" s="1" t="s">
        <v>589</v>
      </c>
      <c r="E1128" s="1" t="s">
        <v>377</v>
      </c>
      <c r="F1128" s="62" t="str">
        <f t="shared" si="241"/>
        <v>64569</v>
      </c>
      <c r="G1128" s="269">
        <v>10620019</v>
      </c>
      <c r="H1128" s="1" t="s">
        <v>381</v>
      </c>
      <c r="I1128" s="61">
        <v>46</v>
      </c>
      <c r="J1128" s="61">
        <v>7</v>
      </c>
      <c r="K1128" s="61">
        <v>9</v>
      </c>
      <c r="L1128" s="69">
        <f t="shared" si="242"/>
        <v>3.22</v>
      </c>
      <c r="M1128" s="69">
        <f t="shared" si="243"/>
        <v>4.1399999999999997</v>
      </c>
      <c r="N1128" s="56">
        <f>INDEX(Rate_Chart!$A$1:$AK$127,MATCH(Data!J1128,Rate_Chart!$A$1:$A$127,0),MATCH(Data!K1128,Rate_Chart!$A$1:$AK$1,0))</f>
        <v>58.45</v>
      </c>
      <c r="O1128" s="57">
        <f t="shared" si="244"/>
        <v>2688.7000000000003</v>
      </c>
      <c r="P1128" s="58">
        <f t="shared" si="245"/>
        <v>449.61538461538464</v>
      </c>
      <c r="Q1128" s="58">
        <f t="shared" si="246"/>
        <v>299.74358974358978</v>
      </c>
      <c r="R1128" s="66">
        <f t="shared" si="247"/>
        <v>47.052250000000008</v>
      </c>
      <c r="S1128" s="64">
        <f t="shared" si="248"/>
        <v>172.5</v>
      </c>
      <c r="T1128" s="66">
        <f t="shared" si="249"/>
        <v>2908.2522500000005</v>
      </c>
      <c r="U1128" s="68">
        <f t="shared" si="250"/>
        <v>63.222875000000009</v>
      </c>
      <c r="V1128" s="68">
        <f t="shared" si="251"/>
        <v>486.32980769230772</v>
      </c>
      <c r="W1128" s="68">
        <f t="shared" si="252"/>
        <v>324.21987179487184</v>
      </c>
    </row>
    <row r="1129" spans="1:23" x14ac:dyDescent="0.25">
      <c r="A1129" s="1" t="s">
        <v>945</v>
      </c>
      <c r="B1129" s="61" t="s">
        <v>390</v>
      </c>
      <c r="C1129" s="1" t="s">
        <v>585</v>
      </c>
      <c r="D1129" s="1" t="s">
        <v>589</v>
      </c>
      <c r="E1129" s="1" t="s">
        <v>377</v>
      </c>
      <c r="F1129" s="62" t="str">
        <f t="shared" si="241"/>
        <v>64569</v>
      </c>
      <c r="G1129" s="269">
        <v>10620019</v>
      </c>
      <c r="H1129" s="1" t="s">
        <v>382</v>
      </c>
      <c r="I1129" s="61">
        <v>69</v>
      </c>
      <c r="J1129" s="61">
        <v>3.9</v>
      </c>
      <c r="K1129" s="61">
        <v>8.1999999999999993</v>
      </c>
      <c r="L1129" s="69">
        <f t="shared" si="242"/>
        <v>2.6909999999999998</v>
      </c>
      <c r="M1129" s="69">
        <f t="shared" si="243"/>
        <v>5.6579999999999995</v>
      </c>
      <c r="N1129" s="56">
        <f>INDEX(Rate_Chart!$A$1:$AK$127,MATCH(Data!J1129,Rate_Chart!$A$1:$A$127,0),MATCH(Data!K1129,Rate_Chart!$A$1:$AK$1,0))</f>
        <v>39.060139800000002</v>
      </c>
      <c r="O1129" s="57">
        <f t="shared" si="244"/>
        <v>2695.1496462</v>
      </c>
      <c r="P1129" s="58">
        <f t="shared" si="245"/>
        <v>417.01216868327407</v>
      </c>
      <c r="Q1129" s="58">
        <f t="shared" si="246"/>
        <v>278.00811245551603</v>
      </c>
      <c r="R1129" s="66">
        <f t="shared" si="247"/>
        <v>47.165118808500004</v>
      </c>
      <c r="S1129" s="64">
        <f t="shared" si="248"/>
        <v>258.75</v>
      </c>
      <c r="T1129" s="66">
        <f t="shared" si="249"/>
        <v>3001.0647650085002</v>
      </c>
      <c r="U1129" s="68">
        <f t="shared" si="250"/>
        <v>43.493692246500004</v>
      </c>
      <c r="V1129" s="68">
        <f t="shared" si="251"/>
        <v>464.34546882384348</v>
      </c>
      <c r="W1129" s="68">
        <f t="shared" si="252"/>
        <v>309.5636458825623</v>
      </c>
    </row>
    <row r="1130" spans="1:23" x14ac:dyDescent="0.25">
      <c r="A1130" s="1" t="s">
        <v>945</v>
      </c>
      <c r="B1130" s="61" t="s">
        <v>391</v>
      </c>
      <c r="C1130" s="1" t="s">
        <v>585</v>
      </c>
      <c r="D1130" s="1" t="s">
        <v>589</v>
      </c>
      <c r="E1130" s="1" t="s">
        <v>377</v>
      </c>
      <c r="F1130" s="62" t="str">
        <f t="shared" si="241"/>
        <v>64569</v>
      </c>
      <c r="G1130" s="269">
        <v>10620019</v>
      </c>
      <c r="H1130" s="1" t="s">
        <v>381</v>
      </c>
      <c r="I1130" s="61">
        <v>10</v>
      </c>
      <c r="J1130" s="61">
        <v>8.4</v>
      </c>
      <c r="K1130" s="61">
        <v>9</v>
      </c>
      <c r="L1130" s="69">
        <f t="shared" si="242"/>
        <v>0.84</v>
      </c>
      <c r="M1130" s="69">
        <f t="shared" si="243"/>
        <v>0.9</v>
      </c>
      <c r="N1130" s="56">
        <f>INDEX(Rate_Chart!$A$1:$AK$127,MATCH(Data!J1130,Rate_Chart!$A$1:$A$127,0),MATCH(Data!K1130,Rate_Chart!$A$1:$AK$1,0))</f>
        <v>70.14</v>
      </c>
      <c r="O1130" s="57">
        <f t="shared" si="244"/>
        <v>701.4</v>
      </c>
      <c r="P1130" s="58">
        <f t="shared" si="245"/>
        <v>487.08333333333326</v>
      </c>
      <c r="Q1130" s="58">
        <f t="shared" si="246"/>
        <v>324.72222222222217</v>
      </c>
      <c r="R1130" s="66">
        <f t="shared" si="247"/>
        <v>12.274500000000002</v>
      </c>
      <c r="S1130" s="64">
        <f t="shared" si="248"/>
        <v>37.5</v>
      </c>
      <c r="T1130" s="66">
        <f t="shared" si="249"/>
        <v>751.17449999999997</v>
      </c>
      <c r="U1130" s="68">
        <f t="shared" si="250"/>
        <v>75.117449999999991</v>
      </c>
      <c r="V1130" s="68">
        <f t="shared" si="251"/>
        <v>521.64895833333321</v>
      </c>
      <c r="W1130" s="68">
        <f t="shared" si="252"/>
        <v>347.76597222222216</v>
      </c>
    </row>
    <row r="1131" spans="1:23" x14ac:dyDescent="0.25">
      <c r="A1131" s="1" t="s">
        <v>945</v>
      </c>
      <c r="B1131" s="61" t="s">
        <v>391</v>
      </c>
      <c r="C1131" s="1" t="s">
        <v>585</v>
      </c>
      <c r="D1131" s="1" t="s">
        <v>589</v>
      </c>
      <c r="E1131" s="1" t="s">
        <v>377</v>
      </c>
      <c r="F1131" s="62" t="str">
        <f t="shared" si="241"/>
        <v>64569</v>
      </c>
      <c r="G1131" s="269">
        <v>10620019</v>
      </c>
      <c r="H1131" s="1" t="s">
        <v>382</v>
      </c>
      <c r="I1131" s="61">
        <v>17</v>
      </c>
      <c r="J1131" s="61">
        <v>5.0999999999999996</v>
      </c>
      <c r="K1131" s="61">
        <v>8.5</v>
      </c>
      <c r="L1131" s="69">
        <f t="shared" si="242"/>
        <v>0.86699999999999988</v>
      </c>
      <c r="M1131" s="69">
        <f t="shared" si="243"/>
        <v>1.4450000000000001</v>
      </c>
      <c r="N1131" s="56">
        <f>INDEX(Rate_Chart!$A$1:$AK$127,MATCH(Data!J1131,Rate_Chart!$A$1:$A$127,0),MATCH(Data!K1131,Rate_Chart!$A$1:$AK$1,0))</f>
        <v>44.898181500000007</v>
      </c>
      <c r="O1131" s="57">
        <f t="shared" si="244"/>
        <v>763.26908550000007</v>
      </c>
      <c r="P1131" s="58">
        <f t="shared" si="245"/>
        <v>417.01097368421063</v>
      </c>
      <c r="Q1131" s="58">
        <f t="shared" si="246"/>
        <v>278.00731578947375</v>
      </c>
      <c r="R1131" s="66">
        <f t="shared" si="247"/>
        <v>13.357208996250003</v>
      </c>
      <c r="S1131" s="64">
        <f t="shared" si="248"/>
        <v>63.75</v>
      </c>
      <c r="T1131" s="66">
        <f t="shared" si="249"/>
        <v>840.37629449625013</v>
      </c>
      <c r="U1131" s="68">
        <f t="shared" si="250"/>
        <v>49.433899676250007</v>
      </c>
      <c r="V1131" s="68">
        <f t="shared" si="251"/>
        <v>459.13838708591339</v>
      </c>
      <c r="W1131" s="68">
        <f t="shared" si="252"/>
        <v>306.09225805727561</v>
      </c>
    </row>
    <row r="1132" spans="1:23" x14ac:dyDescent="0.25">
      <c r="A1132" s="1" t="s">
        <v>946</v>
      </c>
      <c r="B1132" s="61" t="s">
        <v>390</v>
      </c>
      <c r="C1132" s="1" t="s">
        <v>585</v>
      </c>
      <c r="D1132" s="1" t="s">
        <v>589</v>
      </c>
      <c r="E1132" s="1" t="s">
        <v>377</v>
      </c>
      <c r="F1132" s="62" t="str">
        <f t="shared" si="241"/>
        <v>64569</v>
      </c>
      <c r="G1132" s="269">
        <v>10620019</v>
      </c>
      <c r="H1132" s="1" t="s">
        <v>381</v>
      </c>
      <c r="I1132" s="61">
        <v>53</v>
      </c>
      <c r="J1132" s="61">
        <v>6.3</v>
      </c>
      <c r="K1132" s="61">
        <v>9</v>
      </c>
      <c r="L1132" s="69">
        <f t="shared" si="242"/>
        <v>3.339</v>
      </c>
      <c r="M1132" s="69">
        <f t="shared" si="243"/>
        <v>4.7699999999999996</v>
      </c>
      <c r="N1132" s="56">
        <f>INDEX(Rate_Chart!$A$1:$AK$127,MATCH(Data!J1132,Rate_Chart!$A$1:$A$127,0),MATCH(Data!K1132,Rate_Chart!$A$1:$AK$1,0))</f>
        <v>52.604999999999997</v>
      </c>
      <c r="O1132" s="57">
        <f t="shared" si="244"/>
        <v>2788.0650000000001</v>
      </c>
      <c r="P1132" s="58">
        <f t="shared" si="245"/>
        <v>427.6829268292683</v>
      </c>
      <c r="Q1132" s="58">
        <f t="shared" si="246"/>
        <v>285.1219512195122</v>
      </c>
      <c r="R1132" s="66">
        <f t="shared" si="247"/>
        <v>48.791137500000005</v>
      </c>
      <c r="S1132" s="64">
        <f t="shared" si="248"/>
        <v>198.75</v>
      </c>
      <c r="T1132" s="66">
        <f t="shared" si="249"/>
        <v>3035.6061374999999</v>
      </c>
      <c r="U1132" s="68">
        <f t="shared" si="250"/>
        <v>57.2755875</v>
      </c>
      <c r="V1132" s="68">
        <f t="shared" si="251"/>
        <v>465.6551829268293</v>
      </c>
      <c r="W1132" s="68">
        <f t="shared" si="252"/>
        <v>310.43678861788618</v>
      </c>
    </row>
    <row r="1133" spans="1:23" x14ac:dyDescent="0.25">
      <c r="A1133" s="1" t="s">
        <v>946</v>
      </c>
      <c r="B1133" s="61" t="s">
        <v>390</v>
      </c>
      <c r="C1133" s="1" t="s">
        <v>585</v>
      </c>
      <c r="D1133" s="1" t="s">
        <v>589</v>
      </c>
      <c r="E1133" s="1" t="s">
        <v>377</v>
      </c>
      <c r="F1133" s="62" t="str">
        <f t="shared" si="241"/>
        <v>64569</v>
      </c>
      <c r="G1133" s="269">
        <v>10620019</v>
      </c>
      <c r="H1133" s="1" t="s">
        <v>382</v>
      </c>
      <c r="I1133" s="61">
        <v>67</v>
      </c>
      <c r="J1133" s="61">
        <v>4.4000000000000004</v>
      </c>
      <c r="K1133" s="61">
        <v>8.5</v>
      </c>
      <c r="L1133" s="69">
        <f t="shared" si="242"/>
        <v>2.948</v>
      </c>
      <c r="M1133" s="69">
        <f t="shared" si="243"/>
        <v>5.6950000000000003</v>
      </c>
      <c r="N1133" s="56">
        <f>INDEX(Rate_Chart!$A$1:$AK$127,MATCH(Data!J1133,Rate_Chart!$A$1:$A$127,0),MATCH(Data!K1133,Rate_Chart!$A$1:$AK$1,0))</f>
        <v>41.97918150000001</v>
      </c>
      <c r="O1133" s="57">
        <f t="shared" si="244"/>
        <v>2812.6051605000007</v>
      </c>
      <c r="P1133" s="58">
        <f t="shared" si="245"/>
        <v>417.01173675496693</v>
      </c>
      <c r="Q1133" s="58">
        <f t="shared" si="246"/>
        <v>278.00782450331127</v>
      </c>
      <c r="R1133" s="66">
        <f t="shared" si="247"/>
        <v>49.220590308750019</v>
      </c>
      <c r="S1133" s="64">
        <f t="shared" si="248"/>
        <v>251.25</v>
      </c>
      <c r="T1133" s="66">
        <f t="shared" si="249"/>
        <v>3113.0757508087509</v>
      </c>
      <c r="U1133" s="68">
        <f t="shared" si="250"/>
        <v>46.463817176250011</v>
      </c>
      <c r="V1133" s="68">
        <f t="shared" si="251"/>
        <v>461.56109777731791</v>
      </c>
      <c r="W1133" s="68">
        <f t="shared" si="252"/>
        <v>307.70739851821196</v>
      </c>
    </row>
    <row r="1134" spans="1:23" x14ac:dyDescent="0.25">
      <c r="A1134" s="1" t="s">
        <v>946</v>
      </c>
      <c r="B1134" s="61" t="s">
        <v>391</v>
      </c>
      <c r="C1134" s="1" t="s">
        <v>585</v>
      </c>
      <c r="D1134" s="1" t="s">
        <v>589</v>
      </c>
      <c r="E1134" s="1" t="s">
        <v>377</v>
      </c>
      <c r="F1134" s="62" t="str">
        <f t="shared" si="241"/>
        <v>64569</v>
      </c>
      <c r="G1134" s="269">
        <v>10620019</v>
      </c>
      <c r="H1134" s="1" t="s">
        <v>381</v>
      </c>
      <c r="I1134" s="61">
        <v>8</v>
      </c>
      <c r="J1134" s="61">
        <v>6.5</v>
      </c>
      <c r="K1134" s="61">
        <v>9</v>
      </c>
      <c r="L1134" s="69">
        <f t="shared" si="242"/>
        <v>0.52</v>
      </c>
      <c r="M1134" s="69">
        <f t="shared" si="243"/>
        <v>0.72</v>
      </c>
      <c r="N1134" s="56">
        <f>INDEX(Rate_Chart!$A$1:$AK$127,MATCH(Data!J1134,Rate_Chart!$A$1:$A$127,0),MATCH(Data!K1134,Rate_Chart!$A$1:$AK$1,0))</f>
        <v>54.274999999999999</v>
      </c>
      <c r="O1134" s="57">
        <f t="shared" si="244"/>
        <v>434.2</v>
      </c>
      <c r="P1134" s="58">
        <f t="shared" si="245"/>
        <v>434.2</v>
      </c>
      <c r="Q1134" s="58">
        <f t="shared" si="246"/>
        <v>289.46666666666664</v>
      </c>
      <c r="R1134" s="66">
        <f t="shared" si="247"/>
        <v>7.5985000000000005</v>
      </c>
      <c r="S1134" s="64">
        <f t="shared" si="248"/>
        <v>30</v>
      </c>
      <c r="T1134" s="66">
        <f t="shared" si="249"/>
        <v>471.79849999999999</v>
      </c>
      <c r="U1134" s="68">
        <f t="shared" si="250"/>
        <v>58.974812499999999</v>
      </c>
      <c r="V1134" s="68">
        <f t="shared" si="251"/>
        <v>471.79849999999999</v>
      </c>
      <c r="W1134" s="68">
        <f t="shared" si="252"/>
        <v>314.53233333333333</v>
      </c>
    </row>
    <row r="1135" spans="1:23" x14ac:dyDescent="0.25">
      <c r="A1135" s="1" t="s">
        <v>946</v>
      </c>
      <c r="B1135" s="61" t="s">
        <v>391</v>
      </c>
      <c r="C1135" s="1" t="s">
        <v>585</v>
      </c>
      <c r="D1135" s="1" t="s">
        <v>589</v>
      </c>
      <c r="E1135" s="1" t="s">
        <v>377</v>
      </c>
      <c r="F1135" s="62" t="str">
        <f t="shared" si="241"/>
        <v>64569</v>
      </c>
      <c r="G1135" s="269">
        <v>10620019</v>
      </c>
      <c r="H1135" s="1" t="s">
        <v>382</v>
      </c>
      <c r="I1135" s="61">
        <v>26</v>
      </c>
      <c r="J1135" s="61">
        <v>4.4000000000000004</v>
      </c>
      <c r="K1135" s="61">
        <v>8.5</v>
      </c>
      <c r="L1135" s="69">
        <f t="shared" si="242"/>
        <v>1.1440000000000001</v>
      </c>
      <c r="M1135" s="69">
        <f t="shared" si="243"/>
        <v>2.21</v>
      </c>
      <c r="N1135" s="56">
        <f>INDEX(Rate_Chart!$A$1:$AK$127,MATCH(Data!J1135,Rate_Chart!$A$1:$A$127,0),MATCH(Data!K1135,Rate_Chart!$A$1:$AK$1,0))</f>
        <v>41.97918150000001</v>
      </c>
      <c r="O1135" s="57">
        <f t="shared" si="244"/>
        <v>1091.4587190000002</v>
      </c>
      <c r="P1135" s="58">
        <f t="shared" si="245"/>
        <v>417.01173675496693</v>
      </c>
      <c r="Q1135" s="58">
        <f t="shared" si="246"/>
        <v>278.00782450331127</v>
      </c>
      <c r="R1135" s="66">
        <f t="shared" si="247"/>
        <v>19.100527582500007</v>
      </c>
      <c r="S1135" s="64">
        <f t="shared" si="248"/>
        <v>97.5</v>
      </c>
      <c r="T1135" s="66">
        <f t="shared" si="249"/>
        <v>1208.0592465825002</v>
      </c>
      <c r="U1135" s="68">
        <f t="shared" si="250"/>
        <v>46.463817176250011</v>
      </c>
      <c r="V1135" s="68">
        <f t="shared" si="251"/>
        <v>461.56109777731791</v>
      </c>
      <c r="W1135" s="68">
        <f t="shared" si="252"/>
        <v>307.70739851821196</v>
      </c>
    </row>
    <row r="1136" spans="1:23" x14ac:dyDescent="0.25">
      <c r="A1136" s="1" t="s">
        <v>947</v>
      </c>
      <c r="B1136" s="61" t="s">
        <v>390</v>
      </c>
      <c r="C1136" s="1" t="s">
        <v>585</v>
      </c>
      <c r="D1136" s="1" t="s">
        <v>589</v>
      </c>
      <c r="E1136" s="1" t="s">
        <v>377</v>
      </c>
      <c r="F1136" s="62" t="str">
        <f t="shared" si="241"/>
        <v>64569</v>
      </c>
      <c r="G1136" s="269">
        <v>10620019</v>
      </c>
      <c r="H1136" s="1" t="s">
        <v>381</v>
      </c>
      <c r="I1136" s="61">
        <v>45</v>
      </c>
      <c r="J1136" s="61">
        <v>7.4</v>
      </c>
      <c r="K1136" s="61">
        <v>9</v>
      </c>
      <c r="L1136" s="69">
        <f t="shared" si="242"/>
        <v>3.33</v>
      </c>
      <c r="M1136" s="69">
        <f t="shared" si="243"/>
        <v>4.05</v>
      </c>
      <c r="N1136" s="56">
        <f>INDEX(Rate_Chart!$A$1:$AK$127,MATCH(Data!J1136,Rate_Chart!$A$1:$A$127,0),MATCH(Data!K1136,Rate_Chart!$A$1:$AK$1,0))</f>
        <v>61.790000000000006</v>
      </c>
      <c r="O1136" s="57">
        <f t="shared" si="244"/>
        <v>2780.55</v>
      </c>
      <c r="P1136" s="58">
        <f t="shared" si="245"/>
        <v>461.11940298507466</v>
      </c>
      <c r="Q1136" s="58">
        <f t="shared" si="246"/>
        <v>307.41293532338312</v>
      </c>
      <c r="R1136" s="66">
        <f t="shared" si="247"/>
        <v>48.659625000000005</v>
      </c>
      <c r="S1136" s="64">
        <f t="shared" si="248"/>
        <v>168.75</v>
      </c>
      <c r="T1136" s="66">
        <f t="shared" si="249"/>
        <v>2997.9596250000004</v>
      </c>
      <c r="U1136" s="68">
        <f t="shared" si="250"/>
        <v>66.621325000000013</v>
      </c>
      <c r="V1136" s="68">
        <f t="shared" si="251"/>
        <v>497.17406716417918</v>
      </c>
      <c r="W1136" s="68">
        <f t="shared" si="252"/>
        <v>331.44937810945277</v>
      </c>
    </row>
    <row r="1137" spans="1:23" x14ac:dyDescent="0.25">
      <c r="A1137" s="1" t="s">
        <v>947</v>
      </c>
      <c r="B1137" s="61" t="s">
        <v>390</v>
      </c>
      <c r="C1137" s="1" t="s">
        <v>585</v>
      </c>
      <c r="D1137" s="1" t="s">
        <v>589</v>
      </c>
      <c r="E1137" s="1" t="s">
        <v>377</v>
      </c>
      <c r="F1137" s="62" t="str">
        <f t="shared" si="241"/>
        <v>64569</v>
      </c>
      <c r="G1137" s="269">
        <v>10620019</v>
      </c>
      <c r="H1137" s="1" t="s">
        <v>382</v>
      </c>
      <c r="I1137" s="61">
        <v>71</v>
      </c>
      <c r="J1137" s="61">
        <v>3.9</v>
      </c>
      <c r="K1137" s="61">
        <v>8.4</v>
      </c>
      <c r="L1137" s="69">
        <f t="shared" si="242"/>
        <v>2.7689999999999997</v>
      </c>
      <c r="M1137" s="69">
        <f t="shared" si="243"/>
        <v>5.9639999999999995</v>
      </c>
      <c r="N1137" s="56">
        <f>INDEX(Rate_Chart!$A$1:$AK$127,MATCH(Data!J1137,Rate_Chart!$A$1:$A$127,0),MATCH(Data!K1137,Rate_Chart!$A$1:$AK$1,0))</f>
        <v>39.616167600000011</v>
      </c>
      <c r="O1137" s="57">
        <f t="shared" si="244"/>
        <v>2812.7478996000009</v>
      </c>
      <c r="P1137" s="58">
        <f t="shared" si="245"/>
        <v>417.01229052631589</v>
      </c>
      <c r="Q1137" s="58">
        <f t="shared" si="246"/>
        <v>278.0081936842106</v>
      </c>
      <c r="R1137" s="66">
        <f t="shared" si="247"/>
        <v>49.223088243000021</v>
      </c>
      <c r="S1137" s="64">
        <f t="shared" si="248"/>
        <v>266.25</v>
      </c>
      <c r="T1137" s="66">
        <f t="shared" si="249"/>
        <v>3128.2209878430008</v>
      </c>
      <c r="U1137" s="68">
        <f t="shared" si="250"/>
        <v>44.05945053300001</v>
      </c>
      <c r="V1137" s="68">
        <f t="shared" si="251"/>
        <v>463.78368982105275</v>
      </c>
      <c r="W1137" s="68">
        <f t="shared" si="252"/>
        <v>309.18912654736852</v>
      </c>
    </row>
    <row r="1138" spans="1:23" x14ac:dyDescent="0.25">
      <c r="A1138" s="1" t="s">
        <v>947</v>
      </c>
      <c r="B1138" s="61" t="s">
        <v>391</v>
      </c>
      <c r="C1138" s="1" t="s">
        <v>585</v>
      </c>
      <c r="D1138" s="1" t="s">
        <v>589</v>
      </c>
      <c r="E1138" s="1" t="s">
        <v>377</v>
      </c>
      <c r="F1138" s="62" t="str">
        <f t="shared" si="241"/>
        <v>64569</v>
      </c>
      <c r="G1138" s="269">
        <v>10620019</v>
      </c>
      <c r="H1138" s="1" t="s">
        <v>381</v>
      </c>
      <c r="I1138" s="61">
        <v>11</v>
      </c>
      <c r="J1138" s="61">
        <v>6.3</v>
      </c>
      <c r="K1138" s="61">
        <v>9</v>
      </c>
      <c r="L1138" s="69">
        <f t="shared" si="242"/>
        <v>0.69299999999999995</v>
      </c>
      <c r="M1138" s="69">
        <f t="shared" si="243"/>
        <v>0.99</v>
      </c>
      <c r="N1138" s="56">
        <f>INDEX(Rate_Chart!$A$1:$AK$127,MATCH(Data!J1138,Rate_Chart!$A$1:$A$127,0),MATCH(Data!K1138,Rate_Chart!$A$1:$AK$1,0))</f>
        <v>52.604999999999997</v>
      </c>
      <c r="O1138" s="57">
        <f t="shared" si="244"/>
        <v>578.65499999999997</v>
      </c>
      <c r="P1138" s="58">
        <f t="shared" si="245"/>
        <v>427.6829268292683</v>
      </c>
      <c r="Q1138" s="58">
        <f t="shared" si="246"/>
        <v>285.1219512195122</v>
      </c>
      <c r="R1138" s="66">
        <f t="shared" si="247"/>
        <v>10.126462500000001</v>
      </c>
      <c r="S1138" s="64">
        <f t="shared" si="248"/>
        <v>41.25</v>
      </c>
      <c r="T1138" s="66">
        <f t="shared" si="249"/>
        <v>630.03146249999998</v>
      </c>
      <c r="U1138" s="68">
        <f t="shared" si="250"/>
        <v>57.2755875</v>
      </c>
      <c r="V1138" s="68">
        <f t="shared" si="251"/>
        <v>465.6551829268293</v>
      </c>
      <c r="W1138" s="68">
        <f t="shared" si="252"/>
        <v>310.43678861788618</v>
      </c>
    </row>
    <row r="1139" spans="1:23" x14ac:dyDescent="0.25">
      <c r="A1139" s="1" t="s">
        <v>947</v>
      </c>
      <c r="B1139" s="61" t="s">
        <v>391</v>
      </c>
      <c r="C1139" s="1" t="s">
        <v>585</v>
      </c>
      <c r="D1139" s="1" t="s">
        <v>589</v>
      </c>
      <c r="E1139" s="1" t="s">
        <v>377</v>
      </c>
      <c r="F1139" s="62" t="str">
        <f t="shared" si="241"/>
        <v>64569</v>
      </c>
      <c r="G1139" s="269">
        <v>10620019</v>
      </c>
      <c r="H1139" s="1" t="s">
        <v>382</v>
      </c>
      <c r="I1139" s="61">
        <v>29</v>
      </c>
      <c r="J1139" s="61">
        <v>4.0999999999999996</v>
      </c>
      <c r="K1139" s="61">
        <v>8.5</v>
      </c>
      <c r="L1139" s="69">
        <f t="shared" si="242"/>
        <v>1.1889999999999998</v>
      </c>
      <c r="M1139" s="69">
        <f t="shared" si="243"/>
        <v>2.4649999999999999</v>
      </c>
      <c r="N1139" s="56">
        <f>INDEX(Rate_Chart!$A$1:$AK$127,MATCH(Data!J1139,Rate_Chart!$A$1:$A$127,0),MATCH(Data!K1139,Rate_Chart!$A$1:$AK$1,0))</f>
        <v>40.728181500000005</v>
      </c>
      <c r="O1139" s="57">
        <f t="shared" si="244"/>
        <v>1181.1172635000003</v>
      </c>
      <c r="P1139" s="58">
        <f t="shared" si="245"/>
        <v>417.01209726962463</v>
      </c>
      <c r="Q1139" s="58">
        <f t="shared" si="246"/>
        <v>278.0080648464164</v>
      </c>
      <c r="R1139" s="66">
        <f t="shared" si="247"/>
        <v>20.669552111250006</v>
      </c>
      <c r="S1139" s="64">
        <f t="shared" si="248"/>
        <v>108.75</v>
      </c>
      <c r="T1139" s="66">
        <f t="shared" si="249"/>
        <v>1310.5368156112502</v>
      </c>
      <c r="U1139" s="68">
        <f t="shared" si="250"/>
        <v>45.190924676250006</v>
      </c>
      <c r="V1139" s="68">
        <f t="shared" si="251"/>
        <v>462.70571340870316</v>
      </c>
      <c r="W1139" s="68">
        <f t="shared" si="252"/>
        <v>308.47047560580211</v>
      </c>
    </row>
    <row r="1140" spans="1:23" x14ac:dyDescent="0.25">
      <c r="A1140" s="1" t="s">
        <v>941</v>
      </c>
      <c r="B1140" s="61" t="s">
        <v>390</v>
      </c>
      <c r="C1140" s="1" t="s">
        <v>585</v>
      </c>
      <c r="D1140" s="1" t="s">
        <v>589</v>
      </c>
      <c r="E1140" s="1" t="s">
        <v>378</v>
      </c>
      <c r="F1140" s="62" t="str">
        <f t="shared" si="241"/>
        <v>64571</v>
      </c>
      <c r="G1140" s="269">
        <v>10620009</v>
      </c>
      <c r="H1140" s="1" t="s">
        <v>381</v>
      </c>
      <c r="I1140" s="61">
        <v>21</v>
      </c>
      <c r="J1140" s="61">
        <v>7.3</v>
      </c>
      <c r="K1140" s="61">
        <v>9</v>
      </c>
      <c r="L1140" s="69">
        <f t="shared" si="242"/>
        <v>1.5329999999999999</v>
      </c>
      <c r="M1140" s="69">
        <f t="shared" si="243"/>
        <v>1.89</v>
      </c>
      <c r="N1140" s="56">
        <f>INDEX(Rate_Chart!$A$1:$AK$127,MATCH(Data!J1140,Rate_Chart!$A$1:$A$127,0),MATCH(Data!K1140,Rate_Chart!$A$1:$AK$1,0))</f>
        <v>60.954999999999998</v>
      </c>
      <c r="O1140" s="57">
        <f t="shared" si="244"/>
        <v>1280.0550000000001</v>
      </c>
      <c r="P1140" s="58">
        <f t="shared" si="245"/>
        <v>458.30827067669168</v>
      </c>
      <c r="Q1140" s="58">
        <f t="shared" si="246"/>
        <v>305.53884711779443</v>
      </c>
      <c r="R1140" s="66">
        <f t="shared" si="247"/>
        <v>22.400962500000002</v>
      </c>
      <c r="S1140" s="64">
        <f t="shared" si="248"/>
        <v>78.75</v>
      </c>
      <c r="T1140" s="66">
        <f t="shared" si="249"/>
        <v>1381.2059625000002</v>
      </c>
      <c r="U1140" s="68">
        <f t="shared" si="250"/>
        <v>65.771712500000007</v>
      </c>
      <c r="V1140" s="68">
        <f t="shared" si="251"/>
        <v>494.52415413533839</v>
      </c>
      <c r="W1140" s="68">
        <f t="shared" si="252"/>
        <v>329.68276942355891</v>
      </c>
    </row>
    <row r="1141" spans="1:23" x14ac:dyDescent="0.25">
      <c r="A1141" s="1" t="s">
        <v>941</v>
      </c>
      <c r="B1141" s="61" t="s">
        <v>391</v>
      </c>
      <c r="C1141" s="1" t="s">
        <v>585</v>
      </c>
      <c r="D1141" s="1" t="s">
        <v>589</v>
      </c>
      <c r="E1141" s="1" t="s">
        <v>378</v>
      </c>
      <c r="F1141" s="62" t="str">
        <f t="shared" si="241"/>
        <v>64571</v>
      </c>
      <c r="G1141" s="269">
        <v>10620009</v>
      </c>
      <c r="H1141" s="1" t="s">
        <v>381</v>
      </c>
      <c r="I1141" s="61">
        <v>17</v>
      </c>
      <c r="J1141" s="61">
        <v>6.4</v>
      </c>
      <c r="K1141" s="61">
        <v>9</v>
      </c>
      <c r="L1141" s="69">
        <f t="shared" si="242"/>
        <v>1.0880000000000001</v>
      </c>
      <c r="M1141" s="69">
        <f t="shared" si="243"/>
        <v>1.53</v>
      </c>
      <c r="N1141" s="56">
        <f>INDEX(Rate_Chart!$A$1:$AK$127,MATCH(Data!J1141,Rate_Chart!$A$1:$A$127,0),MATCH(Data!K1141,Rate_Chart!$A$1:$AK$1,0))</f>
        <v>53.44</v>
      </c>
      <c r="O1141" s="57">
        <f t="shared" si="244"/>
        <v>908.48</v>
      </c>
      <c r="P1141" s="58">
        <f t="shared" si="245"/>
        <v>430.96774193548384</v>
      </c>
      <c r="Q1141" s="58">
        <f t="shared" si="246"/>
        <v>287.31182795698925</v>
      </c>
      <c r="R1141" s="66">
        <f t="shared" si="247"/>
        <v>15.898400000000002</v>
      </c>
      <c r="S1141" s="64">
        <f t="shared" si="248"/>
        <v>63.75</v>
      </c>
      <c r="T1141" s="66">
        <f t="shared" si="249"/>
        <v>988.12840000000006</v>
      </c>
      <c r="U1141" s="68">
        <f t="shared" si="250"/>
        <v>58.125200000000007</v>
      </c>
      <c r="V1141" s="68">
        <f t="shared" si="251"/>
        <v>468.75161290322586</v>
      </c>
      <c r="W1141" s="68">
        <f t="shared" si="252"/>
        <v>312.50107526881726</v>
      </c>
    </row>
    <row r="1142" spans="1:23" x14ac:dyDescent="0.25">
      <c r="A1142" s="1" t="s">
        <v>941</v>
      </c>
      <c r="B1142" s="61" t="s">
        <v>391</v>
      </c>
      <c r="C1142" s="1" t="s">
        <v>585</v>
      </c>
      <c r="D1142" s="1" t="s">
        <v>589</v>
      </c>
      <c r="E1142" s="1" t="s">
        <v>378</v>
      </c>
      <c r="F1142" s="62" t="str">
        <f t="shared" si="241"/>
        <v>64571</v>
      </c>
      <c r="G1142" s="269">
        <v>10620009</v>
      </c>
      <c r="H1142" s="1" t="s">
        <v>382</v>
      </c>
      <c r="I1142" s="61">
        <v>38</v>
      </c>
      <c r="J1142" s="61">
        <v>3.6</v>
      </c>
      <c r="K1142" s="61">
        <v>8.3000000000000007</v>
      </c>
      <c r="L1142" s="69">
        <f t="shared" si="242"/>
        <v>1.3680000000000001</v>
      </c>
      <c r="M1142" s="69">
        <f t="shared" si="243"/>
        <v>3.1540000000000004</v>
      </c>
      <c r="N1142" s="56">
        <f>INDEX(Rate_Chart!$A$1:$AK$127,MATCH(Data!J1142,Rate_Chart!$A$1:$A$127,0),MATCH(Data!K1142,Rate_Chart!$A$1:$AK$1,0))</f>
        <v>38.087153700000009</v>
      </c>
      <c r="O1142" s="57">
        <f t="shared" si="244"/>
        <v>1447.3118406000003</v>
      </c>
      <c r="P1142" s="58">
        <f t="shared" si="245"/>
        <v>417.01263175182481</v>
      </c>
      <c r="Q1142" s="58">
        <f t="shared" si="246"/>
        <v>278.00842116788323</v>
      </c>
      <c r="R1142" s="66">
        <f t="shared" si="247"/>
        <v>25.327957210500006</v>
      </c>
      <c r="S1142" s="64">
        <f t="shared" si="248"/>
        <v>142.5</v>
      </c>
      <c r="T1142" s="66">
        <f t="shared" si="249"/>
        <v>1615.1397978105003</v>
      </c>
      <c r="U1142" s="68">
        <f t="shared" si="250"/>
        <v>42.503678889750006</v>
      </c>
      <c r="V1142" s="68">
        <f t="shared" si="251"/>
        <v>465.36874696806569</v>
      </c>
      <c r="W1142" s="68">
        <f t="shared" si="252"/>
        <v>310.24583131204378</v>
      </c>
    </row>
    <row r="1143" spans="1:23" x14ac:dyDescent="0.25">
      <c r="A1143" s="1" t="s">
        <v>942</v>
      </c>
      <c r="B1143" s="61" t="s">
        <v>390</v>
      </c>
      <c r="C1143" s="1" t="s">
        <v>585</v>
      </c>
      <c r="D1143" s="1" t="s">
        <v>589</v>
      </c>
      <c r="E1143" s="1" t="s">
        <v>378</v>
      </c>
      <c r="F1143" s="62" t="str">
        <f t="shared" si="241"/>
        <v>64571</v>
      </c>
      <c r="G1143" s="269">
        <v>10620009</v>
      </c>
      <c r="H1143" s="1" t="s">
        <v>381</v>
      </c>
      <c r="I1143" s="61">
        <v>29</v>
      </c>
      <c r="J1143" s="61">
        <v>7.4</v>
      </c>
      <c r="K1143" s="61">
        <v>9</v>
      </c>
      <c r="L1143" s="69">
        <f t="shared" si="242"/>
        <v>2.1460000000000004</v>
      </c>
      <c r="M1143" s="69">
        <f t="shared" si="243"/>
        <v>2.61</v>
      </c>
      <c r="N1143" s="56">
        <f>INDEX(Rate_Chart!$A$1:$AK$127,MATCH(Data!J1143,Rate_Chart!$A$1:$A$127,0),MATCH(Data!K1143,Rate_Chart!$A$1:$AK$1,0))</f>
        <v>61.790000000000006</v>
      </c>
      <c r="O1143" s="57">
        <f t="shared" si="244"/>
        <v>1791.91</v>
      </c>
      <c r="P1143" s="58">
        <f t="shared" si="245"/>
        <v>461.11940298507466</v>
      </c>
      <c r="Q1143" s="58">
        <f t="shared" si="246"/>
        <v>307.41293532338312</v>
      </c>
      <c r="R1143" s="66">
        <f t="shared" si="247"/>
        <v>31.358425000000004</v>
      </c>
      <c r="S1143" s="64">
        <f t="shared" si="248"/>
        <v>108.75</v>
      </c>
      <c r="T1143" s="66">
        <f t="shared" si="249"/>
        <v>1932.0184250000002</v>
      </c>
      <c r="U1143" s="68">
        <f t="shared" si="250"/>
        <v>66.621325000000013</v>
      </c>
      <c r="V1143" s="68">
        <f t="shared" si="251"/>
        <v>497.17406716417918</v>
      </c>
      <c r="W1143" s="68">
        <f t="shared" si="252"/>
        <v>331.44937810945277</v>
      </c>
    </row>
    <row r="1144" spans="1:23" x14ac:dyDescent="0.25">
      <c r="A1144" s="1" t="s">
        <v>942</v>
      </c>
      <c r="B1144" s="61" t="s">
        <v>390</v>
      </c>
      <c r="C1144" s="1" t="s">
        <v>585</v>
      </c>
      <c r="D1144" s="1" t="s">
        <v>589</v>
      </c>
      <c r="E1144" s="1" t="s">
        <v>378</v>
      </c>
      <c r="F1144" s="62" t="str">
        <f t="shared" si="241"/>
        <v>64571</v>
      </c>
      <c r="G1144" s="269">
        <v>10620009</v>
      </c>
      <c r="H1144" s="1" t="s">
        <v>382</v>
      </c>
      <c r="I1144" s="61">
        <v>48</v>
      </c>
      <c r="J1144" s="61">
        <v>3.2</v>
      </c>
      <c r="K1144" s="61">
        <v>8</v>
      </c>
      <c r="L1144" s="69">
        <f t="shared" si="242"/>
        <v>1.5360000000000003</v>
      </c>
      <c r="M1144" s="69">
        <f t="shared" si="243"/>
        <v>3.84</v>
      </c>
      <c r="N1144" s="56">
        <f>INDEX(Rate_Chart!$A$1:$AK$127,MATCH(Data!J1144,Rate_Chart!$A$1:$A$127,0),MATCH(Data!K1144,Rate_Chart!$A$1:$AK$1,0))</f>
        <v>35.585112000000002</v>
      </c>
      <c r="O1144" s="57">
        <f t="shared" si="244"/>
        <v>1708.085376</v>
      </c>
      <c r="P1144" s="58">
        <f t="shared" si="245"/>
        <v>417.01303124999998</v>
      </c>
      <c r="Q1144" s="58">
        <f t="shared" si="246"/>
        <v>278.00868750000001</v>
      </c>
      <c r="R1144" s="66">
        <f t="shared" si="247"/>
        <v>29.891494080000001</v>
      </c>
      <c r="S1144" s="64">
        <f t="shared" si="248"/>
        <v>180</v>
      </c>
      <c r="T1144" s="66">
        <f t="shared" si="249"/>
        <v>1917.97687008</v>
      </c>
      <c r="U1144" s="68">
        <f t="shared" si="250"/>
        <v>39.957851460000001</v>
      </c>
      <c r="V1144" s="68">
        <f t="shared" si="251"/>
        <v>468.25607179687495</v>
      </c>
      <c r="W1144" s="68">
        <f t="shared" si="252"/>
        <v>312.17071453124998</v>
      </c>
    </row>
    <row r="1145" spans="1:23" x14ac:dyDescent="0.25">
      <c r="A1145" s="1" t="s">
        <v>942</v>
      </c>
      <c r="B1145" s="61" t="s">
        <v>391</v>
      </c>
      <c r="C1145" s="1" t="s">
        <v>585</v>
      </c>
      <c r="D1145" s="1" t="s">
        <v>589</v>
      </c>
      <c r="E1145" s="1" t="s">
        <v>378</v>
      </c>
      <c r="F1145" s="62" t="str">
        <f t="shared" si="241"/>
        <v>64571</v>
      </c>
      <c r="G1145" s="269">
        <v>10620009</v>
      </c>
      <c r="H1145" s="1" t="s">
        <v>381</v>
      </c>
      <c r="I1145" s="61">
        <v>15</v>
      </c>
      <c r="J1145" s="61">
        <v>6.1</v>
      </c>
      <c r="K1145" s="61">
        <v>9</v>
      </c>
      <c r="L1145" s="69">
        <f t="shared" si="242"/>
        <v>0.91500000000000004</v>
      </c>
      <c r="M1145" s="69">
        <f t="shared" si="243"/>
        <v>1.35</v>
      </c>
      <c r="N1145" s="56">
        <f>INDEX(Rate_Chart!$A$1:$AK$127,MATCH(Data!J1145,Rate_Chart!$A$1:$A$127,0),MATCH(Data!K1145,Rate_Chart!$A$1:$AK$1,0))</f>
        <v>50.935000000000002</v>
      </c>
      <c r="O1145" s="57">
        <f t="shared" si="244"/>
        <v>764.02500000000009</v>
      </c>
      <c r="P1145" s="58">
        <f t="shared" si="245"/>
        <v>420.95041322314052</v>
      </c>
      <c r="Q1145" s="58">
        <f t="shared" si="246"/>
        <v>280.63360881542701</v>
      </c>
      <c r="R1145" s="66">
        <f t="shared" si="247"/>
        <v>13.370437500000003</v>
      </c>
      <c r="S1145" s="64">
        <f t="shared" si="248"/>
        <v>56.25</v>
      </c>
      <c r="T1145" s="66">
        <f t="shared" si="249"/>
        <v>833.64543750000007</v>
      </c>
      <c r="U1145" s="68">
        <f t="shared" si="250"/>
        <v>55.576362500000002</v>
      </c>
      <c r="V1145" s="68">
        <f t="shared" si="251"/>
        <v>459.30878099173555</v>
      </c>
      <c r="W1145" s="68">
        <f t="shared" si="252"/>
        <v>306.20585399449038</v>
      </c>
    </row>
    <row r="1146" spans="1:23" x14ac:dyDescent="0.25">
      <c r="A1146" s="1" t="s">
        <v>942</v>
      </c>
      <c r="B1146" s="61" t="s">
        <v>391</v>
      </c>
      <c r="C1146" s="1" t="s">
        <v>585</v>
      </c>
      <c r="D1146" s="1" t="s">
        <v>589</v>
      </c>
      <c r="E1146" s="1" t="s">
        <v>378</v>
      </c>
      <c r="F1146" s="62" t="str">
        <f t="shared" si="241"/>
        <v>64571</v>
      </c>
      <c r="G1146" s="269">
        <v>10620009</v>
      </c>
      <c r="H1146" s="1" t="s">
        <v>382</v>
      </c>
      <c r="I1146" s="61">
        <v>25</v>
      </c>
      <c r="J1146" s="61">
        <v>3.2</v>
      </c>
      <c r="K1146" s="61">
        <v>8.5</v>
      </c>
      <c r="L1146" s="69">
        <f t="shared" si="242"/>
        <v>0.8</v>
      </c>
      <c r="M1146" s="69">
        <f t="shared" si="243"/>
        <v>2.125</v>
      </c>
      <c r="N1146" s="56">
        <f>INDEX(Rate_Chart!$A$1:$AK$127,MATCH(Data!J1146,Rate_Chart!$A$1:$A$127,0),MATCH(Data!K1146,Rate_Chart!$A$1:$AK$1,0))</f>
        <v>36.975181500000005</v>
      </c>
      <c r="O1146" s="57">
        <f t="shared" si="244"/>
        <v>924.37953750000008</v>
      </c>
      <c r="P1146" s="58">
        <f t="shared" si="245"/>
        <v>417.01332518796994</v>
      </c>
      <c r="Q1146" s="58">
        <f t="shared" si="246"/>
        <v>278.00888345864661</v>
      </c>
      <c r="R1146" s="66">
        <f t="shared" si="247"/>
        <v>16.176641906250001</v>
      </c>
      <c r="S1146" s="64">
        <f t="shared" si="248"/>
        <v>93.75</v>
      </c>
      <c r="T1146" s="66">
        <f t="shared" si="249"/>
        <v>1034.3061794062501</v>
      </c>
      <c r="U1146" s="68">
        <f t="shared" si="250"/>
        <v>41.372247176249999</v>
      </c>
      <c r="V1146" s="68">
        <f t="shared" si="251"/>
        <v>466.60429146146612</v>
      </c>
      <c r="W1146" s="68">
        <f t="shared" si="252"/>
        <v>311.06952764097741</v>
      </c>
    </row>
    <row r="1147" spans="1:23" x14ac:dyDescent="0.25">
      <c r="A1147" s="1" t="s">
        <v>943</v>
      </c>
      <c r="B1147" s="61" t="s">
        <v>390</v>
      </c>
      <c r="C1147" s="1" t="s">
        <v>585</v>
      </c>
      <c r="D1147" s="1" t="s">
        <v>589</v>
      </c>
      <c r="E1147" s="1" t="s">
        <v>378</v>
      </c>
      <c r="F1147" s="62" t="str">
        <f t="shared" si="241"/>
        <v>64571</v>
      </c>
      <c r="G1147" s="269">
        <v>10620009</v>
      </c>
      <c r="H1147" s="1" t="s">
        <v>381</v>
      </c>
      <c r="I1147" s="61">
        <v>32</v>
      </c>
      <c r="J1147" s="61">
        <v>8</v>
      </c>
      <c r="K1147" s="61">
        <v>9</v>
      </c>
      <c r="L1147" s="69">
        <f t="shared" si="242"/>
        <v>2.56</v>
      </c>
      <c r="M1147" s="69">
        <f t="shared" si="243"/>
        <v>2.88</v>
      </c>
      <c r="N1147" s="56">
        <f>INDEX(Rate_Chart!$A$1:$AK$127,MATCH(Data!J1147,Rate_Chart!$A$1:$A$127,0),MATCH(Data!K1147,Rate_Chart!$A$1:$AK$1,0))</f>
        <v>66.8</v>
      </c>
      <c r="O1147" s="57">
        <f t="shared" si="244"/>
        <v>2137.6</v>
      </c>
      <c r="P1147" s="58">
        <f t="shared" si="245"/>
        <v>477.14285714285705</v>
      </c>
      <c r="Q1147" s="58">
        <f t="shared" si="246"/>
        <v>318.09523809523802</v>
      </c>
      <c r="R1147" s="66">
        <f t="shared" si="247"/>
        <v>37.408000000000001</v>
      </c>
      <c r="S1147" s="64">
        <f t="shared" si="248"/>
        <v>120</v>
      </c>
      <c r="T1147" s="66">
        <f t="shared" si="249"/>
        <v>2295.0079999999998</v>
      </c>
      <c r="U1147" s="68">
        <f t="shared" si="250"/>
        <v>71.718999999999994</v>
      </c>
      <c r="V1147" s="68">
        <f t="shared" si="251"/>
        <v>512.27857142857135</v>
      </c>
      <c r="W1147" s="68">
        <f t="shared" si="252"/>
        <v>341.51904761904757</v>
      </c>
    </row>
    <row r="1148" spans="1:23" x14ac:dyDescent="0.25">
      <c r="A1148" s="1" t="s">
        <v>943</v>
      </c>
      <c r="B1148" s="61" t="s">
        <v>390</v>
      </c>
      <c r="C1148" s="1" t="s">
        <v>585</v>
      </c>
      <c r="D1148" s="1" t="s">
        <v>589</v>
      </c>
      <c r="E1148" s="1" t="s">
        <v>378</v>
      </c>
      <c r="F1148" s="62" t="str">
        <f t="shared" si="241"/>
        <v>64571</v>
      </c>
      <c r="G1148" s="269">
        <v>10620009</v>
      </c>
      <c r="H1148" s="1" t="s">
        <v>382</v>
      </c>
      <c r="I1148" s="61">
        <v>45</v>
      </c>
      <c r="J1148" s="61">
        <v>3</v>
      </c>
      <c r="K1148" s="61">
        <v>8</v>
      </c>
      <c r="L1148" s="69">
        <f t="shared" si="242"/>
        <v>1.35</v>
      </c>
      <c r="M1148" s="69">
        <f t="shared" si="243"/>
        <v>3.6</v>
      </c>
      <c r="N1148" s="56">
        <f>INDEX(Rate_Chart!$A$1:$AK$127,MATCH(Data!J1148,Rate_Chart!$A$1:$A$127,0),MATCH(Data!K1148,Rate_Chart!$A$1:$AK$1,0))</f>
        <v>34.751112000000006</v>
      </c>
      <c r="O1148" s="57">
        <f t="shared" si="244"/>
        <v>1563.8000400000003</v>
      </c>
      <c r="P1148" s="58">
        <f t="shared" si="245"/>
        <v>417.01334400000002</v>
      </c>
      <c r="Q1148" s="58">
        <f t="shared" si="246"/>
        <v>278.00889599999999</v>
      </c>
      <c r="R1148" s="66">
        <f t="shared" si="247"/>
        <v>27.366500700000007</v>
      </c>
      <c r="S1148" s="64">
        <f t="shared" si="248"/>
        <v>168.75</v>
      </c>
      <c r="T1148" s="66">
        <f t="shared" si="249"/>
        <v>1759.9165407000003</v>
      </c>
      <c r="U1148" s="68">
        <f t="shared" si="250"/>
        <v>39.109256460000005</v>
      </c>
      <c r="V1148" s="68">
        <f t="shared" si="251"/>
        <v>469.31107752000003</v>
      </c>
      <c r="W1148" s="68">
        <f t="shared" si="252"/>
        <v>312.87405168000004</v>
      </c>
    </row>
    <row r="1149" spans="1:23" x14ac:dyDescent="0.25">
      <c r="A1149" s="1" t="s">
        <v>943</v>
      </c>
      <c r="B1149" s="61" t="s">
        <v>391</v>
      </c>
      <c r="C1149" s="1" t="s">
        <v>585</v>
      </c>
      <c r="D1149" s="1" t="s">
        <v>589</v>
      </c>
      <c r="E1149" s="1" t="s">
        <v>378</v>
      </c>
      <c r="F1149" s="62" t="str">
        <f t="shared" si="241"/>
        <v>64571</v>
      </c>
      <c r="G1149" s="269">
        <v>10620009</v>
      </c>
      <c r="H1149" s="1" t="s">
        <v>381</v>
      </c>
      <c r="I1149" s="61">
        <v>15</v>
      </c>
      <c r="J1149" s="61">
        <v>6.3</v>
      </c>
      <c r="K1149" s="61">
        <v>9</v>
      </c>
      <c r="L1149" s="69">
        <f t="shared" si="242"/>
        <v>0.94499999999999995</v>
      </c>
      <c r="M1149" s="69">
        <f t="shared" si="243"/>
        <v>1.35</v>
      </c>
      <c r="N1149" s="56">
        <f>INDEX(Rate_Chart!$A$1:$AK$127,MATCH(Data!J1149,Rate_Chart!$A$1:$A$127,0),MATCH(Data!K1149,Rate_Chart!$A$1:$AK$1,0))</f>
        <v>52.604999999999997</v>
      </c>
      <c r="O1149" s="57">
        <f t="shared" si="244"/>
        <v>789.07499999999993</v>
      </c>
      <c r="P1149" s="58">
        <f t="shared" si="245"/>
        <v>427.6829268292683</v>
      </c>
      <c r="Q1149" s="58">
        <f t="shared" si="246"/>
        <v>285.1219512195122</v>
      </c>
      <c r="R1149" s="66">
        <f t="shared" si="247"/>
        <v>13.8088125</v>
      </c>
      <c r="S1149" s="64">
        <f t="shared" si="248"/>
        <v>56.25</v>
      </c>
      <c r="T1149" s="66">
        <f t="shared" si="249"/>
        <v>859.13381249999998</v>
      </c>
      <c r="U1149" s="68">
        <f t="shared" si="250"/>
        <v>57.2755875</v>
      </c>
      <c r="V1149" s="68">
        <f t="shared" si="251"/>
        <v>465.6551829268293</v>
      </c>
      <c r="W1149" s="68">
        <f t="shared" si="252"/>
        <v>310.43678861788618</v>
      </c>
    </row>
    <row r="1150" spans="1:23" x14ac:dyDescent="0.25">
      <c r="A1150" s="1" t="s">
        <v>943</v>
      </c>
      <c r="B1150" s="61" t="s">
        <v>391</v>
      </c>
      <c r="C1150" s="1" t="s">
        <v>585</v>
      </c>
      <c r="D1150" s="1" t="s">
        <v>589</v>
      </c>
      <c r="E1150" s="1" t="s">
        <v>378</v>
      </c>
      <c r="F1150" s="62" t="str">
        <f t="shared" si="241"/>
        <v>64571</v>
      </c>
      <c r="G1150" s="269">
        <v>10620009</v>
      </c>
      <c r="H1150" s="1" t="s">
        <v>382</v>
      </c>
      <c r="I1150" s="61">
        <v>25</v>
      </c>
      <c r="J1150" s="61">
        <v>3.5</v>
      </c>
      <c r="K1150" s="61">
        <v>8</v>
      </c>
      <c r="L1150" s="69">
        <f t="shared" si="242"/>
        <v>0.875</v>
      </c>
      <c r="M1150" s="69">
        <f t="shared" si="243"/>
        <v>2</v>
      </c>
      <c r="N1150" s="56">
        <f>INDEX(Rate_Chart!$A$1:$AK$127,MATCH(Data!J1150,Rate_Chart!$A$1:$A$127,0),MATCH(Data!K1150,Rate_Chart!$A$1:$AK$1,0))</f>
        <v>36.836112000000007</v>
      </c>
      <c r="O1150" s="57">
        <f t="shared" si="244"/>
        <v>920.90280000000018</v>
      </c>
      <c r="P1150" s="58">
        <f t="shared" si="245"/>
        <v>417.01258867924531</v>
      </c>
      <c r="Q1150" s="58">
        <f t="shared" si="246"/>
        <v>278.00839245283021</v>
      </c>
      <c r="R1150" s="66">
        <f t="shared" si="247"/>
        <v>16.115799000000006</v>
      </c>
      <c r="S1150" s="64">
        <f t="shared" si="248"/>
        <v>93.75</v>
      </c>
      <c r="T1150" s="66">
        <f t="shared" si="249"/>
        <v>1030.7685990000002</v>
      </c>
      <c r="U1150" s="68">
        <f t="shared" si="250"/>
        <v>41.230743960000012</v>
      </c>
      <c r="V1150" s="68">
        <f t="shared" si="251"/>
        <v>466.76313916981138</v>
      </c>
      <c r="W1150" s="68">
        <f t="shared" si="252"/>
        <v>311.17542611320761</v>
      </c>
    </row>
    <row r="1151" spans="1:23" x14ac:dyDescent="0.25">
      <c r="A1151" s="1" t="s">
        <v>944</v>
      </c>
      <c r="B1151" s="61" t="s">
        <v>390</v>
      </c>
      <c r="C1151" s="1" t="s">
        <v>585</v>
      </c>
      <c r="D1151" s="1" t="s">
        <v>589</v>
      </c>
      <c r="E1151" s="1" t="s">
        <v>378</v>
      </c>
      <c r="F1151" s="62" t="str">
        <f t="shared" si="241"/>
        <v>64571</v>
      </c>
      <c r="G1151" s="269">
        <v>10620009</v>
      </c>
      <c r="H1151" s="1" t="s">
        <v>381</v>
      </c>
      <c r="I1151" s="61">
        <v>33</v>
      </c>
      <c r="J1151" s="61">
        <v>7.5</v>
      </c>
      <c r="K1151" s="61">
        <v>9</v>
      </c>
      <c r="L1151" s="69">
        <f t="shared" si="242"/>
        <v>2.4750000000000001</v>
      </c>
      <c r="M1151" s="69">
        <f t="shared" si="243"/>
        <v>2.97</v>
      </c>
      <c r="N1151" s="56">
        <f>INDEX(Rate_Chart!$A$1:$AK$127,MATCH(Data!J1151,Rate_Chart!$A$1:$A$127,0),MATCH(Data!K1151,Rate_Chart!$A$1:$AK$1,0))</f>
        <v>62.625</v>
      </c>
      <c r="O1151" s="57">
        <f t="shared" si="244"/>
        <v>2066.625</v>
      </c>
      <c r="P1151" s="58">
        <f t="shared" si="245"/>
        <v>463.88888888888886</v>
      </c>
      <c r="Q1151" s="58">
        <f t="shared" si="246"/>
        <v>309.25925925925924</v>
      </c>
      <c r="R1151" s="66">
        <f t="shared" si="247"/>
        <v>36.165937500000005</v>
      </c>
      <c r="S1151" s="64">
        <f t="shared" si="248"/>
        <v>123.75</v>
      </c>
      <c r="T1151" s="66">
        <f t="shared" si="249"/>
        <v>2226.5409374999999</v>
      </c>
      <c r="U1151" s="68">
        <f t="shared" si="250"/>
        <v>67.470937499999991</v>
      </c>
      <c r="V1151" s="68">
        <f t="shared" si="251"/>
        <v>499.78472222222211</v>
      </c>
      <c r="W1151" s="68">
        <f t="shared" si="252"/>
        <v>333.18981481481472</v>
      </c>
    </row>
    <row r="1152" spans="1:23" x14ac:dyDescent="0.25">
      <c r="A1152" s="1" t="s">
        <v>944</v>
      </c>
      <c r="B1152" s="61" t="s">
        <v>390</v>
      </c>
      <c r="C1152" s="1" t="s">
        <v>585</v>
      </c>
      <c r="D1152" s="1" t="s">
        <v>589</v>
      </c>
      <c r="E1152" s="1" t="s">
        <v>378</v>
      </c>
      <c r="F1152" s="62" t="str">
        <f t="shared" si="241"/>
        <v>64571</v>
      </c>
      <c r="G1152" s="269">
        <v>10620009</v>
      </c>
      <c r="H1152" s="1" t="s">
        <v>382</v>
      </c>
      <c r="I1152" s="61">
        <v>46</v>
      </c>
      <c r="J1152" s="61">
        <v>3.6</v>
      </c>
      <c r="K1152" s="61">
        <v>8.1999999999999993</v>
      </c>
      <c r="L1152" s="69">
        <f t="shared" si="242"/>
        <v>1.6559999999999999</v>
      </c>
      <c r="M1152" s="69">
        <f t="shared" si="243"/>
        <v>3.7719999999999998</v>
      </c>
      <c r="N1152" s="56">
        <f>INDEX(Rate_Chart!$A$1:$AK$127,MATCH(Data!J1152,Rate_Chart!$A$1:$A$127,0),MATCH(Data!K1152,Rate_Chart!$A$1:$AK$1,0))</f>
        <v>37.809139800000004</v>
      </c>
      <c r="O1152" s="57">
        <f t="shared" si="244"/>
        <v>1739.2204308000003</v>
      </c>
      <c r="P1152" s="58">
        <f t="shared" si="245"/>
        <v>417.01257132352941</v>
      </c>
      <c r="Q1152" s="58">
        <f t="shared" si="246"/>
        <v>278.00838088235292</v>
      </c>
      <c r="R1152" s="66">
        <f t="shared" si="247"/>
        <v>30.436357539000007</v>
      </c>
      <c r="S1152" s="64">
        <f t="shared" si="248"/>
        <v>172.5</v>
      </c>
      <c r="T1152" s="66">
        <f t="shared" si="249"/>
        <v>1942.1567883390003</v>
      </c>
      <c r="U1152" s="68">
        <f t="shared" si="250"/>
        <v>42.220799746500006</v>
      </c>
      <c r="V1152" s="68">
        <f t="shared" si="251"/>
        <v>465.67058543933825</v>
      </c>
      <c r="W1152" s="68">
        <f t="shared" si="252"/>
        <v>310.44705695955884</v>
      </c>
    </row>
    <row r="1153" spans="1:23" x14ac:dyDescent="0.25">
      <c r="A1153" s="1" t="s">
        <v>944</v>
      </c>
      <c r="B1153" s="61" t="s">
        <v>391</v>
      </c>
      <c r="C1153" s="1" t="s">
        <v>585</v>
      </c>
      <c r="D1153" s="1" t="s">
        <v>589</v>
      </c>
      <c r="E1153" s="1" t="s">
        <v>378</v>
      </c>
      <c r="F1153" s="62" t="str">
        <f t="shared" si="241"/>
        <v>64571</v>
      </c>
      <c r="G1153" s="269">
        <v>10620009</v>
      </c>
      <c r="H1153" s="1" t="s">
        <v>381</v>
      </c>
      <c r="I1153" s="61">
        <v>12</v>
      </c>
      <c r="J1153" s="61">
        <v>6.2</v>
      </c>
      <c r="K1153" s="61">
        <v>9</v>
      </c>
      <c r="L1153" s="69">
        <f t="shared" si="242"/>
        <v>0.74400000000000011</v>
      </c>
      <c r="M1153" s="69">
        <f t="shared" si="243"/>
        <v>1.08</v>
      </c>
      <c r="N1153" s="56">
        <f>INDEX(Rate_Chart!$A$1:$AK$127,MATCH(Data!J1153,Rate_Chart!$A$1:$A$127,0),MATCH(Data!K1153,Rate_Chart!$A$1:$AK$1,0))</f>
        <v>51.77</v>
      </c>
      <c r="O1153" s="57">
        <f t="shared" si="244"/>
        <v>621.24</v>
      </c>
      <c r="P1153" s="58">
        <f t="shared" si="245"/>
        <v>424.34426229508199</v>
      </c>
      <c r="Q1153" s="58">
        <f t="shared" si="246"/>
        <v>282.89617486338801</v>
      </c>
      <c r="R1153" s="66">
        <f t="shared" si="247"/>
        <v>10.871700000000001</v>
      </c>
      <c r="S1153" s="64">
        <f t="shared" si="248"/>
        <v>45</v>
      </c>
      <c r="T1153" s="66">
        <f t="shared" si="249"/>
        <v>677.11170000000004</v>
      </c>
      <c r="U1153" s="68">
        <f t="shared" si="250"/>
        <v>56.425975000000001</v>
      </c>
      <c r="V1153" s="68">
        <f t="shared" si="251"/>
        <v>462.50799180327868</v>
      </c>
      <c r="W1153" s="68">
        <f t="shared" si="252"/>
        <v>308.33866120218579</v>
      </c>
    </row>
    <row r="1154" spans="1:23" x14ac:dyDescent="0.25">
      <c r="A1154" s="1" t="s">
        <v>944</v>
      </c>
      <c r="B1154" s="61" t="s">
        <v>391</v>
      </c>
      <c r="C1154" s="1" t="s">
        <v>585</v>
      </c>
      <c r="D1154" s="1" t="s">
        <v>589</v>
      </c>
      <c r="E1154" s="1" t="s">
        <v>378</v>
      </c>
      <c r="F1154" s="62" t="str">
        <f t="shared" si="241"/>
        <v>64571</v>
      </c>
      <c r="G1154" s="269">
        <v>10620009</v>
      </c>
      <c r="H1154" s="1" t="s">
        <v>382</v>
      </c>
      <c r="I1154" s="61">
        <v>19</v>
      </c>
      <c r="J1154" s="61">
        <v>3.7</v>
      </c>
      <c r="K1154" s="61">
        <v>8.3000000000000007</v>
      </c>
      <c r="L1154" s="69">
        <f t="shared" si="242"/>
        <v>0.70299999999999996</v>
      </c>
      <c r="M1154" s="69">
        <f t="shared" si="243"/>
        <v>1.5770000000000002</v>
      </c>
      <c r="N1154" s="56">
        <f>INDEX(Rate_Chart!$A$1:$AK$127,MATCH(Data!J1154,Rate_Chart!$A$1:$A$127,0),MATCH(Data!K1154,Rate_Chart!$A$1:$AK$1,0))</f>
        <v>38.504153700000003</v>
      </c>
      <c r="O1154" s="57">
        <f t="shared" si="244"/>
        <v>731.57892030000005</v>
      </c>
      <c r="P1154" s="58">
        <f t="shared" si="245"/>
        <v>417.01249494584835</v>
      </c>
      <c r="Q1154" s="58">
        <f t="shared" si="246"/>
        <v>278.00832996389892</v>
      </c>
      <c r="R1154" s="66">
        <f t="shared" si="247"/>
        <v>12.802631105250002</v>
      </c>
      <c r="S1154" s="64">
        <f t="shared" si="248"/>
        <v>71.25</v>
      </c>
      <c r="T1154" s="66">
        <f t="shared" si="249"/>
        <v>815.63155140525009</v>
      </c>
      <c r="U1154" s="68">
        <f t="shared" si="250"/>
        <v>42.927976389750008</v>
      </c>
      <c r="V1154" s="68">
        <f t="shared" si="251"/>
        <v>464.92393201895305</v>
      </c>
      <c r="W1154" s="68">
        <f t="shared" si="252"/>
        <v>309.94928801263535</v>
      </c>
    </row>
    <row r="1155" spans="1:23" x14ac:dyDescent="0.25">
      <c r="A1155" s="1" t="s">
        <v>945</v>
      </c>
      <c r="B1155" s="61" t="s">
        <v>390</v>
      </c>
      <c r="C1155" s="1" t="s">
        <v>585</v>
      </c>
      <c r="D1155" s="1" t="s">
        <v>589</v>
      </c>
      <c r="E1155" s="1" t="s">
        <v>378</v>
      </c>
      <c r="F1155" s="62" t="str">
        <f t="shared" si="241"/>
        <v>64571</v>
      </c>
      <c r="G1155" s="269">
        <v>10620009</v>
      </c>
      <c r="H1155" s="1" t="s">
        <v>381</v>
      </c>
      <c r="I1155" s="61">
        <v>32</v>
      </c>
      <c r="J1155" s="61">
        <v>7.5</v>
      </c>
      <c r="K1155" s="61">
        <v>9</v>
      </c>
      <c r="L1155" s="69">
        <f t="shared" si="242"/>
        <v>2.4</v>
      </c>
      <c r="M1155" s="69">
        <f t="shared" si="243"/>
        <v>2.88</v>
      </c>
      <c r="N1155" s="56">
        <f>INDEX(Rate_Chart!$A$1:$AK$127,MATCH(Data!J1155,Rate_Chart!$A$1:$A$127,0),MATCH(Data!K1155,Rate_Chart!$A$1:$AK$1,0))</f>
        <v>62.625</v>
      </c>
      <c r="O1155" s="57">
        <f t="shared" si="244"/>
        <v>2004</v>
      </c>
      <c r="P1155" s="58">
        <f t="shared" si="245"/>
        <v>463.88888888888886</v>
      </c>
      <c r="Q1155" s="58">
        <f t="shared" si="246"/>
        <v>309.25925925925924</v>
      </c>
      <c r="R1155" s="66">
        <f t="shared" si="247"/>
        <v>35.07</v>
      </c>
      <c r="S1155" s="64">
        <f t="shared" si="248"/>
        <v>120</v>
      </c>
      <c r="T1155" s="66">
        <f t="shared" si="249"/>
        <v>2159.0700000000002</v>
      </c>
      <c r="U1155" s="68">
        <f t="shared" si="250"/>
        <v>67.470937500000005</v>
      </c>
      <c r="V1155" s="68">
        <f t="shared" si="251"/>
        <v>499.78472222222223</v>
      </c>
      <c r="W1155" s="68">
        <f t="shared" si="252"/>
        <v>333.18981481481484</v>
      </c>
    </row>
    <row r="1156" spans="1:23" x14ac:dyDescent="0.25">
      <c r="A1156" s="1" t="s">
        <v>945</v>
      </c>
      <c r="B1156" s="61" t="s">
        <v>390</v>
      </c>
      <c r="C1156" s="1" t="s">
        <v>585</v>
      </c>
      <c r="D1156" s="1" t="s">
        <v>589</v>
      </c>
      <c r="E1156" s="1" t="s">
        <v>378</v>
      </c>
      <c r="F1156" s="62" t="str">
        <f t="shared" si="241"/>
        <v>64571</v>
      </c>
      <c r="G1156" s="269">
        <v>10620009</v>
      </c>
      <c r="H1156" s="1" t="s">
        <v>382</v>
      </c>
      <c r="I1156" s="61">
        <v>46</v>
      </c>
      <c r="J1156" s="61">
        <v>4.0999999999999996</v>
      </c>
      <c r="K1156" s="61">
        <v>8.1999999999999993</v>
      </c>
      <c r="L1156" s="69">
        <f t="shared" si="242"/>
        <v>1.8859999999999999</v>
      </c>
      <c r="M1156" s="69">
        <f t="shared" si="243"/>
        <v>3.7719999999999998</v>
      </c>
      <c r="N1156" s="56">
        <f>INDEX(Rate_Chart!$A$1:$AK$127,MATCH(Data!J1156,Rate_Chart!$A$1:$A$127,0),MATCH(Data!K1156,Rate_Chart!$A$1:$AK$1,0))</f>
        <v>39.894139799999998</v>
      </c>
      <c r="O1156" s="57">
        <f t="shared" si="244"/>
        <v>1835.1304307999999</v>
      </c>
      <c r="P1156" s="58">
        <f t="shared" si="245"/>
        <v>417.01191428571434</v>
      </c>
      <c r="Q1156" s="58">
        <f t="shared" si="246"/>
        <v>278.00794285714289</v>
      </c>
      <c r="R1156" s="66">
        <f t="shared" si="247"/>
        <v>32.114782539000004</v>
      </c>
      <c r="S1156" s="64">
        <f t="shared" si="248"/>
        <v>172.5</v>
      </c>
      <c r="T1156" s="66">
        <f t="shared" si="249"/>
        <v>2039.745213339</v>
      </c>
      <c r="U1156" s="68">
        <f t="shared" si="250"/>
        <v>44.3422872465</v>
      </c>
      <c r="V1156" s="68">
        <f t="shared" si="251"/>
        <v>463.50822905749135</v>
      </c>
      <c r="W1156" s="68">
        <f t="shared" si="252"/>
        <v>309.00548603832755</v>
      </c>
    </row>
    <row r="1157" spans="1:23" x14ac:dyDescent="0.25">
      <c r="A1157" s="1" t="s">
        <v>945</v>
      </c>
      <c r="B1157" s="61" t="s">
        <v>391</v>
      </c>
      <c r="C1157" s="1" t="s">
        <v>585</v>
      </c>
      <c r="D1157" s="1" t="s">
        <v>589</v>
      </c>
      <c r="E1157" s="1" t="s">
        <v>378</v>
      </c>
      <c r="F1157" s="62" t="str">
        <f t="shared" ref="F1157:F1220" si="253">MID(E1157,2,5)</f>
        <v>64571</v>
      </c>
      <c r="G1157" s="269">
        <v>10620009</v>
      </c>
      <c r="H1157" s="1" t="s">
        <v>381</v>
      </c>
      <c r="I1157" s="61">
        <v>22</v>
      </c>
      <c r="J1157" s="61">
        <v>7.3</v>
      </c>
      <c r="K1157" s="61">
        <v>9</v>
      </c>
      <c r="L1157" s="69">
        <f t="shared" si="242"/>
        <v>1.6059999999999999</v>
      </c>
      <c r="M1157" s="69">
        <f t="shared" si="243"/>
        <v>1.98</v>
      </c>
      <c r="N1157" s="56">
        <f>INDEX(Rate_Chart!$A$1:$AK$127,MATCH(Data!J1157,Rate_Chart!$A$1:$A$127,0),MATCH(Data!K1157,Rate_Chart!$A$1:$AK$1,0))</f>
        <v>60.954999999999998</v>
      </c>
      <c r="O1157" s="57">
        <f t="shared" si="244"/>
        <v>1341.01</v>
      </c>
      <c r="P1157" s="58">
        <f t="shared" si="245"/>
        <v>458.30827067669168</v>
      </c>
      <c r="Q1157" s="58">
        <f t="shared" si="246"/>
        <v>305.53884711779443</v>
      </c>
      <c r="R1157" s="66">
        <f t="shared" si="247"/>
        <v>23.467675000000003</v>
      </c>
      <c r="S1157" s="64">
        <f t="shared" si="248"/>
        <v>82.5</v>
      </c>
      <c r="T1157" s="66">
        <f t="shared" si="249"/>
        <v>1446.9776750000001</v>
      </c>
      <c r="U1157" s="68">
        <f t="shared" si="250"/>
        <v>65.771712500000007</v>
      </c>
      <c r="V1157" s="68">
        <f t="shared" si="251"/>
        <v>494.52415413533839</v>
      </c>
      <c r="W1157" s="68">
        <f t="shared" si="252"/>
        <v>329.68276942355891</v>
      </c>
    </row>
    <row r="1158" spans="1:23" x14ac:dyDescent="0.25">
      <c r="A1158" s="1" t="s">
        <v>945</v>
      </c>
      <c r="B1158" s="61" t="s">
        <v>391</v>
      </c>
      <c r="C1158" s="1" t="s">
        <v>585</v>
      </c>
      <c r="D1158" s="1" t="s">
        <v>589</v>
      </c>
      <c r="E1158" s="1" t="s">
        <v>378</v>
      </c>
      <c r="F1158" s="62" t="str">
        <f t="shared" si="253"/>
        <v>64571</v>
      </c>
      <c r="G1158" s="269">
        <v>10620009</v>
      </c>
      <c r="H1158" s="1" t="s">
        <v>382</v>
      </c>
      <c r="I1158" s="61">
        <v>27</v>
      </c>
      <c r="J1158" s="61">
        <v>3.7</v>
      </c>
      <c r="K1158" s="61">
        <v>8.1</v>
      </c>
      <c r="L1158" s="69">
        <f t="shared" si="242"/>
        <v>0.99900000000000011</v>
      </c>
      <c r="M1158" s="69">
        <f t="shared" si="243"/>
        <v>2.1869999999999998</v>
      </c>
      <c r="N1158" s="56">
        <f>INDEX(Rate_Chart!$A$1:$AK$127,MATCH(Data!J1158,Rate_Chart!$A$1:$A$127,0),MATCH(Data!K1158,Rate_Chart!$A$1:$AK$1,0))</f>
        <v>37.948125900000008</v>
      </c>
      <c r="O1158" s="57">
        <f t="shared" si="244"/>
        <v>1024.5993993000002</v>
      </c>
      <c r="P1158" s="58">
        <f t="shared" si="245"/>
        <v>417.01237252747262</v>
      </c>
      <c r="Q1158" s="58">
        <f t="shared" si="246"/>
        <v>278.00824835164843</v>
      </c>
      <c r="R1158" s="66">
        <f t="shared" si="247"/>
        <v>17.930489487750005</v>
      </c>
      <c r="S1158" s="64">
        <f t="shared" si="248"/>
        <v>101.25</v>
      </c>
      <c r="T1158" s="66">
        <f t="shared" si="249"/>
        <v>1143.7798887877502</v>
      </c>
      <c r="U1158" s="68">
        <f t="shared" si="250"/>
        <v>42.362218103250008</v>
      </c>
      <c r="V1158" s="68">
        <f t="shared" si="251"/>
        <v>465.51888025549459</v>
      </c>
      <c r="W1158" s="68">
        <f t="shared" si="252"/>
        <v>310.34592017032975</v>
      </c>
    </row>
    <row r="1159" spans="1:23" x14ac:dyDescent="0.25">
      <c r="A1159" s="1" t="s">
        <v>946</v>
      </c>
      <c r="B1159" s="61" t="s">
        <v>390</v>
      </c>
      <c r="C1159" s="1" t="s">
        <v>585</v>
      </c>
      <c r="D1159" s="1" t="s">
        <v>589</v>
      </c>
      <c r="E1159" s="1" t="s">
        <v>378</v>
      </c>
      <c r="F1159" s="62" t="str">
        <f t="shared" si="253"/>
        <v>64571</v>
      </c>
      <c r="G1159" s="269">
        <v>10620009</v>
      </c>
      <c r="H1159" s="1" t="s">
        <v>381</v>
      </c>
      <c r="I1159" s="61">
        <v>32</v>
      </c>
      <c r="J1159" s="61">
        <v>7.4</v>
      </c>
      <c r="K1159" s="61">
        <v>9</v>
      </c>
      <c r="L1159" s="69">
        <f t="shared" si="242"/>
        <v>2.3680000000000003</v>
      </c>
      <c r="M1159" s="69">
        <f t="shared" si="243"/>
        <v>2.88</v>
      </c>
      <c r="N1159" s="56">
        <f>INDEX(Rate_Chart!$A$1:$AK$127,MATCH(Data!J1159,Rate_Chart!$A$1:$A$127,0),MATCH(Data!K1159,Rate_Chart!$A$1:$AK$1,0))</f>
        <v>61.790000000000006</v>
      </c>
      <c r="O1159" s="57">
        <f t="shared" si="244"/>
        <v>1977.2800000000002</v>
      </c>
      <c r="P1159" s="58">
        <f t="shared" si="245"/>
        <v>461.11940298507466</v>
      </c>
      <c r="Q1159" s="58">
        <f t="shared" si="246"/>
        <v>307.41293532338312</v>
      </c>
      <c r="R1159" s="66">
        <f t="shared" si="247"/>
        <v>34.60240000000001</v>
      </c>
      <c r="S1159" s="64">
        <f t="shared" si="248"/>
        <v>120</v>
      </c>
      <c r="T1159" s="66">
        <f t="shared" si="249"/>
        <v>2131.8824000000004</v>
      </c>
      <c r="U1159" s="68">
        <f t="shared" si="250"/>
        <v>66.621325000000013</v>
      </c>
      <c r="V1159" s="68">
        <f t="shared" si="251"/>
        <v>497.17406716417918</v>
      </c>
      <c r="W1159" s="68">
        <f t="shared" si="252"/>
        <v>331.44937810945277</v>
      </c>
    </row>
    <row r="1160" spans="1:23" x14ac:dyDescent="0.25">
      <c r="A1160" s="1" t="s">
        <v>946</v>
      </c>
      <c r="B1160" s="61" t="s">
        <v>390</v>
      </c>
      <c r="C1160" s="1" t="s">
        <v>585</v>
      </c>
      <c r="D1160" s="1" t="s">
        <v>589</v>
      </c>
      <c r="E1160" s="1" t="s">
        <v>378</v>
      </c>
      <c r="F1160" s="62" t="str">
        <f t="shared" si="253"/>
        <v>64571</v>
      </c>
      <c r="G1160" s="269">
        <v>10620009</v>
      </c>
      <c r="H1160" s="1" t="s">
        <v>382</v>
      </c>
      <c r="I1160" s="61">
        <v>53</v>
      </c>
      <c r="J1160" s="61">
        <v>3.1</v>
      </c>
      <c r="K1160" s="61">
        <v>8.1</v>
      </c>
      <c r="L1160" s="69">
        <f t="shared" si="242"/>
        <v>1.643</v>
      </c>
      <c r="M1160" s="69">
        <f t="shared" si="243"/>
        <v>4.2929999999999993</v>
      </c>
      <c r="N1160" s="56">
        <f>INDEX(Rate_Chart!$A$1:$AK$127,MATCH(Data!J1160,Rate_Chart!$A$1:$A$127,0),MATCH(Data!K1160,Rate_Chart!$A$1:$AK$1,0))</f>
        <v>35.446125899999998</v>
      </c>
      <c r="O1160" s="57">
        <f t="shared" si="244"/>
        <v>1878.6446727</v>
      </c>
      <c r="P1160" s="58">
        <f t="shared" si="245"/>
        <v>417.01324588235298</v>
      </c>
      <c r="Q1160" s="58">
        <f t="shared" si="246"/>
        <v>278.0088305882353</v>
      </c>
      <c r="R1160" s="66">
        <f t="shared" si="247"/>
        <v>32.876281772250003</v>
      </c>
      <c r="S1160" s="64">
        <f t="shared" si="248"/>
        <v>198.75</v>
      </c>
      <c r="T1160" s="66">
        <f t="shared" si="249"/>
        <v>2110.2709544722502</v>
      </c>
      <c r="U1160" s="68">
        <f t="shared" si="250"/>
        <v>39.816433103250006</v>
      </c>
      <c r="V1160" s="68">
        <f t="shared" si="251"/>
        <v>468.42862474411777</v>
      </c>
      <c r="W1160" s="68">
        <f t="shared" si="252"/>
        <v>312.28574982941183</v>
      </c>
    </row>
    <row r="1161" spans="1:23" x14ac:dyDescent="0.25">
      <c r="A1161" s="1" t="s">
        <v>946</v>
      </c>
      <c r="B1161" s="61" t="s">
        <v>391</v>
      </c>
      <c r="C1161" s="1" t="s">
        <v>585</v>
      </c>
      <c r="D1161" s="1" t="s">
        <v>589</v>
      </c>
      <c r="E1161" s="1" t="s">
        <v>378</v>
      </c>
      <c r="F1161" s="62" t="str">
        <f t="shared" si="253"/>
        <v>64571</v>
      </c>
      <c r="G1161" s="269">
        <v>10620009</v>
      </c>
      <c r="H1161" s="1" t="s">
        <v>381</v>
      </c>
      <c r="I1161" s="61">
        <v>13</v>
      </c>
      <c r="J1161" s="61">
        <v>6.8</v>
      </c>
      <c r="K1161" s="61">
        <v>9</v>
      </c>
      <c r="L1161" s="69">
        <f t="shared" si="242"/>
        <v>0.8839999999999999</v>
      </c>
      <c r="M1161" s="69">
        <f t="shared" si="243"/>
        <v>1.17</v>
      </c>
      <c r="N1161" s="56">
        <f>INDEX(Rate_Chart!$A$1:$AK$127,MATCH(Data!J1161,Rate_Chart!$A$1:$A$127,0),MATCH(Data!K1161,Rate_Chart!$A$1:$AK$1,0))</f>
        <v>56.78</v>
      </c>
      <c r="O1161" s="57">
        <f t="shared" si="244"/>
        <v>738.14</v>
      </c>
      <c r="P1161" s="58">
        <f t="shared" si="245"/>
        <v>443.59375</v>
      </c>
      <c r="Q1161" s="58">
        <f t="shared" si="246"/>
        <v>295.72916666666669</v>
      </c>
      <c r="R1161" s="66">
        <f t="shared" si="247"/>
        <v>12.917450000000001</v>
      </c>
      <c r="S1161" s="64">
        <f t="shared" si="248"/>
        <v>48.75</v>
      </c>
      <c r="T1161" s="66">
        <f t="shared" si="249"/>
        <v>799.80745000000002</v>
      </c>
      <c r="U1161" s="68">
        <f t="shared" si="250"/>
        <v>61.523650000000004</v>
      </c>
      <c r="V1161" s="68">
        <f t="shared" si="251"/>
        <v>480.65351562500001</v>
      </c>
      <c r="W1161" s="68">
        <f t="shared" si="252"/>
        <v>320.43567708333336</v>
      </c>
    </row>
    <row r="1162" spans="1:23" x14ac:dyDescent="0.25">
      <c r="A1162" s="1" t="s">
        <v>946</v>
      </c>
      <c r="B1162" s="61" t="s">
        <v>391</v>
      </c>
      <c r="C1162" s="1" t="s">
        <v>585</v>
      </c>
      <c r="D1162" s="1" t="s">
        <v>589</v>
      </c>
      <c r="E1162" s="1" t="s">
        <v>378</v>
      </c>
      <c r="F1162" s="62" t="str">
        <f t="shared" si="253"/>
        <v>64571</v>
      </c>
      <c r="G1162" s="269">
        <v>10620009</v>
      </c>
      <c r="H1162" s="1" t="s">
        <v>382</v>
      </c>
      <c r="I1162" s="61">
        <v>35</v>
      </c>
      <c r="J1162" s="61">
        <v>3.7</v>
      </c>
      <c r="K1162" s="61">
        <v>8.1</v>
      </c>
      <c r="L1162" s="69">
        <f t="shared" si="242"/>
        <v>1.2949999999999999</v>
      </c>
      <c r="M1162" s="69">
        <f t="shared" si="243"/>
        <v>2.835</v>
      </c>
      <c r="N1162" s="56">
        <f>INDEX(Rate_Chart!$A$1:$AK$127,MATCH(Data!J1162,Rate_Chart!$A$1:$A$127,0),MATCH(Data!K1162,Rate_Chart!$A$1:$AK$1,0))</f>
        <v>37.948125900000008</v>
      </c>
      <c r="O1162" s="57">
        <f t="shared" si="244"/>
        <v>1328.1844065000003</v>
      </c>
      <c r="P1162" s="58">
        <f t="shared" si="245"/>
        <v>417.01237252747262</v>
      </c>
      <c r="Q1162" s="58">
        <f t="shared" si="246"/>
        <v>278.00824835164843</v>
      </c>
      <c r="R1162" s="66">
        <f t="shared" si="247"/>
        <v>23.243227113750006</v>
      </c>
      <c r="S1162" s="64">
        <f t="shared" si="248"/>
        <v>131.25</v>
      </c>
      <c r="T1162" s="66">
        <f t="shared" si="249"/>
        <v>1482.6776336137502</v>
      </c>
      <c r="U1162" s="68">
        <f t="shared" si="250"/>
        <v>42.362218103250008</v>
      </c>
      <c r="V1162" s="68">
        <f t="shared" si="251"/>
        <v>465.51888025549459</v>
      </c>
      <c r="W1162" s="68">
        <f t="shared" si="252"/>
        <v>310.34592017032975</v>
      </c>
    </row>
    <row r="1163" spans="1:23" x14ac:dyDescent="0.25">
      <c r="A1163" s="1" t="s">
        <v>947</v>
      </c>
      <c r="B1163" s="61" t="s">
        <v>390</v>
      </c>
      <c r="C1163" s="1" t="s">
        <v>585</v>
      </c>
      <c r="D1163" s="1" t="s">
        <v>589</v>
      </c>
      <c r="E1163" s="1" t="s">
        <v>378</v>
      </c>
      <c r="F1163" s="62" t="str">
        <f t="shared" si="253"/>
        <v>64571</v>
      </c>
      <c r="G1163" s="269">
        <v>10620009</v>
      </c>
      <c r="H1163" s="1" t="s">
        <v>381</v>
      </c>
      <c r="I1163" s="61">
        <v>33</v>
      </c>
      <c r="J1163" s="61">
        <v>7.7</v>
      </c>
      <c r="K1163" s="61">
        <v>9</v>
      </c>
      <c r="L1163" s="69">
        <f t="shared" si="242"/>
        <v>2.5409999999999999</v>
      </c>
      <c r="M1163" s="69">
        <f t="shared" si="243"/>
        <v>2.97</v>
      </c>
      <c r="N1163" s="56">
        <f>INDEX(Rate_Chart!$A$1:$AK$127,MATCH(Data!J1163,Rate_Chart!$A$1:$A$127,0),MATCH(Data!K1163,Rate_Chart!$A$1:$AK$1,0))</f>
        <v>64.295000000000002</v>
      </c>
      <c r="O1163" s="57">
        <f t="shared" si="244"/>
        <v>2121.7350000000001</v>
      </c>
      <c r="P1163" s="58">
        <f t="shared" si="245"/>
        <v>469.30656934306569</v>
      </c>
      <c r="Q1163" s="58">
        <f t="shared" si="246"/>
        <v>312.87104622871044</v>
      </c>
      <c r="R1163" s="66">
        <f t="shared" si="247"/>
        <v>37.130362500000004</v>
      </c>
      <c r="S1163" s="64">
        <f t="shared" si="248"/>
        <v>123.75</v>
      </c>
      <c r="T1163" s="66">
        <f t="shared" si="249"/>
        <v>2282.6153625000002</v>
      </c>
      <c r="U1163" s="68">
        <f t="shared" si="250"/>
        <v>69.170162500000004</v>
      </c>
      <c r="V1163" s="68">
        <f t="shared" si="251"/>
        <v>504.89169708029198</v>
      </c>
      <c r="W1163" s="68">
        <f t="shared" si="252"/>
        <v>336.59446472019465</v>
      </c>
    </row>
    <row r="1164" spans="1:23" x14ac:dyDescent="0.25">
      <c r="A1164" s="1" t="s">
        <v>947</v>
      </c>
      <c r="B1164" s="61" t="s">
        <v>390</v>
      </c>
      <c r="C1164" s="1" t="s">
        <v>585</v>
      </c>
      <c r="D1164" s="1" t="s">
        <v>589</v>
      </c>
      <c r="E1164" s="1" t="s">
        <v>378</v>
      </c>
      <c r="F1164" s="62" t="str">
        <f t="shared" si="253"/>
        <v>64571</v>
      </c>
      <c r="G1164" s="269">
        <v>10620009</v>
      </c>
      <c r="H1164" s="1" t="s">
        <v>382</v>
      </c>
      <c r="I1164" s="61">
        <v>55</v>
      </c>
      <c r="J1164" s="61">
        <v>3.1</v>
      </c>
      <c r="K1164" s="61">
        <v>8.1</v>
      </c>
      <c r="L1164" s="69">
        <f t="shared" si="242"/>
        <v>1.7050000000000001</v>
      </c>
      <c r="M1164" s="69">
        <f t="shared" si="243"/>
        <v>4.4550000000000001</v>
      </c>
      <c r="N1164" s="56">
        <f>INDEX(Rate_Chart!$A$1:$AK$127,MATCH(Data!J1164,Rate_Chart!$A$1:$A$127,0),MATCH(Data!K1164,Rate_Chart!$A$1:$AK$1,0))</f>
        <v>35.446125899999998</v>
      </c>
      <c r="O1164" s="57">
        <f t="shared" si="244"/>
        <v>1949.5369244999999</v>
      </c>
      <c r="P1164" s="58">
        <f t="shared" si="245"/>
        <v>417.01324588235298</v>
      </c>
      <c r="Q1164" s="58">
        <f t="shared" si="246"/>
        <v>278.0088305882353</v>
      </c>
      <c r="R1164" s="66">
        <f t="shared" si="247"/>
        <v>34.116896178750004</v>
      </c>
      <c r="S1164" s="64">
        <f t="shared" si="248"/>
        <v>206.25</v>
      </c>
      <c r="T1164" s="66">
        <f t="shared" si="249"/>
        <v>2189.90382067875</v>
      </c>
      <c r="U1164" s="68">
        <f t="shared" si="250"/>
        <v>39.816433103249999</v>
      </c>
      <c r="V1164" s="68">
        <f t="shared" si="251"/>
        <v>468.42862474411766</v>
      </c>
      <c r="W1164" s="68">
        <f t="shared" si="252"/>
        <v>312.28574982941177</v>
      </c>
    </row>
    <row r="1165" spans="1:23" x14ac:dyDescent="0.25">
      <c r="A1165" s="1" t="s">
        <v>947</v>
      </c>
      <c r="B1165" s="61" t="s">
        <v>391</v>
      </c>
      <c r="C1165" s="1" t="s">
        <v>585</v>
      </c>
      <c r="D1165" s="1" t="s">
        <v>589</v>
      </c>
      <c r="E1165" s="1" t="s">
        <v>378</v>
      </c>
      <c r="F1165" s="62" t="str">
        <f t="shared" si="253"/>
        <v>64571</v>
      </c>
      <c r="G1165" s="269">
        <v>10620009</v>
      </c>
      <c r="H1165" s="1" t="s">
        <v>381</v>
      </c>
      <c r="I1165" s="61">
        <v>12</v>
      </c>
      <c r="J1165" s="61">
        <v>6</v>
      </c>
      <c r="K1165" s="61">
        <v>9</v>
      </c>
      <c r="L1165" s="69">
        <f t="shared" si="242"/>
        <v>0.72</v>
      </c>
      <c r="M1165" s="69">
        <f t="shared" si="243"/>
        <v>1.08</v>
      </c>
      <c r="N1165" s="56">
        <f>INDEX(Rate_Chart!$A$1:$AK$127,MATCH(Data!J1165,Rate_Chart!$A$1:$A$127,0),MATCH(Data!K1165,Rate_Chart!$A$1:$AK$1,0))</f>
        <v>50.1</v>
      </c>
      <c r="O1165" s="57">
        <f t="shared" si="244"/>
        <v>601.20000000000005</v>
      </c>
      <c r="P1165" s="58">
        <f t="shared" si="245"/>
        <v>417.5</v>
      </c>
      <c r="Q1165" s="58">
        <f t="shared" si="246"/>
        <v>278.33333333333331</v>
      </c>
      <c r="R1165" s="66">
        <f t="shared" si="247"/>
        <v>10.521000000000003</v>
      </c>
      <c r="S1165" s="64">
        <f t="shared" si="248"/>
        <v>45</v>
      </c>
      <c r="T1165" s="66">
        <f t="shared" si="249"/>
        <v>656.721</v>
      </c>
      <c r="U1165" s="68">
        <f t="shared" si="250"/>
        <v>54.726750000000003</v>
      </c>
      <c r="V1165" s="68">
        <f t="shared" si="251"/>
        <v>456.05625000000003</v>
      </c>
      <c r="W1165" s="68">
        <f t="shared" si="252"/>
        <v>304.03750000000002</v>
      </c>
    </row>
    <row r="1166" spans="1:23" x14ac:dyDescent="0.25">
      <c r="A1166" s="1" t="s">
        <v>947</v>
      </c>
      <c r="B1166" s="61" t="s">
        <v>391</v>
      </c>
      <c r="C1166" s="1" t="s">
        <v>585</v>
      </c>
      <c r="D1166" s="1" t="s">
        <v>589</v>
      </c>
      <c r="E1166" s="1" t="s">
        <v>378</v>
      </c>
      <c r="F1166" s="62" t="str">
        <f t="shared" si="253"/>
        <v>64571</v>
      </c>
      <c r="G1166" s="269">
        <v>10620009</v>
      </c>
      <c r="H1166" s="1" t="s">
        <v>382</v>
      </c>
      <c r="I1166" s="61">
        <v>39</v>
      </c>
      <c r="J1166" s="61">
        <v>3.2</v>
      </c>
      <c r="K1166" s="61">
        <v>8.1</v>
      </c>
      <c r="L1166" s="69">
        <f t="shared" si="242"/>
        <v>1.2480000000000002</v>
      </c>
      <c r="M1166" s="69">
        <f t="shared" si="243"/>
        <v>3.1589999999999998</v>
      </c>
      <c r="N1166" s="56">
        <f>INDEX(Rate_Chart!$A$1:$AK$127,MATCH(Data!J1166,Rate_Chart!$A$1:$A$127,0),MATCH(Data!K1166,Rate_Chart!$A$1:$AK$1,0))</f>
        <v>35.8631259</v>
      </c>
      <c r="O1166" s="57">
        <f t="shared" si="244"/>
        <v>1398.6619101000001</v>
      </c>
      <c r="P1166" s="58">
        <f t="shared" si="245"/>
        <v>417.01309186046512</v>
      </c>
      <c r="Q1166" s="58">
        <f t="shared" si="246"/>
        <v>278.00872790697673</v>
      </c>
      <c r="R1166" s="66">
        <f t="shared" si="247"/>
        <v>24.476583426750004</v>
      </c>
      <c r="S1166" s="64">
        <f t="shared" si="248"/>
        <v>146.25</v>
      </c>
      <c r="T1166" s="66">
        <f t="shared" si="249"/>
        <v>1569.3884935267502</v>
      </c>
      <c r="U1166" s="68">
        <f t="shared" si="250"/>
        <v>40.240730603250007</v>
      </c>
      <c r="V1166" s="68">
        <f t="shared" si="251"/>
        <v>467.91547213081407</v>
      </c>
      <c r="W1166" s="68">
        <f t="shared" si="252"/>
        <v>311.9436480872094</v>
      </c>
    </row>
    <row r="1167" spans="1:23" x14ac:dyDescent="0.25">
      <c r="A1167" s="1" t="s">
        <v>941</v>
      </c>
      <c r="B1167" s="61" t="s">
        <v>390</v>
      </c>
      <c r="C1167" s="1" t="s">
        <v>585</v>
      </c>
      <c r="D1167" s="1" t="s">
        <v>586</v>
      </c>
      <c r="E1167" s="1" t="s">
        <v>379</v>
      </c>
      <c r="F1167" s="62" t="str">
        <f t="shared" si="253"/>
        <v>64573</v>
      </c>
      <c r="G1167" s="269">
        <v>10620053</v>
      </c>
      <c r="H1167" s="1" t="s">
        <v>382</v>
      </c>
      <c r="I1167" s="61">
        <v>28</v>
      </c>
      <c r="J1167" s="61">
        <v>5.0999999999999996</v>
      </c>
      <c r="K1167" s="61">
        <v>8.5</v>
      </c>
      <c r="L1167" s="69">
        <f t="shared" si="242"/>
        <v>1.4279999999999999</v>
      </c>
      <c r="M1167" s="69">
        <f t="shared" si="243"/>
        <v>2.38</v>
      </c>
      <c r="N1167" s="56">
        <f>INDEX(Rate_Chart!$A$1:$AK$127,MATCH(Data!J1167,Rate_Chart!$A$1:$A$127,0),MATCH(Data!K1167,Rate_Chart!$A$1:$AK$1,0))</f>
        <v>44.898181500000007</v>
      </c>
      <c r="O1167" s="57">
        <f t="shared" si="244"/>
        <v>1257.1490820000001</v>
      </c>
      <c r="P1167" s="58">
        <f t="shared" si="245"/>
        <v>417.01097368421063</v>
      </c>
      <c r="Q1167" s="58">
        <f t="shared" si="246"/>
        <v>278.00731578947375</v>
      </c>
      <c r="R1167" s="66">
        <f t="shared" si="247"/>
        <v>22.000108935000004</v>
      </c>
      <c r="S1167" s="64">
        <f t="shared" si="248"/>
        <v>105</v>
      </c>
      <c r="T1167" s="66">
        <f t="shared" si="249"/>
        <v>1384.1491909350002</v>
      </c>
      <c r="U1167" s="68">
        <f t="shared" si="250"/>
        <v>49.433899676250007</v>
      </c>
      <c r="V1167" s="68">
        <f t="shared" si="251"/>
        <v>459.13838708591339</v>
      </c>
      <c r="W1167" s="68">
        <f t="shared" si="252"/>
        <v>306.09225805727561</v>
      </c>
    </row>
    <row r="1168" spans="1:23" x14ac:dyDescent="0.25">
      <c r="A1168" s="1" t="s">
        <v>941</v>
      </c>
      <c r="B1168" s="61" t="s">
        <v>391</v>
      </c>
      <c r="C1168" s="1" t="s">
        <v>585</v>
      </c>
      <c r="D1168" s="1" t="s">
        <v>586</v>
      </c>
      <c r="E1168" s="1" t="s">
        <v>379</v>
      </c>
      <c r="F1168" s="62" t="str">
        <f t="shared" si="253"/>
        <v>64573</v>
      </c>
      <c r="G1168" s="269">
        <v>10620053</v>
      </c>
      <c r="H1168" s="1" t="s">
        <v>382</v>
      </c>
      <c r="I1168" s="61">
        <v>36</v>
      </c>
      <c r="J1168" s="61">
        <v>4.4000000000000004</v>
      </c>
      <c r="K1168" s="61">
        <v>8.5</v>
      </c>
      <c r="L1168" s="69">
        <f t="shared" si="242"/>
        <v>1.5840000000000001</v>
      </c>
      <c r="M1168" s="69">
        <f t="shared" si="243"/>
        <v>3.06</v>
      </c>
      <c r="N1168" s="56">
        <f>INDEX(Rate_Chart!$A$1:$AK$127,MATCH(Data!J1168,Rate_Chart!$A$1:$A$127,0),MATCH(Data!K1168,Rate_Chart!$A$1:$AK$1,0))</f>
        <v>41.97918150000001</v>
      </c>
      <c r="O1168" s="57">
        <f t="shared" si="244"/>
        <v>1511.2505340000002</v>
      </c>
      <c r="P1168" s="58">
        <f t="shared" si="245"/>
        <v>417.01173675496693</v>
      </c>
      <c r="Q1168" s="58">
        <f t="shared" si="246"/>
        <v>278.00782450331127</v>
      </c>
      <c r="R1168" s="66">
        <f t="shared" si="247"/>
        <v>26.446884345000008</v>
      </c>
      <c r="S1168" s="64">
        <f t="shared" si="248"/>
        <v>135</v>
      </c>
      <c r="T1168" s="66">
        <f t="shared" si="249"/>
        <v>1672.6974183450002</v>
      </c>
      <c r="U1168" s="68">
        <f t="shared" si="250"/>
        <v>46.463817176250004</v>
      </c>
      <c r="V1168" s="68">
        <f t="shared" si="251"/>
        <v>461.56109777731785</v>
      </c>
      <c r="W1168" s="68">
        <f t="shared" si="252"/>
        <v>307.7073985182119</v>
      </c>
    </row>
    <row r="1169" spans="1:23" x14ac:dyDescent="0.25">
      <c r="A1169" s="1" t="s">
        <v>942</v>
      </c>
      <c r="B1169" s="61" t="s">
        <v>390</v>
      </c>
      <c r="C1169" s="1" t="s">
        <v>585</v>
      </c>
      <c r="D1169" s="1" t="s">
        <v>586</v>
      </c>
      <c r="E1169" s="1" t="s">
        <v>379</v>
      </c>
      <c r="F1169" s="62" t="str">
        <f t="shared" si="253"/>
        <v>64573</v>
      </c>
      <c r="G1169" s="269">
        <v>10620053</v>
      </c>
      <c r="H1169" s="1" t="s">
        <v>382</v>
      </c>
      <c r="I1169" s="61">
        <v>40</v>
      </c>
      <c r="J1169" s="61">
        <v>3.6</v>
      </c>
      <c r="K1169" s="61">
        <v>8.4</v>
      </c>
      <c r="L1169" s="69">
        <f t="shared" si="242"/>
        <v>1.44</v>
      </c>
      <c r="M1169" s="69">
        <f t="shared" si="243"/>
        <v>3.36</v>
      </c>
      <c r="N1169" s="56">
        <f>INDEX(Rate_Chart!$A$1:$AK$127,MATCH(Data!J1169,Rate_Chart!$A$1:$A$127,0),MATCH(Data!K1169,Rate_Chart!$A$1:$AK$1,0))</f>
        <v>38.365167600000007</v>
      </c>
      <c r="O1169" s="57">
        <f t="shared" si="244"/>
        <v>1534.6067040000003</v>
      </c>
      <c r="P1169" s="58">
        <f t="shared" si="245"/>
        <v>417.01269130434792</v>
      </c>
      <c r="Q1169" s="58">
        <f t="shared" si="246"/>
        <v>278.00846086956528</v>
      </c>
      <c r="R1169" s="66">
        <f t="shared" si="247"/>
        <v>26.855617320000007</v>
      </c>
      <c r="S1169" s="64">
        <f t="shared" si="248"/>
        <v>150</v>
      </c>
      <c r="T1169" s="66">
        <f t="shared" si="249"/>
        <v>1711.4623213200002</v>
      </c>
      <c r="U1169" s="68">
        <f t="shared" si="250"/>
        <v>42.786558033000006</v>
      </c>
      <c r="V1169" s="68">
        <f t="shared" si="251"/>
        <v>465.07128296739137</v>
      </c>
      <c r="W1169" s="68">
        <f t="shared" si="252"/>
        <v>310.04752197826093</v>
      </c>
    </row>
    <row r="1170" spans="1:23" x14ac:dyDescent="0.25">
      <c r="A1170" s="1" t="s">
        <v>942</v>
      </c>
      <c r="B1170" s="61" t="s">
        <v>391</v>
      </c>
      <c r="C1170" s="1" t="s">
        <v>585</v>
      </c>
      <c r="D1170" s="1" t="s">
        <v>586</v>
      </c>
      <c r="E1170" s="1" t="s">
        <v>379</v>
      </c>
      <c r="F1170" s="62" t="str">
        <f t="shared" si="253"/>
        <v>64573</v>
      </c>
      <c r="G1170" s="269">
        <v>10620053</v>
      </c>
      <c r="H1170" s="1" t="s">
        <v>382</v>
      </c>
      <c r="I1170" s="61">
        <v>27</v>
      </c>
      <c r="J1170" s="61">
        <v>3.7</v>
      </c>
      <c r="K1170" s="61">
        <v>8.5</v>
      </c>
      <c r="L1170" s="69">
        <f t="shared" si="242"/>
        <v>0.99900000000000011</v>
      </c>
      <c r="M1170" s="69">
        <f t="shared" si="243"/>
        <v>2.2949999999999999</v>
      </c>
      <c r="N1170" s="56">
        <f>INDEX(Rate_Chart!$A$1:$AK$127,MATCH(Data!J1170,Rate_Chart!$A$1:$A$127,0),MATCH(Data!K1170,Rate_Chart!$A$1:$AK$1,0))</f>
        <v>39.060181500000006</v>
      </c>
      <c r="O1170" s="57">
        <f t="shared" si="244"/>
        <v>1054.6249005000002</v>
      </c>
      <c r="P1170" s="58">
        <f t="shared" si="245"/>
        <v>417.0126138790036</v>
      </c>
      <c r="Q1170" s="58">
        <f t="shared" si="246"/>
        <v>278.00840925266908</v>
      </c>
      <c r="R1170" s="66">
        <f t="shared" si="247"/>
        <v>18.455935758750005</v>
      </c>
      <c r="S1170" s="64">
        <f t="shared" si="248"/>
        <v>101.25</v>
      </c>
      <c r="T1170" s="66">
        <f t="shared" si="249"/>
        <v>1174.3308362587502</v>
      </c>
      <c r="U1170" s="68">
        <f t="shared" si="250"/>
        <v>43.493734676250007</v>
      </c>
      <c r="V1170" s="68">
        <f t="shared" si="251"/>
        <v>464.34592181049823</v>
      </c>
      <c r="W1170" s="68">
        <f t="shared" si="252"/>
        <v>309.56394787366548</v>
      </c>
    </row>
    <row r="1171" spans="1:23" x14ac:dyDescent="0.25">
      <c r="A1171" s="1" t="s">
        <v>943</v>
      </c>
      <c r="B1171" s="61" t="s">
        <v>390</v>
      </c>
      <c r="C1171" s="1" t="s">
        <v>585</v>
      </c>
      <c r="D1171" s="1" t="s">
        <v>586</v>
      </c>
      <c r="E1171" s="1" t="s">
        <v>379</v>
      </c>
      <c r="F1171" s="62" t="str">
        <f t="shared" si="253"/>
        <v>64573</v>
      </c>
      <c r="G1171" s="269">
        <v>10620053</v>
      </c>
      <c r="H1171" s="1" t="s">
        <v>382</v>
      </c>
      <c r="I1171" s="61">
        <v>33</v>
      </c>
      <c r="J1171" s="61">
        <v>3.9</v>
      </c>
      <c r="K1171" s="61">
        <v>8.5</v>
      </c>
      <c r="L1171" s="69">
        <f t="shared" si="242"/>
        <v>1.2869999999999999</v>
      </c>
      <c r="M1171" s="69">
        <f t="shared" si="243"/>
        <v>2.8050000000000002</v>
      </c>
      <c r="N1171" s="56">
        <f>INDEX(Rate_Chart!$A$1:$AK$127,MATCH(Data!J1171,Rate_Chart!$A$1:$A$127,0),MATCH(Data!K1171,Rate_Chart!$A$1:$AK$1,0))</f>
        <v>39.894181500000002</v>
      </c>
      <c r="O1171" s="57">
        <f t="shared" si="244"/>
        <v>1316.5079895000001</v>
      </c>
      <c r="P1171" s="58">
        <f t="shared" si="245"/>
        <v>417.01235017421601</v>
      </c>
      <c r="Q1171" s="58">
        <f t="shared" si="246"/>
        <v>278.00823344947736</v>
      </c>
      <c r="R1171" s="66">
        <f t="shared" si="247"/>
        <v>23.038889816250006</v>
      </c>
      <c r="S1171" s="64">
        <f t="shared" si="248"/>
        <v>123.75</v>
      </c>
      <c r="T1171" s="66">
        <f t="shared" si="249"/>
        <v>1463.2968793162502</v>
      </c>
      <c r="U1171" s="68">
        <f t="shared" si="250"/>
        <v>44.342329676250003</v>
      </c>
      <c r="V1171" s="68">
        <f t="shared" si="251"/>
        <v>463.50867257404178</v>
      </c>
      <c r="W1171" s="68">
        <f t="shared" si="252"/>
        <v>309.00578171602785</v>
      </c>
    </row>
    <row r="1172" spans="1:23" x14ac:dyDescent="0.25">
      <c r="A1172" s="1" t="s">
        <v>943</v>
      </c>
      <c r="B1172" s="61" t="s">
        <v>391</v>
      </c>
      <c r="C1172" s="1" t="s">
        <v>585</v>
      </c>
      <c r="D1172" s="1" t="s">
        <v>586</v>
      </c>
      <c r="E1172" s="1" t="s">
        <v>379</v>
      </c>
      <c r="F1172" s="62" t="str">
        <f t="shared" si="253"/>
        <v>64573</v>
      </c>
      <c r="G1172" s="269">
        <v>10620053</v>
      </c>
      <c r="H1172" s="1" t="s">
        <v>381</v>
      </c>
      <c r="I1172" s="61">
        <v>17</v>
      </c>
      <c r="J1172" s="61">
        <v>6.8</v>
      </c>
      <c r="K1172" s="61">
        <v>9</v>
      </c>
      <c r="L1172" s="69">
        <f t="shared" si="242"/>
        <v>1.1559999999999999</v>
      </c>
      <c r="M1172" s="69">
        <f t="shared" si="243"/>
        <v>1.53</v>
      </c>
      <c r="N1172" s="56">
        <f>INDEX(Rate_Chart!$A$1:$AK$127,MATCH(Data!J1172,Rate_Chart!$A$1:$A$127,0),MATCH(Data!K1172,Rate_Chart!$A$1:$AK$1,0))</f>
        <v>56.78</v>
      </c>
      <c r="O1172" s="57">
        <f t="shared" si="244"/>
        <v>965.26</v>
      </c>
      <c r="P1172" s="58">
        <f t="shared" si="245"/>
        <v>443.59375</v>
      </c>
      <c r="Q1172" s="58">
        <f t="shared" si="246"/>
        <v>295.72916666666669</v>
      </c>
      <c r="R1172" s="66">
        <f t="shared" si="247"/>
        <v>16.892050000000001</v>
      </c>
      <c r="S1172" s="64">
        <f t="shared" si="248"/>
        <v>63.75</v>
      </c>
      <c r="T1172" s="66">
        <f t="shared" si="249"/>
        <v>1045.9020499999999</v>
      </c>
      <c r="U1172" s="68">
        <f t="shared" si="250"/>
        <v>61.523649999999996</v>
      </c>
      <c r="V1172" s="68">
        <f t="shared" si="251"/>
        <v>480.65351562499995</v>
      </c>
      <c r="W1172" s="68">
        <f t="shared" si="252"/>
        <v>320.4356770833333</v>
      </c>
    </row>
    <row r="1173" spans="1:23" x14ac:dyDescent="0.25">
      <c r="A1173" s="1" t="s">
        <v>943</v>
      </c>
      <c r="B1173" s="61" t="s">
        <v>391</v>
      </c>
      <c r="C1173" s="1" t="s">
        <v>585</v>
      </c>
      <c r="D1173" s="1" t="s">
        <v>586</v>
      </c>
      <c r="E1173" s="1" t="s">
        <v>379</v>
      </c>
      <c r="F1173" s="62" t="str">
        <f t="shared" si="253"/>
        <v>64573</v>
      </c>
      <c r="G1173" s="269">
        <v>10620053</v>
      </c>
      <c r="H1173" s="1" t="s">
        <v>382</v>
      </c>
      <c r="I1173" s="61">
        <v>33</v>
      </c>
      <c r="J1173" s="61">
        <v>3.1</v>
      </c>
      <c r="K1173" s="61">
        <v>8.3000000000000007</v>
      </c>
      <c r="L1173" s="69">
        <f t="shared" si="242"/>
        <v>1.0229999999999999</v>
      </c>
      <c r="M1173" s="69">
        <f t="shared" si="243"/>
        <v>2.7390000000000003</v>
      </c>
      <c r="N1173" s="56">
        <f>INDEX(Rate_Chart!$A$1:$AK$127,MATCH(Data!J1173,Rate_Chart!$A$1:$A$127,0),MATCH(Data!K1173,Rate_Chart!$A$1:$AK$1,0))</f>
        <v>36.002153700000008</v>
      </c>
      <c r="O1173" s="57">
        <f t="shared" si="244"/>
        <v>1188.0710721000003</v>
      </c>
      <c r="P1173" s="58">
        <f t="shared" si="245"/>
        <v>417.01336332046338</v>
      </c>
      <c r="Q1173" s="58">
        <f t="shared" si="246"/>
        <v>278.00890888030892</v>
      </c>
      <c r="R1173" s="66">
        <f t="shared" si="247"/>
        <v>20.791243761750007</v>
      </c>
      <c r="S1173" s="64">
        <f t="shared" si="248"/>
        <v>123.75</v>
      </c>
      <c r="T1173" s="66">
        <f t="shared" si="249"/>
        <v>1332.6123158617502</v>
      </c>
      <c r="U1173" s="68">
        <f t="shared" si="250"/>
        <v>40.382191389750005</v>
      </c>
      <c r="V1173" s="68">
        <f t="shared" si="251"/>
        <v>467.74739061486486</v>
      </c>
      <c r="W1173" s="68">
        <f t="shared" si="252"/>
        <v>311.83159374324322</v>
      </c>
    </row>
    <row r="1174" spans="1:23" x14ac:dyDescent="0.25">
      <c r="A1174" s="1" t="s">
        <v>944</v>
      </c>
      <c r="B1174" s="61" t="s">
        <v>390</v>
      </c>
      <c r="C1174" s="1" t="s">
        <v>585</v>
      </c>
      <c r="D1174" s="1" t="s">
        <v>586</v>
      </c>
      <c r="E1174" s="1" t="s">
        <v>379</v>
      </c>
      <c r="F1174" s="62" t="str">
        <f t="shared" si="253"/>
        <v>64573</v>
      </c>
      <c r="G1174" s="269">
        <v>10620053</v>
      </c>
      <c r="H1174" s="1" t="s">
        <v>382</v>
      </c>
      <c r="I1174" s="61">
        <v>40</v>
      </c>
      <c r="J1174" s="61">
        <v>4.5</v>
      </c>
      <c r="K1174" s="61">
        <v>8.5</v>
      </c>
      <c r="L1174" s="69">
        <f t="shared" si="242"/>
        <v>1.8</v>
      </c>
      <c r="M1174" s="69">
        <f t="shared" si="243"/>
        <v>3.4</v>
      </c>
      <c r="N1174" s="56">
        <f>INDEX(Rate_Chart!$A$1:$AK$127,MATCH(Data!J1174,Rate_Chart!$A$1:$A$127,0),MATCH(Data!K1174,Rate_Chart!$A$1:$AK$1,0))</f>
        <v>42.396181500000004</v>
      </c>
      <c r="O1174" s="57">
        <f t="shared" si="244"/>
        <v>1695.8472600000002</v>
      </c>
      <c r="P1174" s="58">
        <f t="shared" si="245"/>
        <v>417.01162131147544</v>
      </c>
      <c r="Q1174" s="58">
        <f t="shared" si="246"/>
        <v>278.00774754098364</v>
      </c>
      <c r="R1174" s="66">
        <f t="shared" si="247"/>
        <v>29.677327050000006</v>
      </c>
      <c r="S1174" s="64">
        <f t="shared" si="248"/>
        <v>150</v>
      </c>
      <c r="T1174" s="66">
        <f t="shared" si="249"/>
        <v>1875.5245870500003</v>
      </c>
      <c r="U1174" s="68">
        <f t="shared" si="250"/>
        <v>46.888114676250005</v>
      </c>
      <c r="V1174" s="68">
        <f t="shared" si="251"/>
        <v>461.19457058606559</v>
      </c>
      <c r="W1174" s="68">
        <f t="shared" si="252"/>
        <v>307.46304705737708</v>
      </c>
    </row>
    <row r="1175" spans="1:23" x14ac:dyDescent="0.25">
      <c r="A1175" s="1" t="s">
        <v>944</v>
      </c>
      <c r="B1175" s="61" t="s">
        <v>391</v>
      </c>
      <c r="C1175" s="1" t="s">
        <v>585</v>
      </c>
      <c r="D1175" s="1" t="s">
        <v>586</v>
      </c>
      <c r="E1175" s="1" t="s">
        <v>379</v>
      </c>
      <c r="F1175" s="62" t="str">
        <f t="shared" si="253"/>
        <v>64573</v>
      </c>
      <c r="G1175" s="269">
        <v>10620053</v>
      </c>
      <c r="H1175" s="1" t="s">
        <v>381</v>
      </c>
      <c r="I1175" s="61">
        <v>15</v>
      </c>
      <c r="J1175" s="61">
        <v>6.8</v>
      </c>
      <c r="K1175" s="61">
        <v>9</v>
      </c>
      <c r="L1175" s="69">
        <f t="shared" si="242"/>
        <v>1.02</v>
      </c>
      <c r="M1175" s="69">
        <f t="shared" si="243"/>
        <v>1.35</v>
      </c>
      <c r="N1175" s="56">
        <f>INDEX(Rate_Chart!$A$1:$AK$127,MATCH(Data!J1175,Rate_Chart!$A$1:$A$127,0),MATCH(Data!K1175,Rate_Chart!$A$1:$AK$1,0))</f>
        <v>56.78</v>
      </c>
      <c r="O1175" s="57">
        <f t="shared" si="244"/>
        <v>851.7</v>
      </c>
      <c r="P1175" s="58">
        <f t="shared" si="245"/>
        <v>443.59375</v>
      </c>
      <c r="Q1175" s="58">
        <f t="shared" si="246"/>
        <v>295.72916666666669</v>
      </c>
      <c r="R1175" s="66">
        <f t="shared" si="247"/>
        <v>14.904750000000002</v>
      </c>
      <c r="S1175" s="64">
        <f t="shared" si="248"/>
        <v>56.25</v>
      </c>
      <c r="T1175" s="66">
        <f t="shared" si="249"/>
        <v>922.85475000000008</v>
      </c>
      <c r="U1175" s="68">
        <f t="shared" si="250"/>
        <v>61.523650000000004</v>
      </c>
      <c r="V1175" s="68">
        <f t="shared" si="251"/>
        <v>480.65351562500001</v>
      </c>
      <c r="W1175" s="68">
        <f t="shared" si="252"/>
        <v>320.43567708333336</v>
      </c>
    </row>
    <row r="1176" spans="1:23" x14ac:dyDescent="0.25">
      <c r="A1176" s="1" t="s">
        <v>944</v>
      </c>
      <c r="B1176" s="61" t="s">
        <v>391</v>
      </c>
      <c r="C1176" s="1" t="s">
        <v>585</v>
      </c>
      <c r="D1176" s="1" t="s">
        <v>586</v>
      </c>
      <c r="E1176" s="1" t="s">
        <v>379</v>
      </c>
      <c r="F1176" s="62" t="str">
        <f t="shared" si="253"/>
        <v>64573</v>
      </c>
      <c r="G1176" s="269">
        <v>10620053</v>
      </c>
      <c r="H1176" s="1" t="s">
        <v>382</v>
      </c>
      <c r="I1176" s="61">
        <v>33</v>
      </c>
      <c r="J1176" s="61">
        <v>3.1</v>
      </c>
      <c r="K1176" s="61">
        <v>8.1999999999999993</v>
      </c>
      <c r="L1176" s="69">
        <f t="shared" si="242"/>
        <v>1.0229999999999999</v>
      </c>
      <c r="M1176" s="69">
        <f t="shared" si="243"/>
        <v>2.7059999999999995</v>
      </c>
      <c r="N1176" s="56">
        <f>INDEX(Rate_Chart!$A$1:$AK$127,MATCH(Data!J1176,Rate_Chart!$A$1:$A$127,0),MATCH(Data!K1176,Rate_Chart!$A$1:$AK$1,0))</f>
        <v>35.724139800000003</v>
      </c>
      <c r="O1176" s="57">
        <f t="shared" si="244"/>
        <v>1178.8966134000002</v>
      </c>
      <c r="P1176" s="58">
        <f t="shared" si="245"/>
        <v>417.0133050583658</v>
      </c>
      <c r="Q1176" s="58">
        <f t="shared" si="246"/>
        <v>278.00887003891052</v>
      </c>
      <c r="R1176" s="66">
        <f t="shared" si="247"/>
        <v>20.630690734500007</v>
      </c>
      <c r="S1176" s="64">
        <f t="shared" si="248"/>
        <v>123.75</v>
      </c>
      <c r="T1176" s="66">
        <f t="shared" si="249"/>
        <v>1323.2773041345001</v>
      </c>
      <c r="U1176" s="68">
        <f t="shared" si="250"/>
        <v>40.099312246500006</v>
      </c>
      <c r="V1176" s="68">
        <f t="shared" si="251"/>
        <v>468.08535696303505</v>
      </c>
      <c r="W1176" s="68">
        <f t="shared" si="252"/>
        <v>312.05690464202337</v>
      </c>
    </row>
    <row r="1177" spans="1:23" x14ac:dyDescent="0.25">
      <c r="A1177" s="1" t="s">
        <v>945</v>
      </c>
      <c r="B1177" s="61" t="s">
        <v>390</v>
      </c>
      <c r="C1177" s="1" t="s">
        <v>585</v>
      </c>
      <c r="D1177" s="1" t="s">
        <v>586</v>
      </c>
      <c r="E1177" s="1" t="s">
        <v>379</v>
      </c>
      <c r="F1177" s="62" t="str">
        <f t="shared" si="253"/>
        <v>64573</v>
      </c>
      <c r="G1177" s="269">
        <v>10620053</v>
      </c>
      <c r="H1177" s="1" t="s">
        <v>381</v>
      </c>
      <c r="I1177" s="61">
        <v>23</v>
      </c>
      <c r="J1177" s="61">
        <v>6</v>
      </c>
      <c r="K1177" s="61">
        <v>9</v>
      </c>
      <c r="L1177" s="69">
        <f t="shared" si="242"/>
        <v>1.38</v>
      </c>
      <c r="M1177" s="69">
        <f t="shared" si="243"/>
        <v>2.0699999999999998</v>
      </c>
      <c r="N1177" s="56">
        <f>INDEX(Rate_Chart!$A$1:$AK$127,MATCH(Data!J1177,Rate_Chart!$A$1:$A$127,0),MATCH(Data!K1177,Rate_Chart!$A$1:$AK$1,0))</f>
        <v>50.1</v>
      </c>
      <c r="O1177" s="57">
        <f t="shared" si="244"/>
        <v>1152.3</v>
      </c>
      <c r="P1177" s="58">
        <f t="shared" si="245"/>
        <v>417.5</v>
      </c>
      <c r="Q1177" s="58">
        <f t="shared" si="246"/>
        <v>278.33333333333331</v>
      </c>
      <c r="R1177" s="66">
        <f t="shared" si="247"/>
        <v>20.16525</v>
      </c>
      <c r="S1177" s="64">
        <f t="shared" si="248"/>
        <v>86.25</v>
      </c>
      <c r="T1177" s="66">
        <f t="shared" si="249"/>
        <v>1258.71525</v>
      </c>
      <c r="U1177" s="68">
        <f t="shared" si="250"/>
        <v>54.726749999999996</v>
      </c>
      <c r="V1177" s="68">
        <f t="shared" si="251"/>
        <v>456.05624999999998</v>
      </c>
      <c r="W1177" s="68">
        <f t="shared" si="252"/>
        <v>304.03749999999997</v>
      </c>
    </row>
    <row r="1178" spans="1:23" x14ac:dyDescent="0.25">
      <c r="A1178" s="1" t="s">
        <v>945</v>
      </c>
      <c r="B1178" s="61" t="s">
        <v>390</v>
      </c>
      <c r="C1178" s="1" t="s">
        <v>585</v>
      </c>
      <c r="D1178" s="1" t="s">
        <v>586</v>
      </c>
      <c r="E1178" s="1" t="s">
        <v>379</v>
      </c>
      <c r="F1178" s="62" t="str">
        <f t="shared" si="253"/>
        <v>64573</v>
      </c>
      <c r="G1178" s="269">
        <v>10620053</v>
      </c>
      <c r="H1178" s="1" t="s">
        <v>382</v>
      </c>
      <c r="I1178" s="61">
        <v>62</v>
      </c>
      <c r="J1178" s="61">
        <v>3.5</v>
      </c>
      <c r="K1178" s="61">
        <v>8.1999999999999993</v>
      </c>
      <c r="L1178" s="69">
        <f t="shared" si="242"/>
        <v>2.17</v>
      </c>
      <c r="M1178" s="69">
        <f t="shared" si="243"/>
        <v>5.0839999999999996</v>
      </c>
      <c r="N1178" s="56">
        <f>INDEX(Rate_Chart!$A$1:$AK$127,MATCH(Data!J1178,Rate_Chart!$A$1:$A$127,0),MATCH(Data!K1178,Rate_Chart!$A$1:$AK$1,0))</f>
        <v>37.392139800000002</v>
      </c>
      <c r="O1178" s="57">
        <f t="shared" si="244"/>
        <v>2318.3126676000002</v>
      </c>
      <c r="P1178" s="58">
        <f t="shared" si="245"/>
        <v>417.01271152416359</v>
      </c>
      <c r="Q1178" s="58">
        <f t="shared" si="246"/>
        <v>278.00847434944239</v>
      </c>
      <c r="R1178" s="66">
        <f t="shared" si="247"/>
        <v>40.570471683000008</v>
      </c>
      <c r="S1178" s="64">
        <f t="shared" si="248"/>
        <v>232.5</v>
      </c>
      <c r="T1178" s="66">
        <f t="shared" si="249"/>
        <v>2591.3831392830002</v>
      </c>
      <c r="U1178" s="68">
        <f t="shared" si="250"/>
        <v>41.796502246500005</v>
      </c>
      <c r="V1178" s="68">
        <f t="shared" si="251"/>
        <v>466.13199531412641</v>
      </c>
      <c r="W1178" s="68">
        <f t="shared" si="252"/>
        <v>310.75466354275096</v>
      </c>
    </row>
    <row r="1179" spans="1:23" x14ac:dyDescent="0.25">
      <c r="A1179" s="1" t="s">
        <v>945</v>
      </c>
      <c r="B1179" s="61" t="s">
        <v>391</v>
      </c>
      <c r="C1179" s="1" t="s">
        <v>585</v>
      </c>
      <c r="D1179" s="1" t="s">
        <v>586</v>
      </c>
      <c r="E1179" s="1" t="s">
        <v>379</v>
      </c>
      <c r="F1179" s="62" t="str">
        <f t="shared" si="253"/>
        <v>64573</v>
      </c>
      <c r="G1179" s="269">
        <v>10620053</v>
      </c>
      <c r="H1179" s="1" t="s">
        <v>381</v>
      </c>
      <c r="I1179" s="61">
        <v>17</v>
      </c>
      <c r="J1179" s="61">
        <v>6</v>
      </c>
      <c r="K1179" s="61">
        <v>9</v>
      </c>
      <c r="L1179" s="69">
        <f t="shared" si="242"/>
        <v>1.02</v>
      </c>
      <c r="M1179" s="69">
        <f t="shared" si="243"/>
        <v>1.53</v>
      </c>
      <c r="N1179" s="56">
        <f>INDEX(Rate_Chart!$A$1:$AK$127,MATCH(Data!J1179,Rate_Chart!$A$1:$A$127,0),MATCH(Data!K1179,Rate_Chart!$A$1:$AK$1,0))</f>
        <v>50.1</v>
      </c>
      <c r="O1179" s="57">
        <f t="shared" si="244"/>
        <v>851.7</v>
      </c>
      <c r="P1179" s="58">
        <f t="shared" si="245"/>
        <v>417.5</v>
      </c>
      <c r="Q1179" s="58">
        <f t="shared" si="246"/>
        <v>278.33333333333331</v>
      </c>
      <c r="R1179" s="66">
        <f t="shared" si="247"/>
        <v>14.904750000000002</v>
      </c>
      <c r="S1179" s="64">
        <f t="shared" si="248"/>
        <v>63.75</v>
      </c>
      <c r="T1179" s="66">
        <f t="shared" si="249"/>
        <v>930.35475000000008</v>
      </c>
      <c r="U1179" s="68">
        <f t="shared" si="250"/>
        <v>54.726750000000003</v>
      </c>
      <c r="V1179" s="68">
        <f t="shared" si="251"/>
        <v>456.05625000000003</v>
      </c>
      <c r="W1179" s="68">
        <f t="shared" si="252"/>
        <v>304.03750000000002</v>
      </c>
    </row>
    <row r="1180" spans="1:23" x14ac:dyDescent="0.25">
      <c r="A1180" s="1" t="s">
        <v>945</v>
      </c>
      <c r="B1180" s="61" t="s">
        <v>391</v>
      </c>
      <c r="C1180" s="1" t="s">
        <v>585</v>
      </c>
      <c r="D1180" s="1" t="s">
        <v>586</v>
      </c>
      <c r="E1180" s="1" t="s">
        <v>379</v>
      </c>
      <c r="F1180" s="62" t="str">
        <f t="shared" si="253"/>
        <v>64573</v>
      </c>
      <c r="G1180" s="269">
        <v>10620053</v>
      </c>
      <c r="H1180" s="1" t="s">
        <v>382</v>
      </c>
      <c r="I1180" s="61">
        <v>40</v>
      </c>
      <c r="J1180" s="61">
        <v>3</v>
      </c>
      <c r="K1180" s="61">
        <v>8</v>
      </c>
      <c r="L1180" s="69">
        <f t="shared" si="242"/>
        <v>1.2</v>
      </c>
      <c r="M1180" s="69">
        <f t="shared" si="243"/>
        <v>3.2</v>
      </c>
      <c r="N1180" s="56">
        <f>INDEX(Rate_Chart!$A$1:$AK$127,MATCH(Data!J1180,Rate_Chart!$A$1:$A$127,0),MATCH(Data!K1180,Rate_Chart!$A$1:$AK$1,0))</f>
        <v>34.751112000000006</v>
      </c>
      <c r="O1180" s="57">
        <f t="shared" si="244"/>
        <v>1390.0444800000002</v>
      </c>
      <c r="P1180" s="58">
        <f t="shared" si="245"/>
        <v>417.01334400000002</v>
      </c>
      <c r="Q1180" s="58">
        <f t="shared" si="246"/>
        <v>278.00889599999999</v>
      </c>
      <c r="R1180" s="66">
        <f t="shared" si="247"/>
        <v>24.325778400000008</v>
      </c>
      <c r="S1180" s="64">
        <f t="shared" si="248"/>
        <v>150</v>
      </c>
      <c r="T1180" s="66">
        <f t="shared" si="249"/>
        <v>1564.3702584000002</v>
      </c>
      <c r="U1180" s="68">
        <f t="shared" si="250"/>
        <v>39.109256460000005</v>
      </c>
      <c r="V1180" s="68">
        <f t="shared" si="251"/>
        <v>469.31107752000003</v>
      </c>
      <c r="W1180" s="68">
        <f t="shared" si="252"/>
        <v>312.87405168000004</v>
      </c>
    </row>
    <row r="1181" spans="1:23" x14ac:dyDescent="0.25">
      <c r="A1181" s="1" t="s">
        <v>946</v>
      </c>
      <c r="B1181" s="61" t="s">
        <v>390</v>
      </c>
      <c r="C1181" s="1" t="s">
        <v>585</v>
      </c>
      <c r="D1181" s="1" t="s">
        <v>586</v>
      </c>
      <c r="E1181" s="1" t="s">
        <v>379</v>
      </c>
      <c r="F1181" s="62" t="str">
        <f t="shared" si="253"/>
        <v>64573</v>
      </c>
      <c r="G1181" s="269">
        <v>10620053</v>
      </c>
      <c r="H1181" s="1" t="s">
        <v>382</v>
      </c>
      <c r="I1181" s="61">
        <v>40</v>
      </c>
      <c r="J1181" s="61">
        <v>3.5</v>
      </c>
      <c r="K1181" s="61">
        <v>8.3000000000000007</v>
      </c>
      <c r="L1181" s="69">
        <f t="shared" si="242"/>
        <v>1.4</v>
      </c>
      <c r="M1181" s="69">
        <f t="shared" si="243"/>
        <v>3.32</v>
      </c>
      <c r="N1181" s="56">
        <f>INDEX(Rate_Chart!$A$1:$AK$127,MATCH(Data!J1181,Rate_Chart!$A$1:$A$127,0),MATCH(Data!K1181,Rate_Chart!$A$1:$AK$1,0))</f>
        <v>37.670153700000007</v>
      </c>
      <c r="O1181" s="57">
        <f t="shared" si="244"/>
        <v>1506.8061480000003</v>
      </c>
      <c r="P1181" s="58">
        <f t="shared" si="245"/>
        <v>417.01277158671587</v>
      </c>
      <c r="Q1181" s="58">
        <f t="shared" si="246"/>
        <v>278.00851439114393</v>
      </c>
      <c r="R1181" s="66">
        <f t="shared" si="247"/>
        <v>26.369107590000009</v>
      </c>
      <c r="S1181" s="64">
        <f t="shared" si="248"/>
        <v>150</v>
      </c>
      <c r="T1181" s="66">
        <f t="shared" si="249"/>
        <v>1683.1752555900002</v>
      </c>
      <c r="U1181" s="68">
        <f t="shared" si="250"/>
        <v>42.079381389750004</v>
      </c>
      <c r="V1181" s="68">
        <f t="shared" si="251"/>
        <v>465.82341021863465</v>
      </c>
      <c r="W1181" s="68">
        <f t="shared" si="252"/>
        <v>310.54894014575643</v>
      </c>
    </row>
    <row r="1182" spans="1:23" x14ac:dyDescent="0.25">
      <c r="A1182" s="1" t="s">
        <v>946</v>
      </c>
      <c r="B1182" s="61" t="s">
        <v>391</v>
      </c>
      <c r="C1182" s="1" t="s">
        <v>585</v>
      </c>
      <c r="D1182" s="1" t="s">
        <v>586</v>
      </c>
      <c r="E1182" s="1" t="s">
        <v>379</v>
      </c>
      <c r="F1182" s="62" t="str">
        <f t="shared" si="253"/>
        <v>64573</v>
      </c>
      <c r="G1182" s="269">
        <v>10620053</v>
      </c>
      <c r="H1182" s="1" t="s">
        <v>381</v>
      </c>
      <c r="I1182" s="61">
        <v>14</v>
      </c>
      <c r="J1182" s="61">
        <v>6.8</v>
      </c>
      <c r="K1182" s="61">
        <v>9</v>
      </c>
      <c r="L1182" s="69">
        <f t="shared" si="242"/>
        <v>0.95200000000000007</v>
      </c>
      <c r="M1182" s="69">
        <f t="shared" si="243"/>
        <v>1.26</v>
      </c>
      <c r="N1182" s="56">
        <f>INDEX(Rate_Chart!$A$1:$AK$127,MATCH(Data!J1182,Rate_Chart!$A$1:$A$127,0),MATCH(Data!K1182,Rate_Chart!$A$1:$AK$1,0))</f>
        <v>56.78</v>
      </c>
      <c r="O1182" s="57">
        <f t="shared" si="244"/>
        <v>794.92000000000007</v>
      </c>
      <c r="P1182" s="58">
        <f t="shared" si="245"/>
        <v>443.59375</v>
      </c>
      <c r="Q1182" s="58">
        <f t="shared" si="246"/>
        <v>295.72916666666669</v>
      </c>
      <c r="R1182" s="66">
        <f t="shared" si="247"/>
        <v>13.911100000000003</v>
      </c>
      <c r="S1182" s="64">
        <f t="shared" si="248"/>
        <v>52.5</v>
      </c>
      <c r="T1182" s="66">
        <f t="shared" si="249"/>
        <v>861.33110000000011</v>
      </c>
      <c r="U1182" s="68">
        <f t="shared" si="250"/>
        <v>61.523650000000011</v>
      </c>
      <c r="V1182" s="68">
        <f t="shared" si="251"/>
        <v>480.65351562500007</v>
      </c>
      <c r="W1182" s="68">
        <f t="shared" si="252"/>
        <v>320.43567708333336</v>
      </c>
    </row>
    <row r="1183" spans="1:23" x14ac:dyDescent="0.25">
      <c r="A1183" s="1" t="s">
        <v>946</v>
      </c>
      <c r="B1183" s="61" t="s">
        <v>391</v>
      </c>
      <c r="C1183" s="1" t="s">
        <v>585</v>
      </c>
      <c r="D1183" s="1" t="s">
        <v>586</v>
      </c>
      <c r="E1183" s="1" t="s">
        <v>379</v>
      </c>
      <c r="F1183" s="62" t="str">
        <f t="shared" si="253"/>
        <v>64573</v>
      </c>
      <c r="G1183" s="269">
        <v>10620053</v>
      </c>
      <c r="H1183" s="1" t="s">
        <v>382</v>
      </c>
      <c r="I1183" s="61">
        <v>42</v>
      </c>
      <c r="J1183" s="61">
        <v>3</v>
      </c>
      <c r="K1183" s="61">
        <v>8.1</v>
      </c>
      <c r="L1183" s="69">
        <f t="shared" si="242"/>
        <v>1.26</v>
      </c>
      <c r="M1183" s="69">
        <f t="shared" si="243"/>
        <v>3.4019999999999997</v>
      </c>
      <c r="N1183" s="56">
        <f>INDEX(Rate_Chart!$A$1:$AK$127,MATCH(Data!J1183,Rate_Chart!$A$1:$A$127,0),MATCH(Data!K1183,Rate_Chart!$A$1:$AK$1,0))</f>
        <v>35.029125900000004</v>
      </c>
      <c r="O1183" s="57">
        <f t="shared" si="244"/>
        <v>1471.2232878000002</v>
      </c>
      <c r="P1183" s="58">
        <f t="shared" si="245"/>
        <v>417.01340357142868</v>
      </c>
      <c r="Q1183" s="58">
        <f t="shared" si="246"/>
        <v>278.00893571428577</v>
      </c>
      <c r="R1183" s="66">
        <f t="shared" si="247"/>
        <v>25.746407536500005</v>
      </c>
      <c r="S1183" s="64">
        <f t="shared" si="248"/>
        <v>157.5</v>
      </c>
      <c r="T1183" s="66">
        <f t="shared" si="249"/>
        <v>1654.4696953365003</v>
      </c>
      <c r="U1183" s="68">
        <f t="shared" si="250"/>
        <v>39.392135603250004</v>
      </c>
      <c r="V1183" s="68">
        <f t="shared" si="251"/>
        <v>468.9539952767858</v>
      </c>
      <c r="W1183" s="68">
        <f t="shared" si="252"/>
        <v>312.63599685119055</v>
      </c>
    </row>
    <row r="1184" spans="1:23" x14ac:dyDescent="0.25">
      <c r="A1184" s="1" t="s">
        <v>947</v>
      </c>
      <c r="B1184" s="61" t="s">
        <v>390</v>
      </c>
      <c r="C1184" s="1" t="s">
        <v>585</v>
      </c>
      <c r="D1184" s="1" t="s">
        <v>586</v>
      </c>
      <c r="E1184" s="1" t="s">
        <v>379</v>
      </c>
      <c r="F1184" s="62" t="str">
        <f t="shared" si="253"/>
        <v>64573</v>
      </c>
      <c r="G1184" s="269">
        <v>10620053</v>
      </c>
      <c r="H1184" s="1" t="s">
        <v>381</v>
      </c>
      <c r="I1184" s="61">
        <v>20</v>
      </c>
      <c r="J1184" s="61">
        <v>6.5</v>
      </c>
      <c r="K1184" s="61">
        <v>9</v>
      </c>
      <c r="L1184" s="69">
        <f t="shared" ref="L1184:L1247" si="254">J1184*I1184/100</f>
        <v>1.3</v>
      </c>
      <c r="M1184" s="69">
        <f t="shared" ref="M1184:M1247" si="255">K1184*I1184/100</f>
        <v>1.8</v>
      </c>
      <c r="N1184" s="56">
        <f>INDEX(Rate_Chart!$A$1:$AK$127,MATCH(Data!J1184,Rate_Chart!$A$1:$A$127,0),MATCH(Data!K1184,Rate_Chart!$A$1:$AK$1,0))</f>
        <v>54.274999999999999</v>
      </c>
      <c r="O1184" s="57">
        <f t="shared" ref="O1184:O1247" si="256">N1184*I1184</f>
        <v>1085.5</v>
      </c>
      <c r="P1184" s="58">
        <f t="shared" ref="P1184:P1247" si="257">N1184/(J1184%+K1184%*2/3)</f>
        <v>434.2</v>
      </c>
      <c r="Q1184" s="58">
        <f t="shared" ref="Q1184:Q1247" si="258">P1184*2/3</f>
        <v>289.46666666666664</v>
      </c>
      <c r="R1184" s="66">
        <f t="shared" ref="R1184:R1247" si="259">O1184*1.75%</f>
        <v>18.996250000000003</v>
      </c>
      <c r="S1184" s="64">
        <f t="shared" ref="S1184:S1247" si="260">I1184*3.75</f>
        <v>75</v>
      </c>
      <c r="T1184" s="66">
        <f t="shared" ref="T1184:T1247" si="261">R1184+S1184+O1184</f>
        <v>1179.4962499999999</v>
      </c>
      <c r="U1184" s="68">
        <f t="shared" ref="U1184:U1247" si="262">T1184/I1184</f>
        <v>58.974812499999999</v>
      </c>
      <c r="V1184" s="68">
        <f t="shared" ref="V1184:V1247" si="263">U1184/(J1184%+K1184%*2/3)</f>
        <v>471.79849999999999</v>
      </c>
      <c r="W1184" s="68">
        <f t="shared" ref="W1184:W1247" si="264">V1184*2/3</f>
        <v>314.53233333333333</v>
      </c>
    </row>
    <row r="1185" spans="1:23" x14ac:dyDescent="0.25">
      <c r="A1185" s="1" t="s">
        <v>947</v>
      </c>
      <c r="B1185" s="61" t="s">
        <v>390</v>
      </c>
      <c r="C1185" s="1" t="s">
        <v>585</v>
      </c>
      <c r="D1185" s="1" t="s">
        <v>586</v>
      </c>
      <c r="E1185" s="1" t="s">
        <v>379</v>
      </c>
      <c r="F1185" s="62" t="str">
        <f t="shared" si="253"/>
        <v>64573</v>
      </c>
      <c r="G1185" s="269">
        <v>10620053</v>
      </c>
      <c r="H1185" s="1" t="s">
        <v>382</v>
      </c>
      <c r="I1185" s="61">
        <v>72</v>
      </c>
      <c r="J1185" s="61">
        <v>3.5</v>
      </c>
      <c r="K1185" s="61">
        <v>8.1999999999999993</v>
      </c>
      <c r="L1185" s="69">
        <f t="shared" si="254"/>
        <v>2.52</v>
      </c>
      <c r="M1185" s="69">
        <f t="shared" si="255"/>
        <v>5.9039999999999999</v>
      </c>
      <c r="N1185" s="56">
        <f>INDEX(Rate_Chart!$A$1:$AK$127,MATCH(Data!J1185,Rate_Chart!$A$1:$A$127,0),MATCH(Data!K1185,Rate_Chart!$A$1:$AK$1,0))</f>
        <v>37.392139800000002</v>
      </c>
      <c r="O1185" s="57">
        <f t="shared" si="256"/>
        <v>2692.2340656000001</v>
      </c>
      <c r="P1185" s="58">
        <f t="shared" si="257"/>
        <v>417.01271152416359</v>
      </c>
      <c r="Q1185" s="58">
        <f t="shared" si="258"/>
        <v>278.00847434944239</v>
      </c>
      <c r="R1185" s="66">
        <f t="shared" si="259"/>
        <v>47.114096148000009</v>
      </c>
      <c r="S1185" s="64">
        <f t="shared" si="260"/>
        <v>270</v>
      </c>
      <c r="T1185" s="66">
        <f t="shared" si="261"/>
        <v>3009.3481617480002</v>
      </c>
      <c r="U1185" s="68">
        <f t="shared" si="262"/>
        <v>41.796502246500005</v>
      </c>
      <c r="V1185" s="68">
        <f t="shared" si="263"/>
        <v>466.13199531412641</v>
      </c>
      <c r="W1185" s="68">
        <f t="shared" si="264"/>
        <v>310.75466354275096</v>
      </c>
    </row>
    <row r="1186" spans="1:23" x14ac:dyDescent="0.25">
      <c r="A1186" s="1" t="s">
        <v>947</v>
      </c>
      <c r="B1186" s="61" t="s">
        <v>391</v>
      </c>
      <c r="C1186" s="1" t="s">
        <v>585</v>
      </c>
      <c r="D1186" s="1" t="s">
        <v>586</v>
      </c>
      <c r="E1186" s="1" t="s">
        <v>379</v>
      </c>
      <c r="F1186" s="62" t="str">
        <f t="shared" si="253"/>
        <v>64573</v>
      </c>
      <c r="G1186" s="269">
        <v>10620053</v>
      </c>
      <c r="H1186" s="1" t="s">
        <v>381</v>
      </c>
      <c r="I1186" s="61">
        <v>17</v>
      </c>
      <c r="J1186" s="61">
        <v>6.4</v>
      </c>
      <c r="K1186" s="61">
        <v>9</v>
      </c>
      <c r="L1186" s="69">
        <f t="shared" si="254"/>
        <v>1.0880000000000001</v>
      </c>
      <c r="M1186" s="69">
        <f t="shared" si="255"/>
        <v>1.53</v>
      </c>
      <c r="N1186" s="56">
        <f>INDEX(Rate_Chart!$A$1:$AK$127,MATCH(Data!J1186,Rate_Chart!$A$1:$A$127,0),MATCH(Data!K1186,Rate_Chart!$A$1:$AK$1,0))</f>
        <v>53.44</v>
      </c>
      <c r="O1186" s="57">
        <f t="shared" si="256"/>
        <v>908.48</v>
      </c>
      <c r="P1186" s="58">
        <f t="shared" si="257"/>
        <v>430.96774193548384</v>
      </c>
      <c r="Q1186" s="58">
        <f t="shared" si="258"/>
        <v>287.31182795698925</v>
      </c>
      <c r="R1186" s="66">
        <f t="shared" si="259"/>
        <v>15.898400000000002</v>
      </c>
      <c r="S1186" s="64">
        <f t="shared" si="260"/>
        <v>63.75</v>
      </c>
      <c r="T1186" s="66">
        <f t="shared" si="261"/>
        <v>988.12840000000006</v>
      </c>
      <c r="U1186" s="68">
        <f t="shared" si="262"/>
        <v>58.125200000000007</v>
      </c>
      <c r="V1186" s="68">
        <f t="shared" si="263"/>
        <v>468.75161290322586</v>
      </c>
      <c r="W1186" s="68">
        <f t="shared" si="264"/>
        <v>312.50107526881726</v>
      </c>
    </row>
    <row r="1187" spans="1:23" x14ac:dyDescent="0.25">
      <c r="A1187" s="1" t="s">
        <v>947</v>
      </c>
      <c r="B1187" s="61" t="s">
        <v>391</v>
      </c>
      <c r="C1187" s="1" t="s">
        <v>585</v>
      </c>
      <c r="D1187" s="1" t="s">
        <v>586</v>
      </c>
      <c r="E1187" s="1" t="s">
        <v>379</v>
      </c>
      <c r="F1187" s="62" t="str">
        <f t="shared" si="253"/>
        <v>64573</v>
      </c>
      <c r="G1187" s="269">
        <v>10620053</v>
      </c>
      <c r="H1187" s="1" t="s">
        <v>382</v>
      </c>
      <c r="I1187" s="61">
        <v>40</v>
      </c>
      <c r="J1187" s="61">
        <v>3</v>
      </c>
      <c r="K1187" s="61">
        <v>8</v>
      </c>
      <c r="L1187" s="69">
        <f t="shared" si="254"/>
        <v>1.2</v>
      </c>
      <c r="M1187" s="69">
        <f t="shared" si="255"/>
        <v>3.2</v>
      </c>
      <c r="N1187" s="56">
        <f>INDEX(Rate_Chart!$A$1:$AK$127,MATCH(Data!J1187,Rate_Chart!$A$1:$A$127,0),MATCH(Data!K1187,Rate_Chart!$A$1:$AK$1,0))</f>
        <v>34.751112000000006</v>
      </c>
      <c r="O1187" s="57">
        <f t="shared" si="256"/>
        <v>1390.0444800000002</v>
      </c>
      <c r="P1187" s="58">
        <f t="shared" si="257"/>
        <v>417.01334400000002</v>
      </c>
      <c r="Q1187" s="58">
        <f t="shared" si="258"/>
        <v>278.00889599999999</v>
      </c>
      <c r="R1187" s="66">
        <f t="shared" si="259"/>
        <v>24.325778400000008</v>
      </c>
      <c r="S1187" s="64">
        <f t="shared" si="260"/>
        <v>150</v>
      </c>
      <c r="T1187" s="66">
        <f t="shared" si="261"/>
        <v>1564.3702584000002</v>
      </c>
      <c r="U1187" s="68">
        <f t="shared" si="262"/>
        <v>39.109256460000005</v>
      </c>
      <c r="V1187" s="68">
        <f t="shared" si="263"/>
        <v>469.31107752000003</v>
      </c>
      <c r="W1187" s="68">
        <f t="shared" si="264"/>
        <v>312.87405168000004</v>
      </c>
    </row>
    <row r="1188" spans="1:23" x14ac:dyDescent="0.25">
      <c r="A1188" s="1" t="s">
        <v>941</v>
      </c>
      <c r="B1188" s="61" t="s">
        <v>390</v>
      </c>
      <c r="C1188" s="1" t="s">
        <v>585</v>
      </c>
      <c r="D1188" s="1" t="s">
        <v>586</v>
      </c>
      <c r="E1188" s="1" t="s">
        <v>591</v>
      </c>
      <c r="F1188" s="62" t="str">
        <f t="shared" si="253"/>
        <v>64590</v>
      </c>
      <c r="G1188" s="269">
        <v>10620062</v>
      </c>
      <c r="H1188" s="1" t="s">
        <v>382</v>
      </c>
      <c r="I1188" s="61">
        <v>5</v>
      </c>
      <c r="J1188" s="61">
        <v>3.7</v>
      </c>
      <c r="K1188" s="61">
        <v>8</v>
      </c>
      <c r="L1188" s="69">
        <f t="shared" si="254"/>
        <v>0.185</v>
      </c>
      <c r="M1188" s="69">
        <f t="shared" si="255"/>
        <v>0.4</v>
      </c>
      <c r="N1188" s="56">
        <f>INDEX(Rate_Chart!$A$1:$AK$127,MATCH(Data!J1188,Rate_Chart!$A$1:$A$127,0),MATCH(Data!K1188,Rate_Chart!$A$1:$AK$1,0))</f>
        <v>37.670112000000003</v>
      </c>
      <c r="O1188" s="57">
        <f t="shared" si="256"/>
        <v>188.35056000000003</v>
      </c>
      <c r="P1188" s="58">
        <f t="shared" si="257"/>
        <v>417.0123099630996</v>
      </c>
      <c r="Q1188" s="58">
        <f t="shared" si="258"/>
        <v>278.0082066420664</v>
      </c>
      <c r="R1188" s="66">
        <f t="shared" si="259"/>
        <v>3.2961348000000008</v>
      </c>
      <c r="S1188" s="64">
        <f t="shared" si="260"/>
        <v>18.75</v>
      </c>
      <c r="T1188" s="66">
        <f t="shared" si="261"/>
        <v>210.39669480000003</v>
      </c>
      <c r="U1188" s="68">
        <f t="shared" si="262"/>
        <v>42.079338960000008</v>
      </c>
      <c r="V1188" s="68">
        <f t="shared" si="263"/>
        <v>465.82294051660517</v>
      </c>
      <c r="W1188" s="68">
        <f t="shared" si="264"/>
        <v>310.5486270110701</v>
      </c>
    </row>
    <row r="1189" spans="1:23" x14ac:dyDescent="0.25">
      <c r="A1189" s="1" t="s">
        <v>941</v>
      </c>
      <c r="B1189" s="61" t="s">
        <v>391</v>
      </c>
      <c r="C1189" s="1" t="s">
        <v>585</v>
      </c>
      <c r="D1189" s="1" t="s">
        <v>586</v>
      </c>
      <c r="E1189" s="1" t="s">
        <v>591</v>
      </c>
      <c r="F1189" s="62" t="str">
        <f t="shared" si="253"/>
        <v>64590</v>
      </c>
      <c r="G1189" s="269">
        <v>10620062</v>
      </c>
      <c r="H1189" s="1" t="s">
        <v>382</v>
      </c>
      <c r="I1189" s="61">
        <v>10</v>
      </c>
      <c r="J1189" s="61">
        <v>4.5</v>
      </c>
      <c r="K1189" s="61">
        <v>8.5</v>
      </c>
      <c r="L1189" s="69">
        <f t="shared" si="254"/>
        <v>0.45</v>
      </c>
      <c r="M1189" s="69">
        <f t="shared" si="255"/>
        <v>0.85</v>
      </c>
      <c r="N1189" s="56">
        <f>INDEX(Rate_Chart!$A$1:$AK$127,MATCH(Data!J1189,Rate_Chart!$A$1:$A$127,0),MATCH(Data!K1189,Rate_Chart!$A$1:$AK$1,0))</f>
        <v>42.396181500000004</v>
      </c>
      <c r="O1189" s="57">
        <f t="shared" si="256"/>
        <v>423.96181500000006</v>
      </c>
      <c r="P1189" s="58">
        <f t="shared" si="257"/>
        <v>417.01162131147544</v>
      </c>
      <c r="Q1189" s="58">
        <f t="shared" si="258"/>
        <v>278.00774754098364</v>
      </c>
      <c r="R1189" s="66">
        <f t="shared" si="259"/>
        <v>7.4193317625000015</v>
      </c>
      <c r="S1189" s="64">
        <f t="shared" si="260"/>
        <v>37.5</v>
      </c>
      <c r="T1189" s="66">
        <f t="shared" si="261"/>
        <v>468.88114676250007</v>
      </c>
      <c r="U1189" s="68">
        <f t="shared" si="262"/>
        <v>46.888114676250005</v>
      </c>
      <c r="V1189" s="68">
        <f t="shared" si="263"/>
        <v>461.19457058606559</v>
      </c>
      <c r="W1189" s="68">
        <f t="shared" si="264"/>
        <v>307.46304705737708</v>
      </c>
    </row>
    <row r="1190" spans="1:23" x14ac:dyDescent="0.25">
      <c r="A1190" s="1" t="s">
        <v>942</v>
      </c>
      <c r="B1190" s="61" t="s">
        <v>390</v>
      </c>
      <c r="C1190" s="1" t="s">
        <v>585</v>
      </c>
      <c r="D1190" s="1" t="s">
        <v>586</v>
      </c>
      <c r="E1190" s="1" t="s">
        <v>591</v>
      </c>
      <c r="F1190" s="62" t="str">
        <f t="shared" si="253"/>
        <v>64590</v>
      </c>
      <c r="G1190" s="269">
        <v>10620062</v>
      </c>
      <c r="H1190" s="1" t="s">
        <v>382</v>
      </c>
      <c r="I1190" s="61">
        <v>5</v>
      </c>
      <c r="J1190" s="61">
        <v>3</v>
      </c>
      <c r="K1190" s="61">
        <v>8.1</v>
      </c>
      <c r="L1190" s="69">
        <f t="shared" si="254"/>
        <v>0.15</v>
      </c>
      <c r="M1190" s="69">
        <f t="shared" si="255"/>
        <v>0.40500000000000003</v>
      </c>
      <c r="N1190" s="56">
        <f>INDEX(Rate_Chart!$A$1:$AK$127,MATCH(Data!J1190,Rate_Chart!$A$1:$A$127,0),MATCH(Data!K1190,Rate_Chart!$A$1:$AK$1,0))</f>
        <v>35.029125900000004</v>
      </c>
      <c r="O1190" s="57">
        <f t="shared" si="256"/>
        <v>175.14562950000001</v>
      </c>
      <c r="P1190" s="58">
        <f t="shared" si="257"/>
        <v>417.01340357142868</v>
      </c>
      <c r="Q1190" s="58">
        <f t="shared" si="258"/>
        <v>278.00893571428577</v>
      </c>
      <c r="R1190" s="66">
        <f t="shared" si="259"/>
        <v>3.0650485162500005</v>
      </c>
      <c r="S1190" s="64">
        <f t="shared" si="260"/>
        <v>18.75</v>
      </c>
      <c r="T1190" s="66">
        <f t="shared" si="261"/>
        <v>196.96067801625003</v>
      </c>
      <c r="U1190" s="68">
        <f t="shared" si="262"/>
        <v>39.392135603250004</v>
      </c>
      <c r="V1190" s="68">
        <f t="shared" si="263"/>
        <v>468.9539952767858</v>
      </c>
      <c r="W1190" s="68">
        <f t="shared" si="264"/>
        <v>312.63599685119055</v>
      </c>
    </row>
    <row r="1191" spans="1:23" x14ac:dyDescent="0.25">
      <c r="A1191" s="1" t="s">
        <v>942</v>
      </c>
      <c r="B1191" s="61" t="s">
        <v>391</v>
      </c>
      <c r="C1191" s="1" t="s">
        <v>585</v>
      </c>
      <c r="D1191" s="1" t="s">
        <v>586</v>
      </c>
      <c r="E1191" s="1" t="s">
        <v>591</v>
      </c>
      <c r="F1191" s="62" t="str">
        <f t="shared" si="253"/>
        <v>64590</v>
      </c>
      <c r="G1191" s="269">
        <v>10620062</v>
      </c>
      <c r="H1191" s="1" t="s">
        <v>382</v>
      </c>
      <c r="I1191" s="61">
        <v>10</v>
      </c>
      <c r="J1191" s="61">
        <v>4.3</v>
      </c>
      <c r="K1191" s="61">
        <v>8.5</v>
      </c>
      <c r="L1191" s="69">
        <f t="shared" si="254"/>
        <v>0.43</v>
      </c>
      <c r="M1191" s="69">
        <f t="shared" si="255"/>
        <v>0.85</v>
      </c>
      <c r="N1191" s="56">
        <f>INDEX(Rate_Chart!$A$1:$AK$127,MATCH(Data!J1191,Rate_Chart!$A$1:$A$127,0),MATCH(Data!K1191,Rate_Chart!$A$1:$AK$1,0))</f>
        <v>41.562181500000001</v>
      </c>
      <c r="O1191" s="57">
        <f t="shared" si="256"/>
        <v>415.62181500000003</v>
      </c>
      <c r="P1191" s="58">
        <f t="shared" si="257"/>
        <v>417.01185451505017</v>
      </c>
      <c r="Q1191" s="58">
        <f t="shared" si="258"/>
        <v>278.00790301003343</v>
      </c>
      <c r="R1191" s="66">
        <f t="shared" si="259"/>
        <v>7.2733817625000015</v>
      </c>
      <c r="S1191" s="64">
        <f t="shared" si="260"/>
        <v>37.5</v>
      </c>
      <c r="T1191" s="66">
        <f t="shared" si="261"/>
        <v>460.39519676250001</v>
      </c>
      <c r="U1191" s="68">
        <f t="shared" si="262"/>
        <v>46.039519676250002</v>
      </c>
      <c r="V1191" s="68">
        <f t="shared" si="263"/>
        <v>461.93498002926424</v>
      </c>
      <c r="W1191" s="68">
        <f t="shared" si="264"/>
        <v>307.95665335284281</v>
      </c>
    </row>
    <row r="1192" spans="1:23" x14ac:dyDescent="0.25">
      <c r="A1192" s="1" t="s">
        <v>943</v>
      </c>
      <c r="B1192" s="61" t="s">
        <v>390</v>
      </c>
      <c r="C1192" s="1" t="s">
        <v>585</v>
      </c>
      <c r="D1192" s="1" t="s">
        <v>586</v>
      </c>
      <c r="E1192" s="1" t="s">
        <v>591</v>
      </c>
      <c r="F1192" s="62" t="str">
        <f t="shared" si="253"/>
        <v>64590</v>
      </c>
      <c r="G1192" s="269">
        <v>10620062</v>
      </c>
      <c r="H1192" s="1" t="s">
        <v>382</v>
      </c>
      <c r="I1192" s="61">
        <v>6</v>
      </c>
      <c r="J1192" s="61">
        <v>3.2</v>
      </c>
      <c r="K1192" s="61">
        <v>8</v>
      </c>
      <c r="L1192" s="69">
        <f t="shared" si="254"/>
        <v>0.19200000000000003</v>
      </c>
      <c r="M1192" s="69">
        <f t="shared" si="255"/>
        <v>0.48</v>
      </c>
      <c r="N1192" s="56">
        <f>INDEX(Rate_Chart!$A$1:$AK$127,MATCH(Data!J1192,Rate_Chart!$A$1:$A$127,0),MATCH(Data!K1192,Rate_Chart!$A$1:$AK$1,0))</f>
        <v>35.585112000000002</v>
      </c>
      <c r="O1192" s="57">
        <f t="shared" si="256"/>
        <v>213.510672</v>
      </c>
      <c r="P1192" s="58">
        <f t="shared" si="257"/>
        <v>417.01303124999998</v>
      </c>
      <c r="Q1192" s="58">
        <f t="shared" si="258"/>
        <v>278.00868750000001</v>
      </c>
      <c r="R1192" s="66">
        <f t="shared" si="259"/>
        <v>3.7364367600000001</v>
      </c>
      <c r="S1192" s="64">
        <f t="shared" si="260"/>
        <v>22.5</v>
      </c>
      <c r="T1192" s="66">
        <f t="shared" si="261"/>
        <v>239.74710876</v>
      </c>
      <c r="U1192" s="68">
        <f t="shared" si="262"/>
        <v>39.957851460000001</v>
      </c>
      <c r="V1192" s="68">
        <f t="shared" si="263"/>
        <v>468.25607179687495</v>
      </c>
      <c r="W1192" s="68">
        <f t="shared" si="264"/>
        <v>312.17071453124998</v>
      </c>
    </row>
    <row r="1193" spans="1:23" x14ac:dyDescent="0.25">
      <c r="A1193" s="1" t="s">
        <v>943</v>
      </c>
      <c r="B1193" s="61" t="s">
        <v>391</v>
      </c>
      <c r="C1193" s="1" t="s">
        <v>585</v>
      </c>
      <c r="D1193" s="1" t="s">
        <v>586</v>
      </c>
      <c r="E1193" s="1" t="s">
        <v>591</v>
      </c>
      <c r="F1193" s="62" t="str">
        <f t="shared" si="253"/>
        <v>64590</v>
      </c>
      <c r="G1193" s="269">
        <v>10620062</v>
      </c>
      <c r="H1193" s="1" t="s">
        <v>382</v>
      </c>
      <c r="I1193" s="61">
        <v>10</v>
      </c>
      <c r="J1193" s="61">
        <v>4.5999999999999996</v>
      </c>
      <c r="K1193" s="61">
        <v>8.5</v>
      </c>
      <c r="L1193" s="69">
        <f t="shared" si="254"/>
        <v>0.46</v>
      </c>
      <c r="M1193" s="69">
        <f t="shared" si="255"/>
        <v>0.85</v>
      </c>
      <c r="N1193" s="56">
        <f>INDEX(Rate_Chart!$A$1:$AK$127,MATCH(Data!J1193,Rate_Chart!$A$1:$A$127,0),MATCH(Data!K1193,Rate_Chart!$A$1:$AK$1,0))</f>
        <v>42.813181499999999</v>
      </c>
      <c r="O1193" s="57">
        <f t="shared" si="256"/>
        <v>428.13181499999996</v>
      </c>
      <c r="P1193" s="58">
        <f t="shared" si="257"/>
        <v>417.01150811688308</v>
      </c>
      <c r="Q1193" s="58">
        <f t="shared" si="258"/>
        <v>278.00767207792205</v>
      </c>
      <c r="R1193" s="66">
        <f t="shared" si="259"/>
        <v>7.4923067625000002</v>
      </c>
      <c r="S1193" s="64">
        <f t="shared" si="260"/>
        <v>37.5</v>
      </c>
      <c r="T1193" s="66">
        <f t="shared" si="261"/>
        <v>473.12412176249995</v>
      </c>
      <c r="U1193" s="68">
        <f t="shared" si="262"/>
        <v>47.312412176249993</v>
      </c>
      <c r="V1193" s="68">
        <f t="shared" si="263"/>
        <v>460.83518353490251</v>
      </c>
      <c r="W1193" s="68">
        <f t="shared" si="264"/>
        <v>307.22345568993501</v>
      </c>
    </row>
    <row r="1194" spans="1:23" x14ac:dyDescent="0.25">
      <c r="A1194" s="1" t="s">
        <v>944</v>
      </c>
      <c r="B1194" s="61" t="s">
        <v>390</v>
      </c>
      <c r="C1194" s="1" t="s">
        <v>585</v>
      </c>
      <c r="D1194" s="1" t="s">
        <v>586</v>
      </c>
      <c r="E1194" s="1" t="s">
        <v>591</v>
      </c>
      <c r="F1194" s="62" t="str">
        <f t="shared" si="253"/>
        <v>64590</v>
      </c>
      <c r="G1194" s="269">
        <v>10620062</v>
      </c>
      <c r="H1194" s="1" t="s">
        <v>382</v>
      </c>
      <c r="I1194" s="61">
        <v>5</v>
      </c>
      <c r="J1194" s="61">
        <v>3</v>
      </c>
      <c r="K1194" s="61">
        <v>8</v>
      </c>
      <c r="L1194" s="69">
        <f t="shared" si="254"/>
        <v>0.15</v>
      </c>
      <c r="M1194" s="69">
        <f t="shared" si="255"/>
        <v>0.4</v>
      </c>
      <c r="N1194" s="56">
        <f>INDEX(Rate_Chart!$A$1:$AK$127,MATCH(Data!J1194,Rate_Chart!$A$1:$A$127,0),MATCH(Data!K1194,Rate_Chart!$A$1:$AK$1,0))</f>
        <v>34.751112000000006</v>
      </c>
      <c r="O1194" s="57">
        <f t="shared" si="256"/>
        <v>173.75556000000003</v>
      </c>
      <c r="P1194" s="58">
        <f t="shared" si="257"/>
        <v>417.01334400000002</v>
      </c>
      <c r="Q1194" s="58">
        <f t="shared" si="258"/>
        <v>278.00889599999999</v>
      </c>
      <c r="R1194" s="66">
        <f t="shared" si="259"/>
        <v>3.040722300000001</v>
      </c>
      <c r="S1194" s="64">
        <f t="shared" si="260"/>
        <v>18.75</v>
      </c>
      <c r="T1194" s="66">
        <f t="shared" si="261"/>
        <v>195.54628230000003</v>
      </c>
      <c r="U1194" s="68">
        <f t="shared" si="262"/>
        <v>39.109256460000005</v>
      </c>
      <c r="V1194" s="68">
        <f t="shared" si="263"/>
        <v>469.31107752000003</v>
      </c>
      <c r="W1194" s="68">
        <f t="shared" si="264"/>
        <v>312.87405168000004</v>
      </c>
    </row>
    <row r="1195" spans="1:23" x14ac:dyDescent="0.25">
      <c r="A1195" s="1" t="s">
        <v>944</v>
      </c>
      <c r="B1195" s="61" t="s">
        <v>391</v>
      </c>
      <c r="C1195" s="1" t="s">
        <v>585</v>
      </c>
      <c r="D1195" s="1" t="s">
        <v>586</v>
      </c>
      <c r="E1195" s="1" t="s">
        <v>591</v>
      </c>
      <c r="F1195" s="62" t="str">
        <f t="shared" si="253"/>
        <v>64590</v>
      </c>
      <c r="G1195" s="269">
        <v>10620062</v>
      </c>
      <c r="H1195" s="1" t="s">
        <v>382</v>
      </c>
      <c r="I1195" s="61">
        <v>11</v>
      </c>
      <c r="J1195" s="61">
        <v>4.5999999999999996</v>
      </c>
      <c r="K1195" s="61">
        <v>8.5</v>
      </c>
      <c r="L1195" s="69">
        <f t="shared" si="254"/>
        <v>0.50599999999999989</v>
      </c>
      <c r="M1195" s="69">
        <f t="shared" si="255"/>
        <v>0.93500000000000005</v>
      </c>
      <c r="N1195" s="56">
        <f>INDEX(Rate_Chart!$A$1:$AK$127,MATCH(Data!J1195,Rate_Chart!$A$1:$A$127,0),MATCH(Data!K1195,Rate_Chart!$A$1:$AK$1,0))</f>
        <v>42.813181499999999</v>
      </c>
      <c r="O1195" s="57">
        <f t="shared" si="256"/>
        <v>470.9449965</v>
      </c>
      <c r="P1195" s="58">
        <f t="shared" si="257"/>
        <v>417.01150811688308</v>
      </c>
      <c r="Q1195" s="58">
        <f t="shared" si="258"/>
        <v>278.00767207792205</v>
      </c>
      <c r="R1195" s="66">
        <f t="shared" si="259"/>
        <v>8.2415374387500009</v>
      </c>
      <c r="S1195" s="64">
        <f t="shared" si="260"/>
        <v>41.25</v>
      </c>
      <c r="T1195" s="66">
        <f t="shared" si="261"/>
        <v>520.43653393875002</v>
      </c>
      <c r="U1195" s="68">
        <f t="shared" si="262"/>
        <v>47.31241217625</v>
      </c>
      <c r="V1195" s="68">
        <f t="shared" si="263"/>
        <v>460.83518353490257</v>
      </c>
      <c r="W1195" s="68">
        <f t="shared" si="264"/>
        <v>307.22345568993507</v>
      </c>
    </row>
    <row r="1196" spans="1:23" x14ac:dyDescent="0.25">
      <c r="A1196" s="1" t="s">
        <v>945</v>
      </c>
      <c r="B1196" s="61" t="s">
        <v>390</v>
      </c>
      <c r="C1196" s="1" t="s">
        <v>585</v>
      </c>
      <c r="D1196" s="1" t="s">
        <v>586</v>
      </c>
      <c r="E1196" s="1" t="s">
        <v>591</v>
      </c>
      <c r="F1196" s="62" t="str">
        <f t="shared" si="253"/>
        <v>64590</v>
      </c>
      <c r="G1196" s="269">
        <v>10620062</v>
      </c>
      <c r="H1196" s="1" t="s">
        <v>382</v>
      </c>
      <c r="I1196" s="61">
        <v>6</v>
      </c>
      <c r="J1196" s="61">
        <v>3.4</v>
      </c>
      <c r="K1196" s="61">
        <v>8</v>
      </c>
      <c r="L1196" s="69">
        <f t="shared" si="254"/>
        <v>0.20399999999999999</v>
      </c>
      <c r="M1196" s="69">
        <f t="shared" si="255"/>
        <v>0.48</v>
      </c>
      <c r="N1196" s="56">
        <f>INDEX(Rate_Chart!$A$1:$AK$127,MATCH(Data!J1196,Rate_Chart!$A$1:$A$127,0),MATCH(Data!K1196,Rate_Chart!$A$1:$AK$1,0))</f>
        <v>36.419112000000005</v>
      </c>
      <c r="O1196" s="57">
        <f t="shared" si="256"/>
        <v>218.51467200000002</v>
      </c>
      <c r="P1196" s="58">
        <f t="shared" si="257"/>
        <v>417.01273282442747</v>
      </c>
      <c r="Q1196" s="58">
        <f t="shared" si="258"/>
        <v>278.00848854961833</v>
      </c>
      <c r="R1196" s="66">
        <f t="shared" si="259"/>
        <v>3.8240067600000005</v>
      </c>
      <c r="S1196" s="64">
        <f t="shared" si="260"/>
        <v>22.5</v>
      </c>
      <c r="T1196" s="66">
        <f t="shared" si="261"/>
        <v>244.83867876000002</v>
      </c>
      <c r="U1196" s="68">
        <f t="shared" si="262"/>
        <v>40.806446460000004</v>
      </c>
      <c r="V1196" s="68">
        <f t="shared" si="263"/>
        <v>467.24938694656487</v>
      </c>
      <c r="W1196" s="68">
        <f t="shared" si="264"/>
        <v>311.49959129770991</v>
      </c>
    </row>
    <row r="1197" spans="1:23" x14ac:dyDescent="0.25">
      <c r="A1197" s="1" t="s">
        <v>945</v>
      </c>
      <c r="B1197" s="61" t="s">
        <v>391</v>
      </c>
      <c r="C1197" s="1" t="s">
        <v>585</v>
      </c>
      <c r="D1197" s="1" t="s">
        <v>586</v>
      </c>
      <c r="E1197" s="1" t="s">
        <v>591</v>
      </c>
      <c r="F1197" s="62" t="str">
        <f t="shared" si="253"/>
        <v>64590</v>
      </c>
      <c r="G1197" s="269">
        <v>10620062</v>
      </c>
      <c r="H1197" s="1" t="s">
        <v>382</v>
      </c>
      <c r="I1197" s="61">
        <v>13</v>
      </c>
      <c r="J1197" s="61">
        <v>4.4000000000000004</v>
      </c>
      <c r="K1197" s="61">
        <v>8.5</v>
      </c>
      <c r="L1197" s="69">
        <f t="shared" si="254"/>
        <v>0.57200000000000006</v>
      </c>
      <c r="M1197" s="69">
        <f t="shared" si="255"/>
        <v>1.105</v>
      </c>
      <c r="N1197" s="56">
        <f>INDEX(Rate_Chart!$A$1:$AK$127,MATCH(Data!J1197,Rate_Chart!$A$1:$A$127,0),MATCH(Data!K1197,Rate_Chart!$A$1:$AK$1,0))</f>
        <v>41.97918150000001</v>
      </c>
      <c r="O1197" s="57">
        <f t="shared" si="256"/>
        <v>545.7293595000001</v>
      </c>
      <c r="P1197" s="58">
        <f t="shared" si="257"/>
        <v>417.01173675496693</v>
      </c>
      <c r="Q1197" s="58">
        <f t="shared" si="258"/>
        <v>278.00782450331127</v>
      </c>
      <c r="R1197" s="66">
        <f t="shared" si="259"/>
        <v>9.5502637912500035</v>
      </c>
      <c r="S1197" s="64">
        <f t="shared" si="260"/>
        <v>48.75</v>
      </c>
      <c r="T1197" s="66">
        <f t="shared" si="261"/>
        <v>604.02962329125012</v>
      </c>
      <c r="U1197" s="68">
        <f t="shared" si="262"/>
        <v>46.463817176250011</v>
      </c>
      <c r="V1197" s="68">
        <f t="shared" si="263"/>
        <v>461.56109777731791</v>
      </c>
      <c r="W1197" s="68">
        <f t="shared" si="264"/>
        <v>307.70739851821196</v>
      </c>
    </row>
    <row r="1198" spans="1:23" x14ac:dyDescent="0.25">
      <c r="A1198" s="1" t="s">
        <v>946</v>
      </c>
      <c r="B1198" s="61" t="s">
        <v>390</v>
      </c>
      <c r="C1198" s="1" t="s">
        <v>585</v>
      </c>
      <c r="D1198" s="1" t="s">
        <v>586</v>
      </c>
      <c r="E1198" s="1" t="s">
        <v>591</v>
      </c>
      <c r="F1198" s="62" t="str">
        <f t="shared" si="253"/>
        <v>64590</v>
      </c>
      <c r="G1198" s="269">
        <v>10620062</v>
      </c>
      <c r="H1198" s="1" t="s">
        <v>382</v>
      </c>
      <c r="I1198" s="61">
        <v>6</v>
      </c>
      <c r="J1198" s="61">
        <v>3.3</v>
      </c>
      <c r="K1198" s="61">
        <v>8.1</v>
      </c>
      <c r="L1198" s="69">
        <f t="shared" si="254"/>
        <v>0.19799999999999998</v>
      </c>
      <c r="M1198" s="69">
        <f t="shared" si="255"/>
        <v>0.48599999999999993</v>
      </c>
      <c r="N1198" s="56">
        <f>INDEX(Rate_Chart!$A$1:$AK$127,MATCH(Data!J1198,Rate_Chart!$A$1:$A$127,0),MATCH(Data!K1198,Rate_Chart!$A$1:$AK$1,0))</f>
        <v>36.280125900000002</v>
      </c>
      <c r="O1198" s="57">
        <f t="shared" si="256"/>
        <v>217.68075540000001</v>
      </c>
      <c r="P1198" s="58">
        <f t="shared" si="257"/>
        <v>417.0129413793104</v>
      </c>
      <c r="Q1198" s="58">
        <f t="shared" si="258"/>
        <v>278.00862758620696</v>
      </c>
      <c r="R1198" s="66">
        <f t="shared" si="259"/>
        <v>3.8094132195000006</v>
      </c>
      <c r="S1198" s="64">
        <f t="shared" si="260"/>
        <v>22.5</v>
      </c>
      <c r="T1198" s="66">
        <f t="shared" si="261"/>
        <v>243.99016861950003</v>
      </c>
      <c r="U1198" s="68">
        <f t="shared" si="262"/>
        <v>40.665028103250002</v>
      </c>
      <c r="V1198" s="68">
        <f t="shared" si="263"/>
        <v>467.4141161293104</v>
      </c>
      <c r="W1198" s="68">
        <f t="shared" si="264"/>
        <v>311.6094107528736</v>
      </c>
    </row>
    <row r="1199" spans="1:23" x14ac:dyDescent="0.25">
      <c r="A1199" s="1" t="s">
        <v>946</v>
      </c>
      <c r="B1199" s="61" t="s">
        <v>391</v>
      </c>
      <c r="C1199" s="1" t="s">
        <v>585</v>
      </c>
      <c r="D1199" s="1" t="s">
        <v>586</v>
      </c>
      <c r="E1199" s="1" t="s">
        <v>591</v>
      </c>
      <c r="F1199" s="62" t="str">
        <f t="shared" si="253"/>
        <v>64590</v>
      </c>
      <c r="G1199" s="269">
        <v>10620062</v>
      </c>
      <c r="H1199" s="1" t="s">
        <v>382</v>
      </c>
      <c r="I1199" s="61">
        <v>12</v>
      </c>
      <c r="J1199" s="61">
        <v>4.5</v>
      </c>
      <c r="K1199" s="61">
        <v>8.5</v>
      </c>
      <c r="L1199" s="69">
        <f t="shared" si="254"/>
        <v>0.54</v>
      </c>
      <c r="M1199" s="69">
        <f t="shared" si="255"/>
        <v>1.02</v>
      </c>
      <c r="N1199" s="56">
        <f>INDEX(Rate_Chart!$A$1:$AK$127,MATCH(Data!J1199,Rate_Chart!$A$1:$A$127,0),MATCH(Data!K1199,Rate_Chart!$A$1:$AK$1,0))</f>
        <v>42.396181500000004</v>
      </c>
      <c r="O1199" s="57">
        <f t="shared" si="256"/>
        <v>508.75417800000002</v>
      </c>
      <c r="P1199" s="58">
        <f t="shared" si="257"/>
        <v>417.01162131147544</v>
      </c>
      <c r="Q1199" s="58">
        <f t="shared" si="258"/>
        <v>278.00774754098364</v>
      </c>
      <c r="R1199" s="66">
        <f t="shared" si="259"/>
        <v>8.9031981150000021</v>
      </c>
      <c r="S1199" s="64">
        <f t="shared" si="260"/>
        <v>45</v>
      </c>
      <c r="T1199" s="66">
        <f t="shared" si="261"/>
        <v>562.65737611500003</v>
      </c>
      <c r="U1199" s="68">
        <f t="shared" si="262"/>
        <v>46.888114676250005</v>
      </c>
      <c r="V1199" s="68">
        <f t="shared" si="263"/>
        <v>461.19457058606559</v>
      </c>
      <c r="W1199" s="68">
        <f t="shared" si="264"/>
        <v>307.46304705737708</v>
      </c>
    </row>
    <row r="1200" spans="1:23" x14ac:dyDescent="0.25">
      <c r="A1200" s="1" t="s">
        <v>947</v>
      </c>
      <c r="B1200" s="61" t="s">
        <v>390</v>
      </c>
      <c r="C1200" s="1" t="s">
        <v>585</v>
      </c>
      <c r="D1200" s="1" t="s">
        <v>586</v>
      </c>
      <c r="E1200" s="1" t="s">
        <v>591</v>
      </c>
      <c r="F1200" s="62" t="str">
        <f t="shared" si="253"/>
        <v>64590</v>
      </c>
      <c r="G1200" s="269">
        <v>10620062</v>
      </c>
      <c r="H1200" s="1" t="s">
        <v>382</v>
      </c>
      <c r="I1200" s="61">
        <v>6</v>
      </c>
      <c r="J1200" s="61">
        <v>3.3</v>
      </c>
      <c r="K1200" s="61">
        <v>8.1</v>
      </c>
      <c r="L1200" s="69">
        <f t="shared" si="254"/>
        <v>0.19799999999999998</v>
      </c>
      <c r="M1200" s="69">
        <f t="shared" si="255"/>
        <v>0.48599999999999993</v>
      </c>
      <c r="N1200" s="56">
        <f>INDEX(Rate_Chart!$A$1:$AK$127,MATCH(Data!J1200,Rate_Chart!$A$1:$A$127,0),MATCH(Data!K1200,Rate_Chart!$A$1:$AK$1,0))</f>
        <v>36.280125900000002</v>
      </c>
      <c r="O1200" s="57">
        <f t="shared" si="256"/>
        <v>217.68075540000001</v>
      </c>
      <c r="P1200" s="58">
        <f t="shared" si="257"/>
        <v>417.0129413793104</v>
      </c>
      <c r="Q1200" s="58">
        <f t="shared" si="258"/>
        <v>278.00862758620696</v>
      </c>
      <c r="R1200" s="66">
        <f t="shared" si="259"/>
        <v>3.8094132195000006</v>
      </c>
      <c r="S1200" s="64">
        <f t="shared" si="260"/>
        <v>22.5</v>
      </c>
      <c r="T1200" s="66">
        <f t="shared" si="261"/>
        <v>243.99016861950003</v>
      </c>
      <c r="U1200" s="68">
        <f t="shared" si="262"/>
        <v>40.665028103250002</v>
      </c>
      <c r="V1200" s="68">
        <f t="shared" si="263"/>
        <v>467.4141161293104</v>
      </c>
      <c r="W1200" s="68">
        <f t="shared" si="264"/>
        <v>311.6094107528736</v>
      </c>
    </row>
    <row r="1201" spans="1:23" x14ac:dyDescent="0.25">
      <c r="A1201" s="1" t="s">
        <v>947</v>
      </c>
      <c r="B1201" s="61" t="s">
        <v>391</v>
      </c>
      <c r="C1201" s="1" t="s">
        <v>585</v>
      </c>
      <c r="D1201" s="1" t="s">
        <v>586</v>
      </c>
      <c r="E1201" s="1" t="s">
        <v>591</v>
      </c>
      <c r="F1201" s="62" t="str">
        <f t="shared" si="253"/>
        <v>64590</v>
      </c>
      <c r="G1201" s="269">
        <v>10620062</v>
      </c>
      <c r="H1201" s="1" t="s">
        <v>382</v>
      </c>
      <c r="I1201" s="61">
        <v>12</v>
      </c>
      <c r="J1201" s="61">
        <v>4.3</v>
      </c>
      <c r="K1201" s="61">
        <v>8.4</v>
      </c>
      <c r="L1201" s="69">
        <f t="shared" si="254"/>
        <v>0.5159999999999999</v>
      </c>
      <c r="M1201" s="69">
        <f t="shared" si="255"/>
        <v>1.008</v>
      </c>
      <c r="N1201" s="56">
        <f>INDEX(Rate_Chart!$A$1:$AK$127,MATCH(Data!J1201,Rate_Chart!$A$1:$A$127,0),MATCH(Data!K1201,Rate_Chart!$A$1:$AK$1,0))</f>
        <v>41.284167600000004</v>
      </c>
      <c r="O1201" s="57">
        <f t="shared" si="256"/>
        <v>495.41001120000004</v>
      </c>
      <c r="P1201" s="58">
        <f t="shared" si="257"/>
        <v>417.01179393939395</v>
      </c>
      <c r="Q1201" s="58">
        <f t="shared" si="258"/>
        <v>278.00786262626264</v>
      </c>
      <c r="R1201" s="66">
        <f t="shared" si="259"/>
        <v>8.6696751960000018</v>
      </c>
      <c r="S1201" s="64">
        <f t="shared" si="260"/>
        <v>45</v>
      </c>
      <c r="T1201" s="66">
        <f t="shared" si="261"/>
        <v>549.07968639600006</v>
      </c>
      <c r="U1201" s="68">
        <f t="shared" si="262"/>
        <v>45.756640533000002</v>
      </c>
      <c r="V1201" s="68">
        <f t="shared" si="263"/>
        <v>462.18828821212122</v>
      </c>
      <c r="W1201" s="68">
        <f t="shared" si="264"/>
        <v>308.12552547474746</v>
      </c>
    </row>
    <row r="1202" spans="1:23" x14ac:dyDescent="0.25">
      <c r="A1202" s="1" t="s">
        <v>941</v>
      </c>
      <c r="B1202" s="61" t="s">
        <v>390</v>
      </c>
      <c r="C1202" s="1" t="s">
        <v>585</v>
      </c>
      <c r="D1202" s="1" t="s">
        <v>589</v>
      </c>
      <c r="E1202" s="1" t="s">
        <v>380</v>
      </c>
      <c r="F1202" s="62" t="str">
        <f t="shared" si="253"/>
        <v>64592</v>
      </c>
      <c r="G1202" s="269">
        <v>10620002</v>
      </c>
      <c r="H1202" s="1" t="s">
        <v>381</v>
      </c>
      <c r="I1202" s="61">
        <v>5</v>
      </c>
      <c r="J1202" s="61">
        <v>7.2</v>
      </c>
      <c r="K1202" s="61">
        <v>9</v>
      </c>
      <c r="L1202" s="69">
        <f t="shared" si="254"/>
        <v>0.36</v>
      </c>
      <c r="M1202" s="69">
        <f t="shared" si="255"/>
        <v>0.45</v>
      </c>
      <c r="N1202" s="56">
        <f>INDEX(Rate_Chart!$A$1:$AK$127,MATCH(Data!J1202,Rate_Chart!$A$1:$A$127,0),MATCH(Data!K1202,Rate_Chart!$A$1:$AK$1,0))</f>
        <v>60.120000000000005</v>
      </c>
      <c r="O1202" s="57">
        <f t="shared" si="256"/>
        <v>300.60000000000002</v>
      </c>
      <c r="P1202" s="58">
        <f t="shared" si="257"/>
        <v>455.4545454545455</v>
      </c>
      <c r="Q1202" s="58">
        <f t="shared" si="258"/>
        <v>303.63636363636368</v>
      </c>
      <c r="R1202" s="66">
        <f t="shared" si="259"/>
        <v>5.2605000000000013</v>
      </c>
      <c r="S1202" s="64">
        <f t="shared" si="260"/>
        <v>18.75</v>
      </c>
      <c r="T1202" s="66">
        <f t="shared" si="261"/>
        <v>324.6105</v>
      </c>
      <c r="U1202" s="68">
        <f t="shared" si="262"/>
        <v>64.9221</v>
      </c>
      <c r="V1202" s="68">
        <f t="shared" si="263"/>
        <v>491.83409090909089</v>
      </c>
      <c r="W1202" s="68">
        <f t="shared" si="264"/>
        <v>327.88939393939393</v>
      </c>
    </row>
    <row r="1203" spans="1:23" x14ac:dyDescent="0.25">
      <c r="A1203" s="1" t="s">
        <v>941</v>
      </c>
      <c r="B1203" s="61" t="s">
        <v>390</v>
      </c>
      <c r="C1203" s="1" t="s">
        <v>585</v>
      </c>
      <c r="D1203" s="1" t="s">
        <v>589</v>
      </c>
      <c r="E1203" s="1" t="s">
        <v>380</v>
      </c>
      <c r="F1203" s="62" t="str">
        <f t="shared" si="253"/>
        <v>64592</v>
      </c>
      <c r="G1203" s="269">
        <v>10620002</v>
      </c>
      <c r="H1203" s="1" t="s">
        <v>382</v>
      </c>
      <c r="I1203" s="61">
        <v>13</v>
      </c>
      <c r="J1203" s="61">
        <v>4.4000000000000004</v>
      </c>
      <c r="K1203" s="61">
        <v>8.5</v>
      </c>
      <c r="L1203" s="69">
        <f t="shared" si="254"/>
        <v>0.57200000000000006</v>
      </c>
      <c r="M1203" s="69">
        <f t="shared" si="255"/>
        <v>1.105</v>
      </c>
      <c r="N1203" s="56">
        <f>INDEX(Rate_Chart!$A$1:$AK$127,MATCH(Data!J1203,Rate_Chart!$A$1:$A$127,0),MATCH(Data!K1203,Rate_Chart!$A$1:$AK$1,0))</f>
        <v>41.97918150000001</v>
      </c>
      <c r="O1203" s="57">
        <f t="shared" si="256"/>
        <v>545.7293595000001</v>
      </c>
      <c r="P1203" s="58">
        <f t="shared" si="257"/>
        <v>417.01173675496693</v>
      </c>
      <c r="Q1203" s="58">
        <f t="shared" si="258"/>
        <v>278.00782450331127</v>
      </c>
      <c r="R1203" s="66">
        <f t="shared" si="259"/>
        <v>9.5502637912500035</v>
      </c>
      <c r="S1203" s="64">
        <f t="shared" si="260"/>
        <v>48.75</v>
      </c>
      <c r="T1203" s="66">
        <f t="shared" si="261"/>
        <v>604.02962329125012</v>
      </c>
      <c r="U1203" s="68">
        <f t="shared" si="262"/>
        <v>46.463817176250011</v>
      </c>
      <c r="V1203" s="68">
        <f t="shared" si="263"/>
        <v>461.56109777731791</v>
      </c>
      <c r="W1203" s="68">
        <f t="shared" si="264"/>
        <v>307.70739851821196</v>
      </c>
    </row>
    <row r="1204" spans="1:23" x14ac:dyDescent="0.25">
      <c r="A1204" s="1" t="s">
        <v>941</v>
      </c>
      <c r="B1204" s="61" t="s">
        <v>391</v>
      </c>
      <c r="C1204" s="1" t="s">
        <v>585</v>
      </c>
      <c r="D1204" s="1" t="s">
        <v>589</v>
      </c>
      <c r="E1204" s="1" t="s">
        <v>380</v>
      </c>
      <c r="F1204" s="62" t="str">
        <f t="shared" si="253"/>
        <v>64592</v>
      </c>
      <c r="G1204" s="269">
        <v>10620002</v>
      </c>
      <c r="H1204" s="1" t="s">
        <v>381</v>
      </c>
      <c r="I1204" s="61">
        <v>15</v>
      </c>
      <c r="J1204" s="61">
        <v>6.4</v>
      </c>
      <c r="K1204" s="61">
        <v>8.6</v>
      </c>
      <c r="L1204" s="69">
        <f t="shared" si="254"/>
        <v>0.96</v>
      </c>
      <c r="M1204" s="69">
        <f t="shared" si="255"/>
        <v>1.29</v>
      </c>
      <c r="N1204" s="56">
        <f>INDEX(Rate_Chart!$A$1:$AK$127,MATCH(Data!J1204,Rate_Chart!$A$1:$A$127,0),MATCH(Data!K1204,Rate_Chart!$A$1:$AK$1,0))</f>
        <v>52.371199999999995</v>
      </c>
      <c r="O1204" s="57">
        <f t="shared" si="256"/>
        <v>785.56799999999987</v>
      </c>
      <c r="P1204" s="58">
        <f t="shared" si="257"/>
        <v>431.6307692307692</v>
      </c>
      <c r="Q1204" s="58">
        <f t="shared" si="258"/>
        <v>287.75384615384615</v>
      </c>
      <c r="R1204" s="66">
        <f t="shared" si="259"/>
        <v>13.747439999999999</v>
      </c>
      <c r="S1204" s="64">
        <f t="shared" si="260"/>
        <v>56.25</v>
      </c>
      <c r="T1204" s="66">
        <f t="shared" si="261"/>
        <v>855.56543999999985</v>
      </c>
      <c r="U1204" s="68">
        <f t="shared" si="262"/>
        <v>57.03769599999999</v>
      </c>
      <c r="V1204" s="68">
        <f t="shared" si="263"/>
        <v>470.09090109890104</v>
      </c>
      <c r="W1204" s="68">
        <f t="shared" si="264"/>
        <v>313.39393406593405</v>
      </c>
    </row>
    <row r="1205" spans="1:23" x14ac:dyDescent="0.25">
      <c r="A1205" s="1" t="s">
        <v>941</v>
      </c>
      <c r="B1205" s="61" t="s">
        <v>391</v>
      </c>
      <c r="C1205" s="1" t="s">
        <v>585</v>
      </c>
      <c r="D1205" s="1" t="s">
        <v>589</v>
      </c>
      <c r="E1205" s="1" t="s">
        <v>380</v>
      </c>
      <c r="F1205" s="62" t="str">
        <f t="shared" si="253"/>
        <v>64592</v>
      </c>
      <c r="G1205" s="269">
        <v>10620002</v>
      </c>
      <c r="H1205" s="1" t="s">
        <v>382</v>
      </c>
      <c r="I1205" s="61">
        <v>27</v>
      </c>
      <c r="J1205" s="61">
        <v>4.3</v>
      </c>
      <c r="K1205" s="61">
        <v>8.5</v>
      </c>
      <c r="L1205" s="69">
        <f t="shared" si="254"/>
        <v>1.161</v>
      </c>
      <c r="M1205" s="69">
        <f t="shared" si="255"/>
        <v>2.2949999999999999</v>
      </c>
      <c r="N1205" s="56">
        <f>INDEX(Rate_Chart!$A$1:$AK$127,MATCH(Data!J1205,Rate_Chart!$A$1:$A$127,0),MATCH(Data!K1205,Rate_Chart!$A$1:$AK$1,0))</f>
        <v>41.562181500000001</v>
      </c>
      <c r="O1205" s="57">
        <f t="shared" si="256"/>
        <v>1122.1789005000001</v>
      </c>
      <c r="P1205" s="58">
        <f t="shared" si="257"/>
        <v>417.01185451505017</v>
      </c>
      <c r="Q1205" s="58">
        <f t="shared" si="258"/>
        <v>278.00790301003343</v>
      </c>
      <c r="R1205" s="66">
        <f t="shared" si="259"/>
        <v>19.638130758750002</v>
      </c>
      <c r="S1205" s="64">
        <f t="shared" si="260"/>
        <v>101.25</v>
      </c>
      <c r="T1205" s="66">
        <f t="shared" si="261"/>
        <v>1243.0670312587501</v>
      </c>
      <c r="U1205" s="68">
        <f t="shared" si="262"/>
        <v>46.039519676250002</v>
      </c>
      <c r="V1205" s="68">
        <f t="shared" si="263"/>
        <v>461.93498002926424</v>
      </c>
      <c r="W1205" s="68">
        <f t="shared" si="264"/>
        <v>307.95665335284281</v>
      </c>
    </row>
    <row r="1206" spans="1:23" x14ac:dyDescent="0.25">
      <c r="A1206" s="1" t="s">
        <v>942</v>
      </c>
      <c r="B1206" s="61" t="s">
        <v>390</v>
      </c>
      <c r="C1206" s="1" t="s">
        <v>585</v>
      </c>
      <c r="D1206" s="1" t="s">
        <v>589</v>
      </c>
      <c r="E1206" s="1" t="s">
        <v>380</v>
      </c>
      <c r="F1206" s="62" t="str">
        <f t="shared" si="253"/>
        <v>64592</v>
      </c>
      <c r="G1206" s="269">
        <v>10620002</v>
      </c>
      <c r="H1206" s="1" t="s">
        <v>382</v>
      </c>
      <c r="I1206" s="61">
        <v>32</v>
      </c>
      <c r="J1206" s="61">
        <v>4.3</v>
      </c>
      <c r="K1206" s="61">
        <v>8.5</v>
      </c>
      <c r="L1206" s="69">
        <f t="shared" si="254"/>
        <v>1.3759999999999999</v>
      </c>
      <c r="M1206" s="69">
        <f t="shared" si="255"/>
        <v>2.72</v>
      </c>
      <c r="N1206" s="56">
        <f>INDEX(Rate_Chart!$A$1:$AK$127,MATCH(Data!J1206,Rate_Chart!$A$1:$A$127,0),MATCH(Data!K1206,Rate_Chart!$A$1:$AK$1,0))</f>
        <v>41.562181500000001</v>
      </c>
      <c r="O1206" s="57">
        <f t="shared" si="256"/>
        <v>1329.989808</v>
      </c>
      <c r="P1206" s="58">
        <f t="shared" si="257"/>
        <v>417.01185451505017</v>
      </c>
      <c r="Q1206" s="58">
        <f t="shared" si="258"/>
        <v>278.00790301003343</v>
      </c>
      <c r="R1206" s="66">
        <f t="shared" si="259"/>
        <v>23.274821640000003</v>
      </c>
      <c r="S1206" s="64">
        <f t="shared" si="260"/>
        <v>120</v>
      </c>
      <c r="T1206" s="66">
        <f t="shared" si="261"/>
        <v>1473.2646296400001</v>
      </c>
      <c r="U1206" s="68">
        <f t="shared" si="262"/>
        <v>46.039519676250002</v>
      </c>
      <c r="V1206" s="68">
        <f t="shared" si="263"/>
        <v>461.93498002926424</v>
      </c>
      <c r="W1206" s="68">
        <f t="shared" si="264"/>
        <v>307.95665335284281</v>
      </c>
    </row>
    <row r="1207" spans="1:23" x14ac:dyDescent="0.25">
      <c r="A1207" s="1" t="s">
        <v>942</v>
      </c>
      <c r="B1207" s="61" t="s">
        <v>391</v>
      </c>
      <c r="C1207" s="1" t="s">
        <v>585</v>
      </c>
      <c r="D1207" s="1" t="s">
        <v>589</v>
      </c>
      <c r="E1207" s="1" t="s">
        <v>380</v>
      </c>
      <c r="F1207" s="62" t="str">
        <f t="shared" si="253"/>
        <v>64592</v>
      </c>
      <c r="G1207" s="269">
        <v>10620002</v>
      </c>
      <c r="H1207" s="1" t="s">
        <v>381</v>
      </c>
      <c r="I1207" s="61">
        <v>11</v>
      </c>
      <c r="J1207" s="61">
        <v>5.6</v>
      </c>
      <c r="K1207" s="61">
        <v>8.8000000000000007</v>
      </c>
      <c r="L1207" s="69">
        <f t="shared" si="254"/>
        <v>0.61599999999999999</v>
      </c>
      <c r="M1207" s="69">
        <f t="shared" si="255"/>
        <v>0.96800000000000008</v>
      </c>
      <c r="N1207" s="56">
        <f>INDEX(Rate_Chart!$A$1:$AK$127,MATCH(Data!J1207,Rate_Chart!$A$1:$A$127,0),MATCH(Data!K1207,Rate_Chart!$A$1:$AK$1,0))</f>
        <v>46.292400000000001</v>
      </c>
      <c r="O1207" s="57">
        <f t="shared" si="256"/>
        <v>509.21640000000002</v>
      </c>
      <c r="P1207" s="58">
        <f t="shared" si="257"/>
        <v>403.71279069767445</v>
      </c>
      <c r="Q1207" s="58">
        <f t="shared" si="258"/>
        <v>269.14186046511628</v>
      </c>
      <c r="R1207" s="66">
        <f t="shared" si="259"/>
        <v>8.9112870000000015</v>
      </c>
      <c r="S1207" s="64">
        <f t="shared" si="260"/>
        <v>41.25</v>
      </c>
      <c r="T1207" s="66">
        <f t="shared" si="261"/>
        <v>559.37768700000004</v>
      </c>
      <c r="U1207" s="68">
        <f t="shared" si="262"/>
        <v>50.852517000000006</v>
      </c>
      <c r="V1207" s="68">
        <f t="shared" si="263"/>
        <v>443.48125290697681</v>
      </c>
      <c r="W1207" s="68">
        <f t="shared" si="264"/>
        <v>295.6541686046512</v>
      </c>
    </row>
    <row r="1208" spans="1:23" x14ac:dyDescent="0.25">
      <c r="A1208" s="1" t="s">
        <v>942</v>
      </c>
      <c r="B1208" s="61" t="s">
        <v>391</v>
      </c>
      <c r="C1208" s="1" t="s">
        <v>585</v>
      </c>
      <c r="D1208" s="1" t="s">
        <v>589</v>
      </c>
      <c r="E1208" s="1" t="s">
        <v>380</v>
      </c>
      <c r="F1208" s="62" t="str">
        <f t="shared" si="253"/>
        <v>64592</v>
      </c>
      <c r="G1208" s="269">
        <v>10620002</v>
      </c>
      <c r="H1208" s="1" t="s">
        <v>382</v>
      </c>
      <c r="I1208" s="61">
        <v>23</v>
      </c>
      <c r="J1208" s="61">
        <v>4.0999999999999996</v>
      </c>
      <c r="K1208" s="61">
        <v>8.5</v>
      </c>
      <c r="L1208" s="69">
        <f t="shared" si="254"/>
        <v>0.94299999999999995</v>
      </c>
      <c r="M1208" s="69">
        <f t="shared" si="255"/>
        <v>1.9550000000000001</v>
      </c>
      <c r="N1208" s="56">
        <f>INDEX(Rate_Chart!$A$1:$AK$127,MATCH(Data!J1208,Rate_Chart!$A$1:$A$127,0),MATCH(Data!K1208,Rate_Chart!$A$1:$AK$1,0))</f>
        <v>40.728181500000005</v>
      </c>
      <c r="O1208" s="57">
        <f t="shared" si="256"/>
        <v>936.74817450000012</v>
      </c>
      <c r="P1208" s="58">
        <f t="shared" si="257"/>
        <v>417.01209726962463</v>
      </c>
      <c r="Q1208" s="58">
        <f t="shared" si="258"/>
        <v>278.0080648464164</v>
      </c>
      <c r="R1208" s="66">
        <f t="shared" si="259"/>
        <v>16.393093053750004</v>
      </c>
      <c r="S1208" s="64">
        <f t="shared" si="260"/>
        <v>86.25</v>
      </c>
      <c r="T1208" s="66">
        <f t="shared" si="261"/>
        <v>1039.3912675537501</v>
      </c>
      <c r="U1208" s="68">
        <f t="shared" si="262"/>
        <v>45.190924676250006</v>
      </c>
      <c r="V1208" s="68">
        <f t="shared" si="263"/>
        <v>462.70571340870316</v>
      </c>
      <c r="W1208" s="68">
        <f t="shared" si="264"/>
        <v>308.47047560580211</v>
      </c>
    </row>
    <row r="1209" spans="1:23" x14ac:dyDescent="0.25">
      <c r="A1209" s="1" t="s">
        <v>943</v>
      </c>
      <c r="B1209" s="61" t="s">
        <v>390</v>
      </c>
      <c r="C1209" s="1" t="s">
        <v>585</v>
      </c>
      <c r="D1209" s="1" t="s">
        <v>589</v>
      </c>
      <c r="E1209" s="1" t="s">
        <v>380</v>
      </c>
      <c r="F1209" s="62" t="str">
        <f t="shared" si="253"/>
        <v>64592</v>
      </c>
      <c r="G1209" s="269">
        <v>10620002</v>
      </c>
      <c r="H1209" s="1" t="s">
        <v>382</v>
      </c>
      <c r="I1209" s="61">
        <v>18</v>
      </c>
      <c r="J1209" s="61">
        <v>4.3</v>
      </c>
      <c r="K1209" s="61">
        <v>8.5</v>
      </c>
      <c r="L1209" s="69">
        <f t="shared" si="254"/>
        <v>0.77399999999999991</v>
      </c>
      <c r="M1209" s="69">
        <f t="shared" si="255"/>
        <v>1.53</v>
      </c>
      <c r="N1209" s="56">
        <f>INDEX(Rate_Chart!$A$1:$AK$127,MATCH(Data!J1209,Rate_Chart!$A$1:$A$127,0),MATCH(Data!K1209,Rate_Chart!$A$1:$AK$1,0))</f>
        <v>41.562181500000001</v>
      </c>
      <c r="O1209" s="57">
        <f t="shared" si="256"/>
        <v>748.11926700000004</v>
      </c>
      <c r="P1209" s="58">
        <f t="shared" si="257"/>
        <v>417.01185451505017</v>
      </c>
      <c r="Q1209" s="58">
        <f t="shared" si="258"/>
        <v>278.00790301003343</v>
      </c>
      <c r="R1209" s="66">
        <f t="shared" si="259"/>
        <v>13.092087172500001</v>
      </c>
      <c r="S1209" s="64">
        <f t="shared" si="260"/>
        <v>67.5</v>
      </c>
      <c r="T1209" s="66">
        <f t="shared" si="261"/>
        <v>828.71135417250002</v>
      </c>
      <c r="U1209" s="68">
        <f t="shared" si="262"/>
        <v>46.039519676250002</v>
      </c>
      <c r="V1209" s="68">
        <f t="shared" si="263"/>
        <v>461.93498002926424</v>
      </c>
      <c r="W1209" s="68">
        <f t="shared" si="264"/>
        <v>307.95665335284281</v>
      </c>
    </row>
    <row r="1210" spans="1:23" x14ac:dyDescent="0.25">
      <c r="A1210" s="1" t="s">
        <v>943</v>
      </c>
      <c r="B1210" s="61" t="s">
        <v>391</v>
      </c>
      <c r="C1210" s="1" t="s">
        <v>585</v>
      </c>
      <c r="D1210" s="1" t="s">
        <v>589</v>
      </c>
      <c r="E1210" s="1" t="s">
        <v>380</v>
      </c>
      <c r="F1210" s="62" t="str">
        <f t="shared" si="253"/>
        <v>64592</v>
      </c>
      <c r="G1210" s="269">
        <v>10620002</v>
      </c>
      <c r="H1210" s="1" t="s">
        <v>381</v>
      </c>
      <c r="I1210" s="61">
        <v>12</v>
      </c>
      <c r="J1210" s="61">
        <v>6.7</v>
      </c>
      <c r="K1210" s="61">
        <v>8.8000000000000007</v>
      </c>
      <c r="L1210" s="69">
        <f t="shared" si="254"/>
        <v>0.80400000000000005</v>
      </c>
      <c r="M1210" s="69">
        <f t="shared" si="255"/>
        <v>1.056</v>
      </c>
      <c r="N1210" s="56">
        <f>INDEX(Rate_Chart!$A$1:$AK$127,MATCH(Data!J1210,Rate_Chart!$A$1:$A$127,0),MATCH(Data!K1210,Rate_Chart!$A$1:$AK$1,0))</f>
        <v>55.385550000000002</v>
      </c>
      <c r="O1210" s="57">
        <f t="shared" si="256"/>
        <v>664.62660000000005</v>
      </c>
      <c r="P1210" s="58">
        <f t="shared" si="257"/>
        <v>440.73381962864721</v>
      </c>
      <c r="Q1210" s="58">
        <f t="shared" si="258"/>
        <v>293.82254641909816</v>
      </c>
      <c r="R1210" s="66">
        <f t="shared" si="259"/>
        <v>11.630965500000002</v>
      </c>
      <c r="S1210" s="64">
        <f t="shared" si="260"/>
        <v>45</v>
      </c>
      <c r="T1210" s="66">
        <f t="shared" si="261"/>
        <v>721.25756550000006</v>
      </c>
      <c r="U1210" s="68">
        <f t="shared" si="262"/>
        <v>60.104797125000005</v>
      </c>
      <c r="V1210" s="68">
        <f t="shared" si="263"/>
        <v>478.28751027851456</v>
      </c>
      <c r="W1210" s="68">
        <f t="shared" si="264"/>
        <v>318.85834018567635</v>
      </c>
    </row>
    <row r="1211" spans="1:23" x14ac:dyDescent="0.25">
      <c r="A1211" s="1" t="s">
        <v>943</v>
      </c>
      <c r="B1211" s="61" t="s">
        <v>391</v>
      </c>
      <c r="C1211" s="1" t="s">
        <v>585</v>
      </c>
      <c r="D1211" s="1" t="s">
        <v>589</v>
      </c>
      <c r="E1211" s="1" t="s">
        <v>380</v>
      </c>
      <c r="F1211" s="62" t="str">
        <f t="shared" si="253"/>
        <v>64592</v>
      </c>
      <c r="G1211" s="269">
        <v>10620002</v>
      </c>
      <c r="H1211" s="1" t="s">
        <v>382</v>
      </c>
      <c r="I1211" s="61">
        <v>24</v>
      </c>
      <c r="J1211" s="61">
        <v>4.3</v>
      </c>
      <c r="K1211" s="61">
        <v>8.5</v>
      </c>
      <c r="L1211" s="69">
        <f t="shared" si="254"/>
        <v>1.0319999999999998</v>
      </c>
      <c r="M1211" s="69">
        <f t="shared" si="255"/>
        <v>2.04</v>
      </c>
      <c r="N1211" s="56">
        <f>INDEX(Rate_Chart!$A$1:$AK$127,MATCH(Data!J1211,Rate_Chart!$A$1:$A$127,0),MATCH(Data!K1211,Rate_Chart!$A$1:$AK$1,0))</f>
        <v>41.562181500000001</v>
      </c>
      <c r="O1211" s="57">
        <f t="shared" si="256"/>
        <v>997.49235599999997</v>
      </c>
      <c r="P1211" s="58">
        <f t="shared" si="257"/>
        <v>417.01185451505017</v>
      </c>
      <c r="Q1211" s="58">
        <f t="shared" si="258"/>
        <v>278.00790301003343</v>
      </c>
      <c r="R1211" s="66">
        <f t="shared" si="259"/>
        <v>17.456116230000003</v>
      </c>
      <c r="S1211" s="64">
        <f t="shared" si="260"/>
        <v>90</v>
      </c>
      <c r="T1211" s="66">
        <f t="shared" si="261"/>
        <v>1104.9484722299999</v>
      </c>
      <c r="U1211" s="68">
        <f t="shared" si="262"/>
        <v>46.039519676249995</v>
      </c>
      <c r="V1211" s="68">
        <f t="shared" si="263"/>
        <v>461.93498002926418</v>
      </c>
      <c r="W1211" s="68">
        <f t="shared" si="264"/>
        <v>307.95665335284281</v>
      </c>
    </row>
    <row r="1212" spans="1:23" x14ac:dyDescent="0.25">
      <c r="A1212" s="1" t="s">
        <v>944</v>
      </c>
      <c r="B1212" s="61" t="s">
        <v>390</v>
      </c>
      <c r="C1212" s="1" t="s">
        <v>585</v>
      </c>
      <c r="D1212" s="1" t="s">
        <v>589</v>
      </c>
      <c r="E1212" s="1" t="s">
        <v>380</v>
      </c>
      <c r="F1212" s="62" t="str">
        <f t="shared" si="253"/>
        <v>64592</v>
      </c>
      <c r="G1212" s="269">
        <v>10620002</v>
      </c>
      <c r="H1212" s="1" t="s">
        <v>382</v>
      </c>
      <c r="I1212" s="61">
        <v>35</v>
      </c>
      <c r="J1212" s="61">
        <v>4.3</v>
      </c>
      <c r="K1212" s="61">
        <v>8.5</v>
      </c>
      <c r="L1212" s="69">
        <f t="shared" si="254"/>
        <v>1.5049999999999999</v>
      </c>
      <c r="M1212" s="69">
        <f t="shared" si="255"/>
        <v>2.9750000000000001</v>
      </c>
      <c r="N1212" s="56">
        <f>INDEX(Rate_Chart!$A$1:$AK$127,MATCH(Data!J1212,Rate_Chart!$A$1:$A$127,0),MATCH(Data!K1212,Rate_Chart!$A$1:$AK$1,0))</f>
        <v>41.562181500000001</v>
      </c>
      <c r="O1212" s="57">
        <f t="shared" si="256"/>
        <v>1454.6763525000001</v>
      </c>
      <c r="P1212" s="58">
        <f t="shared" si="257"/>
        <v>417.01185451505017</v>
      </c>
      <c r="Q1212" s="58">
        <f t="shared" si="258"/>
        <v>278.00790301003343</v>
      </c>
      <c r="R1212" s="66">
        <f t="shared" si="259"/>
        <v>25.456836168750005</v>
      </c>
      <c r="S1212" s="64">
        <f t="shared" si="260"/>
        <v>131.25</v>
      </c>
      <c r="T1212" s="66">
        <f t="shared" si="261"/>
        <v>1611.3831886687501</v>
      </c>
      <c r="U1212" s="68">
        <f t="shared" si="262"/>
        <v>46.039519676250002</v>
      </c>
      <c r="V1212" s="68">
        <f t="shared" si="263"/>
        <v>461.93498002926424</v>
      </c>
      <c r="W1212" s="68">
        <f t="shared" si="264"/>
        <v>307.95665335284281</v>
      </c>
    </row>
    <row r="1213" spans="1:23" x14ac:dyDescent="0.25">
      <c r="A1213" s="1" t="s">
        <v>944</v>
      </c>
      <c r="B1213" s="1" t="s">
        <v>391</v>
      </c>
      <c r="C1213" s="1" t="s">
        <v>585</v>
      </c>
      <c r="D1213" s="1" t="s">
        <v>589</v>
      </c>
      <c r="E1213" s="1" t="s">
        <v>380</v>
      </c>
      <c r="F1213" s="62" t="str">
        <f t="shared" si="253"/>
        <v>64592</v>
      </c>
      <c r="G1213" s="269">
        <v>10620002</v>
      </c>
      <c r="H1213" s="1" t="s">
        <v>381</v>
      </c>
      <c r="I1213" s="61">
        <v>12</v>
      </c>
      <c r="J1213" s="61">
        <v>6.7</v>
      </c>
      <c r="K1213" s="61">
        <v>8.8000000000000007</v>
      </c>
      <c r="L1213" s="69">
        <f t="shared" si="254"/>
        <v>0.80400000000000005</v>
      </c>
      <c r="M1213" s="69">
        <f t="shared" si="255"/>
        <v>1.056</v>
      </c>
      <c r="N1213" s="56">
        <f>INDEX(Rate_Chart!$A$1:$AK$127,MATCH(Data!J1213,Rate_Chart!$A$1:$A$127,0),MATCH(Data!K1213,Rate_Chart!$A$1:$AK$1,0))</f>
        <v>55.385550000000002</v>
      </c>
      <c r="O1213" s="57">
        <f t="shared" si="256"/>
        <v>664.62660000000005</v>
      </c>
      <c r="P1213" s="58">
        <f t="shared" si="257"/>
        <v>440.73381962864721</v>
      </c>
      <c r="Q1213" s="58">
        <f t="shared" si="258"/>
        <v>293.82254641909816</v>
      </c>
      <c r="R1213" s="66">
        <f t="shared" si="259"/>
        <v>11.630965500000002</v>
      </c>
      <c r="S1213" s="64">
        <f t="shared" si="260"/>
        <v>45</v>
      </c>
      <c r="T1213" s="66">
        <f t="shared" si="261"/>
        <v>721.25756550000006</v>
      </c>
      <c r="U1213" s="68">
        <f t="shared" si="262"/>
        <v>60.104797125000005</v>
      </c>
      <c r="V1213" s="68">
        <f t="shared" si="263"/>
        <v>478.28751027851456</v>
      </c>
      <c r="W1213" s="68">
        <f t="shared" si="264"/>
        <v>318.85834018567635</v>
      </c>
    </row>
    <row r="1214" spans="1:23" x14ac:dyDescent="0.25">
      <c r="A1214" s="1" t="s">
        <v>944</v>
      </c>
      <c r="B1214" s="1" t="s">
        <v>391</v>
      </c>
      <c r="C1214" s="1" t="s">
        <v>585</v>
      </c>
      <c r="D1214" s="1" t="s">
        <v>589</v>
      </c>
      <c r="E1214" s="1" t="s">
        <v>380</v>
      </c>
      <c r="F1214" s="62" t="str">
        <f t="shared" si="253"/>
        <v>64592</v>
      </c>
      <c r="G1214" s="269">
        <v>10620002</v>
      </c>
      <c r="H1214" s="1" t="s">
        <v>382</v>
      </c>
      <c r="I1214" s="61">
        <v>21</v>
      </c>
      <c r="J1214" s="61">
        <v>4.5999999999999996</v>
      </c>
      <c r="K1214" s="61">
        <v>8.5</v>
      </c>
      <c r="L1214" s="69">
        <f t="shared" si="254"/>
        <v>0.96599999999999997</v>
      </c>
      <c r="M1214" s="69">
        <f t="shared" si="255"/>
        <v>1.7849999999999999</v>
      </c>
      <c r="N1214" s="56">
        <f>INDEX(Rate_Chart!$A$1:$AK$127,MATCH(Data!J1214,Rate_Chart!$A$1:$A$127,0),MATCH(Data!K1214,Rate_Chart!$A$1:$AK$1,0))</f>
        <v>42.813181499999999</v>
      </c>
      <c r="O1214" s="57">
        <f t="shared" si="256"/>
        <v>899.07681149999996</v>
      </c>
      <c r="P1214" s="58">
        <f t="shared" si="257"/>
        <v>417.01150811688308</v>
      </c>
      <c r="Q1214" s="58">
        <f t="shared" si="258"/>
        <v>278.00767207792205</v>
      </c>
      <c r="R1214" s="66">
        <f t="shared" si="259"/>
        <v>15.733844201250001</v>
      </c>
      <c r="S1214" s="64">
        <f t="shared" si="260"/>
        <v>78.75</v>
      </c>
      <c r="T1214" s="66">
        <f t="shared" si="261"/>
        <v>993.56065570124997</v>
      </c>
      <c r="U1214" s="68">
        <f t="shared" si="262"/>
        <v>47.31241217625</v>
      </c>
      <c r="V1214" s="68">
        <f t="shared" si="263"/>
        <v>460.83518353490257</v>
      </c>
      <c r="W1214" s="68">
        <f t="shared" si="264"/>
        <v>307.22345568993507</v>
      </c>
    </row>
    <row r="1215" spans="1:23" x14ac:dyDescent="0.25">
      <c r="A1215" s="1" t="s">
        <v>945</v>
      </c>
      <c r="B1215" s="1" t="s">
        <v>390</v>
      </c>
      <c r="C1215" s="1" t="s">
        <v>585</v>
      </c>
      <c r="D1215" s="1" t="s">
        <v>589</v>
      </c>
      <c r="E1215" s="1" t="s">
        <v>380</v>
      </c>
      <c r="F1215" s="62" t="str">
        <f t="shared" si="253"/>
        <v>64592</v>
      </c>
      <c r="G1215" s="269">
        <v>10620002</v>
      </c>
      <c r="H1215" s="1" t="s">
        <v>382</v>
      </c>
      <c r="I1215" s="61">
        <v>42</v>
      </c>
      <c r="J1215" s="61">
        <v>4.0999999999999996</v>
      </c>
      <c r="K1215" s="61">
        <v>8.5</v>
      </c>
      <c r="L1215" s="69">
        <f t="shared" si="254"/>
        <v>1.722</v>
      </c>
      <c r="M1215" s="69">
        <f t="shared" si="255"/>
        <v>3.57</v>
      </c>
      <c r="N1215" s="56">
        <f>INDEX(Rate_Chart!$A$1:$AK$127,MATCH(Data!J1215,Rate_Chart!$A$1:$A$127,0),MATCH(Data!K1215,Rate_Chart!$A$1:$AK$1,0))</f>
        <v>40.728181500000005</v>
      </c>
      <c r="O1215" s="57">
        <f t="shared" si="256"/>
        <v>1710.5836230000002</v>
      </c>
      <c r="P1215" s="58">
        <f t="shared" si="257"/>
        <v>417.01209726962463</v>
      </c>
      <c r="Q1215" s="58">
        <f t="shared" si="258"/>
        <v>278.0080648464164</v>
      </c>
      <c r="R1215" s="66">
        <f t="shared" si="259"/>
        <v>29.935213402500008</v>
      </c>
      <c r="S1215" s="64">
        <f t="shared" si="260"/>
        <v>157.5</v>
      </c>
      <c r="T1215" s="66">
        <f t="shared" si="261"/>
        <v>1898.0188364025003</v>
      </c>
      <c r="U1215" s="68">
        <f t="shared" si="262"/>
        <v>45.190924676250006</v>
      </c>
      <c r="V1215" s="68">
        <f t="shared" si="263"/>
        <v>462.70571340870316</v>
      </c>
      <c r="W1215" s="68">
        <f t="shared" si="264"/>
        <v>308.47047560580211</v>
      </c>
    </row>
    <row r="1216" spans="1:23" x14ac:dyDescent="0.25">
      <c r="A1216" s="1" t="s">
        <v>945</v>
      </c>
      <c r="B1216" s="1" t="s">
        <v>391</v>
      </c>
      <c r="C1216" s="1" t="s">
        <v>585</v>
      </c>
      <c r="D1216" s="1" t="s">
        <v>589</v>
      </c>
      <c r="E1216" s="1" t="s">
        <v>380</v>
      </c>
      <c r="F1216" s="62" t="str">
        <f t="shared" si="253"/>
        <v>64592</v>
      </c>
      <c r="G1216" s="269">
        <v>10620002</v>
      </c>
      <c r="H1216" s="1" t="s">
        <v>381</v>
      </c>
      <c r="I1216" s="61">
        <v>12</v>
      </c>
      <c r="J1216" s="61">
        <v>6.1</v>
      </c>
      <c r="K1216" s="61">
        <v>9</v>
      </c>
      <c r="L1216" s="69">
        <f t="shared" si="254"/>
        <v>0.73199999999999987</v>
      </c>
      <c r="M1216" s="69">
        <f t="shared" si="255"/>
        <v>1.08</v>
      </c>
      <c r="N1216" s="56">
        <f>INDEX(Rate_Chart!$A$1:$AK$127,MATCH(Data!J1216,Rate_Chart!$A$1:$A$127,0),MATCH(Data!K1216,Rate_Chart!$A$1:$AK$1,0))</f>
        <v>50.935000000000002</v>
      </c>
      <c r="O1216" s="57">
        <f t="shared" si="256"/>
        <v>611.22</v>
      </c>
      <c r="P1216" s="58">
        <f t="shared" si="257"/>
        <v>420.95041322314052</v>
      </c>
      <c r="Q1216" s="58">
        <f t="shared" si="258"/>
        <v>280.63360881542701</v>
      </c>
      <c r="R1216" s="66">
        <f t="shared" si="259"/>
        <v>10.696350000000001</v>
      </c>
      <c r="S1216" s="64">
        <f t="shared" si="260"/>
        <v>45</v>
      </c>
      <c r="T1216" s="66">
        <f t="shared" si="261"/>
        <v>666.91635000000008</v>
      </c>
      <c r="U1216" s="68">
        <f t="shared" si="262"/>
        <v>55.576362500000009</v>
      </c>
      <c r="V1216" s="68">
        <f t="shared" si="263"/>
        <v>459.3087809917356</v>
      </c>
      <c r="W1216" s="68">
        <f t="shared" si="264"/>
        <v>306.20585399449038</v>
      </c>
    </row>
    <row r="1217" spans="1:23" x14ac:dyDescent="0.25">
      <c r="A1217" s="1" t="s">
        <v>945</v>
      </c>
      <c r="B1217" s="1" t="s">
        <v>391</v>
      </c>
      <c r="C1217" s="1" t="s">
        <v>585</v>
      </c>
      <c r="D1217" s="1" t="s">
        <v>589</v>
      </c>
      <c r="E1217" s="1" t="s">
        <v>380</v>
      </c>
      <c r="F1217" s="62" t="str">
        <f t="shared" si="253"/>
        <v>64592</v>
      </c>
      <c r="G1217" s="269">
        <v>10620002</v>
      </c>
      <c r="H1217" s="1" t="s">
        <v>382</v>
      </c>
      <c r="I1217" s="61">
        <v>19</v>
      </c>
      <c r="J1217" s="61">
        <v>4.3</v>
      </c>
      <c r="K1217" s="61">
        <v>8.5</v>
      </c>
      <c r="L1217" s="69">
        <f t="shared" si="254"/>
        <v>0.81700000000000006</v>
      </c>
      <c r="M1217" s="69">
        <f t="shared" si="255"/>
        <v>1.615</v>
      </c>
      <c r="N1217" s="56">
        <f>INDEX(Rate_Chart!$A$1:$AK$127,MATCH(Data!J1217,Rate_Chart!$A$1:$A$127,0),MATCH(Data!K1217,Rate_Chart!$A$1:$AK$1,0))</f>
        <v>41.562181500000001</v>
      </c>
      <c r="O1217" s="57">
        <f t="shared" si="256"/>
        <v>789.68144849999999</v>
      </c>
      <c r="P1217" s="58">
        <f t="shared" si="257"/>
        <v>417.01185451505017</v>
      </c>
      <c r="Q1217" s="58">
        <f t="shared" si="258"/>
        <v>278.00790301003343</v>
      </c>
      <c r="R1217" s="66">
        <f t="shared" si="259"/>
        <v>13.81942534875</v>
      </c>
      <c r="S1217" s="64">
        <f t="shared" si="260"/>
        <v>71.25</v>
      </c>
      <c r="T1217" s="66">
        <f t="shared" si="261"/>
        <v>874.75087384874996</v>
      </c>
      <c r="U1217" s="68">
        <f t="shared" si="262"/>
        <v>46.039519676249995</v>
      </c>
      <c r="V1217" s="68">
        <f t="shared" si="263"/>
        <v>461.93498002926418</v>
      </c>
      <c r="W1217" s="68">
        <f t="shared" si="264"/>
        <v>307.95665335284281</v>
      </c>
    </row>
    <row r="1218" spans="1:23" x14ac:dyDescent="0.25">
      <c r="A1218" s="1" t="s">
        <v>946</v>
      </c>
      <c r="B1218" s="1" t="s">
        <v>390</v>
      </c>
      <c r="C1218" s="1" t="s">
        <v>585</v>
      </c>
      <c r="D1218" s="1" t="s">
        <v>589</v>
      </c>
      <c r="E1218" s="1" t="s">
        <v>380</v>
      </c>
      <c r="F1218" s="62" t="str">
        <f t="shared" si="253"/>
        <v>64592</v>
      </c>
      <c r="G1218" s="269">
        <v>10620002</v>
      </c>
      <c r="H1218" s="1" t="s">
        <v>382</v>
      </c>
      <c r="I1218" s="61">
        <v>38</v>
      </c>
      <c r="J1218" s="61">
        <v>4</v>
      </c>
      <c r="K1218" s="61">
        <v>8.5</v>
      </c>
      <c r="L1218" s="69">
        <f t="shared" si="254"/>
        <v>1.52</v>
      </c>
      <c r="M1218" s="69">
        <f t="shared" si="255"/>
        <v>3.23</v>
      </c>
      <c r="N1218" s="56">
        <f>INDEX(Rate_Chart!$A$1:$AK$127,MATCH(Data!J1218,Rate_Chart!$A$1:$A$127,0),MATCH(Data!K1218,Rate_Chart!$A$1:$AK$1,0))</f>
        <v>40.311181500000004</v>
      </c>
      <c r="O1218" s="57">
        <f t="shared" si="256"/>
        <v>1531.8248970000002</v>
      </c>
      <c r="P1218" s="58">
        <f t="shared" si="257"/>
        <v>417.0122224137931</v>
      </c>
      <c r="Q1218" s="58">
        <f t="shared" si="258"/>
        <v>278.00814827586208</v>
      </c>
      <c r="R1218" s="66">
        <f t="shared" si="259"/>
        <v>26.806935697500005</v>
      </c>
      <c r="S1218" s="64">
        <f t="shared" si="260"/>
        <v>142.5</v>
      </c>
      <c r="T1218" s="66">
        <f t="shared" si="261"/>
        <v>1701.1318326975002</v>
      </c>
      <c r="U1218" s="68">
        <f t="shared" si="262"/>
        <v>44.766627176250005</v>
      </c>
      <c r="V1218" s="68">
        <f t="shared" si="263"/>
        <v>463.10303975431032</v>
      </c>
      <c r="W1218" s="68">
        <f t="shared" si="264"/>
        <v>308.7353598362069</v>
      </c>
    </row>
    <row r="1219" spans="1:23" x14ac:dyDescent="0.25">
      <c r="A1219" s="1" t="s">
        <v>946</v>
      </c>
      <c r="B1219" s="1" t="s">
        <v>391</v>
      </c>
      <c r="C1219" s="1" t="s">
        <v>585</v>
      </c>
      <c r="D1219" s="1" t="s">
        <v>589</v>
      </c>
      <c r="E1219" s="1" t="s">
        <v>380</v>
      </c>
      <c r="F1219" s="62" t="str">
        <f t="shared" si="253"/>
        <v>64592</v>
      </c>
      <c r="G1219" s="269">
        <v>10620002</v>
      </c>
      <c r="H1219" s="1" t="s">
        <v>381</v>
      </c>
      <c r="I1219" s="61">
        <v>11</v>
      </c>
      <c r="J1219" s="61">
        <v>6</v>
      </c>
      <c r="K1219" s="61">
        <v>9</v>
      </c>
      <c r="L1219" s="69">
        <f t="shared" si="254"/>
        <v>0.66</v>
      </c>
      <c r="M1219" s="69">
        <f t="shared" si="255"/>
        <v>0.99</v>
      </c>
      <c r="N1219" s="56">
        <f>INDEX(Rate_Chart!$A$1:$AK$127,MATCH(Data!J1219,Rate_Chart!$A$1:$A$127,0),MATCH(Data!K1219,Rate_Chart!$A$1:$AK$1,0))</f>
        <v>50.1</v>
      </c>
      <c r="O1219" s="57">
        <f t="shared" si="256"/>
        <v>551.1</v>
      </c>
      <c r="P1219" s="58">
        <f t="shared" si="257"/>
        <v>417.5</v>
      </c>
      <c r="Q1219" s="58">
        <f t="shared" si="258"/>
        <v>278.33333333333331</v>
      </c>
      <c r="R1219" s="66">
        <f t="shared" si="259"/>
        <v>9.6442500000000013</v>
      </c>
      <c r="S1219" s="64">
        <f t="shared" si="260"/>
        <v>41.25</v>
      </c>
      <c r="T1219" s="66">
        <f t="shared" si="261"/>
        <v>601.99424999999997</v>
      </c>
      <c r="U1219" s="68">
        <f t="shared" si="262"/>
        <v>54.726749999999996</v>
      </c>
      <c r="V1219" s="68">
        <f t="shared" si="263"/>
        <v>456.05624999999998</v>
      </c>
      <c r="W1219" s="68">
        <f t="shared" si="264"/>
        <v>304.03749999999997</v>
      </c>
    </row>
    <row r="1220" spans="1:23" x14ac:dyDescent="0.25">
      <c r="A1220" s="1" t="s">
        <v>946</v>
      </c>
      <c r="B1220" s="1" t="s">
        <v>391</v>
      </c>
      <c r="C1220" s="1" t="s">
        <v>585</v>
      </c>
      <c r="D1220" s="1" t="s">
        <v>589</v>
      </c>
      <c r="E1220" s="1" t="s">
        <v>380</v>
      </c>
      <c r="F1220" s="62" t="str">
        <f t="shared" si="253"/>
        <v>64592</v>
      </c>
      <c r="G1220" s="269">
        <v>10620002</v>
      </c>
      <c r="H1220" s="1" t="s">
        <v>382</v>
      </c>
      <c r="I1220" s="61">
        <v>28</v>
      </c>
      <c r="J1220" s="61">
        <v>4.4000000000000004</v>
      </c>
      <c r="K1220" s="61">
        <v>8.5</v>
      </c>
      <c r="L1220" s="69">
        <f t="shared" si="254"/>
        <v>1.2320000000000002</v>
      </c>
      <c r="M1220" s="69">
        <f t="shared" si="255"/>
        <v>2.38</v>
      </c>
      <c r="N1220" s="56">
        <f>INDEX(Rate_Chart!$A$1:$AK$127,MATCH(Data!J1220,Rate_Chart!$A$1:$A$127,0),MATCH(Data!K1220,Rate_Chart!$A$1:$AK$1,0))</f>
        <v>41.97918150000001</v>
      </c>
      <c r="O1220" s="57">
        <f t="shared" si="256"/>
        <v>1175.4170820000004</v>
      </c>
      <c r="P1220" s="58">
        <f t="shared" si="257"/>
        <v>417.01173675496693</v>
      </c>
      <c r="Q1220" s="58">
        <f t="shared" si="258"/>
        <v>278.00782450331127</v>
      </c>
      <c r="R1220" s="66">
        <f t="shared" si="259"/>
        <v>20.569798935000009</v>
      </c>
      <c r="S1220" s="64">
        <f t="shared" si="260"/>
        <v>105</v>
      </c>
      <c r="T1220" s="66">
        <f t="shared" si="261"/>
        <v>1300.9868809350005</v>
      </c>
      <c r="U1220" s="68">
        <f t="shared" si="262"/>
        <v>46.463817176250018</v>
      </c>
      <c r="V1220" s="68">
        <f t="shared" si="263"/>
        <v>461.56109777731797</v>
      </c>
      <c r="W1220" s="68">
        <f t="shared" si="264"/>
        <v>307.70739851821196</v>
      </c>
    </row>
    <row r="1221" spans="1:23" x14ac:dyDescent="0.25">
      <c r="A1221" s="1" t="s">
        <v>947</v>
      </c>
      <c r="B1221" s="1" t="s">
        <v>390</v>
      </c>
      <c r="C1221" s="1" t="s">
        <v>585</v>
      </c>
      <c r="D1221" s="1" t="s">
        <v>589</v>
      </c>
      <c r="E1221" s="1" t="s">
        <v>380</v>
      </c>
      <c r="F1221" s="62" t="str">
        <f t="shared" ref="F1221:F1259" si="265">MID(E1221,2,5)</f>
        <v>64592</v>
      </c>
      <c r="G1221" s="269">
        <v>10620002</v>
      </c>
      <c r="H1221" s="1" t="s">
        <v>382</v>
      </c>
      <c r="I1221" s="61">
        <v>32</v>
      </c>
      <c r="J1221" s="61">
        <v>4.5</v>
      </c>
      <c r="K1221" s="61">
        <v>8.5</v>
      </c>
      <c r="L1221" s="69">
        <f t="shared" si="254"/>
        <v>1.44</v>
      </c>
      <c r="M1221" s="69">
        <f t="shared" si="255"/>
        <v>2.72</v>
      </c>
      <c r="N1221" s="56">
        <f>INDEX(Rate_Chart!$A$1:$AK$127,MATCH(Data!J1221,Rate_Chart!$A$1:$A$127,0),MATCH(Data!K1221,Rate_Chart!$A$1:$AK$1,0))</f>
        <v>42.396181500000004</v>
      </c>
      <c r="O1221" s="57">
        <f t="shared" si="256"/>
        <v>1356.6778080000001</v>
      </c>
      <c r="P1221" s="58">
        <f t="shared" si="257"/>
        <v>417.01162131147544</v>
      </c>
      <c r="Q1221" s="58">
        <f t="shared" si="258"/>
        <v>278.00774754098364</v>
      </c>
      <c r="R1221" s="66">
        <f t="shared" si="259"/>
        <v>23.741861640000003</v>
      </c>
      <c r="S1221" s="64">
        <f t="shared" si="260"/>
        <v>120</v>
      </c>
      <c r="T1221" s="66">
        <f t="shared" si="261"/>
        <v>1500.4196696400002</v>
      </c>
      <c r="U1221" s="68">
        <f t="shared" si="262"/>
        <v>46.888114676250005</v>
      </c>
      <c r="V1221" s="68">
        <f t="shared" si="263"/>
        <v>461.19457058606559</v>
      </c>
      <c r="W1221" s="68">
        <f t="shared" si="264"/>
        <v>307.46304705737708</v>
      </c>
    </row>
    <row r="1222" spans="1:23" x14ac:dyDescent="0.25">
      <c r="A1222" s="1" t="s">
        <v>947</v>
      </c>
      <c r="B1222" s="1" t="s">
        <v>391</v>
      </c>
      <c r="C1222" s="1" t="s">
        <v>585</v>
      </c>
      <c r="D1222" s="1" t="s">
        <v>589</v>
      </c>
      <c r="E1222" s="1" t="s">
        <v>380</v>
      </c>
      <c r="F1222" s="62" t="str">
        <f t="shared" si="265"/>
        <v>64592</v>
      </c>
      <c r="G1222" s="269">
        <v>10620002</v>
      </c>
      <c r="H1222" s="1" t="s">
        <v>381</v>
      </c>
      <c r="I1222" s="61">
        <v>8</v>
      </c>
      <c r="J1222" s="61">
        <v>6</v>
      </c>
      <c r="K1222" s="61">
        <v>9</v>
      </c>
      <c r="L1222" s="69">
        <f t="shared" si="254"/>
        <v>0.48</v>
      </c>
      <c r="M1222" s="69">
        <f t="shared" si="255"/>
        <v>0.72</v>
      </c>
      <c r="N1222" s="56">
        <f>INDEX(Rate_Chart!$A$1:$AK$127,MATCH(Data!J1222,Rate_Chart!$A$1:$A$127,0),MATCH(Data!K1222,Rate_Chart!$A$1:$AK$1,0))</f>
        <v>50.1</v>
      </c>
      <c r="O1222" s="57">
        <f t="shared" si="256"/>
        <v>400.8</v>
      </c>
      <c r="P1222" s="58">
        <f t="shared" si="257"/>
        <v>417.5</v>
      </c>
      <c r="Q1222" s="58">
        <f t="shared" si="258"/>
        <v>278.33333333333331</v>
      </c>
      <c r="R1222" s="66">
        <f t="shared" si="259"/>
        <v>7.0140000000000011</v>
      </c>
      <c r="S1222" s="64">
        <f t="shared" si="260"/>
        <v>30</v>
      </c>
      <c r="T1222" s="66">
        <f t="shared" si="261"/>
        <v>437.81400000000002</v>
      </c>
      <c r="U1222" s="68">
        <f t="shared" si="262"/>
        <v>54.726750000000003</v>
      </c>
      <c r="V1222" s="68">
        <f t="shared" si="263"/>
        <v>456.05625000000003</v>
      </c>
      <c r="W1222" s="68">
        <f t="shared" si="264"/>
        <v>304.03750000000002</v>
      </c>
    </row>
    <row r="1223" spans="1:23" x14ac:dyDescent="0.25">
      <c r="A1223" s="1" t="s">
        <v>947</v>
      </c>
      <c r="B1223" s="1" t="s">
        <v>391</v>
      </c>
      <c r="C1223" s="1" t="s">
        <v>585</v>
      </c>
      <c r="D1223" s="1" t="s">
        <v>589</v>
      </c>
      <c r="E1223" s="1" t="s">
        <v>380</v>
      </c>
      <c r="F1223" s="62" t="str">
        <f t="shared" si="265"/>
        <v>64592</v>
      </c>
      <c r="G1223" s="269">
        <v>10620002</v>
      </c>
      <c r="H1223" s="1" t="s">
        <v>382</v>
      </c>
      <c r="I1223" s="61">
        <v>26</v>
      </c>
      <c r="J1223" s="61">
        <v>4.3</v>
      </c>
      <c r="K1223" s="61">
        <v>8.5</v>
      </c>
      <c r="L1223" s="69">
        <f t="shared" si="254"/>
        <v>1.1179999999999999</v>
      </c>
      <c r="M1223" s="69">
        <f t="shared" si="255"/>
        <v>2.21</v>
      </c>
      <c r="N1223" s="56">
        <f>INDEX(Rate_Chart!$A$1:$AK$127,MATCH(Data!J1223,Rate_Chart!$A$1:$A$127,0),MATCH(Data!K1223,Rate_Chart!$A$1:$AK$1,0))</f>
        <v>41.562181500000001</v>
      </c>
      <c r="O1223" s="57">
        <f t="shared" si="256"/>
        <v>1080.6167190000001</v>
      </c>
      <c r="P1223" s="58">
        <f t="shared" si="257"/>
        <v>417.01185451505017</v>
      </c>
      <c r="Q1223" s="58">
        <f t="shared" si="258"/>
        <v>278.00790301003343</v>
      </c>
      <c r="R1223" s="66">
        <f t="shared" si="259"/>
        <v>18.910792582500004</v>
      </c>
      <c r="S1223" s="64">
        <f t="shared" si="260"/>
        <v>97.5</v>
      </c>
      <c r="T1223" s="66">
        <f t="shared" si="261"/>
        <v>1197.0275115825002</v>
      </c>
      <c r="U1223" s="68">
        <f t="shared" si="262"/>
        <v>46.039519676250009</v>
      </c>
      <c r="V1223" s="68">
        <f t="shared" si="263"/>
        <v>461.9349800292643</v>
      </c>
      <c r="W1223" s="68">
        <f t="shared" si="264"/>
        <v>307.95665335284286</v>
      </c>
    </row>
    <row r="1224" spans="1:23" x14ac:dyDescent="0.25">
      <c r="A1224" s="1" t="s">
        <v>942</v>
      </c>
      <c r="B1224" s="1" t="s">
        <v>391</v>
      </c>
      <c r="C1224" s="1" t="s">
        <v>585</v>
      </c>
      <c r="D1224" s="1" t="s">
        <v>588</v>
      </c>
      <c r="E1224" s="1" t="s">
        <v>950</v>
      </c>
      <c r="F1224" s="62" t="str">
        <f t="shared" si="265"/>
        <v>64594</v>
      </c>
      <c r="G1224" s="269">
        <v>10620032</v>
      </c>
      <c r="H1224" s="1" t="s">
        <v>382</v>
      </c>
      <c r="I1224" s="61">
        <v>34</v>
      </c>
      <c r="J1224" s="61">
        <v>5</v>
      </c>
      <c r="K1224" s="61">
        <v>8.5</v>
      </c>
      <c r="L1224" s="69">
        <f t="shared" si="254"/>
        <v>1.7</v>
      </c>
      <c r="M1224" s="69">
        <f t="shared" si="255"/>
        <v>2.89</v>
      </c>
      <c r="N1224" s="56">
        <f>INDEX(Rate_Chart!$A$1:$AK$127,MATCH(Data!J1224,Rate_Chart!$A$1:$A$127,0),MATCH(Data!K1224,Rate_Chart!$A$1:$AK$1,0))</f>
        <v>44.481181500000005</v>
      </c>
      <c r="O1224" s="57">
        <f t="shared" si="256"/>
        <v>1512.3601710000003</v>
      </c>
      <c r="P1224" s="58">
        <f t="shared" si="257"/>
        <v>417.01107656250002</v>
      </c>
      <c r="Q1224" s="58">
        <f t="shared" si="258"/>
        <v>278.00738437500002</v>
      </c>
      <c r="R1224" s="66">
        <f t="shared" si="259"/>
        <v>26.466302992500008</v>
      </c>
      <c r="S1224" s="64">
        <f t="shared" si="260"/>
        <v>127.5</v>
      </c>
      <c r="T1224" s="66">
        <f t="shared" si="261"/>
        <v>1666.3264739925003</v>
      </c>
      <c r="U1224" s="68">
        <f t="shared" si="262"/>
        <v>49.009602176250006</v>
      </c>
      <c r="V1224" s="68">
        <f t="shared" si="263"/>
        <v>459.46502040234378</v>
      </c>
      <c r="W1224" s="68">
        <f t="shared" si="264"/>
        <v>306.3100136015625</v>
      </c>
    </row>
    <row r="1225" spans="1:23" x14ac:dyDescent="0.25">
      <c r="A1225" s="1" t="s">
        <v>944</v>
      </c>
      <c r="B1225" s="1" t="s">
        <v>391</v>
      </c>
      <c r="C1225" s="1" t="s">
        <v>585</v>
      </c>
      <c r="D1225" s="1" t="s">
        <v>588</v>
      </c>
      <c r="E1225" s="1" t="s">
        <v>950</v>
      </c>
      <c r="F1225" s="62" t="str">
        <f t="shared" si="265"/>
        <v>64594</v>
      </c>
      <c r="G1225" s="269">
        <v>10620032</v>
      </c>
      <c r="H1225" s="1" t="s">
        <v>381</v>
      </c>
      <c r="I1225" s="61">
        <v>24</v>
      </c>
      <c r="J1225" s="61">
        <v>5.5</v>
      </c>
      <c r="K1225" s="61">
        <v>8.6</v>
      </c>
      <c r="L1225" s="69">
        <f t="shared" si="254"/>
        <v>1.32</v>
      </c>
      <c r="M1225" s="69">
        <f t="shared" si="255"/>
        <v>2.0639999999999996</v>
      </c>
      <c r="N1225" s="56">
        <f>INDEX(Rate_Chart!$A$1:$AK$127,MATCH(Data!J1225,Rate_Chart!$A$1:$A$127,0),MATCH(Data!K1225,Rate_Chart!$A$1:$AK$1,0))</f>
        <v>46.566181499999999</v>
      </c>
      <c r="O1225" s="57">
        <f t="shared" si="256"/>
        <v>1117.588356</v>
      </c>
      <c r="P1225" s="58">
        <f t="shared" si="257"/>
        <v>414.53574035608312</v>
      </c>
      <c r="Q1225" s="58">
        <f t="shared" si="258"/>
        <v>276.35716023738877</v>
      </c>
      <c r="R1225" s="66">
        <f t="shared" si="259"/>
        <v>19.557796230000001</v>
      </c>
      <c r="S1225" s="64">
        <f t="shared" si="260"/>
        <v>90</v>
      </c>
      <c r="T1225" s="66">
        <f t="shared" si="261"/>
        <v>1227.1461522300001</v>
      </c>
      <c r="U1225" s="68">
        <f t="shared" si="262"/>
        <v>51.131089676250006</v>
      </c>
      <c r="V1225" s="68">
        <f t="shared" si="263"/>
        <v>455.17290512982203</v>
      </c>
      <c r="W1225" s="68">
        <f t="shared" si="264"/>
        <v>303.44860341988135</v>
      </c>
    </row>
    <row r="1226" spans="1:23" x14ac:dyDescent="0.25">
      <c r="A1226" s="1" t="s">
        <v>945</v>
      </c>
      <c r="B1226" s="1" t="s">
        <v>390</v>
      </c>
      <c r="C1226" s="1" t="s">
        <v>585</v>
      </c>
      <c r="D1226" s="1" t="s">
        <v>588</v>
      </c>
      <c r="E1226" s="1" t="s">
        <v>950</v>
      </c>
      <c r="F1226" s="62" t="str">
        <f t="shared" si="265"/>
        <v>64594</v>
      </c>
      <c r="G1226" s="269">
        <v>10620032</v>
      </c>
      <c r="H1226" s="1" t="s">
        <v>382</v>
      </c>
      <c r="I1226" s="61">
        <v>101</v>
      </c>
      <c r="J1226" s="61">
        <v>5</v>
      </c>
      <c r="K1226" s="61">
        <v>8.5</v>
      </c>
      <c r="L1226" s="69">
        <f t="shared" si="254"/>
        <v>5.05</v>
      </c>
      <c r="M1226" s="69">
        <f t="shared" si="255"/>
        <v>8.5850000000000009</v>
      </c>
      <c r="N1226" s="56">
        <f>INDEX(Rate_Chart!$A$1:$AK$127,MATCH(Data!J1226,Rate_Chart!$A$1:$A$127,0),MATCH(Data!K1226,Rate_Chart!$A$1:$AK$1,0))</f>
        <v>44.481181500000005</v>
      </c>
      <c r="O1226" s="57">
        <f t="shared" si="256"/>
        <v>4492.5993315000005</v>
      </c>
      <c r="P1226" s="58">
        <f t="shared" si="257"/>
        <v>417.01107656250002</v>
      </c>
      <c r="Q1226" s="58">
        <f t="shared" si="258"/>
        <v>278.00738437500002</v>
      </c>
      <c r="R1226" s="66">
        <f t="shared" si="259"/>
        <v>78.62048830125002</v>
      </c>
      <c r="S1226" s="64">
        <f t="shared" si="260"/>
        <v>378.75</v>
      </c>
      <c r="T1226" s="66">
        <f t="shared" si="261"/>
        <v>4949.9698198012502</v>
      </c>
      <c r="U1226" s="68">
        <f t="shared" si="262"/>
        <v>49.009602176249999</v>
      </c>
      <c r="V1226" s="68">
        <f t="shared" si="263"/>
        <v>459.46502040234373</v>
      </c>
      <c r="W1226" s="68">
        <f t="shared" si="264"/>
        <v>306.3100136015625</v>
      </c>
    </row>
    <row r="1227" spans="1:23" x14ac:dyDescent="0.25">
      <c r="A1227" s="1" t="s">
        <v>945</v>
      </c>
      <c r="B1227" s="1" t="s">
        <v>391</v>
      </c>
      <c r="C1227" s="1" t="s">
        <v>585</v>
      </c>
      <c r="D1227" s="1" t="s">
        <v>588</v>
      </c>
      <c r="E1227" s="1" t="s">
        <v>950</v>
      </c>
      <c r="F1227" s="62" t="str">
        <f t="shared" si="265"/>
        <v>64594</v>
      </c>
      <c r="G1227" s="269">
        <v>10620032</v>
      </c>
      <c r="H1227" s="1" t="s">
        <v>382</v>
      </c>
      <c r="I1227" s="61">
        <v>36</v>
      </c>
      <c r="J1227" s="61">
        <v>4.8</v>
      </c>
      <c r="K1227" s="61">
        <v>8.5</v>
      </c>
      <c r="L1227" s="69">
        <f t="shared" si="254"/>
        <v>1.7279999999999998</v>
      </c>
      <c r="M1227" s="69">
        <f t="shared" si="255"/>
        <v>3.06</v>
      </c>
      <c r="N1227" s="56">
        <f>INDEX(Rate_Chart!$A$1:$AK$127,MATCH(Data!J1227,Rate_Chart!$A$1:$A$127,0),MATCH(Data!K1227,Rate_Chart!$A$1:$AK$1,0))</f>
        <v>43.647181500000002</v>
      </c>
      <c r="O1227" s="57">
        <f t="shared" si="256"/>
        <v>1571.298534</v>
      </c>
      <c r="P1227" s="58">
        <f t="shared" si="257"/>
        <v>417.0112882165605</v>
      </c>
      <c r="Q1227" s="58">
        <f t="shared" si="258"/>
        <v>278.00752547770702</v>
      </c>
      <c r="R1227" s="66">
        <f t="shared" si="259"/>
        <v>27.497724345000002</v>
      </c>
      <c r="S1227" s="64">
        <f t="shared" si="260"/>
        <v>135</v>
      </c>
      <c r="T1227" s="66">
        <f t="shared" si="261"/>
        <v>1733.7962583450001</v>
      </c>
      <c r="U1227" s="68">
        <f t="shared" si="262"/>
        <v>48.161007176250003</v>
      </c>
      <c r="V1227" s="68">
        <f t="shared" si="263"/>
        <v>460.13701123805731</v>
      </c>
      <c r="W1227" s="68">
        <f t="shared" si="264"/>
        <v>306.75800749203819</v>
      </c>
    </row>
    <row r="1228" spans="1:23" x14ac:dyDescent="0.25">
      <c r="A1228" s="1" t="s">
        <v>946</v>
      </c>
      <c r="B1228" s="1" t="s">
        <v>390</v>
      </c>
      <c r="C1228" s="1" t="s">
        <v>585</v>
      </c>
      <c r="D1228" s="1" t="s">
        <v>588</v>
      </c>
      <c r="E1228" s="1" t="s">
        <v>950</v>
      </c>
      <c r="F1228" s="62" t="str">
        <f t="shared" si="265"/>
        <v>64594</v>
      </c>
      <c r="G1228" s="269">
        <v>10620032</v>
      </c>
      <c r="H1228" s="1" t="s">
        <v>381</v>
      </c>
      <c r="I1228" s="61">
        <v>72</v>
      </c>
      <c r="J1228" s="61">
        <v>5.7</v>
      </c>
      <c r="K1228" s="61">
        <v>9</v>
      </c>
      <c r="L1228" s="69">
        <f t="shared" si="254"/>
        <v>4.1040000000000001</v>
      </c>
      <c r="M1228" s="69">
        <f t="shared" si="255"/>
        <v>6.48</v>
      </c>
      <c r="N1228" s="56">
        <f>INDEX(Rate_Chart!$A$1:$AK$127,MATCH(Data!J1228,Rate_Chart!$A$1:$A$127,0),MATCH(Data!K1228,Rate_Chart!$A$1:$AK$1,0))</f>
        <v>47.594999999999999</v>
      </c>
      <c r="O1228" s="57">
        <f t="shared" si="256"/>
        <v>3426.84</v>
      </c>
      <c r="P1228" s="58">
        <f t="shared" si="257"/>
        <v>406.79487179487182</v>
      </c>
      <c r="Q1228" s="58">
        <f t="shared" si="258"/>
        <v>271.19658119658123</v>
      </c>
      <c r="R1228" s="66">
        <f t="shared" si="259"/>
        <v>59.96970000000001</v>
      </c>
      <c r="S1228" s="64">
        <f t="shared" si="260"/>
        <v>270</v>
      </c>
      <c r="T1228" s="66">
        <f t="shared" si="261"/>
        <v>3756.8097000000002</v>
      </c>
      <c r="U1228" s="68">
        <f t="shared" si="262"/>
        <v>52.177912500000005</v>
      </c>
      <c r="V1228" s="68">
        <f t="shared" si="263"/>
        <v>445.96506410256416</v>
      </c>
      <c r="W1228" s="68">
        <f t="shared" si="264"/>
        <v>297.31004273504277</v>
      </c>
    </row>
    <row r="1229" spans="1:23" x14ac:dyDescent="0.25">
      <c r="A1229" s="1" t="s">
        <v>946</v>
      </c>
      <c r="B1229" s="1" t="s">
        <v>390</v>
      </c>
      <c r="C1229" s="1" t="s">
        <v>585</v>
      </c>
      <c r="D1229" s="1" t="s">
        <v>588</v>
      </c>
      <c r="E1229" s="1" t="s">
        <v>950</v>
      </c>
      <c r="F1229" s="62" t="str">
        <f t="shared" si="265"/>
        <v>64594</v>
      </c>
      <c r="G1229" s="269">
        <v>10620032</v>
      </c>
      <c r="H1229" s="1" t="s">
        <v>382</v>
      </c>
      <c r="I1229" s="61">
        <v>29</v>
      </c>
      <c r="J1229" s="61">
        <v>3.3</v>
      </c>
      <c r="K1229" s="61">
        <v>8.1</v>
      </c>
      <c r="L1229" s="69">
        <f t="shared" si="254"/>
        <v>0.95699999999999985</v>
      </c>
      <c r="M1229" s="69">
        <f t="shared" si="255"/>
        <v>2.3489999999999998</v>
      </c>
      <c r="N1229" s="56">
        <f>INDEX(Rate_Chart!$A$1:$AK$127,MATCH(Data!J1229,Rate_Chart!$A$1:$A$127,0),MATCH(Data!K1229,Rate_Chart!$A$1:$AK$1,0))</f>
        <v>36.280125900000002</v>
      </c>
      <c r="O1229" s="57">
        <f t="shared" si="256"/>
        <v>1052.1236511</v>
      </c>
      <c r="P1229" s="58">
        <f t="shared" si="257"/>
        <v>417.0129413793104</v>
      </c>
      <c r="Q1229" s="58">
        <f t="shared" si="258"/>
        <v>278.00862758620696</v>
      </c>
      <c r="R1229" s="66">
        <f t="shared" si="259"/>
        <v>18.41216389425</v>
      </c>
      <c r="S1229" s="64">
        <f t="shared" si="260"/>
        <v>108.75</v>
      </c>
      <c r="T1229" s="66">
        <f t="shared" si="261"/>
        <v>1179.2858149942499</v>
      </c>
      <c r="U1229" s="68">
        <f t="shared" si="262"/>
        <v>40.665028103249995</v>
      </c>
      <c r="V1229" s="68">
        <f t="shared" si="263"/>
        <v>467.41411612931034</v>
      </c>
      <c r="W1229" s="68">
        <f t="shared" si="264"/>
        <v>311.60941075287354</v>
      </c>
    </row>
    <row r="1230" spans="1:23" x14ac:dyDescent="0.25">
      <c r="A1230" s="1" t="s">
        <v>946</v>
      </c>
      <c r="B1230" s="1" t="s">
        <v>391</v>
      </c>
      <c r="C1230" s="1" t="s">
        <v>585</v>
      </c>
      <c r="D1230" s="1" t="s">
        <v>588</v>
      </c>
      <c r="E1230" s="1" t="s">
        <v>950</v>
      </c>
      <c r="F1230" s="62" t="str">
        <f t="shared" si="265"/>
        <v>64594</v>
      </c>
      <c r="G1230" s="269">
        <v>10620032</v>
      </c>
      <c r="H1230" s="1" t="s">
        <v>382</v>
      </c>
      <c r="I1230" s="61">
        <v>38</v>
      </c>
      <c r="J1230" s="61">
        <v>4.7</v>
      </c>
      <c r="K1230" s="61">
        <v>8.5</v>
      </c>
      <c r="L1230" s="69">
        <f t="shared" si="254"/>
        <v>1.786</v>
      </c>
      <c r="M1230" s="69">
        <f t="shared" si="255"/>
        <v>3.23</v>
      </c>
      <c r="N1230" s="56">
        <f>INDEX(Rate_Chart!$A$1:$AK$127,MATCH(Data!J1230,Rate_Chart!$A$1:$A$127,0),MATCH(Data!K1230,Rate_Chart!$A$1:$AK$1,0))</f>
        <v>43.2301815</v>
      </c>
      <c r="O1230" s="57">
        <f t="shared" si="256"/>
        <v>1642.746897</v>
      </c>
      <c r="P1230" s="58">
        <f t="shared" si="257"/>
        <v>417.01139710610931</v>
      </c>
      <c r="Q1230" s="58">
        <f t="shared" si="258"/>
        <v>278.00759807073956</v>
      </c>
      <c r="R1230" s="66">
        <f t="shared" si="259"/>
        <v>28.748070697500001</v>
      </c>
      <c r="S1230" s="64">
        <f t="shared" si="260"/>
        <v>142.5</v>
      </c>
      <c r="T1230" s="66">
        <f t="shared" si="261"/>
        <v>1813.9949676975</v>
      </c>
      <c r="U1230" s="68">
        <f t="shared" si="262"/>
        <v>47.736709676250001</v>
      </c>
      <c r="V1230" s="68">
        <f t="shared" si="263"/>
        <v>460.48272999598072</v>
      </c>
      <c r="W1230" s="68">
        <f t="shared" si="264"/>
        <v>306.98848666398715</v>
      </c>
    </row>
    <row r="1231" spans="1:23" x14ac:dyDescent="0.25">
      <c r="A1231" s="1" t="s">
        <v>947</v>
      </c>
      <c r="B1231" s="1" t="s">
        <v>390</v>
      </c>
      <c r="C1231" s="1" t="s">
        <v>585</v>
      </c>
      <c r="D1231" s="1" t="s">
        <v>588</v>
      </c>
      <c r="E1231" s="1" t="s">
        <v>950</v>
      </c>
      <c r="F1231" s="62" t="str">
        <f t="shared" si="265"/>
        <v>64594</v>
      </c>
      <c r="G1231" s="269">
        <v>10620032</v>
      </c>
      <c r="H1231" s="1" t="s">
        <v>381</v>
      </c>
      <c r="I1231" s="61">
        <v>68</v>
      </c>
      <c r="J1231" s="61">
        <v>5.6</v>
      </c>
      <c r="K1231" s="61">
        <v>9</v>
      </c>
      <c r="L1231" s="69">
        <f t="shared" si="254"/>
        <v>3.8079999999999994</v>
      </c>
      <c r="M1231" s="69">
        <f t="shared" si="255"/>
        <v>6.12</v>
      </c>
      <c r="N1231" s="56">
        <f>INDEX(Rate_Chart!$A$1:$AK$127,MATCH(Data!J1231,Rate_Chart!$A$1:$A$127,0),MATCH(Data!K1231,Rate_Chart!$A$1:$AK$1,0))</f>
        <v>46.76</v>
      </c>
      <c r="O1231" s="57">
        <f t="shared" si="256"/>
        <v>3179.68</v>
      </c>
      <c r="P1231" s="58">
        <f t="shared" si="257"/>
        <v>403.10344827586209</v>
      </c>
      <c r="Q1231" s="58">
        <f t="shared" si="258"/>
        <v>268.73563218390808</v>
      </c>
      <c r="R1231" s="66">
        <f t="shared" si="259"/>
        <v>55.644400000000005</v>
      </c>
      <c r="S1231" s="64">
        <f t="shared" si="260"/>
        <v>255</v>
      </c>
      <c r="T1231" s="66">
        <f t="shared" si="261"/>
        <v>3490.3244</v>
      </c>
      <c r="U1231" s="68">
        <f t="shared" si="262"/>
        <v>51.328299999999999</v>
      </c>
      <c r="V1231" s="68">
        <f t="shared" si="263"/>
        <v>442.48534482758623</v>
      </c>
      <c r="W1231" s="68">
        <f t="shared" si="264"/>
        <v>294.99022988505749</v>
      </c>
    </row>
    <row r="1232" spans="1:23" x14ac:dyDescent="0.25">
      <c r="A1232" s="1" t="s">
        <v>947</v>
      </c>
      <c r="B1232" s="1" t="s">
        <v>390</v>
      </c>
      <c r="C1232" s="1" t="s">
        <v>585</v>
      </c>
      <c r="D1232" s="1" t="s">
        <v>588</v>
      </c>
      <c r="E1232" s="1" t="s">
        <v>950</v>
      </c>
      <c r="F1232" s="62" t="str">
        <f t="shared" si="265"/>
        <v>64594</v>
      </c>
      <c r="G1232" s="269">
        <v>10620032</v>
      </c>
      <c r="H1232" s="1" t="s">
        <v>382</v>
      </c>
      <c r="I1232" s="61">
        <v>30</v>
      </c>
      <c r="J1232" s="61">
        <v>3.9</v>
      </c>
      <c r="K1232" s="61">
        <v>8.3000000000000007</v>
      </c>
      <c r="L1232" s="69">
        <f t="shared" si="254"/>
        <v>1.17</v>
      </c>
      <c r="M1232" s="69">
        <f t="shared" si="255"/>
        <v>2.4900000000000002</v>
      </c>
      <c r="N1232" s="56">
        <f>INDEX(Rate_Chart!$A$1:$AK$127,MATCH(Data!J1232,Rate_Chart!$A$1:$A$127,0),MATCH(Data!K1232,Rate_Chart!$A$1:$AK$1,0))</f>
        <v>39.338153700000007</v>
      </c>
      <c r="O1232" s="57">
        <f t="shared" si="256"/>
        <v>1180.1446110000002</v>
      </c>
      <c r="P1232" s="58">
        <f t="shared" si="257"/>
        <v>417.01223003533573</v>
      </c>
      <c r="Q1232" s="58">
        <f t="shared" si="258"/>
        <v>278.00815335689049</v>
      </c>
      <c r="R1232" s="66">
        <f t="shared" si="259"/>
        <v>20.652530692500005</v>
      </c>
      <c r="S1232" s="64">
        <f t="shared" si="260"/>
        <v>112.5</v>
      </c>
      <c r="T1232" s="66">
        <f t="shared" si="261"/>
        <v>1313.2971416925002</v>
      </c>
      <c r="U1232" s="68">
        <f t="shared" si="262"/>
        <v>43.776571389750004</v>
      </c>
      <c r="V1232" s="68">
        <f t="shared" si="263"/>
        <v>464.06259423763254</v>
      </c>
      <c r="W1232" s="68">
        <f t="shared" si="264"/>
        <v>309.37506282508838</v>
      </c>
    </row>
    <row r="1233" spans="1:23" x14ac:dyDescent="0.25">
      <c r="A1233" s="1" t="s">
        <v>947</v>
      </c>
      <c r="B1233" s="1" t="s">
        <v>391</v>
      </c>
      <c r="C1233" s="1" t="s">
        <v>585</v>
      </c>
      <c r="D1233" s="1" t="s">
        <v>588</v>
      </c>
      <c r="E1233" s="1" t="s">
        <v>950</v>
      </c>
      <c r="F1233" s="62" t="str">
        <f t="shared" si="265"/>
        <v>64594</v>
      </c>
      <c r="G1233" s="269">
        <v>10620032</v>
      </c>
      <c r="H1233" s="1" t="s">
        <v>382</v>
      </c>
      <c r="I1233" s="61">
        <v>36</v>
      </c>
      <c r="J1233" s="61">
        <v>4.3</v>
      </c>
      <c r="K1233" s="61">
        <v>8.5</v>
      </c>
      <c r="L1233" s="69">
        <f t="shared" si="254"/>
        <v>1.5479999999999998</v>
      </c>
      <c r="M1233" s="69">
        <f t="shared" si="255"/>
        <v>3.06</v>
      </c>
      <c r="N1233" s="56">
        <f>INDEX(Rate_Chart!$A$1:$AK$127,MATCH(Data!J1233,Rate_Chart!$A$1:$A$127,0),MATCH(Data!K1233,Rate_Chart!$A$1:$AK$1,0))</f>
        <v>41.562181500000001</v>
      </c>
      <c r="O1233" s="57">
        <f t="shared" si="256"/>
        <v>1496.2385340000001</v>
      </c>
      <c r="P1233" s="58">
        <f t="shared" si="257"/>
        <v>417.01185451505017</v>
      </c>
      <c r="Q1233" s="58">
        <f t="shared" si="258"/>
        <v>278.00790301003343</v>
      </c>
      <c r="R1233" s="66">
        <f t="shared" si="259"/>
        <v>26.184174345000002</v>
      </c>
      <c r="S1233" s="64">
        <f t="shared" si="260"/>
        <v>135</v>
      </c>
      <c r="T1233" s="66">
        <f t="shared" si="261"/>
        <v>1657.422708345</v>
      </c>
      <c r="U1233" s="68">
        <f t="shared" si="262"/>
        <v>46.039519676250002</v>
      </c>
      <c r="V1233" s="68">
        <f t="shared" si="263"/>
        <v>461.93498002926424</v>
      </c>
      <c r="W1233" s="68">
        <f t="shared" si="264"/>
        <v>307.95665335284281</v>
      </c>
    </row>
    <row r="1234" spans="1:23" x14ac:dyDescent="0.25">
      <c r="A1234" s="1" t="s">
        <v>941</v>
      </c>
      <c r="B1234" s="1" t="s">
        <v>390</v>
      </c>
      <c r="C1234" s="1" t="s">
        <v>585</v>
      </c>
      <c r="D1234" s="1" t="s">
        <v>589</v>
      </c>
      <c r="E1234" s="1" t="s">
        <v>858</v>
      </c>
      <c r="F1234" s="62" t="str">
        <f t="shared" si="265"/>
        <v>64600</v>
      </c>
      <c r="G1234" s="269">
        <v>10620004</v>
      </c>
      <c r="H1234" s="1" t="s">
        <v>381</v>
      </c>
      <c r="I1234" s="61">
        <v>17</v>
      </c>
      <c r="J1234" s="61">
        <v>5.6</v>
      </c>
      <c r="K1234" s="61">
        <v>9</v>
      </c>
      <c r="L1234" s="69">
        <f t="shared" si="254"/>
        <v>0.95199999999999985</v>
      </c>
      <c r="M1234" s="69">
        <f t="shared" si="255"/>
        <v>1.53</v>
      </c>
      <c r="N1234" s="56">
        <f>INDEX(Rate_Chart!$A$1:$AK$127,MATCH(Data!J1234,Rate_Chart!$A$1:$A$127,0),MATCH(Data!K1234,Rate_Chart!$A$1:$AK$1,0))</f>
        <v>46.76</v>
      </c>
      <c r="O1234" s="57">
        <f t="shared" si="256"/>
        <v>794.92</v>
      </c>
      <c r="P1234" s="58">
        <f t="shared" si="257"/>
        <v>403.10344827586209</v>
      </c>
      <c r="Q1234" s="58">
        <f t="shared" si="258"/>
        <v>268.73563218390808</v>
      </c>
      <c r="R1234" s="66">
        <f t="shared" si="259"/>
        <v>13.911100000000001</v>
      </c>
      <c r="S1234" s="64">
        <f t="shared" si="260"/>
        <v>63.75</v>
      </c>
      <c r="T1234" s="66">
        <f t="shared" si="261"/>
        <v>872.58109999999999</v>
      </c>
      <c r="U1234" s="68">
        <f t="shared" si="262"/>
        <v>51.328299999999999</v>
      </c>
      <c r="V1234" s="68">
        <f t="shared" si="263"/>
        <v>442.48534482758623</v>
      </c>
      <c r="W1234" s="68">
        <f t="shared" si="264"/>
        <v>294.99022988505749</v>
      </c>
    </row>
    <row r="1235" spans="1:23" x14ac:dyDescent="0.25">
      <c r="A1235" s="1" t="s">
        <v>941</v>
      </c>
      <c r="B1235" s="1" t="s">
        <v>390</v>
      </c>
      <c r="C1235" s="1" t="s">
        <v>585</v>
      </c>
      <c r="D1235" s="1" t="s">
        <v>589</v>
      </c>
      <c r="E1235" s="1" t="s">
        <v>858</v>
      </c>
      <c r="F1235" s="62" t="str">
        <f t="shared" si="265"/>
        <v>64600</v>
      </c>
      <c r="G1235" s="269">
        <v>10620004</v>
      </c>
      <c r="H1235" s="1" t="s">
        <v>382</v>
      </c>
      <c r="I1235" s="61">
        <v>30</v>
      </c>
      <c r="J1235" s="61">
        <v>3</v>
      </c>
      <c r="K1235" s="61">
        <v>8.1999999999999993</v>
      </c>
      <c r="L1235" s="69">
        <f t="shared" si="254"/>
        <v>0.9</v>
      </c>
      <c r="M1235" s="69">
        <f t="shared" si="255"/>
        <v>2.4599999999999995</v>
      </c>
      <c r="N1235" s="56">
        <f>INDEX(Rate_Chart!$A$1:$AK$127,MATCH(Data!J1235,Rate_Chart!$A$1:$A$127,0),MATCH(Data!K1235,Rate_Chart!$A$1:$AK$1,0))</f>
        <v>35.307139800000002</v>
      </c>
      <c r="O1235" s="57">
        <f t="shared" si="256"/>
        <v>1059.2141940000001</v>
      </c>
      <c r="P1235" s="58">
        <f t="shared" si="257"/>
        <v>417.01346220472442</v>
      </c>
      <c r="Q1235" s="58">
        <f t="shared" si="258"/>
        <v>278.00897480314961</v>
      </c>
      <c r="R1235" s="66">
        <f t="shared" si="259"/>
        <v>18.536248395000005</v>
      </c>
      <c r="S1235" s="64">
        <f t="shared" si="260"/>
        <v>112.5</v>
      </c>
      <c r="T1235" s="66">
        <f t="shared" si="261"/>
        <v>1190.2504423950002</v>
      </c>
      <c r="U1235" s="68">
        <f t="shared" si="262"/>
        <v>39.675014746500004</v>
      </c>
      <c r="V1235" s="68">
        <f t="shared" si="263"/>
        <v>468.6025363759843</v>
      </c>
      <c r="W1235" s="68">
        <f t="shared" si="264"/>
        <v>312.40169091732287</v>
      </c>
    </row>
    <row r="1236" spans="1:23" x14ac:dyDescent="0.25">
      <c r="A1236" s="1" t="s">
        <v>941</v>
      </c>
      <c r="B1236" s="1" t="s">
        <v>391</v>
      </c>
      <c r="C1236" s="1" t="s">
        <v>585</v>
      </c>
      <c r="D1236" s="1" t="s">
        <v>589</v>
      </c>
      <c r="E1236" s="1" t="s">
        <v>858</v>
      </c>
      <c r="F1236" s="62" t="str">
        <f t="shared" si="265"/>
        <v>64600</v>
      </c>
      <c r="G1236" s="269">
        <v>10620004</v>
      </c>
      <c r="H1236" s="1" t="s">
        <v>381</v>
      </c>
      <c r="I1236" s="61">
        <v>21</v>
      </c>
      <c r="J1236" s="61">
        <v>5.8</v>
      </c>
      <c r="K1236" s="61">
        <v>8.8000000000000007</v>
      </c>
      <c r="L1236" s="69">
        <f t="shared" si="254"/>
        <v>1.218</v>
      </c>
      <c r="M1236" s="69">
        <f t="shared" si="255"/>
        <v>1.8480000000000001</v>
      </c>
      <c r="N1236" s="56">
        <f>INDEX(Rate_Chart!$A$1:$AK$127,MATCH(Data!J1236,Rate_Chart!$A$1:$A$127,0),MATCH(Data!K1236,Rate_Chart!$A$1:$AK$1,0))</f>
        <v>47.945700000000002</v>
      </c>
      <c r="O1236" s="57">
        <f t="shared" si="256"/>
        <v>1006.8597000000001</v>
      </c>
      <c r="P1236" s="58">
        <f t="shared" si="257"/>
        <v>410.96314285714288</v>
      </c>
      <c r="Q1236" s="58">
        <f t="shared" si="258"/>
        <v>273.97542857142861</v>
      </c>
      <c r="R1236" s="66">
        <f t="shared" si="259"/>
        <v>17.620044750000002</v>
      </c>
      <c r="S1236" s="64">
        <f t="shared" si="260"/>
        <v>78.75</v>
      </c>
      <c r="T1236" s="66">
        <f t="shared" si="261"/>
        <v>1103.22974475</v>
      </c>
      <c r="U1236" s="68">
        <f t="shared" si="262"/>
        <v>52.534749750000003</v>
      </c>
      <c r="V1236" s="68">
        <f t="shared" si="263"/>
        <v>450.29785500000003</v>
      </c>
      <c r="W1236" s="68">
        <f t="shared" si="264"/>
        <v>300.19857000000002</v>
      </c>
    </row>
    <row r="1237" spans="1:23" x14ac:dyDescent="0.25">
      <c r="A1237" s="1" t="s">
        <v>941</v>
      </c>
      <c r="B1237" s="1" t="s">
        <v>391</v>
      </c>
      <c r="C1237" s="1" t="s">
        <v>585</v>
      </c>
      <c r="D1237" s="1" t="s">
        <v>589</v>
      </c>
      <c r="E1237" s="1" t="s">
        <v>858</v>
      </c>
      <c r="F1237" s="62" t="str">
        <f t="shared" si="265"/>
        <v>64600</v>
      </c>
      <c r="G1237" s="269">
        <v>10620004</v>
      </c>
      <c r="H1237" s="1" t="s">
        <v>382</v>
      </c>
      <c r="I1237" s="61">
        <v>31</v>
      </c>
      <c r="J1237" s="61">
        <v>4.0999999999999996</v>
      </c>
      <c r="K1237" s="61">
        <v>8.5</v>
      </c>
      <c r="L1237" s="69">
        <f t="shared" si="254"/>
        <v>1.2709999999999999</v>
      </c>
      <c r="M1237" s="69">
        <f t="shared" si="255"/>
        <v>2.6349999999999998</v>
      </c>
      <c r="N1237" s="56">
        <f>INDEX(Rate_Chart!$A$1:$AK$127,MATCH(Data!J1237,Rate_Chart!$A$1:$A$127,0),MATCH(Data!K1237,Rate_Chart!$A$1:$AK$1,0))</f>
        <v>40.728181500000005</v>
      </c>
      <c r="O1237" s="57">
        <f t="shared" si="256"/>
        <v>1262.5736265</v>
      </c>
      <c r="P1237" s="58">
        <f t="shared" si="257"/>
        <v>417.01209726962463</v>
      </c>
      <c r="Q1237" s="58">
        <f t="shared" si="258"/>
        <v>278.0080648464164</v>
      </c>
      <c r="R1237" s="66">
        <f t="shared" si="259"/>
        <v>22.095038463750004</v>
      </c>
      <c r="S1237" s="64">
        <f t="shared" si="260"/>
        <v>116.25</v>
      </c>
      <c r="T1237" s="66">
        <f t="shared" si="261"/>
        <v>1400.91866496375</v>
      </c>
      <c r="U1237" s="68">
        <f t="shared" si="262"/>
        <v>45.190924676249999</v>
      </c>
      <c r="V1237" s="68">
        <f t="shared" si="263"/>
        <v>462.70571340870305</v>
      </c>
      <c r="W1237" s="68">
        <f t="shared" si="264"/>
        <v>308.47047560580205</v>
      </c>
    </row>
    <row r="1238" spans="1:23" x14ac:dyDescent="0.25">
      <c r="A1238" s="1" t="s">
        <v>942</v>
      </c>
      <c r="B1238" s="1" t="s">
        <v>390</v>
      </c>
      <c r="C1238" s="1" t="s">
        <v>585</v>
      </c>
      <c r="D1238" s="1" t="s">
        <v>589</v>
      </c>
      <c r="E1238" s="1" t="s">
        <v>858</v>
      </c>
      <c r="F1238" s="62" t="str">
        <f t="shared" si="265"/>
        <v>64600</v>
      </c>
      <c r="G1238" s="269">
        <v>10620004</v>
      </c>
      <c r="H1238" s="1" t="s">
        <v>381</v>
      </c>
      <c r="I1238" s="61">
        <v>23</v>
      </c>
      <c r="J1238" s="61">
        <v>6.4</v>
      </c>
      <c r="K1238" s="61">
        <v>9</v>
      </c>
      <c r="L1238" s="69">
        <f t="shared" si="254"/>
        <v>1.4720000000000002</v>
      </c>
      <c r="M1238" s="69">
        <f t="shared" si="255"/>
        <v>2.0699999999999998</v>
      </c>
      <c r="N1238" s="56">
        <f>INDEX(Rate_Chart!$A$1:$AK$127,MATCH(Data!J1238,Rate_Chart!$A$1:$A$127,0),MATCH(Data!K1238,Rate_Chart!$A$1:$AK$1,0))</f>
        <v>53.44</v>
      </c>
      <c r="O1238" s="57">
        <f t="shared" si="256"/>
        <v>1229.1199999999999</v>
      </c>
      <c r="P1238" s="58">
        <f t="shared" si="257"/>
        <v>430.96774193548384</v>
      </c>
      <c r="Q1238" s="58">
        <f t="shared" si="258"/>
        <v>287.31182795698925</v>
      </c>
      <c r="R1238" s="66">
        <f t="shared" si="259"/>
        <v>21.509599999999999</v>
      </c>
      <c r="S1238" s="64">
        <f t="shared" si="260"/>
        <v>86.25</v>
      </c>
      <c r="T1238" s="66">
        <f t="shared" si="261"/>
        <v>1336.8796</v>
      </c>
      <c r="U1238" s="68">
        <f t="shared" si="262"/>
        <v>58.1252</v>
      </c>
      <c r="V1238" s="68">
        <f t="shared" si="263"/>
        <v>468.7516129032258</v>
      </c>
      <c r="W1238" s="68">
        <f t="shared" si="264"/>
        <v>312.5010752688172</v>
      </c>
    </row>
    <row r="1239" spans="1:23" x14ac:dyDescent="0.25">
      <c r="A1239" s="1" t="s">
        <v>942</v>
      </c>
      <c r="B1239" s="1" t="s">
        <v>390</v>
      </c>
      <c r="C1239" s="1" t="s">
        <v>585</v>
      </c>
      <c r="D1239" s="1" t="s">
        <v>589</v>
      </c>
      <c r="E1239" s="1" t="s">
        <v>858</v>
      </c>
      <c r="F1239" s="62" t="str">
        <f t="shared" si="265"/>
        <v>64600</v>
      </c>
      <c r="G1239" s="269">
        <v>10620004</v>
      </c>
      <c r="H1239" s="1" t="s">
        <v>382</v>
      </c>
      <c r="I1239" s="61">
        <v>36</v>
      </c>
      <c r="J1239" s="61">
        <v>3.3</v>
      </c>
      <c r="K1239" s="61">
        <v>8.1</v>
      </c>
      <c r="L1239" s="69">
        <f t="shared" si="254"/>
        <v>1.1879999999999999</v>
      </c>
      <c r="M1239" s="69">
        <f t="shared" si="255"/>
        <v>2.9159999999999995</v>
      </c>
      <c r="N1239" s="56">
        <f>INDEX(Rate_Chart!$A$1:$AK$127,MATCH(Data!J1239,Rate_Chart!$A$1:$A$127,0),MATCH(Data!K1239,Rate_Chart!$A$1:$AK$1,0))</f>
        <v>36.280125900000002</v>
      </c>
      <c r="O1239" s="57">
        <f t="shared" si="256"/>
        <v>1306.0845324000002</v>
      </c>
      <c r="P1239" s="58">
        <f t="shared" si="257"/>
        <v>417.0129413793104</v>
      </c>
      <c r="Q1239" s="58">
        <f t="shared" si="258"/>
        <v>278.00862758620696</v>
      </c>
      <c r="R1239" s="66">
        <f t="shared" si="259"/>
        <v>22.856479317000005</v>
      </c>
      <c r="S1239" s="64">
        <f t="shared" si="260"/>
        <v>135</v>
      </c>
      <c r="T1239" s="66">
        <f t="shared" si="261"/>
        <v>1463.9410117170003</v>
      </c>
      <c r="U1239" s="68">
        <f t="shared" si="262"/>
        <v>40.665028103250009</v>
      </c>
      <c r="V1239" s="68">
        <f t="shared" si="263"/>
        <v>467.41411612931046</v>
      </c>
      <c r="W1239" s="68">
        <f t="shared" si="264"/>
        <v>311.60941075287366</v>
      </c>
    </row>
    <row r="1240" spans="1:23" x14ac:dyDescent="0.25">
      <c r="A1240" s="1" t="s">
        <v>942</v>
      </c>
      <c r="B1240" s="1" t="s">
        <v>391</v>
      </c>
      <c r="C1240" s="1" t="s">
        <v>585</v>
      </c>
      <c r="D1240" s="1" t="s">
        <v>589</v>
      </c>
      <c r="E1240" s="1" t="s">
        <v>858</v>
      </c>
      <c r="F1240" s="62" t="str">
        <f t="shared" si="265"/>
        <v>64600</v>
      </c>
      <c r="G1240" s="269">
        <v>10620004</v>
      </c>
      <c r="H1240" s="1" t="s">
        <v>381</v>
      </c>
      <c r="I1240" s="61">
        <v>24</v>
      </c>
      <c r="J1240" s="61">
        <v>5.9</v>
      </c>
      <c r="K1240" s="61">
        <v>9</v>
      </c>
      <c r="L1240" s="69">
        <f t="shared" si="254"/>
        <v>1.4160000000000001</v>
      </c>
      <c r="M1240" s="69">
        <f t="shared" si="255"/>
        <v>2.16</v>
      </c>
      <c r="N1240" s="56">
        <f>INDEX(Rate_Chart!$A$1:$AK$127,MATCH(Data!J1240,Rate_Chart!$A$1:$A$127,0),MATCH(Data!K1240,Rate_Chart!$A$1:$AK$1,0))</f>
        <v>49.265000000000001</v>
      </c>
      <c r="O1240" s="57">
        <f t="shared" si="256"/>
        <v>1182.3600000000001</v>
      </c>
      <c r="P1240" s="58">
        <f t="shared" si="257"/>
        <v>413.99159663865549</v>
      </c>
      <c r="Q1240" s="58">
        <f t="shared" si="258"/>
        <v>275.99439775910366</v>
      </c>
      <c r="R1240" s="66">
        <f t="shared" si="259"/>
        <v>20.691300000000005</v>
      </c>
      <c r="S1240" s="64">
        <f t="shared" si="260"/>
        <v>90</v>
      </c>
      <c r="T1240" s="66">
        <f t="shared" si="261"/>
        <v>1293.0513000000001</v>
      </c>
      <c r="U1240" s="68">
        <f t="shared" si="262"/>
        <v>53.877137500000003</v>
      </c>
      <c r="V1240" s="68">
        <f t="shared" si="263"/>
        <v>452.74905462184881</v>
      </c>
      <c r="W1240" s="68">
        <f t="shared" si="264"/>
        <v>301.83270308123252</v>
      </c>
    </row>
    <row r="1241" spans="1:23" x14ac:dyDescent="0.25">
      <c r="A1241" s="1" t="s">
        <v>942</v>
      </c>
      <c r="B1241" s="1" t="s">
        <v>391</v>
      </c>
      <c r="C1241" s="1" t="s">
        <v>585</v>
      </c>
      <c r="D1241" s="1" t="s">
        <v>589</v>
      </c>
      <c r="E1241" s="1" t="s">
        <v>858</v>
      </c>
      <c r="F1241" s="62" t="str">
        <f t="shared" si="265"/>
        <v>64600</v>
      </c>
      <c r="G1241" s="269">
        <v>10620004</v>
      </c>
      <c r="H1241" s="1" t="s">
        <v>382</v>
      </c>
      <c r="I1241" s="61">
        <v>22</v>
      </c>
      <c r="J1241" s="61">
        <v>4.8</v>
      </c>
      <c r="K1241" s="61">
        <v>8.5</v>
      </c>
      <c r="L1241" s="69">
        <f t="shared" si="254"/>
        <v>1.056</v>
      </c>
      <c r="M1241" s="69">
        <f t="shared" si="255"/>
        <v>1.87</v>
      </c>
      <c r="N1241" s="56">
        <f>INDEX(Rate_Chart!$A$1:$AK$127,MATCH(Data!J1241,Rate_Chart!$A$1:$A$127,0),MATCH(Data!K1241,Rate_Chart!$A$1:$AK$1,0))</f>
        <v>43.647181500000002</v>
      </c>
      <c r="O1241" s="57">
        <f t="shared" si="256"/>
        <v>960.23799300000007</v>
      </c>
      <c r="P1241" s="58">
        <f t="shared" si="257"/>
        <v>417.0112882165605</v>
      </c>
      <c r="Q1241" s="58">
        <f t="shared" si="258"/>
        <v>278.00752547770702</v>
      </c>
      <c r="R1241" s="66">
        <f t="shared" si="259"/>
        <v>16.804164877500003</v>
      </c>
      <c r="S1241" s="64">
        <f t="shared" si="260"/>
        <v>82.5</v>
      </c>
      <c r="T1241" s="66">
        <f t="shared" si="261"/>
        <v>1059.5421578775001</v>
      </c>
      <c r="U1241" s="68">
        <f t="shared" si="262"/>
        <v>48.161007176250003</v>
      </c>
      <c r="V1241" s="68">
        <f t="shared" si="263"/>
        <v>460.13701123805731</v>
      </c>
      <c r="W1241" s="68">
        <f t="shared" si="264"/>
        <v>306.75800749203819</v>
      </c>
    </row>
    <row r="1242" spans="1:23" x14ac:dyDescent="0.25">
      <c r="A1242" s="1" t="s">
        <v>943</v>
      </c>
      <c r="B1242" s="1" t="s">
        <v>390</v>
      </c>
      <c r="C1242" s="1" t="s">
        <v>585</v>
      </c>
      <c r="D1242" s="1" t="s">
        <v>589</v>
      </c>
      <c r="E1242" s="1" t="s">
        <v>858</v>
      </c>
      <c r="F1242" s="62" t="str">
        <f t="shared" si="265"/>
        <v>64600</v>
      </c>
      <c r="G1242" s="269">
        <v>10620004</v>
      </c>
      <c r="H1242" s="1" t="s">
        <v>381</v>
      </c>
      <c r="I1242" s="61">
        <v>36</v>
      </c>
      <c r="J1242" s="61">
        <v>5.7</v>
      </c>
      <c r="K1242" s="61">
        <v>8.8000000000000007</v>
      </c>
      <c r="L1242" s="69">
        <f t="shared" si="254"/>
        <v>2.052</v>
      </c>
      <c r="M1242" s="69">
        <f t="shared" si="255"/>
        <v>3.1680000000000001</v>
      </c>
      <c r="N1242" s="56">
        <f>INDEX(Rate_Chart!$A$1:$AK$127,MATCH(Data!J1242,Rate_Chart!$A$1:$A$127,0),MATCH(Data!K1242,Rate_Chart!$A$1:$AK$1,0))</f>
        <v>47.119050000000001</v>
      </c>
      <c r="O1242" s="57">
        <f t="shared" si="256"/>
        <v>1696.2858000000001</v>
      </c>
      <c r="P1242" s="58">
        <f t="shared" si="257"/>
        <v>407.3693083573487</v>
      </c>
      <c r="Q1242" s="58">
        <f t="shared" si="258"/>
        <v>271.57953890489915</v>
      </c>
      <c r="R1242" s="66">
        <f t="shared" si="259"/>
        <v>29.685001500000006</v>
      </c>
      <c r="S1242" s="64">
        <f t="shared" si="260"/>
        <v>135</v>
      </c>
      <c r="T1242" s="66">
        <f t="shared" si="261"/>
        <v>1860.9708015000001</v>
      </c>
      <c r="U1242" s="68">
        <f t="shared" si="262"/>
        <v>51.693633375000005</v>
      </c>
      <c r="V1242" s="68">
        <f t="shared" si="263"/>
        <v>446.91902053314124</v>
      </c>
      <c r="W1242" s="68">
        <f t="shared" si="264"/>
        <v>297.94601368876084</v>
      </c>
    </row>
    <row r="1243" spans="1:23" x14ac:dyDescent="0.25">
      <c r="A1243" s="1" t="s">
        <v>943</v>
      </c>
      <c r="B1243" s="1" t="s">
        <v>390</v>
      </c>
      <c r="C1243" s="1" t="s">
        <v>585</v>
      </c>
      <c r="D1243" s="1" t="s">
        <v>589</v>
      </c>
      <c r="E1243" s="1" t="s">
        <v>858</v>
      </c>
      <c r="F1243" s="62" t="str">
        <f t="shared" si="265"/>
        <v>64600</v>
      </c>
      <c r="G1243" s="269">
        <v>10620004</v>
      </c>
      <c r="H1243" s="1" t="s">
        <v>382</v>
      </c>
      <c r="I1243" s="61">
        <v>41</v>
      </c>
      <c r="J1243" s="61">
        <v>3</v>
      </c>
      <c r="K1243" s="61">
        <v>8.1</v>
      </c>
      <c r="L1243" s="69">
        <f t="shared" si="254"/>
        <v>1.23</v>
      </c>
      <c r="M1243" s="69">
        <f t="shared" si="255"/>
        <v>3.3209999999999997</v>
      </c>
      <c r="N1243" s="56">
        <f>INDEX(Rate_Chart!$A$1:$AK$127,MATCH(Data!J1243,Rate_Chart!$A$1:$A$127,0),MATCH(Data!K1243,Rate_Chart!$A$1:$AK$1,0))</f>
        <v>35.029125900000004</v>
      </c>
      <c r="O1243" s="57">
        <f t="shared" si="256"/>
        <v>1436.1941619000002</v>
      </c>
      <c r="P1243" s="58">
        <f t="shared" si="257"/>
        <v>417.01340357142868</v>
      </c>
      <c r="Q1243" s="58">
        <f t="shared" si="258"/>
        <v>278.00893571428577</v>
      </c>
      <c r="R1243" s="66">
        <f t="shared" si="259"/>
        <v>25.133397833250005</v>
      </c>
      <c r="S1243" s="64">
        <f t="shared" si="260"/>
        <v>153.75</v>
      </c>
      <c r="T1243" s="66">
        <f t="shared" si="261"/>
        <v>1615.0775597332502</v>
      </c>
      <c r="U1243" s="68">
        <f t="shared" si="262"/>
        <v>39.392135603250004</v>
      </c>
      <c r="V1243" s="68">
        <f t="shared" si="263"/>
        <v>468.9539952767858</v>
      </c>
      <c r="W1243" s="68">
        <f t="shared" si="264"/>
        <v>312.63599685119055</v>
      </c>
    </row>
    <row r="1244" spans="1:23" x14ac:dyDescent="0.25">
      <c r="A1244" s="1" t="s">
        <v>943</v>
      </c>
      <c r="B1244" s="1" t="s">
        <v>391</v>
      </c>
      <c r="C1244" s="1" t="s">
        <v>585</v>
      </c>
      <c r="D1244" s="1" t="s">
        <v>589</v>
      </c>
      <c r="E1244" s="1" t="s">
        <v>858</v>
      </c>
      <c r="F1244" s="62" t="str">
        <f t="shared" si="265"/>
        <v>64600</v>
      </c>
      <c r="G1244" s="269">
        <v>10620004</v>
      </c>
      <c r="H1244" s="1" t="s">
        <v>381</v>
      </c>
      <c r="I1244" s="61">
        <v>24</v>
      </c>
      <c r="J1244" s="61">
        <v>6.5</v>
      </c>
      <c r="K1244" s="61">
        <v>9</v>
      </c>
      <c r="L1244" s="69">
        <f t="shared" si="254"/>
        <v>1.56</v>
      </c>
      <c r="M1244" s="69">
        <f t="shared" si="255"/>
        <v>2.16</v>
      </c>
      <c r="N1244" s="56">
        <f>INDEX(Rate_Chart!$A$1:$AK$127,MATCH(Data!J1244,Rate_Chart!$A$1:$A$127,0),MATCH(Data!K1244,Rate_Chart!$A$1:$AK$1,0))</f>
        <v>54.274999999999999</v>
      </c>
      <c r="O1244" s="57">
        <f t="shared" si="256"/>
        <v>1302.5999999999999</v>
      </c>
      <c r="P1244" s="58">
        <f t="shared" si="257"/>
        <v>434.2</v>
      </c>
      <c r="Q1244" s="58">
        <f t="shared" si="258"/>
        <v>289.46666666666664</v>
      </c>
      <c r="R1244" s="66">
        <f t="shared" si="259"/>
        <v>22.795500000000001</v>
      </c>
      <c r="S1244" s="64">
        <f t="shared" si="260"/>
        <v>90</v>
      </c>
      <c r="T1244" s="66">
        <f t="shared" si="261"/>
        <v>1415.3954999999999</v>
      </c>
      <c r="U1244" s="68">
        <f t="shared" si="262"/>
        <v>58.974812499999992</v>
      </c>
      <c r="V1244" s="68">
        <f t="shared" si="263"/>
        <v>471.79849999999993</v>
      </c>
      <c r="W1244" s="68">
        <f t="shared" si="264"/>
        <v>314.53233333333327</v>
      </c>
    </row>
    <row r="1245" spans="1:23" x14ac:dyDescent="0.25">
      <c r="A1245" s="1" t="s">
        <v>943</v>
      </c>
      <c r="B1245" s="1" t="s">
        <v>391</v>
      </c>
      <c r="C1245" s="1" t="s">
        <v>585</v>
      </c>
      <c r="D1245" s="1" t="s">
        <v>589</v>
      </c>
      <c r="E1245" s="1" t="s">
        <v>858</v>
      </c>
      <c r="F1245" s="62" t="str">
        <f t="shared" si="265"/>
        <v>64600</v>
      </c>
      <c r="G1245" s="269">
        <v>10620004</v>
      </c>
      <c r="H1245" s="1" t="s">
        <v>382</v>
      </c>
      <c r="I1245" s="61">
        <v>27</v>
      </c>
      <c r="J1245" s="61">
        <v>3</v>
      </c>
      <c r="K1245" s="61">
        <v>8</v>
      </c>
      <c r="L1245" s="69">
        <f t="shared" si="254"/>
        <v>0.81</v>
      </c>
      <c r="M1245" s="69">
        <f t="shared" si="255"/>
        <v>2.16</v>
      </c>
      <c r="N1245" s="56">
        <f>INDEX(Rate_Chart!$A$1:$AK$127,MATCH(Data!J1245,Rate_Chart!$A$1:$A$127,0),MATCH(Data!K1245,Rate_Chart!$A$1:$AK$1,0))</f>
        <v>34.751112000000006</v>
      </c>
      <c r="O1245" s="57">
        <f t="shared" si="256"/>
        <v>938.28002400000014</v>
      </c>
      <c r="P1245" s="58">
        <f t="shared" si="257"/>
        <v>417.01334400000002</v>
      </c>
      <c r="Q1245" s="58">
        <f t="shared" si="258"/>
        <v>278.00889599999999</v>
      </c>
      <c r="R1245" s="66">
        <f t="shared" si="259"/>
        <v>16.419900420000005</v>
      </c>
      <c r="S1245" s="64">
        <f t="shared" si="260"/>
        <v>101.25</v>
      </c>
      <c r="T1245" s="66">
        <f t="shared" si="261"/>
        <v>1055.9499244200001</v>
      </c>
      <c r="U1245" s="68">
        <f t="shared" si="262"/>
        <v>39.109256460000005</v>
      </c>
      <c r="V1245" s="68">
        <f t="shared" si="263"/>
        <v>469.31107752000003</v>
      </c>
      <c r="W1245" s="68">
        <f t="shared" si="264"/>
        <v>312.87405168000004</v>
      </c>
    </row>
    <row r="1246" spans="1:23" x14ac:dyDescent="0.25">
      <c r="A1246" s="1" t="s">
        <v>944</v>
      </c>
      <c r="B1246" s="1" t="s">
        <v>390</v>
      </c>
      <c r="C1246" s="1" t="s">
        <v>585</v>
      </c>
      <c r="D1246" s="1" t="s">
        <v>589</v>
      </c>
      <c r="E1246" s="1" t="s">
        <v>858</v>
      </c>
      <c r="F1246" s="62" t="str">
        <f t="shared" si="265"/>
        <v>64600</v>
      </c>
      <c r="G1246" s="269">
        <v>10620004</v>
      </c>
      <c r="H1246" s="1" t="s">
        <v>382</v>
      </c>
      <c r="I1246" s="61">
        <v>49</v>
      </c>
      <c r="J1246" s="61">
        <v>3.2</v>
      </c>
      <c r="K1246" s="61">
        <v>8.3000000000000007</v>
      </c>
      <c r="L1246" s="69">
        <f t="shared" si="254"/>
        <v>1.5680000000000001</v>
      </c>
      <c r="M1246" s="69">
        <f t="shared" si="255"/>
        <v>4.0670000000000002</v>
      </c>
      <c r="N1246" s="56">
        <f>INDEX(Rate_Chart!$A$1:$AK$127,MATCH(Data!J1246,Rate_Chart!$A$1:$A$127,0),MATCH(Data!K1246,Rate_Chart!$A$1:$AK$1,0))</f>
        <v>36.419153700000003</v>
      </c>
      <c r="O1246" s="57">
        <f t="shared" si="256"/>
        <v>1784.5385313000002</v>
      </c>
      <c r="P1246" s="58">
        <f t="shared" si="257"/>
        <v>417.01321030534348</v>
      </c>
      <c r="Q1246" s="58">
        <f t="shared" si="258"/>
        <v>278.00880687022897</v>
      </c>
      <c r="R1246" s="66">
        <f t="shared" si="259"/>
        <v>31.229424297750004</v>
      </c>
      <c r="S1246" s="64">
        <f t="shared" si="260"/>
        <v>183.75</v>
      </c>
      <c r="T1246" s="66">
        <f t="shared" si="261"/>
        <v>1999.5179555977502</v>
      </c>
      <c r="U1246" s="68">
        <f t="shared" si="262"/>
        <v>40.806488889750007</v>
      </c>
      <c r="V1246" s="68">
        <f t="shared" si="263"/>
        <v>467.24987278339694</v>
      </c>
      <c r="W1246" s="68">
        <f t="shared" si="264"/>
        <v>311.49991518893131</v>
      </c>
    </row>
    <row r="1247" spans="1:23" x14ac:dyDescent="0.25">
      <c r="A1247" s="1" t="s">
        <v>944</v>
      </c>
      <c r="B1247" s="1" t="s">
        <v>391</v>
      </c>
      <c r="C1247" s="1" t="s">
        <v>585</v>
      </c>
      <c r="D1247" s="1" t="s">
        <v>589</v>
      </c>
      <c r="E1247" s="1" t="s">
        <v>858</v>
      </c>
      <c r="F1247" s="62" t="str">
        <f t="shared" si="265"/>
        <v>64600</v>
      </c>
      <c r="G1247" s="269">
        <v>10620004</v>
      </c>
      <c r="H1247" s="1" t="s">
        <v>381</v>
      </c>
      <c r="I1247" s="61">
        <v>23</v>
      </c>
      <c r="J1247" s="61">
        <v>6.4</v>
      </c>
      <c r="K1247" s="61">
        <v>9</v>
      </c>
      <c r="L1247" s="69">
        <f t="shared" si="254"/>
        <v>1.4720000000000002</v>
      </c>
      <c r="M1247" s="69">
        <f t="shared" si="255"/>
        <v>2.0699999999999998</v>
      </c>
      <c r="N1247" s="56">
        <f>INDEX(Rate_Chart!$A$1:$AK$127,MATCH(Data!J1247,Rate_Chart!$A$1:$A$127,0),MATCH(Data!K1247,Rate_Chart!$A$1:$AK$1,0))</f>
        <v>53.44</v>
      </c>
      <c r="O1247" s="57">
        <f t="shared" si="256"/>
        <v>1229.1199999999999</v>
      </c>
      <c r="P1247" s="58">
        <f t="shared" si="257"/>
        <v>430.96774193548384</v>
      </c>
      <c r="Q1247" s="58">
        <f t="shared" si="258"/>
        <v>287.31182795698925</v>
      </c>
      <c r="R1247" s="66">
        <f t="shared" si="259"/>
        <v>21.509599999999999</v>
      </c>
      <c r="S1247" s="64">
        <f t="shared" si="260"/>
        <v>86.25</v>
      </c>
      <c r="T1247" s="66">
        <f t="shared" si="261"/>
        <v>1336.8796</v>
      </c>
      <c r="U1247" s="68">
        <f t="shared" si="262"/>
        <v>58.1252</v>
      </c>
      <c r="V1247" s="68">
        <f t="shared" si="263"/>
        <v>468.7516129032258</v>
      </c>
      <c r="W1247" s="68">
        <f t="shared" si="264"/>
        <v>312.5010752688172</v>
      </c>
    </row>
    <row r="1248" spans="1:23" x14ac:dyDescent="0.25">
      <c r="A1248" s="1" t="s">
        <v>944</v>
      </c>
      <c r="B1248" s="1" t="s">
        <v>391</v>
      </c>
      <c r="C1248" s="1" t="s">
        <v>585</v>
      </c>
      <c r="D1248" s="1" t="s">
        <v>589</v>
      </c>
      <c r="E1248" s="1" t="s">
        <v>858</v>
      </c>
      <c r="F1248" s="62" t="str">
        <f t="shared" si="265"/>
        <v>64600</v>
      </c>
      <c r="G1248" s="269">
        <v>10620004</v>
      </c>
      <c r="H1248" s="1" t="s">
        <v>382</v>
      </c>
      <c r="I1248" s="61">
        <v>27</v>
      </c>
      <c r="J1248" s="61">
        <v>3.2</v>
      </c>
      <c r="K1248" s="61">
        <v>8</v>
      </c>
      <c r="L1248" s="69">
        <f t="shared" ref="L1248:L1259" si="266">J1248*I1248/100</f>
        <v>0.8640000000000001</v>
      </c>
      <c r="M1248" s="69">
        <f t="shared" ref="M1248:M1259" si="267">K1248*I1248/100</f>
        <v>2.16</v>
      </c>
      <c r="N1248" s="56">
        <f>INDEX(Rate_Chart!$A$1:$AK$127,MATCH(Data!J1248,Rate_Chart!$A$1:$A$127,0),MATCH(Data!K1248,Rate_Chart!$A$1:$AK$1,0))</f>
        <v>35.585112000000002</v>
      </c>
      <c r="O1248" s="57">
        <f t="shared" ref="O1248:O1259" si="268">N1248*I1248</f>
        <v>960.79802400000005</v>
      </c>
      <c r="P1248" s="58">
        <f t="shared" ref="P1248:P1259" si="269">N1248/(J1248%+K1248%*2/3)</f>
        <v>417.01303124999998</v>
      </c>
      <c r="Q1248" s="58">
        <f t="shared" ref="Q1248:Q1259" si="270">P1248*2/3</f>
        <v>278.00868750000001</v>
      </c>
      <c r="R1248" s="66">
        <f t="shared" ref="R1248:R1259" si="271">O1248*1.75%</f>
        <v>16.813965420000002</v>
      </c>
      <c r="S1248" s="64">
        <f t="shared" ref="S1248:S1259" si="272">I1248*3.75</f>
        <v>101.25</v>
      </c>
      <c r="T1248" s="66">
        <f t="shared" ref="T1248:T1259" si="273">R1248+S1248+O1248</f>
        <v>1078.8619894200001</v>
      </c>
      <c r="U1248" s="68">
        <f t="shared" ref="U1248:U1259" si="274">T1248/I1248</f>
        <v>39.957851460000001</v>
      </c>
      <c r="V1248" s="68">
        <f t="shared" ref="V1248:V1259" si="275">U1248/(J1248%+K1248%*2/3)</f>
        <v>468.25607179687495</v>
      </c>
      <c r="W1248" s="68">
        <f t="shared" ref="W1248:W1259" si="276">V1248*2/3</f>
        <v>312.17071453124998</v>
      </c>
    </row>
    <row r="1249" spans="1:23" x14ac:dyDescent="0.25">
      <c r="A1249" s="1" t="s">
        <v>945</v>
      </c>
      <c r="B1249" s="1" t="s">
        <v>390</v>
      </c>
      <c r="C1249" s="1" t="s">
        <v>585</v>
      </c>
      <c r="D1249" s="1" t="s">
        <v>589</v>
      </c>
      <c r="E1249" s="1" t="s">
        <v>858</v>
      </c>
      <c r="F1249" s="62" t="str">
        <f t="shared" si="265"/>
        <v>64600</v>
      </c>
      <c r="G1249" s="269">
        <v>10620004</v>
      </c>
      <c r="H1249" s="1" t="s">
        <v>381</v>
      </c>
      <c r="I1249" s="61">
        <v>27</v>
      </c>
      <c r="J1249" s="61">
        <v>5.9</v>
      </c>
      <c r="K1249" s="61">
        <v>9</v>
      </c>
      <c r="L1249" s="69">
        <f t="shared" si="266"/>
        <v>1.5930000000000002</v>
      </c>
      <c r="M1249" s="69">
        <f t="shared" si="267"/>
        <v>2.4300000000000002</v>
      </c>
      <c r="N1249" s="56">
        <f>INDEX(Rate_Chart!$A$1:$AK$127,MATCH(Data!J1249,Rate_Chart!$A$1:$A$127,0),MATCH(Data!K1249,Rate_Chart!$A$1:$AK$1,0))</f>
        <v>49.265000000000001</v>
      </c>
      <c r="O1249" s="57">
        <f t="shared" si="268"/>
        <v>1330.155</v>
      </c>
      <c r="P1249" s="58">
        <f t="shared" si="269"/>
        <v>413.99159663865549</v>
      </c>
      <c r="Q1249" s="58">
        <f t="shared" si="270"/>
        <v>275.99439775910366</v>
      </c>
      <c r="R1249" s="66">
        <f t="shared" si="271"/>
        <v>23.277712500000003</v>
      </c>
      <c r="S1249" s="64">
        <f t="shared" si="272"/>
        <v>101.25</v>
      </c>
      <c r="T1249" s="66">
        <f t="shared" si="273"/>
        <v>1454.6827125</v>
      </c>
      <c r="U1249" s="68">
        <f t="shared" si="274"/>
        <v>53.877137499999996</v>
      </c>
      <c r="V1249" s="68">
        <f t="shared" si="275"/>
        <v>452.74905462184876</v>
      </c>
      <c r="W1249" s="68">
        <f t="shared" si="276"/>
        <v>301.83270308123252</v>
      </c>
    </row>
    <row r="1250" spans="1:23" x14ac:dyDescent="0.25">
      <c r="A1250" s="1" t="s">
        <v>945</v>
      </c>
      <c r="B1250" s="1" t="s">
        <v>390</v>
      </c>
      <c r="C1250" s="1" t="s">
        <v>585</v>
      </c>
      <c r="D1250" s="1" t="s">
        <v>589</v>
      </c>
      <c r="E1250" s="1" t="s">
        <v>858</v>
      </c>
      <c r="F1250" s="62" t="str">
        <f t="shared" si="265"/>
        <v>64600</v>
      </c>
      <c r="G1250" s="269">
        <v>10620004</v>
      </c>
      <c r="H1250" s="1" t="s">
        <v>382</v>
      </c>
      <c r="I1250" s="61">
        <v>41</v>
      </c>
      <c r="J1250" s="61">
        <v>3.2</v>
      </c>
      <c r="K1250" s="61">
        <v>8.1999999999999993</v>
      </c>
      <c r="L1250" s="69">
        <f t="shared" si="266"/>
        <v>1.3120000000000003</v>
      </c>
      <c r="M1250" s="69">
        <f t="shared" si="267"/>
        <v>3.3620000000000001</v>
      </c>
      <c r="N1250" s="56">
        <f>INDEX(Rate_Chart!$A$1:$AK$127,MATCH(Data!J1250,Rate_Chart!$A$1:$A$127,0),MATCH(Data!K1250,Rate_Chart!$A$1:$AK$1,0))</f>
        <v>36.141139799999998</v>
      </c>
      <c r="O1250" s="57">
        <f t="shared" si="268"/>
        <v>1481.7867317999999</v>
      </c>
      <c r="P1250" s="58">
        <f t="shared" si="269"/>
        <v>417.0131515384615</v>
      </c>
      <c r="Q1250" s="58">
        <f t="shared" si="270"/>
        <v>278.00876769230769</v>
      </c>
      <c r="R1250" s="66">
        <f t="shared" si="271"/>
        <v>25.931267806499999</v>
      </c>
      <c r="S1250" s="64">
        <f t="shared" si="272"/>
        <v>153.75</v>
      </c>
      <c r="T1250" s="66">
        <f t="shared" si="273"/>
        <v>1661.4679996064999</v>
      </c>
      <c r="U1250" s="68">
        <f t="shared" si="274"/>
        <v>40.5236097465</v>
      </c>
      <c r="V1250" s="68">
        <f t="shared" si="275"/>
        <v>467.58011245961535</v>
      </c>
      <c r="W1250" s="68">
        <f t="shared" si="276"/>
        <v>311.72007497307692</v>
      </c>
    </row>
    <row r="1251" spans="1:23" x14ac:dyDescent="0.25">
      <c r="A1251" s="1" t="s">
        <v>945</v>
      </c>
      <c r="B1251" s="1" t="s">
        <v>391</v>
      </c>
      <c r="C1251" s="1" t="s">
        <v>585</v>
      </c>
      <c r="D1251" s="1" t="s">
        <v>589</v>
      </c>
      <c r="E1251" s="1" t="s">
        <v>858</v>
      </c>
      <c r="F1251" s="62" t="str">
        <f t="shared" si="265"/>
        <v>64600</v>
      </c>
      <c r="G1251" s="269">
        <v>10620004</v>
      </c>
      <c r="H1251" s="1" t="s">
        <v>381</v>
      </c>
      <c r="I1251" s="61">
        <v>21</v>
      </c>
      <c r="J1251" s="61">
        <v>6.2</v>
      </c>
      <c r="K1251" s="61">
        <v>9</v>
      </c>
      <c r="L1251" s="69">
        <f t="shared" si="266"/>
        <v>1.3020000000000003</v>
      </c>
      <c r="M1251" s="69">
        <f t="shared" si="267"/>
        <v>1.89</v>
      </c>
      <c r="N1251" s="56">
        <f>INDEX(Rate_Chart!$A$1:$AK$127,MATCH(Data!J1251,Rate_Chart!$A$1:$A$127,0),MATCH(Data!K1251,Rate_Chart!$A$1:$AK$1,0))</f>
        <v>51.77</v>
      </c>
      <c r="O1251" s="57">
        <f t="shared" si="268"/>
        <v>1087.17</v>
      </c>
      <c r="P1251" s="58">
        <f t="shared" si="269"/>
        <v>424.34426229508199</v>
      </c>
      <c r="Q1251" s="58">
        <f t="shared" si="270"/>
        <v>282.89617486338801</v>
      </c>
      <c r="R1251" s="66">
        <f t="shared" si="271"/>
        <v>19.025475000000004</v>
      </c>
      <c r="S1251" s="64">
        <f t="shared" si="272"/>
        <v>78.75</v>
      </c>
      <c r="T1251" s="66">
        <f t="shared" si="273"/>
        <v>1184.945475</v>
      </c>
      <c r="U1251" s="68">
        <f t="shared" si="274"/>
        <v>56.425975000000001</v>
      </c>
      <c r="V1251" s="68">
        <f t="shared" si="275"/>
        <v>462.50799180327868</v>
      </c>
      <c r="W1251" s="68">
        <f t="shared" si="276"/>
        <v>308.33866120218579</v>
      </c>
    </row>
    <row r="1252" spans="1:23" x14ac:dyDescent="0.25">
      <c r="A1252" s="1" t="s">
        <v>945</v>
      </c>
      <c r="B1252" s="1" t="s">
        <v>391</v>
      </c>
      <c r="C1252" s="1" t="s">
        <v>585</v>
      </c>
      <c r="D1252" s="1" t="s">
        <v>589</v>
      </c>
      <c r="E1252" s="1" t="s">
        <v>858</v>
      </c>
      <c r="F1252" s="62" t="str">
        <f t="shared" si="265"/>
        <v>64600</v>
      </c>
      <c r="G1252" s="269">
        <v>10620004</v>
      </c>
      <c r="H1252" s="1" t="s">
        <v>382</v>
      </c>
      <c r="I1252" s="61">
        <v>23</v>
      </c>
      <c r="J1252" s="61">
        <v>3.4</v>
      </c>
      <c r="K1252" s="61">
        <v>8.1999999999999993</v>
      </c>
      <c r="L1252" s="69">
        <f t="shared" si="266"/>
        <v>0.78200000000000003</v>
      </c>
      <c r="M1252" s="69">
        <f t="shared" si="267"/>
        <v>1.8859999999999999</v>
      </c>
      <c r="N1252" s="56">
        <f>INDEX(Rate_Chart!$A$1:$AK$127,MATCH(Data!J1252,Rate_Chart!$A$1:$A$127,0),MATCH(Data!K1252,Rate_Chart!$A$1:$AK$1,0))</f>
        <v>36.975139800000001</v>
      </c>
      <c r="O1252" s="57">
        <f t="shared" si="268"/>
        <v>850.4282154</v>
      </c>
      <c r="P1252" s="58">
        <f t="shared" si="269"/>
        <v>417.01285488721805</v>
      </c>
      <c r="Q1252" s="58">
        <f t="shared" si="270"/>
        <v>278.00856992481204</v>
      </c>
      <c r="R1252" s="66">
        <f t="shared" si="271"/>
        <v>14.882493769500002</v>
      </c>
      <c r="S1252" s="64">
        <f t="shared" si="272"/>
        <v>86.25</v>
      </c>
      <c r="T1252" s="66">
        <f t="shared" si="273"/>
        <v>951.5607091695</v>
      </c>
      <c r="U1252" s="68">
        <f t="shared" si="274"/>
        <v>41.372204746500003</v>
      </c>
      <c r="V1252" s="68">
        <f t="shared" si="275"/>
        <v>466.60381293045111</v>
      </c>
      <c r="W1252" s="68">
        <f t="shared" si="276"/>
        <v>311.06920862030074</v>
      </c>
    </row>
    <row r="1253" spans="1:23" x14ac:dyDescent="0.25">
      <c r="A1253" s="1" t="s">
        <v>946</v>
      </c>
      <c r="B1253" s="1" t="s">
        <v>390</v>
      </c>
      <c r="C1253" s="1" t="s">
        <v>585</v>
      </c>
      <c r="D1253" s="1" t="s">
        <v>589</v>
      </c>
      <c r="E1253" s="1" t="s">
        <v>858</v>
      </c>
      <c r="F1253" s="62" t="str">
        <f t="shared" si="265"/>
        <v>64600</v>
      </c>
      <c r="G1253" s="269">
        <v>10620004</v>
      </c>
      <c r="H1253" s="1" t="s">
        <v>381</v>
      </c>
      <c r="I1253" s="61">
        <v>43</v>
      </c>
      <c r="J1253" s="61">
        <v>6.3</v>
      </c>
      <c r="K1253" s="61">
        <v>9</v>
      </c>
      <c r="L1253" s="69">
        <f t="shared" si="266"/>
        <v>2.7089999999999996</v>
      </c>
      <c r="M1253" s="69">
        <f t="shared" si="267"/>
        <v>3.87</v>
      </c>
      <c r="N1253" s="56">
        <f>INDEX(Rate_Chart!$A$1:$AK$127,MATCH(Data!J1253,Rate_Chart!$A$1:$A$127,0),MATCH(Data!K1253,Rate_Chart!$A$1:$AK$1,0))</f>
        <v>52.604999999999997</v>
      </c>
      <c r="O1253" s="57">
        <f t="shared" si="268"/>
        <v>2262.0149999999999</v>
      </c>
      <c r="P1253" s="58">
        <f t="shared" si="269"/>
        <v>427.6829268292683</v>
      </c>
      <c r="Q1253" s="58">
        <f t="shared" si="270"/>
        <v>285.1219512195122</v>
      </c>
      <c r="R1253" s="66">
        <f t="shared" si="271"/>
        <v>39.585262499999999</v>
      </c>
      <c r="S1253" s="64">
        <f t="shared" si="272"/>
        <v>161.25</v>
      </c>
      <c r="T1253" s="66">
        <f t="shared" si="273"/>
        <v>2462.8502625000001</v>
      </c>
      <c r="U1253" s="68">
        <f t="shared" si="274"/>
        <v>57.2755875</v>
      </c>
      <c r="V1253" s="68">
        <f t="shared" si="275"/>
        <v>465.6551829268293</v>
      </c>
      <c r="W1253" s="68">
        <f t="shared" si="276"/>
        <v>310.43678861788618</v>
      </c>
    </row>
    <row r="1254" spans="1:23" x14ac:dyDescent="0.25">
      <c r="A1254" s="1" t="s">
        <v>946</v>
      </c>
      <c r="B1254" s="1" t="s">
        <v>390</v>
      </c>
      <c r="C1254" s="1" t="s">
        <v>585</v>
      </c>
      <c r="D1254" s="1" t="s">
        <v>589</v>
      </c>
      <c r="E1254" s="1" t="s">
        <v>858</v>
      </c>
      <c r="F1254" s="62" t="str">
        <f t="shared" si="265"/>
        <v>64600</v>
      </c>
      <c r="G1254" s="269">
        <v>10620004</v>
      </c>
      <c r="H1254" s="1" t="s">
        <v>382</v>
      </c>
      <c r="I1254" s="61">
        <v>42</v>
      </c>
      <c r="J1254" s="61">
        <v>3.5</v>
      </c>
      <c r="K1254" s="61">
        <v>8.4</v>
      </c>
      <c r="L1254" s="69">
        <f t="shared" si="266"/>
        <v>1.47</v>
      </c>
      <c r="M1254" s="69">
        <f t="shared" si="267"/>
        <v>3.528</v>
      </c>
      <c r="N1254" s="56">
        <f>INDEX(Rate_Chart!$A$1:$AK$127,MATCH(Data!J1254,Rate_Chart!$A$1:$A$127,0),MATCH(Data!K1254,Rate_Chart!$A$1:$AK$1,0))</f>
        <v>37.948167600000005</v>
      </c>
      <c r="O1254" s="57">
        <f t="shared" si="268"/>
        <v>1593.8230392000003</v>
      </c>
      <c r="P1254" s="58">
        <f t="shared" si="269"/>
        <v>417.01283076923085</v>
      </c>
      <c r="Q1254" s="58">
        <f t="shared" si="270"/>
        <v>278.00855384615392</v>
      </c>
      <c r="R1254" s="66">
        <f t="shared" si="271"/>
        <v>27.891903186000008</v>
      </c>
      <c r="S1254" s="64">
        <f t="shared" si="272"/>
        <v>157.5</v>
      </c>
      <c r="T1254" s="66">
        <f t="shared" si="273"/>
        <v>1779.2149423860003</v>
      </c>
      <c r="U1254" s="68">
        <f t="shared" si="274"/>
        <v>42.362260533000004</v>
      </c>
      <c r="V1254" s="68">
        <f t="shared" si="275"/>
        <v>465.51934651648355</v>
      </c>
      <c r="W1254" s="68">
        <f t="shared" si="276"/>
        <v>310.34623101098902</v>
      </c>
    </row>
    <row r="1255" spans="1:23" x14ac:dyDescent="0.25">
      <c r="A1255" s="1" t="s">
        <v>946</v>
      </c>
      <c r="B1255" s="1" t="s">
        <v>391</v>
      </c>
      <c r="C1255" s="1" t="s">
        <v>585</v>
      </c>
      <c r="D1255" s="1" t="s">
        <v>589</v>
      </c>
      <c r="E1255" s="1" t="s">
        <v>858</v>
      </c>
      <c r="F1255" s="62" t="str">
        <f t="shared" si="265"/>
        <v>64600</v>
      </c>
      <c r="G1255" s="269">
        <v>10620004</v>
      </c>
      <c r="H1255" s="1" t="s">
        <v>381</v>
      </c>
      <c r="I1255" s="61">
        <v>17</v>
      </c>
      <c r="J1255" s="61">
        <v>5.7</v>
      </c>
      <c r="K1255" s="61">
        <v>9</v>
      </c>
      <c r="L1255" s="69">
        <f t="shared" si="266"/>
        <v>0.96900000000000008</v>
      </c>
      <c r="M1255" s="69">
        <f t="shared" si="267"/>
        <v>1.53</v>
      </c>
      <c r="N1255" s="56">
        <f>INDEX(Rate_Chart!$A$1:$AK$127,MATCH(Data!J1255,Rate_Chart!$A$1:$A$127,0),MATCH(Data!K1255,Rate_Chart!$A$1:$AK$1,0))</f>
        <v>47.594999999999999</v>
      </c>
      <c r="O1255" s="57">
        <f t="shared" si="268"/>
        <v>809.11500000000001</v>
      </c>
      <c r="P1255" s="58">
        <f t="shared" si="269"/>
        <v>406.79487179487182</v>
      </c>
      <c r="Q1255" s="58">
        <f t="shared" si="270"/>
        <v>271.19658119658123</v>
      </c>
      <c r="R1255" s="66">
        <f t="shared" si="271"/>
        <v>14.159512500000002</v>
      </c>
      <c r="S1255" s="64">
        <f t="shared" si="272"/>
        <v>63.75</v>
      </c>
      <c r="T1255" s="66">
        <f t="shared" si="273"/>
        <v>887.02451250000001</v>
      </c>
      <c r="U1255" s="68">
        <f t="shared" si="274"/>
        <v>52.177912499999998</v>
      </c>
      <c r="V1255" s="68">
        <f t="shared" si="275"/>
        <v>445.9650641025641</v>
      </c>
      <c r="W1255" s="68">
        <f t="shared" si="276"/>
        <v>297.31004273504271</v>
      </c>
    </row>
    <row r="1256" spans="1:23" x14ac:dyDescent="0.25">
      <c r="A1256" s="1" t="s">
        <v>946</v>
      </c>
      <c r="B1256" s="1" t="s">
        <v>391</v>
      </c>
      <c r="C1256" s="1" t="s">
        <v>585</v>
      </c>
      <c r="D1256" s="1" t="s">
        <v>589</v>
      </c>
      <c r="E1256" s="1" t="s">
        <v>858</v>
      </c>
      <c r="F1256" s="62" t="str">
        <f t="shared" si="265"/>
        <v>64600</v>
      </c>
      <c r="G1256" s="269">
        <v>10620004</v>
      </c>
      <c r="H1256" s="1" t="s">
        <v>382</v>
      </c>
      <c r="I1256" s="61">
        <v>24</v>
      </c>
      <c r="J1256" s="61">
        <v>3.4</v>
      </c>
      <c r="K1256" s="61">
        <v>8.3000000000000007</v>
      </c>
      <c r="L1256" s="69">
        <f t="shared" si="266"/>
        <v>0.81599999999999995</v>
      </c>
      <c r="M1256" s="69">
        <f t="shared" si="267"/>
        <v>1.9920000000000002</v>
      </c>
      <c r="N1256" s="56">
        <f>INDEX(Rate_Chart!$A$1:$AK$127,MATCH(Data!J1256,Rate_Chart!$A$1:$A$127,0),MATCH(Data!K1256,Rate_Chart!$A$1:$AK$1,0))</f>
        <v>37.253153700000006</v>
      </c>
      <c r="O1256" s="57">
        <f t="shared" si="268"/>
        <v>894.07568880000008</v>
      </c>
      <c r="P1256" s="58">
        <f t="shared" si="269"/>
        <v>417.01291455223878</v>
      </c>
      <c r="Q1256" s="58">
        <f t="shared" si="270"/>
        <v>278.0086097014925</v>
      </c>
      <c r="R1256" s="66">
        <f t="shared" si="271"/>
        <v>15.646324554000003</v>
      </c>
      <c r="S1256" s="64">
        <f t="shared" si="272"/>
        <v>90</v>
      </c>
      <c r="T1256" s="66">
        <f t="shared" si="273"/>
        <v>999.72201335400007</v>
      </c>
      <c r="U1256" s="68">
        <f t="shared" si="274"/>
        <v>41.655083889750003</v>
      </c>
      <c r="V1256" s="68">
        <f t="shared" si="275"/>
        <v>466.28825249720143</v>
      </c>
      <c r="W1256" s="68">
        <f t="shared" si="276"/>
        <v>310.85883499813428</v>
      </c>
    </row>
    <row r="1257" spans="1:23" x14ac:dyDescent="0.25">
      <c r="A1257" s="1" t="s">
        <v>947</v>
      </c>
      <c r="B1257" s="1" t="s">
        <v>390</v>
      </c>
      <c r="C1257" s="1" t="s">
        <v>585</v>
      </c>
      <c r="D1257" s="1" t="s">
        <v>589</v>
      </c>
      <c r="E1257" s="1" t="s">
        <v>858</v>
      </c>
      <c r="F1257" s="62" t="str">
        <f t="shared" si="265"/>
        <v>64600</v>
      </c>
      <c r="G1257" s="269">
        <v>10620004</v>
      </c>
      <c r="H1257" s="1" t="s">
        <v>381</v>
      </c>
      <c r="I1257" s="61">
        <v>42</v>
      </c>
      <c r="J1257" s="61">
        <v>6.3</v>
      </c>
      <c r="K1257" s="61">
        <v>9</v>
      </c>
      <c r="L1257" s="69">
        <f t="shared" si="266"/>
        <v>2.6459999999999995</v>
      </c>
      <c r="M1257" s="69">
        <f t="shared" si="267"/>
        <v>3.78</v>
      </c>
      <c r="N1257" s="56">
        <f>INDEX(Rate_Chart!$A$1:$AK$127,MATCH(Data!J1257,Rate_Chart!$A$1:$A$127,0),MATCH(Data!K1257,Rate_Chart!$A$1:$AK$1,0))</f>
        <v>52.604999999999997</v>
      </c>
      <c r="O1257" s="57">
        <f t="shared" si="268"/>
        <v>2209.41</v>
      </c>
      <c r="P1257" s="58">
        <f t="shared" si="269"/>
        <v>427.6829268292683</v>
      </c>
      <c r="Q1257" s="58">
        <f t="shared" si="270"/>
        <v>285.1219512195122</v>
      </c>
      <c r="R1257" s="66">
        <f t="shared" si="271"/>
        <v>38.664675000000003</v>
      </c>
      <c r="S1257" s="64">
        <f t="shared" si="272"/>
        <v>157.5</v>
      </c>
      <c r="T1257" s="66">
        <f t="shared" si="273"/>
        <v>2405.5746749999998</v>
      </c>
      <c r="U1257" s="68">
        <f t="shared" si="274"/>
        <v>57.275587499999993</v>
      </c>
      <c r="V1257" s="68">
        <f t="shared" si="275"/>
        <v>465.65518292682924</v>
      </c>
      <c r="W1257" s="68">
        <f t="shared" si="276"/>
        <v>310.43678861788618</v>
      </c>
    </row>
    <row r="1258" spans="1:23" x14ac:dyDescent="0.25">
      <c r="A1258" s="1" t="s">
        <v>947</v>
      </c>
      <c r="B1258" s="1" t="s">
        <v>390</v>
      </c>
      <c r="C1258" s="1" t="s">
        <v>585</v>
      </c>
      <c r="D1258" s="1" t="s">
        <v>589</v>
      </c>
      <c r="E1258" s="1" t="s">
        <v>858</v>
      </c>
      <c r="F1258" s="62" t="str">
        <f t="shared" si="265"/>
        <v>64600</v>
      </c>
      <c r="G1258" s="269">
        <v>10620004</v>
      </c>
      <c r="H1258" s="1" t="s">
        <v>382</v>
      </c>
      <c r="I1258" s="61">
        <v>32</v>
      </c>
      <c r="J1258" s="61">
        <v>3.3</v>
      </c>
      <c r="K1258" s="61">
        <v>8.1999999999999993</v>
      </c>
      <c r="L1258" s="69">
        <f t="shared" si="266"/>
        <v>1.056</v>
      </c>
      <c r="M1258" s="69">
        <f t="shared" si="267"/>
        <v>2.6239999999999997</v>
      </c>
      <c r="N1258" s="56">
        <f>INDEX(Rate_Chart!$A$1:$AK$127,MATCH(Data!J1258,Rate_Chart!$A$1:$A$127,0),MATCH(Data!K1258,Rate_Chart!$A$1:$AK$1,0))</f>
        <v>36.558139799999999</v>
      </c>
      <c r="O1258" s="57">
        <f t="shared" si="268"/>
        <v>1169.8604736</v>
      </c>
      <c r="P1258" s="58">
        <f t="shared" si="269"/>
        <v>417.0130015209125</v>
      </c>
      <c r="Q1258" s="58">
        <f t="shared" si="270"/>
        <v>278.00866768060831</v>
      </c>
      <c r="R1258" s="66">
        <f t="shared" si="271"/>
        <v>20.472558288000002</v>
      </c>
      <c r="S1258" s="64">
        <f t="shared" si="272"/>
        <v>120</v>
      </c>
      <c r="T1258" s="66">
        <f t="shared" si="273"/>
        <v>1310.3330318880001</v>
      </c>
      <c r="U1258" s="68">
        <f t="shared" si="274"/>
        <v>40.947907246500002</v>
      </c>
      <c r="V1258" s="68">
        <f t="shared" si="275"/>
        <v>467.08639444676805</v>
      </c>
      <c r="W1258" s="68">
        <f t="shared" si="276"/>
        <v>311.39092963117872</v>
      </c>
    </row>
    <row r="1259" spans="1:23" x14ac:dyDescent="0.25">
      <c r="A1259" s="1" t="s">
        <v>947</v>
      </c>
      <c r="B1259" s="1" t="s">
        <v>391</v>
      </c>
      <c r="C1259" s="1" t="s">
        <v>585</v>
      </c>
      <c r="D1259" s="1" t="s">
        <v>589</v>
      </c>
      <c r="E1259" s="1" t="s">
        <v>858</v>
      </c>
      <c r="F1259" s="62" t="str">
        <f t="shared" si="265"/>
        <v>64600</v>
      </c>
      <c r="G1259" s="269">
        <v>10620004</v>
      </c>
      <c r="H1259" s="1" t="s">
        <v>382</v>
      </c>
      <c r="I1259" s="61">
        <v>24</v>
      </c>
      <c r="J1259" s="61">
        <v>3</v>
      </c>
      <c r="K1259" s="61">
        <v>8</v>
      </c>
      <c r="L1259" s="69">
        <f t="shared" si="266"/>
        <v>0.72</v>
      </c>
      <c r="M1259" s="69">
        <f t="shared" si="267"/>
        <v>1.92</v>
      </c>
      <c r="N1259" s="56">
        <f>INDEX(Rate_Chart!$A$1:$AK$127,MATCH(Data!J1259,Rate_Chart!$A$1:$A$127,0),MATCH(Data!K1259,Rate_Chart!$A$1:$AK$1,0))</f>
        <v>34.751112000000006</v>
      </c>
      <c r="O1259" s="57">
        <f t="shared" si="268"/>
        <v>834.02668800000015</v>
      </c>
      <c r="P1259" s="58">
        <f t="shared" si="269"/>
        <v>417.01334400000002</v>
      </c>
      <c r="Q1259" s="58">
        <f t="shared" si="270"/>
        <v>278.00889599999999</v>
      </c>
      <c r="R1259" s="66">
        <f t="shared" si="271"/>
        <v>14.595467040000004</v>
      </c>
      <c r="S1259" s="64">
        <f t="shared" si="272"/>
        <v>90</v>
      </c>
      <c r="T1259" s="66">
        <f t="shared" si="273"/>
        <v>938.62215504000017</v>
      </c>
      <c r="U1259" s="68">
        <f t="shared" si="274"/>
        <v>39.109256460000005</v>
      </c>
      <c r="V1259" s="68">
        <f t="shared" si="275"/>
        <v>469.31107752000003</v>
      </c>
      <c r="W1259" s="68">
        <f t="shared" si="276"/>
        <v>312.87405168000004</v>
      </c>
    </row>
  </sheetData>
  <autoFilter ref="A3:W1212" xr:uid="{6CD589E2-DE55-4848-BBAA-9F2CDBD944C8}"/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F2F3-892F-4C56-AA79-4C0C06AACEBC}">
  <dimension ref="A1:U38"/>
  <sheetViews>
    <sheetView topLeftCell="A5" workbookViewId="0">
      <selection activeCell="H40" sqref="H40"/>
    </sheetView>
  </sheetViews>
  <sheetFormatPr defaultRowHeight="15" x14ac:dyDescent="0.25"/>
  <cols>
    <col min="1" max="1" width="6.5703125" bestFit="1" customWidth="1"/>
    <col min="2" max="2" width="6.7109375" bestFit="1" customWidth="1"/>
    <col min="3" max="3" width="25.5703125" bestFit="1" customWidth="1"/>
    <col min="4" max="4" width="9.7109375" bestFit="1" customWidth="1"/>
    <col min="5" max="5" width="9" bestFit="1" customWidth="1"/>
    <col min="6" max="6" width="4.85546875" bestFit="1" customWidth="1"/>
    <col min="7" max="7" width="11.140625" bestFit="1" customWidth="1"/>
    <col min="8" max="9" width="14.42578125" bestFit="1" customWidth="1"/>
    <col min="10" max="20" width="9.85546875" bestFit="1" customWidth="1"/>
    <col min="21" max="21" width="6" bestFit="1" customWidth="1"/>
  </cols>
  <sheetData>
    <row r="1" spans="1:21" x14ac:dyDescent="0.25">
      <c r="A1" s="239" t="s">
        <v>915</v>
      </c>
      <c r="B1" s="240" t="s">
        <v>916</v>
      </c>
      <c r="C1" s="240" t="s">
        <v>917</v>
      </c>
      <c r="D1" s="240" t="s">
        <v>918</v>
      </c>
      <c r="E1" s="240" t="s">
        <v>919</v>
      </c>
      <c r="F1" s="240" t="s">
        <v>920</v>
      </c>
      <c r="G1" s="240" t="s">
        <v>921</v>
      </c>
      <c r="H1" s="240" t="s">
        <v>935</v>
      </c>
      <c r="I1" s="240" t="s">
        <v>936</v>
      </c>
      <c r="J1" s="240" t="s">
        <v>935</v>
      </c>
      <c r="K1" s="240" t="s">
        <v>935</v>
      </c>
      <c r="L1" s="240" t="s">
        <v>935</v>
      </c>
      <c r="M1" s="240" t="s">
        <v>935</v>
      </c>
      <c r="N1" s="240" t="s">
        <v>935</v>
      </c>
      <c r="O1" s="240" t="s">
        <v>935</v>
      </c>
      <c r="P1" s="240" t="s">
        <v>935</v>
      </c>
      <c r="Q1" s="240" t="s">
        <v>935</v>
      </c>
      <c r="R1" s="240" t="s">
        <v>935</v>
      </c>
      <c r="S1" s="240" t="s">
        <v>935</v>
      </c>
      <c r="T1" s="240" t="s">
        <v>935</v>
      </c>
      <c r="U1" s="240" t="s">
        <v>937</v>
      </c>
    </row>
    <row r="2" spans="1:21" x14ac:dyDescent="0.25">
      <c r="A2" s="241">
        <v>1</v>
      </c>
      <c r="B2" s="242">
        <v>1062</v>
      </c>
      <c r="C2" s="243" t="s">
        <v>922</v>
      </c>
      <c r="D2" s="243">
        <v>64523</v>
      </c>
      <c r="E2" s="249">
        <v>10620013</v>
      </c>
      <c r="F2" s="244">
        <v>3</v>
      </c>
      <c r="G2" s="241">
        <f>F2*3300</f>
        <v>9900</v>
      </c>
      <c r="H2" s="56">
        <v>300</v>
      </c>
      <c r="I2" s="56">
        <v>0</v>
      </c>
      <c r="J2" s="56">
        <v>0</v>
      </c>
      <c r="K2" s="56">
        <v>0</v>
      </c>
      <c r="L2" s="56">
        <v>0</v>
      </c>
      <c r="M2" s="56">
        <v>0</v>
      </c>
      <c r="N2" s="56">
        <v>0</v>
      </c>
      <c r="O2" s="56">
        <v>0</v>
      </c>
      <c r="P2" s="56">
        <v>0</v>
      </c>
      <c r="Q2" s="56">
        <v>0</v>
      </c>
      <c r="R2" s="56">
        <v>0</v>
      </c>
      <c r="S2" s="56">
        <v>0</v>
      </c>
      <c r="T2" s="56">
        <v>0</v>
      </c>
      <c r="U2" s="1">
        <f>G2-SUM(H2:T2)</f>
        <v>9600</v>
      </c>
    </row>
    <row r="3" spans="1:21" x14ac:dyDescent="0.25">
      <c r="A3" s="241">
        <v>2</v>
      </c>
      <c r="B3" s="242">
        <v>1062</v>
      </c>
      <c r="C3" s="243" t="s">
        <v>23</v>
      </c>
      <c r="D3" s="243">
        <v>64569</v>
      </c>
      <c r="E3" s="249">
        <v>10620019</v>
      </c>
      <c r="F3" s="244">
        <v>10</v>
      </c>
      <c r="G3" s="241">
        <f t="shared" ref="G3:G37" si="0">F3*3300</f>
        <v>33000</v>
      </c>
      <c r="H3" s="56">
        <v>521.95750864199999</v>
      </c>
      <c r="I3" s="56">
        <v>0</v>
      </c>
      <c r="J3" s="56">
        <v>0</v>
      </c>
      <c r="K3" s="56">
        <v>0</v>
      </c>
      <c r="L3" s="56">
        <v>0</v>
      </c>
      <c r="M3" s="56">
        <v>0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1">
        <f t="shared" ref="U3:U37" si="1">G3-SUM(H3:T3)</f>
        <v>32478.042491357999</v>
      </c>
    </row>
    <row r="4" spans="1:21" x14ac:dyDescent="0.25">
      <c r="A4" s="241">
        <v>3</v>
      </c>
      <c r="B4" s="242">
        <v>1062</v>
      </c>
      <c r="C4" s="243" t="s">
        <v>90</v>
      </c>
      <c r="D4" s="243">
        <v>64528</v>
      </c>
      <c r="E4" s="249">
        <v>10620026</v>
      </c>
      <c r="F4" s="244">
        <v>1</v>
      </c>
      <c r="G4" s="241">
        <f t="shared" si="0"/>
        <v>3300</v>
      </c>
      <c r="H4" s="56">
        <v>456.95720289999997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1">
        <f t="shared" si="1"/>
        <v>2843.0427970999999</v>
      </c>
    </row>
    <row r="5" spans="1:21" x14ac:dyDescent="0.25">
      <c r="A5" s="241">
        <v>4</v>
      </c>
      <c r="B5" s="242">
        <v>1062</v>
      </c>
      <c r="C5" s="243" t="s">
        <v>101</v>
      </c>
      <c r="D5" s="243">
        <v>64514</v>
      </c>
      <c r="E5" s="249">
        <v>10620030</v>
      </c>
      <c r="F5" s="244">
        <v>1</v>
      </c>
      <c r="G5" s="241">
        <f t="shared" si="0"/>
        <v>3300</v>
      </c>
      <c r="H5" s="56">
        <v>300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1">
        <f t="shared" si="1"/>
        <v>3000</v>
      </c>
    </row>
    <row r="6" spans="1:21" x14ac:dyDescent="0.25">
      <c r="A6" s="241">
        <v>5</v>
      </c>
      <c r="B6" s="242">
        <v>1062</v>
      </c>
      <c r="C6" s="243" t="s">
        <v>99</v>
      </c>
      <c r="D6" s="243">
        <v>64547</v>
      </c>
      <c r="E6" s="249">
        <v>10620029</v>
      </c>
      <c r="F6" s="244">
        <v>2</v>
      </c>
      <c r="G6" s="241">
        <f t="shared" si="0"/>
        <v>6600</v>
      </c>
      <c r="H6" s="56">
        <v>835.04356431000008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1">
        <f t="shared" si="1"/>
        <v>5764.95643569</v>
      </c>
    </row>
    <row r="7" spans="1:21" x14ac:dyDescent="0.25">
      <c r="A7" s="241">
        <v>6</v>
      </c>
      <c r="B7" s="242">
        <v>1062</v>
      </c>
      <c r="C7" s="243" t="s">
        <v>111</v>
      </c>
      <c r="D7" s="243">
        <v>64509</v>
      </c>
      <c r="E7" s="249">
        <v>10620034</v>
      </c>
      <c r="F7" s="244">
        <v>4</v>
      </c>
      <c r="G7" s="241">
        <f t="shared" si="0"/>
        <v>13200</v>
      </c>
      <c r="H7" s="56">
        <v>328.52364220199996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1">
        <f t="shared" si="1"/>
        <v>12871.476357797999</v>
      </c>
    </row>
    <row r="8" spans="1:21" x14ac:dyDescent="0.25">
      <c r="A8" s="241">
        <v>7</v>
      </c>
      <c r="B8" s="242">
        <v>1062</v>
      </c>
      <c r="C8" s="243" t="s">
        <v>178</v>
      </c>
      <c r="D8" s="243">
        <v>64541</v>
      </c>
      <c r="E8" s="249">
        <v>10620058</v>
      </c>
      <c r="F8" s="244">
        <v>1</v>
      </c>
      <c r="G8" s="241">
        <f t="shared" si="0"/>
        <v>3300</v>
      </c>
      <c r="H8" s="56">
        <v>300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1">
        <f t="shared" si="1"/>
        <v>3000</v>
      </c>
    </row>
    <row r="9" spans="1:21" x14ac:dyDescent="0.25">
      <c r="A9" s="241">
        <v>8</v>
      </c>
      <c r="B9" s="242">
        <v>1062</v>
      </c>
      <c r="C9" s="243" t="s">
        <v>337</v>
      </c>
      <c r="D9" s="243">
        <v>64504</v>
      </c>
      <c r="E9" s="1">
        <v>10620099</v>
      </c>
      <c r="F9" s="244">
        <v>1</v>
      </c>
      <c r="G9" s="241">
        <f t="shared" si="0"/>
        <v>3300</v>
      </c>
      <c r="H9" s="56">
        <v>300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1">
        <f t="shared" si="1"/>
        <v>3000</v>
      </c>
    </row>
    <row r="10" spans="1:21" x14ac:dyDescent="0.25">
      <c r="A10" s="241">
        <v>10</v>
      </c>
      <c r="B10" s="242">
        <v>1062</v>
      </c>
      <c r="C10" s="243" t="s">
        <v>212</v>
      </c>
      <c r="D10" s="243">
        <v>60616</v>
      </c>
      <c r="E10" s="249">
        <v>10620070</v>
      </c>
      <c r="F10" s="244">
        <v>1</v>
      </c>
      <c r="G10" s="241">
        <f t="shared" si="0"/>
        <v>3300</v>
      </c>
      <c r="H10" s="56">
        <v>541.29871822000018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1">
        <f t="shared" si="1"/>
        <v>2758.7012817799996</v>
      </c>
    </row>
    <row r="11" spans="1:21" x14ac:dyDescent="0.25">
      <c r="A11" s="241">
        <v>11</v>
      </c>
      <c r="B11" s="242">
        <v>1062</v>
      </c>
      <c r="C11" s="243" t="s">
        <v>923</v>
      </c>
      <c r="D11" s="243">
        <v>60605</v>
      </c>
      <c r="E11" s="249">
        <v>10620061</v>
      </c>
      <c r="F11" s="244">
        <v>6</v>
      </c>
      <c r="G11" s="241">
        <f t="shared" si="0"/>
        <v>19800</v>
      </c>
      <c r="H11" s="56">
        <v>893.79341836399988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1">
        <f t="shared" si="1"/>
        <v>18906.206581636001</v>
      </c>
    </row>
    <row r="12" spans="1:21" x14ac:dyDescent="0.25">
      <c r="A12" s="241">
        <v>12</v>
      </c>
      <c r="B12" s="242">
        <v>1062</v>
      </c>
      <c r="C12" s="243" t="s">
        <v>924</v>
      </c>
      <c r="D12" s="243">
        <v>60566</v>
      </c>
      <c r="E12" s="249">
        <v>10620059</v>
      </c>
      <c r="F12" s="244">
        <v>3</v>
      </c>
      <c r="G12" s="241">
        <f t="shared" si="0"/>
        <v>9900</v>
      </c>
      <c r="H12" s="56">
        <v>300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1">
        <f t="shared" si="1"/>
        <v>9600</v>
      </c>
    </row>
    <row r="13" spans="1:21" x14ac:dyDescent="0.25">
      <c r="A13" s="241">
        <v>13</v>
      </c>
      <c r="B13" s="242">
        <v>1062</v>
      </c>
      <c r="C13" s="245" t="s">
        <v>925</v>
      </c>
      <c r="D13" s="245">
        <v>64543</v>
      </c>
      <c r="E13" s="249">
        <v>10620051</v>
      </c>
      <c r="F13" s="244">
        <v>1</v>
      </c>
      <c r="G13" s="241">
        <f t="shared" si="0"/>
        <v>3300</v>
      </c>
      <c r="H13" s="56">
        <v>6206.3057440000021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1">
        <f t="shared" si="1"/>
        <v>-2906.3057440000021</v>
      </c>
    </row>
    <row r="14" spans="1:21" x14ac:dyDescent="0.25">
      <c r="A14" s="241">
        <v>14</v>
      </c>
      <c r="B14" s="242">
        <v>1062</v>
      </c>
      <c r="C14" s="245" t="s">
        <v>926</v>
      </c>
      <c r="D14" s="245">
        <v>64567</v>
      </c>
      <c r="E14" s="249">
        <v>10620069</v>
      </c>
      <c r="F14" s="244">
        <v>5</v>
      </c>
      <c r="G14" s="241">
        <f t="shared" si="0"/>
        <v>16500</v>
      </c>
      <c r="H14" s="56">
        <v>627.1313423439999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1">
        <f t="shared" si="1"/>
        <v>15872.868657655999</v>
      </c>
    </row>
    <row r="15" spans="1:21" x14ac:dyDescent="0.25">
      <c r="A15" s="241">
        <v>15</v>
      </c>
      <c r="B15" s="242">
        <v>1062</v>
      </c>
      <c r="C15" s="245" t="s">
        <v>224</v>
      </c>
      <c r="D15" s="245">
        <v>64542</v>
      </c>
      <c r="E15" s="249">
        <v>10620075</v>
      </c>
      <c r="F15" s="244">
        <v>7</v>
      </c>
      <c r="G15" s="241">
        <f t="shared" si="0"/>
        <v>23100</v>
      </c>
      <c r="H15" s="56">
        <v>504.2304109100001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1">
        <f t="shared" si="1"/>
        <v>22595.769589089999</v>
      </c>
    </row>
    <row r="16" spans="1:21" x14ac:dyDescent="0.25">
      <c r="A16" s="241">
        <v>16</v>
      </c>
      <c r="B16" s="242">
        <v>1062</v>
      </c>
      <c r="C16" s="245" t="s">
        <v>279</v>
      </c>
      <c r="D16" s="245">
        <v>60603</v>
      </c>
      <c r="E16" s="249">
        <v>10620097</v>
      </c>
      <c r="F16" s="244">
        <v>27</v>
      </c>
      <c r="G16" s="241">
        <f t="shared" si="0"/>
        <v>89100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1">
        <f t="shared" si="1"/>
        <v>89100</v>
      </c>
    </row>
    <row r="17" spans="1:21" x14ac:dyDescent="0.25">
      <c r="A17" s="241">
        <v>17</v>
      </c>
      <c r="B17" s="242">
        <v>1062</v>
      </c>
      <c r="C17" s="245" t="s">
        <v>63</v>
      </c>
      <c r="D17" s="245">
        <v>64555</v>
      </c>
      <c r="E17" s="249">
        <v>10620017</v>
      </c>
      <c r="F17" s="244">
        <v>2</v>
      </c>
      <c r="G17" s="241">
        <f t="shared" si="0"/>
        <v>6600</v>
      </c>
      <c r="H17" s="56">
        <v>300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1">
        <f t="shared" si="1"/>
        <v>6300</v>
      </c>
    </row>
    <row r="18" spans="1:21" x14ac:dyDescent="0.25">
      <c r="A18" s="241">
        <v>18</v>
      </c>
      <c r="B18" s="242">
        <v>1062</v>
      </c>
      <c r="C18" s="245" t="s">
        <v>135</v>
      </c>
      <c r="D18" s="245">
        <v>64559</v>
      </c>
      <c r="E18" s="249">
        <v>10620042</v>
      </c>
      <c r="F18" s="244">
        <v>2</v>
      </c>
      <c r="G18" s="241">
        <f t="shared" si="0"/>
        <v>6600</v>
      </c>
      <c r="H18" s="56">
        <v>426.34963325199993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1">
        <f t="shared" si="1"/>
        <v>6173.6503667480001</v>
      </c>
    </row>
    <row r="19" spans="1:21" x14ac:dyDescent="0.25">
      <c r="A19" s="241">
        <v>19</v>
      </c>
      <c r="B19" s="242">
        <v>1062</v>
      </c>
      <c r="C19" s="245" t="s">
        <v>927</v>
      </c>
      <c r="D19" s="245">
        <v>64573</v>
      </c>
      <c r="E19" s="249">
        <v>10620053</v>
      </c>
      <c r="F19" s="244">
        <v>4</v>
      </c>
      <c r="G19" s="241">
        <f t="shared" si="0"/>
        <v>13200</v>
      </c>
      <c r="H19" s="56">
        <v>300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1">
        <f t="shared" si="1"/>
        <v>12900</v>
      </c>
    </row>
    <row r="20" spans="1:21" x14ac:dyDescent="0.25">
      <c r="A20" s="241">
        <v>20</v>
      </c>
      <c r="B20" s="242">
        <v>1062</v>
      </c>
      <c r="C20" s="245" t="s">
        <v>67</v>
      </c>
      <c r="D20" s="245">
        <v>64591</v>
      </c>
      <c r="E20" s="249">
        <v>10620018</v>
      </c>
      <c r="F20" s="244">
        <v>4</v>
      </c>
      <c r="G20" s="241">
        <f t="shared" si="0"/>
        <v>13200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1">
        <f t="shared" si="1"/>
        <v>13200</v>
      </c>
    </row>
    <row r="21" spans="1:21" x14ac:dyDescent="0.25">
      <c r="A21" s="241">
        <v>21</v>
      </c>
      <c r="B21" s="242">
        <v>1062</v>
      </c>
      <c r="C21" s="245" t="s">
        <v>928</v>
      </c>
      <c r="D21" s="245">
        <v>64590</v>
      </c>
      <c r="E21" s="249">
        <v>10620062</v>
      </c>
      <c r="F21" s="244">
        <v>1</v>
      </c>
      <c r="G21" s="241">
        <f t="shared" si="0"/>
        <v>3300</v>
      </c>
      <c r="H21" s="56">
        <v>300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1">
        <f t="shared" si="1"/>
        <v>3000</v>
      </c>
    </row>
    <row r="22" spans="1:21" x14ac:dyDescent="0.25">
      <c r="A22" s="241">
        <v>22</v>
      </c>
      <c r="B22" s="242">
        <v>1062</v>
      </c>
      <c r="C22" s="245" t="s">
        <v>165</v>
      </c>
      <c r="D22" s="245">
        <v>64562</v>
      </c>
      <c r="E22" s="249">
        <v>10620054</v>
      </c>
      <c r="F22" s="244">
        <v>2</v>
      </c>
      <c r="G22" s="241">
        <f t="shared" si="0"/>
        <v>6600</v>
      </c>
      <c r="H22" s="56">
        <v>633.03504118199999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1">
        <f t="shared" si="1"/>
        <v>5966.964958818</v>
      </c>
    </row>
    <row r="23" spans="1:21" x14ac:dyDescent="0.25">
      <c r="A23" s="241">
        <v>23</v>
      </c>
      <c r="B23" s="242">
        <v>1062</v>
      </c>
      <c r="C23" s="245" t="s">
        <v>151</v>
      </c>
      <c r="D23" s="245">
        <v>64560</v>
      </c>
      <c r="E23" s="249">
        <v>10620048</v>
      </c>
      <c r="F23" s="244">
        <v>2</v>
      </c>
      <c r="G23" s="241">
        <f t="shared" si="0"/>
        <v>6600</v>
      </c>
      <c r="H23" s="56">
        <v>300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1">
        <f t="shared" si="1"/>
        <v>6300</v>
      </c>
    </row>
    <row r="24" spans="1:21" x14ac:dyDescent="0.25">
      <c r="A24" s="241">
        <v>25</v>
      </c>
      <c r="B24" s="242">
        <v>1062</v>
      </c>
      <c r="C24" s="245" t="s">
        <v>103</v>
      </c>
      <c r="D24" s="245">
        <v>64553</v>
      </c>
      <c r="E24" s="249">
        <v>10620031</v>
      </c>
      <c r="F24" s="244">
        <v>4</v>
      </c>
      <c r="G24" s="241">
        <f t="shared" si="0"/>
        <v>13200</v>
      </c>
      <c r="H24" s="56">
        <v>300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1">
        <f t="shared" si="1"/>
        <v>12900</v>
      </c>
    </row>
    <row r="25" spans="1:21" x14ac:dyDescent="0.25">
      <c r="A25" s="241">
        <v>26</v>
      </c>
      <c r="B25" s="242">
        <v>1062</v>
      </c>
      <c r="C25" s="245" t="s">
        <v>205</v>
      </c>
      <c r="D25" s="245">
        <v>64539</v>
      </c>
      <c r="E25" s="249">
        <v>10620068</v>
      </c>
      <c r="F25" s="244">
        <v>2</v>
      </c>
      <c r="G25" s="241">
        <f t="shared" si="0"/>
        <v>6600</v>
      </c>
      <c r="H25" s="56">
        <v>300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1">
        <f t="shared" si="1"/>
        <v>6300</v>
      </c>
    </row>
    <row r="26" spans="1:21" x14ac:dyDescent="0.25">
      <c r="A26" s="241">
        <v>27</v>
      </c>
      <c r="B26" s="242">
        <v>1062</v>
      </c>
      <c r="C26" s="245" t="s">
        <v>215</v>
      </c>
      <c r="D26" s="245">
        <v>64586</v>
      </c>
      <c r="E26" s="249">
        <v>10620071</v>
      </c>
      <c r="F26" s="244">
        <v>2</v>
      </c>
      <c r="G26" s="241">
        <f t="shared" si="0"/>
        <v>6600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1">
        <f t="shared" si="1"/>
        <v>6600</v>
      </c>
    </row>
    <row r="27" spans="1:21" x14ac:dyDescent="0.25">
      <c r="A27" s="241">
        <v>28</v>
      </c>
      <c r="B27" s="242">
        <v>1062</v>
      </c>
      <c r="C27" s="245" t="s">
        <v>106</v>
      </c>
      <c r="D27" s="245">
        <v>64594</v>
      </c>
      <c r="E27" s="249">
        <v>10620032</v>
      </c>
      <c r="F27" s="244">
        <v>1</v>
      </c>
      <c r="G27" s="241">
        <f t="shared" si="0"/>
        <v>3300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1">
        <f t="shared" si="1"/>
        <v>3300</v>
      </c>
    </row>
    <row r="28" spans="1:21" x14ac:dyDescent="0.25">
      <c r="A28" s="241">
        <v>29</v>
      </c>
      <c r="B28" s="242">
        <v>1062</v>
      </c>
      <c r="C28" s="241" t="s">
        <v>26</v>
      </c>
      <c r="D28" s="245">
        <v>64600</v>
      </c>
      <c r="E28" s="249">
        <v>10620004</v>
      </c>
      <c r="F28" s="244">
        <v>1</v>
      </c>
      <c r="G28" s="241">
        <f t="shared" si="0"/>
        <v>3300</v>
      </c>
      <c r="H28" s="56">
        <v>404.84168939800003</v>
      </c>
      <c r="I28" s="56">
        <v>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1">
        <f t="shared" si="1"/>
        <v>2895.1583106019998</v>
      </c>
    </row>
    <row r="29" spans="1:21" x14ac:dyDescent="0.25">
      <c r="A29" s="241">
        <v>30</v>
      </c>
      <c r="B29" s="242">
        <v>1062</v>
      </c>
      <c r="C29" s="241" t="s">
        <v>34</v>
      </c>
      <c r="D29" s="245">
        <v>20119</v>
      </c>
      <c r="E29" s="249">
        <v>10620119</v>
      </c>
      <c r="F29" s="244">
        <v>7</v>
      </c>
      <c r="G29" s="241">
        <f t="shared" si="0"/>
        <v>23100</v>
      </c>
      <c r="H29" s="56">
        <v>1464.4039200000002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1">
        <f t="shared" si="1"/>
        <v>21635.596079999999</v>
      </c>
    </row>
    <row r="30" spans="1:21" x14ac:dyDescent="0.25">
      <c r="A30" s="241">
        <v>31</v>
      </c>
      <c r="B30" s="242">
        <v>1062</v>
      </c>
      <c r="C30" s="241" t="s">
        <v>220</v>
      </c>
      <c r="D30" s="245">
        <v>64599</v>
      </c>
      <c r="E30" s="249">
        <v>10620073</v>
      </c>
      <c r="F30" s="244">
        <v>1</v>
      </c>
      <c r="G30" s="241">
        <f t="shared" si="0"/>
        <v>3300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1">
        <f t="shared" si="1"/>
        <v>3300</v>
      </c>
    </row>
    <row r="31" spans="1:21" x14ac:dyDescent="0.25">
      <c r="A31" s="241">
        <v>32</v>
      </c>
      <c r="B31" s="242">
        <v>1062</v>
      </c>
      <c r="C31" s="241" t="s">
        <v>235</v>
      </c>
      <c r="D31" s="245">
        <v>64604</v>
      </c>
      <c r="E31" s="249">
        <v>10620080</v>
      </c>
      <c r="F31" s="244">
        <v>4</v>
      </c>
      <c r="G31" s="241">
        <f t="shared" si="0"/>
        <v>13200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1">
        <f t="shared" si="1"/>
        <v>13200</v>
      </c>
    </row>
    <row r="32" spans="1:21" x14ac:dyDescent="0.25">
      <c r="A32" s="241">
        <v>34</v>
      </c>
      <c r="B32" s="242">
        <v>1062</v>
      </c>
      <c r="C32" s="245" t="s">
        <v>929</v>
      </c>
      <c r="D32" s="246">
        <v>20115</v>
      </c>
      <c r="E32" s="246">
        <v>10620115</v>
      </c>
      <c r="F32" s="244">
        <v>6</v>
      </c>
      <c r="G32" s="241">
        <f t="shared" si="0"/>
        <v>19800</v>
      </c>
      <c r="H32" s="56">
        <v>327.48512784600001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1">
        <f t="shared" si="1"/>
        <v>19472.514872153999</v>
      </c>
    </row>
    <row r="33" spans="1:21" x14ac:dyDescent="0.25">
      <c r="A33" s="241">
        <v>35</v>
      </c>
      <c r="B33" s="242">
        <v>1062</v>
      </c>
      <c r="C33" s="247" t="s">
        <v>930</v>
      </c>
      <c r="D33" s="246">
        <v>20101</v>
      </c>
      <c r="E33" s="246">
        <v>10620101</v>
      </c>
      <c r="F33" s="244">
        <v>6</v>
      </c>
      <c r="G33" s="241">
        <f t="shared" si="0"/>
        <v>19800</v>
      </c>
      <c r="H33" s="56">
        <v>300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1">
        <f t="shared" si="1"/>
        <v>19500</v>
      </c>
    </row>
    <row r="34" spans="1:21" x14ac:dyDescent="0.25">
      <c r="A34" s="241">
        <v>37</v>
      </c>
      <c r="B34" s="242">
        <v>1062</v>
      </c>
      <c r="C34" s="247" t="s">
        <v>931</v>
      </c>
      <c r="D34" s="246">
        <v>20124</v>
      </c>
      <c r="E34" s="246">
        <v>10620124</v>
      </c>
      <c r="F34" s="244">
        <v>4</v>
      </c>
      <c r="G34" s="241">
        <f t="shared" si="0"/>
        <v>13200</v>
      </c>
      <c r="H34" s="56">
        <v>328.38865196199998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1">
        <f t="shared" si="1"/>
        <v>12871.611348038001</v>
      </c>
    </row>
    <row r="35" spans="1:21" x14ac:dyDescent="0.25">
      <c r="A35" s="241">
        <v>38</v>
      </c>
      <c r="B35" s="242">
        <v>1062</v>
      </c>
      <c r="C35" s="247" t="s">
        <v>932</v>
      </c>
      <c r="D35" s="246">
        <v>20104</v>
      </c>
      <c r="E35" s="246">
        <v>10620104</v>
      </c>
      <c r="F35" s="244">
        <v>6</v>
      </c>
      <c r="G35" s="241">
        <f t="shared" si="0"/>
        <v>19800</v>
      </c>
      <c r="H35" s="56">
        <v>300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1">
        <f t="shared" si="1"/>
        <v>19500</v>
      </c>
    </row>
    <row r="36" spans="1:21" x14ac:dyDescent="0.25">
      <c r="A36" s="241">
        <v>45</v>
      </c>
      <c r="B36" s="242">
        <v>1062</v>
      </c>
      <c r="C36" s="247" t="s">
        <v>933</v>
      </c>
      <c r="D36" s="246">
        <v>20102</v>
      </c>
      <c r="E36" s="246">
        <v>10620102</v>
      </c>
      <c r="F36" s="244">
        <v>6</v>
      </c>
      <c r="G36" s="241">
        <f t="shared" si="0"/>
        <v>19800</v>
      </c>
      <c r="H36" s="56">
        <v>300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1">
        <f t="shared" si="1"/>
        <v>19500</v>
      </c>
    </row>
    <row r="37" spans="1:21" x14ac:dyDescent="0.25">
      <c r="A37" s="241">
        <v>49</v>
      </c>
      <c r="B37" s="242">
        <v>1062</v>
      </c>
      <c r="C37" s="247" t="s">
        <v>934</v>
      </c>
      <c r="D37" s="246">
        <v>20126</v>
      </c>
      <c r="E37" s="246">
        <v>10620126</v>
      </c>
      <c r="F37" s="244">
        <v>6</v>
      </c>
      <c r="G37" s="241">
        <f t="shared" si="0"/>
        <v>19800</v>
      </c>
      <c r="H37" s="56">
        <v>300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1">
        <f t="shared" si="1"/>
        <v>19500</v>
      </c>
    </row>
    <row r="38" spans="1:21" x14ac:dyDescent="0.25">
      <c r="A38" s="1"/>
      <c r="B38" s="1"/>
      <c r="C38" s="1"/>
      <c r="D38" s="1"/>
      <c r="E38" s="1"/>
      <c r="F38" s="248">
        <f>SUM(F2:F37)</f>
        <v>146</v>
      </c>
      <c r="G38" s="241">
        <f>SUM(G2:G37)</f>
        <v>481800</v>
      </c>
      <c r="H38" s="58">
        <f>SUM(H2:H37)</f>
        <v>18999.745615532003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</sheetData>
  <autoFilter ref="A1:I1" xr:uid="{0AB4F2F3-892F-4C56-AA79-4C0C06AACE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MPG Payment</vt:lpstr>
      <vt:lpstr>Sheet1</vt:lpstr>
      <vt:lpstr>TS Loss Gain</vt:lpstr>
      <vt:lpstr>DSC_Master</vt:lpstr>
      <vt:lpstr>Rate_Chart</vt:lpstr>
      <vt:lpstr>Data</vt:lpstr>
      <vt:lpstr>Milk Can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2026-09-05T03:28:43Z</dcterms:modified>
  <cp:category/>
</cp:coreProperties>
</file>