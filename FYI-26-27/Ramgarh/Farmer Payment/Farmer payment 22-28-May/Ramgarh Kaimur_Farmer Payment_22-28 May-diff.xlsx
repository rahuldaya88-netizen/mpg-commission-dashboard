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2-28-May\"/>
    </mc:Choice>
  </mc:AlternateContent>
  <xr:revisionPtr revIDLastSave="0" documentId="13_ncr:1_{0C7D60A0-7F01-4065-B4BE-21CF58F8E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Data!$B$3:$Z$1271</definedName>
    <definedName name="_xlnm._FilterDatabase" localSheetId="3" hidden="1">DSC_Master!$A$1:$Q$109</definedName>
    <definedName name="_xlnm._FilterDatabase" localSheetId="0" hidden="1">'MPG Payment'!$A$2:$AG$72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42" r:id="rId7"/>
    <pivotCache cacheId="43" r:id="rId8"/>
    <pivotCache cacheId="4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71" i="6" l="1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A1207" i="6"/>
  <c r="A1206" i="6"/>
  <c r="A1205" i="6"/>
  <c r="A1204" i="6"/>
  <c r="A1203" i="6"/>
  <c r="A1202" i="6"/>
  <c r="A1201" i="6"/>
  <c r="A1200" i="6"/>
  <c r="A1199" i="6"/>
  <c r="A1198" i="6"/>
  <c r="A1197" i="6"/>
  <c r="A1196" i="6"/>
  <c r="A1195" i="6"/>
  <c r="A1194" i="6"/>
  <c r="A1193" i="6"/>
  <c r="A1192" i="6"/>
  <c r="A1191" i="6"/>
  <c r="A1190" i="6"/>
  <c r="A1189" i="6"/>
  <c r="A1188" i="6"/>
  <c r="A1187" i="6"/>
  <c r="A1186" i="6"/>
  <c r="A1185" i="6"/>
  <c r="A1184" i="6"/>
  <c r="A1183" i="6"/>
  <c r="A1182" i="6"/>
  <c r="A1181" i="6"/>
  <c r="A1180" i="6"/>
  <c r="A1179" i="6"/>
  <c r="A1178" i="6"/>
  <c r="A1177" i="6"/>
  <c r="A1176" i="6"/>
  <c r="A1175" i="6"/>
  <c r="A1174" i="6"/>
  <c r="A1173" i="6"/>
  <c r="A1172" i="6"/>
  <c r="A1171" i="6"/>
  <c r="A1170" i="6"/>
  <c r="A1169" i="6"/>
  <c r="A1168" i="6"/>
  <c r="A1167" i="6"/>
  <c r="A1166" i="6"/>
  <c r="A1165" i="6"/>
  <c r="A1164" i="6"/>
  <c r="A1163" i="6"/>
  <c r="A1162" i="6"/>
  <c r="A1161" i="6"/>
  <c r="A1160" i="6"/>
  <c r="A1159" i="6"/>
  <c r="A1158" i="6"/>
  <c r="A1157" i="6"/>
  <c r="A1156" i="6"/>
  <c r="A1155" i="6"/>
  <c r="A1154" i="6"/>
  <c r="A1153" i="6"/>
  <c r="A1152" i="6"/>
  <c r="A1151" i="6"/>
  <c r="A1150" i="6"/>
  <c r="A1149" i="6"/>
  <c r="A1148" i="6"/>
  <c r="A1147" i="6"/>
  <c r="A1146" i="6"/>
  <c r="A1145" i="6"/>
  <c r="A1144" i="6"/>
  <c r="A1143" i="6"/>
  <c r="A1142" i="6"/>
  <c r="A1141" i="6"/>
  <c r="A1140" i="6"/>
  <c r="A1139" i="6"/>
  <c r="A1138" i="6"/>
  <c r="A1137" i="6"/>
  <c r="A1136" i="6"/>
  <c r="A1135" i="6"/>
  <c r="A1134" i="6"/>
  <c r="A1133" i="6"/>
  <c r="A1132" i="6"/>
  <c r="A1131" i="6"/>
  <c r="A1130" i="6"/>
  <c r="A1129" i="6"/>
  <c r="A1128" i="6"/>
  <c r="A1127" i="6"/>
  <c r="A1126" i="6"/>
  <c r="A1125" i="6"/>
  <c r="A1124" i="6"/>
  <c r="A1123" i="6"/>
  <c r="A1122" i="6"/>
  <c r="A1121" i="6"/>
  <c r="A1120" i="6"/>
  <c r="A1119" i="6"/>
  <c r="A1118" i="6"/>
  <c r="A1117" i="6"/>
  <c r="A1116" i="6"/>
  <c r="A1115" i="6"/>
  <c r="A1114" i="6"/>
  <c r="A1113" i="6"/>
  <c r="A1112" i="6"/>
  <c r="A1111" i="6"/>
  <c r="A1110" i="6"/>
  <c r="A1109" i="6"/>
  <c r="A1108" i="6"/>
  <c r="A1107" i="6"/>
  <c r="A1106" i="6"/>
  <c r="A1105" i="6"/>
  <c r="A1104" i="6"/>
  <c r="A1103" i="6"/>
  <c r="A1102" i="6"/>
  <c r="A1101" i="6"/>
  <c r="A1100" i="6"/>
  <c r="A1099" i="6"/>
  <c r="A1098" i="6"/>
  <c r="A1097" i="6"/>
  <c r="A1096" i="6"/>
  <c r="A1095" i="6"/>
  <c r="A1094" i="6"/>
  <c r="A1093" i="6"/>
  <c r="A1092" i="6"/>
  <c r="A1091" i="6"/>
  <c r="A1090" i="6"/>
  <c r="A1089" i="6"/>
  <c r="A1088" i="6"/>
  <c r="A1087" i="6"/>
  <c r="A1086" i="6"/>
  <c r="A1085" i="6"/>
  <c r="A1084" i="6"/>
  <c r="A1083" i="6"/>
  <c r="A1082" i="6"/>
  <c r="A1081" i="6"/>
  <c r="A1080" i="6"/>
  <c r="A1079" i="6"/>
  <c r="A1078" i="6"/>
  <c r="A1077" i="6"/>
  <c r="A1076" i="6"/>
  <c r="A1075" i="6"/>
  <c r="A1074" i="6"/>
  <c r="A1073" i="6"/>
  <c r="A1072" i="6"/>
  <c r="A1071" i="6"/>
  <c r="A1070" i="6"/>
  <c r="A1069" i="6"/>
  <c r="A1068" i="6"/>
  <c r="A1067" i="6"/>
  <c r="A1066" i="6"/>
  <c r="A1065" i="6"/>
  <c r="A1064" i="6"/>
  <c r="A1063" i="6"/>
  <c r="A1062" i="6"/>
  <c r="A1061" i="6"/>
  <c r="A1060" i="6"/>
  <c r="A1059" i="6"/>
  <c r="A1058" i="6"/>
  <c r="A1057" i="6"/>
  <c r="A1056" i="6"/>
  <c r="A1055" i="6"/>
  <c r="A1054" i="6"/>
  <c r="A1053" i="6"/>
  <c r="A1052" i="6"/>
  <c r="A1051" i="6"/>
  <c r="A1050" i="6"/>
  <c r="A1049" i="6"/>
  <c r="A1048" i="6"/>
  <c r="A1047" i="6"/>
  <c r="A1046" i="6"/>
  <c r="A1045" i="6"/>
  <c r="A1044" i="6"/>
  <c r="A1043" i="6"/>
  <c r="A1042" i="6"/>
  <c r="A1041" i="6"/>
  <c r="A1040" i="6"/>
  <c r="A1039" i="6"/>
  <c r="A1038" i="6"/>
  <c r="A1037" i="6"/>
  <c r="A1036" i="6"/>
  <c r="A1035" i="6"/>
  <c r="A1034" i="6"/>
  <c r="A1033" i="6"/>
  <c r="A1032" i="6"/>
  <c r="A1031" i="6"/>
  <c r="A1030" i="6"/>
  <c r="A1029" i="6"/>
  <c r="A1028" i="6"/>
  <c r="A1027" i="6"/>
  <c r="A1026" i="6"/>
  <c r="A1025" i="6"/>
  <c r="A1024" i="6"/>
  <c r="A1023" i="6"/>
  <c r="A1022" i="6"/>
  <c r="A1021" i="6"/>
  <c r="A1020" i="6"/>
  <c r="A1019" i="6"/>
  <c r="A1018" i="6"/>
  <c r="A1017" i="6"/>
  <c r="A1016" i="6"/>
  <c r="A1015" i="6"/>
  <c r="A1014" i="6"/>
  <c r="A1013" i="6"/>
  <c r="A1012" i="6"/>
  <c r="A1011" i="6"/>
  <c r="A1010" i="6"/>
  <c r="A1009" i="6"/>
  <c r="A1008" i="6"/>
  <c r="A1007" i="6"/>
  <c r="A1006" i="6"/>
  <c r="A1005" i="6"/>
  <c r="A1004" i="6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G123" i="6"/>
  <c r="M123" i="6"/>
  <c r="N123" i="6"/>
  <c r="O123" i="6"/>
  <c r="P123" i="6" s="1"/>
  <c r="S123" i="6" s="1"/>
  <c r="T123" i="6"/>
  <c r="U123" i="6" l="1"/>
  <c r="V123" i="6" s="1"/>
  <c r="W123" i="6" s="1"/>
  <c r="X123" i="6" s="1"/>
  <c r="Q123" i="6"/>
  <c r="R123" i="6" s="1"/>
  <c r="G938" i="6"/>
  <c r="M938" i="6"/>
  <c r="N938" i="6"/>
  <c r="O938" i="6"/>
  <c r="P938" i="6" s="1"/>
  <c r="S938" i="6" s="1"/>
  <c r="T938" i="6"/>
  <c r="AK4" i="4"/>
  <c r="AL4" i="4"/>
  <c r="AK5" i="4"/>
  <c r="AL5" i="4"/>
  <c r="AK6" i="4"/>
  <c r="AL6" i="4"/>
  <c r="AK7" i="4"/>
  <c r="AL7" i="4"/>
  <c r="AK8" i="4"/>
  <c r="AL8" i="4"/>
  <c r="AK9" i="4"/>
  <c r="AL9" i="4"/>
  <c r="AK10" i="4"/>
  <c r="AL10" i="4"/>
  <c r="AK11" i="4"/>
  <c r="AL11" i="4"/>
  <c r="AK12" i="4"/>
  <c r="AL12" i="4"/>
  <c r="AK13" i="4"/>
  <c r="AL13" i="4"/>
  <c r="AK14" i="4"/>
  <c r="AL14" i="4"/>
  <c r="AK15" i="4"/>
  <c r="AL15" i="4"/>
  <c r="AK16" i="4"/>
  <c r="AL16" i="4"/>
  <c r="AK17" i="4"/>
  <c r="AL17" i="4"/>
  <c r="AK18" i="4"/>
  <c r="AL18" i="4"/>
  <c r="AK19" i="4"/>
  <c r="AL19" i="4"/>
  <c r="AK20" i="4"/>
  <c r="AL20" i="4"/>
  <c r="AK21" i="4"/>
  <c r="AL21" i="4"/>
  <c r="AK22" i="4"/>
  <c r="AL22" i="4"/>
  <c r="AK23" i="4"/>
  <c r="AL23" i="4"/>
  <c r="AK24" i="4"/>
  <c r="AL24" i="4"/>
  <c r="AK25" i="4"/>
  <c r="AL25" i="4"/>
  <c r="AK26" i="4"/>
  <c r="AL26" i="4"/>
  <c r="AK27" i="4"/>
  <c r="AL27" i="4"/>
  <c r="AK28" i="4"/>
  <c r="AL28" i="4"/>
  <c r="AK29" i="4"/>
  <c r="AL29" i="4"/>
  <c r="AK30" i="4"/>
  <c r="AL30" i="4"/>
  <c r="AK31" i="4"/>
  <c r="AL31" i="4"/>
  <c r="AK32" i="4"/>
  <c r="AL32" i="4"/>
  <c r="AK33" i="4"/>
  <c r="AL33" i="4"/>
  <c r="AK34" i="4"/>
  <c r="AL34" i="4"/>
  <c r="AK35" i="4"/>
  <c r="AL35" i="4"/>
  <c r="AK36" i="4"/>
  <c r="AL36" i="4"/>
  <c r="AK37" i="4"/>
  <c r="AL37" i="4"/>
  <c r="AK38" i="4"/>
  <c r="AL38" i="4"/>
  <c r="AK39" i="4"/>
  <c r="AL39" i="4"/>
  <c r="AK40" i="4"/>
  <c r="AL40" i="4"/>
  <c r="AK41" i="4"/>
  <c r="AL41" i="4"/>
  <c r="AK42" i="4"/>
  <c r="AL42" i="4"/>
  <c r="AK43" i="4"/>
  <c r="AL43" i="4"/>
  <c r="AK44" i="4"/>
  <c r="AL44" i="4"/>
  <c r="AK45" i="4"/>
  <c r="AL45" i="4"/>
  <c r="AK46" i="4"/>
  <c r="AL46" i="4"/>
  <c r="AK47" i="4"/>
  <c r="AL47" i="4"/>
  <c r="AK48" i="4"/>
  <c r="AL48" i="4"/>
  <c r="AK49" i="4"/>
  <c r="AL49" i="4"/>
  <c r="AK50" i="4"/>
  <c r="AL50" i="4"/>
  <c r="AK51" i="4"/>
  <c r="AL51" i="4"/>
  <c r="AK52" i="4"/>
  <c r="AL52" i="4"/>
  <c r="AK53" i="4"/>
  <c r="AL53" i="4"/>
  <c r="AK54" i="4"/>
  <c r="AL54" i="4"/>
  <c r="AK55" i="4"/>
  <c r="AL55" i="4"/>
  <c r="AK56" i="4"/>
  <c r="AL56" i="4"/>
  <c r="AK57" i="4"/>
  <c r="AL57" i="4"/>
  <c r="AK58" i="4"/>
  <c r="AL58" i="4"/>
  <c r="AK59" i="4"/>
  <c r="AL59" i="4"/>
  <c r="AK60" i="4"/>
  <c r="AL60" i="4"/>
  <c r="AK61" i="4"/>
  <c r="AL61" i="4"/>
  <c r="AK62" i="4"/>
  <c r="AL62" i="4"/>
  <c r="AK63" i="4"/>
  <c r="AL63" i="4"/>
  <c r="AK64" i="4"/>
  <c r="AL64" i="4"/>
  <c r="AK65" i="4"/>
  <c r="AL65" i="4"/>
  <c r="AK66" i="4"/>
  <c r="AL66" i="4"/>
  <c r="AK67" i="4"/>
  <c r="AL67" i="4"/>
  <c r="AK68" i="4"/>
  <c r="AL68" i="4"/>
  <c r="AK69" i="4"/>
  <c r="AL69" i="4"/>
  <c r="AK70" i="4"/>
  <c r="AL70" i="4"/>
  <c r="AK71" i="4"/>
  <c r="AL71" i="4"/>
  <c r="AK72" i="4"/>
  <c r="AL72" i="4"/>
  <c r="AL3" i="4"/>
  <c r="AK3" i="4"/>
  <c r="AJ73" i="4"/>
  <c r="AI73" i="4"/>
  <c r="O1271" i="6"/>
  <c r="O1270" i="6"/>
  <c r="O1262" i="6"/>
  <c r="O1260" i="6"/>
  <c r="O1259" i="6"/>
  <c r="O1258" i="6"/>
  <c r="O1257" i="6"/>
  <c r="O1256" i="6"/>
  <c r="O1255" i="6"/>
  <c r="O1254" i="6"/>
  <c r="O1253" i="6"/>
  <c r="O1252" i="6"/>
  <c r="O1251" i="6"/>
  <c r="O1250" i="6"/>
  <c r="O1249" i="6"/>
  <c r="O1232" i="6"/>
  <c r="O1231" i="6"/>
  <c r="O1230" i="6"/>
  <c r="O1229" i="6"/>
  <c r="O1228" i="6"/>
  <c r="O1227" i="6"/>
  <c r="O1226" i="6"/>
  <c r="O1225" i="6"/>
  <c r="O1224" i="6"/>
  <c r="O1214" i="6"/>
  <c r="O1213" i="6"/>
  <c r="O1212" i="6"/>
  <c r="O1211" i="6"/>
  <c r="O1210" i="6"/>
  <c r="O1209" i="6"/>
  <c r="O1208" i="6"/>
  <c r="O1207" i="6"/>
  <c r="O1206" i="6"/>
  <c r="O1205" i="6"/>
  <c r="O1204" i="6"/>
  <c r="O1188" i="6"/>
  <c r="O1187" i="6"/>
  <c r="O1186" i="6"/>
  <c r="O1185" i="6"/>
  <c r="O1184" i="6"/>
  <c r="O1183" i="6"/>
  <c r="O1182" i="6"/>
  <c r="O1181" i="6"/>
  <c r="O1180" i="6"/>
  <c r="O1179" i="6"/>
  <c r="O1163" i="6"/>
  <c r="O1162" i="6"/>
  <c r="O1161" i="6"/>
  <c r="O1160" i="6"/>
  <c r="O1159" i="6"/>
  <c r="O1158" i="6"/>
  <c r="O1157" i="6"/>
  <c r="O1156" i="6"/>
  <c r="O1155" i="6"/>
  <c r="O1154" i="6"/>
  <c r="O1137" i="6"/>
  <c r="O1136" i="6"/>
  <c r="O1135" i="6"/>
  <c r="O1134" i="6"/>
  <c r="O1133" i="6"/>
  <c r="O1132" i="6"/>
  <c r="O1131" i="6"/>
  <c r="O1130" i="6"/>
  <c r="O1129" i="6"/>
  <c r="O1114" i="6"/>
  <c r="O1113" i="6"/>
  <c r="O1112" i="6"/>
  <c r="O1111" i="6"/>
  <c r="O1110" i="6"/>
  <c r="O1109" i="6"/>
  <c r="O1108" i="6"/>
  <c r="O1107" i="6"/>
  <c r="O1106" i="6"/>
  <c r="O1105" i="6"/>
  <c r="O1104" i="6"/>
  <c r="O1087" i="6"/>
  <c r="O1086" i="6"/>
  <c r="O1085" i="6"/>
  <c r="O1084" i="6"/>
  <c r="O1083" i="6"/>
  <c r="O1082" i="6"/>
  <c r="O1081" i="6"/>
  <c r="O1080" i="6"/>
  <c r="O1079" i="6"/>
  <c r="O1078" i="6"/>
  <c r="O1077" i="6"/>
  <c r="O1076" i="6"/>
  <c r="O1059" i="6"/>
  <c r="O1058" i="6"/>
  <c r="O1057" i="6"/>
  <c r="O1052" i="6"/>
  <c r="O1051" i="6"/>
  <c r="O1050" i="6"/>
  <c r="O1049" i="6"/>
  <c r="O1048" i="6"/>
  <c r="O1047" i="6"/>
  <c r="O1046" i="6"/>
  <c r="O1045" i="6"/>
  <c r="O1044" i="6"/>
  <c r="O1043" i="6"/>
  <c r="O1042" i="6"/>
  <c r="O1026" i="6"/>
  <c r="O1025" i="6"/>
  <c r="O1024" i="6"/>
  <c r="O1023" i="6"/>
  <c r="O1022" i="6"/>
  <c r="O1021" i="6"/>
  <c r="O1020" i="6"/>
  <c r="O1019" i="6"/>
  <c r="O1018" i="6"/>
  <c r="O1007" i="6"/>
  <c r="O1006" i="6"/>
  <c r="O1005" i="6"/>
  <c r="O1004" i="6"/>
  <c r="O1003" i="6"/>
  <c r="O1002" i="6"/>
  <c r="O993" i="6"/>
  <c r="O992" i="6"/>
  <c r="O991" i="6"/>
  <c r="O990" i="6"/>
  <c r="O989" i="6"/>
  <c r="O988" i="6"/>
  <c r="O979" i="6"/>
  <c r="O978" i="6"/>
  <c r="O977" i="6"/>
  <c r="O968" i="6"/>
  <c r="O967" i="6"/>
  <c r="O966" i="6"/>
  <c r="O965" i="6"/>
  <c r="O964" i="6"/>
  <c r="O963" i="6"/>
  <c r="O962" i="6"/>
  <c r="O961" i="6"/>
  <c r="O960" i="6"/>
  <c r="O959" i="6"/>
  <c r="O958" i="6"/>
  <c r="O942" i="6"/>
  <c r="O941" i="6"/>
  <c r="O940" i="6"/>
  <c r="O939" i="6"/>
  <c r="O937" i="6"/>
  <c r="O936" i="6"/>
  <c r="O935" i="6"/>
  <c r="O934" i="6"/>
  <c r="O933" i="6"/>
  <c r="O921" i="6"/>
  <c r="O920" i="6"/>
  <c r="O919" i="6"/>
  <c r="O918" i="6"/>
  <c r="O917" i="6"/>
  <c r="O916" i="6"/>
  <c r="O915" i="6"/>
  <c r="O914" i="6"/>
  <c r="O913" i="6"/>
  <c r="O904" i="6"/>
  <c r="O903" i="6"/>
  <c r="O902" i="6"/>
  <c r="O901" i="6"/>
  <c r="O900" i="6"/>
  <c r="O899" i="6"/>
  <c r="O898" i="6"/>
  <c r="O886" i="6"/>
  <c r="O885" i="6"/>
  <c r="O884" i="6"/>
  <c r="O883" i="6"/>
  <c r="O882" i="6"/>
  <c r="O881" i="6"/>
  <c r="O880" i="6"/>
  <c r="O879" i="6"/>
  <c r="O878" i="6"/>
  <c r="O862" i="6"/>
  <c r="O861" i="6"/>
  <c r="O860" i="6"/>
  <c r="O859" i="6"/>
  <c r="O858" i="6"/>
  <c r="O857" i="6"/>
  <c r="O856" i="6"/>
  <c r="O855" i="6"/>
  <c r="O854" i="6"/>
  <c r="O841" i="6"/>
  <c r="O840" i="6"/>
  <c r="O839" i="6"/>
  <c r="O838" i="6"/>
  <c r="O837" i="6"/>
  <c r="O836" i="6"/>
  <c r="O835" i="6"/>
  <c r="O834" i="6"/>
  <c r="O833" i="6"/>
  <c r="O820" i="6"/>
  <c r="O819" i="6"/>
  <c r="O818" i="6"/>
  <c r="O817" i="6"/>
  <c r="O816" i="6"/>
  <c r="O815" i="6"/>
  <c r="O814" i="6"/>
  <c r="O803" i="6"/>
  <c r="O802" i="6"/>
  <c r="O801" i="6"/>
  <c r="O800" i="6"/>
  <c r="O799" i="6"/>
  <c r="O798" i="6"/>
  <c r="O797" i="6"/>
  <c r="O796" i="6"/>
  <c r="O795" i="6"/>
  <c r="O794" i="6"/>
  <c r="O793" i="6"/>
  <c r="O776" i="6"/>
  <c r="O775" i="6"/>
  <c r="O774" i="6"/>
  <c r="O773" i="6"/>
  <c r="O772" i="6"/>
  <c r="O771" i="6"/>
  <c r="O770" i="6"/>
  <c r="O769" i="6"/>
  <c r="O768" i="6"/>
  <c r="O767" i="6"/>
  <c r="O766" i="6"/>
  <c r="O751" i="6"/>
  <c r="O750" i="6"/>
  <c r="O749" i="6"/>
  <c r="O748" i="6"/>
  <c r="O747" i="6"/>
  <c r="O746" i="6"/>
  <c r="O739" i="6"/>
  <c r="O738" i="6"/>
  <c r="O737" i="6"/>
  <c r="O736" i="6"/>
  <c r="O735" i="6"/>
  <c r="O734" i="6"/>
  <c r="O733" i="6"/>
  <c r="O732" i="6"/>
  <c r="O731" i="6"/>
  <c r="O730" i="6"/>
  <c r="O713" i="6"/>
  <c r="O712" i="6"/>
  <c r="O711" i="6"/>
  <c r="O710" i="6"/>
  <c r="O709" i="6"/>
  <c r="O708" i="6"/>
  <c r="O707" i="6"/>
  <c r="O706" i="6"/>
  <c r="O705" i="6"/>
  <c r="O704" i="6"/>
  <c r="O703" i="6"/>
  <c r="O702" i="6"/>
  <c r="O685" i="6"/>
  <c r="O684" i="6"/>
  <c r="O683" i="6"/>
  <c r="O682" i="6"/>
  <c r="O681" i="6"/>
  <c r="O674" i="6"/>
  <c r="O673" i="6"/>
  <c r="O672" i="6"/>
  <c r="O671" i="6"/>
  <c r="O670" i="6"/>
  <c r="O669" i="6"/>
  <c r="O668" i="6"/>
  <c r="O667" i="6"/>
  <c r="O666" i="6"/>
  <c r="O665" i="6"/>
  <c r="O664" i="6"/>
  <c r="O647" i="6"/>
  <c r="O646" i="6"/>
  <c r="O645" i="6"/>
  <c r="O644" i="6"/>
  <c r="O643" i="6"/>
  <c r="O642" i="6"/>
  <c r="O641" i="6"/>
  <c r="O640" i="6"/>
  <c r="O624" i="6"/>
  <c r="O623" i="6"/>
  <c r="O622" i="6"/>
  <c r="O621" i="6"/>
  <c r="O620" i="6"/>
  <c r="O619" i="6"/>
  <c r="O618" i="6"/>
  <c r="O617" i="6"/>
  <c r="O616" i="6"/>
  <c r="O615" i="6"/>
  <c r="O614" i="6"/>
  <c r="O613" i="6"/>
  <c r="O596" i="6"/>
  <c r="O595" i="6"/>
  <c r="O594" i="6"/>
  <c r="O593" i="6"/>
  <c r="O592" i="6"/>
  <c r="O591" i="6"/>
  <c r="O590" i="6"/>
  <c r="O589" i="6"/>
  <c r="O588" i="6"/>
  <c r="O587" i="6"/>
  <c r="O586" i="6"/>
  <c r="O571" i="6"/>
  <c r="O570" i="6"/>
  <c r="O569" i="6"/>
  <c r="O568" i="6"/>
  <c r="O567" i="6"/>
  <c r="O566" i="6"/>
  <c r="O565" i="6"/>
  <c r="O564" i="6"/>
  <c r="O563" i="6"/>
  <c r="O562" i="6"/>
  <c r="O561" i="6"/>
  <c r="O548" i="6"/>
  <c r="O547" i="6"/>
  <c r="O546" i="6"/>
  <c r="O545" i="6"/>
  <c r="O544" i="6"/>
  <c r="O543" i="6"/>
  <c r="O542" i="6"/>
  <c r="O541" i="6"/>
  <c r="O540" i="6"/>
  <c r="O539" i="6"/>
  <c r="O538" i="6"/>
  <c r="O524" i="6"/>
  <c r="O523" i="6"/>
  <c r="O522" i="6"/>
  <c r="O521" i="6"/>
  <c r="O520" i="6"/>
  <c r="O519" i="6"/>
  <c r="O518" i="6"/>
  <c r="O517" i="6"/>
  <c r="O516" i="6"/>
  <c r="O503" i="6"/>
  <c r="O502" i="6"/>
  <c r="O501" i="6"/>
  <c r="O500" i="6"/>
  <c r="O499" i="6"/>
  <c r="O493" i="6"/>
  <c r="O492" i="6"/>
  <c r="O491" i="6"/>
  <c r="O490" i="6"/>
  <c r="O489" i="6"/>
  <c r="O488" i="6"/>
  <c r="O480" i="6"/>
  <c r="O479" i="6"/>
  <c r="O478" i="6"/>
  <c r="O477" i="6"/>
  <c r="O476" i="6"/>
  <c r="O475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37" i="6"/>
  <c r="O436" i="6"/>
  <c r="O435" i="6"/>
  <c r="O434" i="6"/>
  <c r="O433" i="6"/>
  <c r="O432" i="6"/>
  <c r="O431" i="6"/>
  <c r="O430" i="6"/>
  <c r="O429" i="6"/>
  <c r="O418" i="6"/>
  <c r="O417" i="6"/>
  <c r="O416" i="6"/>
  <c r="O415" i="6"/>
  <c r="O414" i="6"/>
  <c r="O413" i="6"/>
  <c r="O412" i="6"/>
  <c r="O411" i="6"/>
  <c r="O410" i="6"/>
  <c r="O409" i="6"/>
  <c r="O408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63" i="6"/>
  <c r="O362" i="6"/>
  <c r="O361" i="6"/>
  <c r="O360" i="6"/>
  <c r="O359" i="6"/>
  <c r="O358" i="6"/>
  <c r="O357" i="6"/>
  <c r="O356" i="6"/>
  <c r="O341" i="6"/>
  <c r="O340" i="6"/>
  <c r="O339" i="6"/>
  <c r="O338" i="6"/>
  <c r="O337" i="6"/>
  <c r="O336" i="6"/>
  <c r="O324" i="6"/>
  <c r="O323" i="6"/>
  <c r="O322" i="6"/>
  <c r="O321" i="6"/>
  <c r="O320" i="6"/>
  <c r="O319" i="6"/>
  <c r="O311" i="6"/>
  <c r="O310" i="6"/>
  <c r="O309" i="6"/>
  <c r="O308" i="6"/>
  <c r="O307" i="6"/>
  <c r="O306" i="6"/>
  <c r="O305" i="6"/>
  <c r="O304" i="6"/>
  <c r="O291" i="6"/>
  <c r="O290" i="6"/>
  <c r="O289" i="6"/>
  <c r="O288" i="6"/>
  <c r="O287" i="6"/>
  <c r="O286" i="6"/>
  <c r="O274" i="6"/>
  <c r="O273" i="6"/>
  <c r="O265" i="6"/>
  <c r="O264" i="6"/>
  <c r="O263" i="6"/>
  <c r="O262" i="6"/>
  <c r="O261" i="6"/>
  <c r="O260" i="6"/>
  <c r="O259" i="6"/>
  <c r="O258" i="6"/>
  <c r="O241" i="6"/>
  <c r="O240" i="6"/>
  <c r="O239" i="6"/>
  <c r="O238" i="6"/>
  <c r="O237" i="6"/>
  <c r="O236" i="6"/>
  <c r="O235" i="6"/>
  <c r="O234" i="6"/>
  <c r="O220" i="6"/>
  <c r="O219" i="6"/>
  <c r="O218" i="6"/>
  <c r="O217" i="6"/>
  <c r="O208" i="6"/>
  <c r="O207" i="6"/>
  <c r="O206" i="6"/>
  <c r="O205" i="6"/>
  <c r="O204" i="6"/>
  <c r="O203" i="6"/>
  <c r="O194" i="6"/>
  <c r="O193" i="6"/>
  <c r="O192" i="6"/>
  <c r="O191" i="6"/>
  <c r="O190" i="6"/>
  <c r="O189" i="6"/>
  <c r="O180" i="6"/>
  <c r="O179" i="6"/>
  <c r="O178" i="6"/>
  <c r="O173" i="6"/>
  <c r="O172" i="6"/>
  <c r="O171" i="6"/>
  <c r="O170" i="6"/>
  <c r="O169" i="6"/>
  <c r="O168" i="6"/>
  <c r="O167" i="6"/>
  <c r="O166" i="6"/>
  <c r="O165" i="6"/>
  <c r="O164" i="6"/>
  <c r="O163" i="6"/>
  <c r="O146" i="6"/>
  <c r="O145" i="6"/>
  <c r="O144" i="6"/>
  <c r="O143" i="6"/>
  <c r="O142" i="6"/>
  <c r="O141" i="6"/>
  <c r="O140" i="6"/>
  <c r="O139" i="6"/>
  <c r="O126" i="6"/>
  <c r="O125" i="6"/>
  <c r="O122" i="6"/>
  <c r="O121" i="6"/>
  <c r="O120" i="6"/>
  <c r="O119" i="6"/>
  <c r="O118" i="6"/>
  <c r="O117" i="6"/>
  <c r="O116" i="6"/>
  <c r="O115" i="6"/>
  <c r="O103" i="6"/>
  <c r="O102" i="6"/>
  <c r="O101" i="6"/>
  <c r="O100" i="6"/>
  <c r="O99" i="6"/>
  <c r="O98" i="6"/>
  <c r="O87" i="6"/>
  <c r="O86" i="6"/>
  <c r="O85" i="6"/>
  <c r="O84" i="6"/>
  <c r="O83" i="6"/>
  <c r="O82" i="6"/>
  <c r="O81" i="6"/>
  <c r="O80" i="6"/>
  <c r="O79" i="6"/>
  <c r="O78" i="6"/>
  <c r="O76" i="6"/>
  <c r="O75" i="6"/>
  <c r="O74" i="6"/>
  <c r="O73" i="6"/>
  <c r="O72" i="6"/>
  <c r="O71" i="6"/>
  <c r="O62" i="6"/>
  <c r="O61" i="6"/>
  <c r="O60" i="6"/>
  <c r="O59" i="6"/>
  <c r="O58" i="6"/>
  <c r="O57" i="6"/>
  <c r="O56" i="6"/>
  <c r="O45" i="6"/>
  <c r="O44" i="6"/>
  <c r="O43" i="6"/>
  <c r="O42" i="6"/>
  <c r="O41" i="6"/>
  <c r="O31" i="6"/>
  <c r="O30" i="6"/>
  <c r="O29" i="6"/>
  <c r="O28" i="6"/>
  <c r="O27" i="6"/>
  <c r="O26" i="6"/>
  <c r="O25" i="6"/>
  <c r="O24" i="6"/>
  <c r="O11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X68" i="4" l="1"/>
  <c r="Z68" i="4" s="1"/>
  <c r="X59" i="4"/>
  <c r="Z59" i="4" s="1"/>
  <c r="Q938" i="6"/>
  <c r="R938" i="6" s="1"/>
  <c r="U938" i="6"/>
  <c r="V938" i="6" s="1"/>
  <c r="W938" i="6" s="1"/>
  <c r="X938" i="6" s="1"/>
  <c r="X60" i="4"/>
  <c r="Z60" i="4" s="1"/>
  <c r="X58" i="4"/>
  <c r="Z58" i="4" s="1"/>
  <c r="Q68" i="4"/>
  <c r="AG68" i="4" s="1"/>
  <c r="Q59" i="4"/>
  <c r="AG59" i="4" s="1"/>
  <c r="Q58" i="4"/>
  <c r="AG58" i="4" s="1"/>
  <c r="Q60" i="4"/>
  <c r="AG60" i="4" s="1"/>
  <c r="M1119" i="6"/>
  <c r="N1119" i="6"/>
  <c r="Q1119" i="6"/>
  <c r="R1119" i="6" s="1"/>
  <c r="P1119" i="6"/>
  <c r="S1119" i="6" s="1"/>
  <c r="T1119" i="6"/>
  <c r="M1120" i="6"/>
  <c r="N1120" i="6"/>
  <c r="Q1120" i="6"/>
  <c r="R1120" i="6" s="1"/>
  <c r="T1120" i="6"/>
  <c r="M1121" i="6"/>
  <c r="N1121" i="6"/>
  <c r="Q1121" i="6"/>
  <c r="R1121" i="6" s="1"/>
  <c r="T1121" i="6"/>
  <c r="M1122" i="6"/>
  <c r="N1122" i="6"/>
  <c r="Q1122" i="6"/>
  <c r="R1122" i="6" s="1"/>
  <c r="T1122" i="6"/>
  <c r="M1123" i="6"/>
  <c r="N1123" i="6"/>
  <c r="Q1123" i="6"/>
  <c r="R1123" i="6" s="1"/>
  <c r="P1123" i="6"/>
  <c r="S1123" i="6" s="1"/>
  <c r="T1123" i="6"/>
  <c r="M1124" i="6"/>
  <c r="N1124" i="6"/>
  <c r="T1124" i="6"/>
  <c r="M1125" i="6"/>
  <c r="N1125" i="6"/>
  <c r="Q1125" i="6"/>
  <c r="R1125" i="6" s="1"/>
  <c r="T1125" i="6"/>
  <c r="M1126" i="6"/>
  <c r="N1126" i="6"/>
  <c r="Q1126" i="6"/>
  <c r="R1126" i="6" s="1"/>
  <c r="T1126" i="6"/>
  <c r="M1127" i="6"/>
  <c r="N1127" i="6"/>
  <c r="Q1127" i="6"/>
  <c r="R1127" i="6" s="1"/>
  <c r="T1127" i="6"/>
  <c r="M1128" i="6"/>
  <c r="N1128" i="6"/>
  <c r="Q1128" i="6"/>
  <c r="R1128" i="6" s="1"/>
  <c r="T1128" i="6"/>
  <c r="M1129" i="6"/>
  <c r="N1129" i="6"/>
  <c r="Q1129" i="6"/>
  <c r="R1129" i="6" s="1"/>
  <c r="T1129" i="6"/>
  <c r="M1130" i="6"/>
  <c r="N1130" i="6"/>
  <c r="Q1130" i="6"/>
  <c r="R1130" i="6" s="1"/>
  <c r="T1130" i="6"/>
  <c r="M1131" i="6"/>
  <c r="N1131" i="6"/>
  <c r="Q1131" i="6"/>
  <c r="R1131" i="6" s="1"/>
  <c r="T1131" i="6"/>
  <c r="M1132" i="6"/>
  <c r="N1132" i="6"/>
  <c r="Q1132" i="6"/>
  <c r="R1132" i="6" s="1"/>
  <c r="T1132" i="6"/>
  <c r="M1133" i="6"/>
  <c r="N1133" i="6"/>
  <c r="T1133" i="6"/>
  <c r="M1134" i="6"/>
  <c r="N1134" i="6"/>
  <c r="Q1134" i="6"/>
  <c r="R1134" i="6" s="1"/>
  <c r="T1134" i="6"/>
  <c r="M1135" i="6"/>
  <c r="N1135" i="6"/>
  <c r="Q1135" i="6"/>
  <c r="R1135" i="6" s="1"/>
  <c r="T1135" i="6"/>
  <c r="M1136" i="6"/>
  <c r="N1136" i="6"/>
  <c r="Q1136" i="6"/>
  <c r="R1136" i="6" s="1"/>
  <c r="T1136" i="6"/>
  <c r="M1137" i="6"/>
  <c r="N1137" i="6"/>
  <c r="Q1137" i="6"/>
  <c r="R1137" i="6" s="1"/>
  <c r="T1137" i="6"/>
  <c r="M1138" i="6"/>
  <c r="N1138" i="6"/>
  <c r="Q1138" i="6"/>
  <c r="R1138" i="6" s="1"/>
  <c r="T1138" i="6"/>
  <c r="M1139" i="6"/>
  <c r="N1139" i="6"/>
  <c r="Q1139" i="6"/>
  <c r="R1139" i="6" s="1"/>
  <c r="T1139" i="6"/>
  <c r="M1140" i="6"/>
  <c r="N1140" i="6"/>
  <c r="Q1140" i="6"/>
  <c r="R1140" i="6" s="1"/>
  <c r="T1140" i="6"/>
  <c r="M1141" i="6"/>
  <c r="N1141" i="6"/>
  <c r="Q1141" i="6"/>
  <c r="R1141" i="6" s="1"/>
  <c r="P1141" i="6"/>
  <c r="S1141" i="6" s="1"/>
  <c r="T1141" i="6"/>
  <c r="M1142" i="6"/>
  <c r="N1142" i="6"/>
  <c r="Q1142" i="6"/>
  <c r="R1142" i="6" s="1"/>
  <c r="P1142" i="6"/>
  <c r="S1142" i="6" s="1"/>
  <c r="T1142" i="6"/>
  <c r="M1143" i="6"/>
  <c r="N1143" i="6"/>
  <c r="T1143" i="6"/>
  <c r="M1144" i="6"/>
  <c r="N1144" i="6"/>
  <c r="Q1144" i="6"/>
  <c r="R1144" i="6" s="1"/>
  <c r="T1144" i="6"/>
  <c r="M1145" i="6"/>
  <c r="N1145" i="6"/>
  <c r="T1145" i="6"/>
  <c r="M1146" i="6"/>
  <c r="N1146" i="6"/>
  <c r="T1146" i="6"/>
  <c r="M1147" i="6"/>
  <c r="N1147" i="6"/>
  <c r="Q1147" i="6"/>
  <c r="R1147" i="6" s="1"/>
  <c r="P1147" i="6"/>
  <c r="S1147" i="6" s="1"/>
  <c r="T1147" i="6"/>
  <c r="M1148" i="6"/>
  <c r="N1148" i="6"/>
  <c r="T1148" i="6"/>
  <c r="M1149" i="6"/>
  <c r="N1149" i="6"/>
  <c r="Q1149" i="6"/>
  <c r="R1149" i="6" s="1"/>
  <c r="T1149" i="6"/>
  <c r="M1150" i="6"/>
  <c r="N1150" i="6"/>
  <c r="Q1150" i="6"/>
  <c r="R1150" i="6" s="1"/>
  <c r="P1150" i="6"/>
  <c r="S1150" i="6" s="1"/>
  <c r="T1150" i="6"/>
  <c r="M1151" i="6"/>
  <c r="N1151" i="6"/>
  <c r="T1151" i="6"/>
  <c r="M1152" i="6"/>
  <c r="N1152" i="6"/>
  <c r="T1152" i="6"/>
  <c r="M1153" i="6"/>
  <c r="N1153" i="6"/>
  <c r="Q1153" i="6"/>
  <c r="R1153" i="6" s="1"/>
  <c r="P1153" i="6"/>
  <c r="S1153" i="6" s="1"/>
  <c r="T1153" i="6"/>
  <c r="M1154" i="6"/>
  <c r="N1154" i="6"/>
  <c r="Q1154" i="6"/>
  <c r="R1154" i="6" s="1"/>
  <c r="T1154" i="6"/>
  <c r="M1155" i="6"/>
  <c r="N1155" i="6"/>
  <c r="T1155" i="6"/>
  <c r="M1156" i="6"/>
  <c r="N1156" i="6"/>
  <c r="Q1156" i="6"/>
  <c r="R1156" i="6" s="1"/>
  <c r="T1156" i="6"/>
  <c r="M1157" i="6"/>
  <c r="N1157" i="6"/>
  <c r="T1157" i="6"/>
  <c r="M1158" i="6"/>
  <c r="N1158" i="6"/>
  <c r="Q1158" i="6"/>
  <c r="R1158" i="6" s="1"/>
  <c r="T1158" i="6"/>
  <c r="M1159" i="6"/>
  <c r="N1159" i="6"/>
  <c r="Q1159" i="6"/>
  <c r="R1159" i="6" s="1"/>
  <c r="T1159" i="6"/>
  <c r="M1160" i="6"/>
  <c r="N1160" i="6"/>
  <c r="T1160" i="6"/>
  <c r="M1161" i="6"/>
  <c r="N1161" i="6"/>
  <c r="Q1161" i="6"/>
  <c r="R1161" i="6" s="1"/>
  <c r="T1161" i="6"/>
  <c r="M1162" i="6"/>
  <c r="N1162" i="6"/>
  <c r="Q1162" i="6"/>
  <c r="R1162" i="6" s="1"/>
  <c r="T1162" i="6"/>
  <c r="M1163" i="6"/>
  <c r="N1163" i="6"/>
  <c r="T1163" i="6"/>
  <c r="M1164" i="6"/>
  <c r="N1164" i="6"/>
  <c r="Q1164" i="6"/>
  <c r="R1164" i="6" s="1"/>
  <c r="T1164" i="6"/>
  <c r="M1165" i="6"/>
  <c r="N1165" i="6"/>
  <c r="Q1165" i="6"/>
  <c r="R1165" i="6" s="1"/>
  <c r="P1165" i="6"/>
  <c r="S1165" i="6" s="1"/>
  <c r="T1165" i="6"/>
  <c r="M1166" i="6"/>
  <c r="N1166" i="6"/>
  <c r="Q1166" i="6"/>
  <c r="R1166" i="6" s="1"/>
  <c r="T1166" i="6"/>
  <c r="M1167" i="6"/>
  <c r="N1167" i="6"/>
  <c r="T1167" i="6"/>
  <c r="M1168" i="6"/>
  <c r="N1168" i="6"/>
  <c r="Q1168" i="6"/>
  <c r="R1168" i="6" s="1"/>
  <c r="T1168" i="6"/>
  <c r="M1169" i="6"/>
  <c r="N1169" i="6"/>
  <c r="T1169" i="6"/>
  <c r="M1170" i="6"/>
  <c r="N1170" i="6"/>
  <c r="Q1170" i="6"/>
  <c r="R1170" i="6" s="1"/>
  <c r="T1170" i="6"/>
  <c r="M1171" i="6"/>
  <c r="N1171" i="6"/>
  <c r="Q1171" i="6"/>
  <c r="R1171" i="6" s="1"/>
  <c r="P1171" i="6"/>
  <c r="S1171" i="6" s="1"/>
  <c r="T1171" i="6"/>
  <c r="M1172" i="6"/>
  <c r="N1172" i="6"/>
  <c r="Q1172" i="6"/>
  <c r="R1172" i="6" s="1"/>
  <c r="T1172" i="6"/>
  <c r="M1173" i="6"/>
  <c r="N1173" i="6"/>
  <c r="Q1173" i="6"/>
  <c r="R1173" i="6" s="1"/>
  <c r="T1173" i="6"/>
  <c r="M1174" i="6"/>
  <c r="N1174" i="6"/>
  <c r="Q1174" i="6"/>
  <c r="R1174" i="6" s="1"/>
  <c r="T1174" i="6"/>
  <c r="M1175" i="6"/>
  <c r="N1175" i="6"/>
  <c r="T1175" i="6"/>
  <c r="M1176" i="6"/>
  <c r="N1176" i="6"/>
  <c r="Q1176" i="6"/>
  <c r="R1176" i="6" s="1"/>
  <c r="T1176" i="6"/>
  <c r="M1177" i="6"/>
  <c r="N1177" i="6"/>
  <c r="Q1177" i="6"/>
  <c r="R1177" i="6" s="1"/>
  <c r="T1177" i="6"/>
  <c r="M1178" i="6"/>
  <c r="N1178" i="6"/>
  <c r="Q1178" i="6"/>
  <c r="R1178" i="6" s="1"/>
  <c r="T1178" i="6"/>
  <c r="M1179" i="6"/>
  <c r="N1179" i="6"/>
  <c r="T1179" i="6"/>
  <c r="M1180" i="6"/>
  <c r="N1180" i="6"/>
  <c r="Q1180" i="6"/>
  <c r="R1180" i="6" s="1"/>
  <c r="P1180" i="6"/>
  <c r="S1180" i="6" s="1"/>
  <c r="T1180" i="6"/>
  <c r="M1181" i="6"/>
  <c r="N1181" i="6"/>
  <c r="T1181" i="6"/>
  <c r="M1182" i="6"/>
  <c r="N1182" i="6"/>
  <c r="Q1182" i="6"/>
  <c r="R1182" i="6" s="1"/>
  <c r="P1182" i="6"/>
  <c r="S1182" i="6" s="1"/>
  <c r="T1182" i="6"/>
  <c r="M1183" i="6"/>
  <c r="N1183" i="6"/>
  <c r="Q1183" i="6"/>
  <c r="R1183" i="6" s="1"/>
  <c r="T1183" i="6"/>
  <c r="M1184" i="6"/>
  <c r="N1184" i="6"/>
  <c r="Q1184" i="6"/>
  <c r="R1184" i="6" s="1"/>
  <c r="T1184" i="6"/>
  <c r="M1185" i="6"/>
  <c r="N1185" i="6"/>
  <c r="Q1185" i="6"/>
  <c r="R1185" i="6" s="1"/>
  <c r="T1185" i="6"/>
  <c r="M1186" i="6"/>
  <c r="N1186" i="6"/>
  <c r="Q1186" i="6"/>
  <c r="R1186" i="6" s="1"/>
  <c r="T1186" i="6"/>
  <c r="M1187" i="6"/>
  <c r="N1187" i="6"/>
  <c r="T1187" i="6"/>
  <c r="M1188" i="6"/>
  <c r="N1188" i="6"/>
  <c r="Q1188" i="6"/>
  <c r="R1188" i="6" s="1"/>
  <c r="T1188" i="6"/>
  <c r="M1189" i="6"/>
  <c r="N1189" i="6"/>
  <c r="T1189" i="6"/>
  <c r="M1190" i="6"/>
  <c r="N1190" i="6"/>
  <c r="Q1190" i="6"/>
  <c r="R1190" i="6" s="1"/>
  <c r="P1190" i="6"/>
  <c r="S1190" i="6" s="1"/>
  <c r="T1190" i="6"/>
  <c r="M1191" i="6"/>
  <c r="N1191" i="6"/>
  <c r="T1191" i="6"/>
  <c r="M1192" i="6"/>
  <c r="N1192" i="6"/>
  <c r="Q1192" i="6"/>
  <c r="R1192" i="6" s="1"/>
  <c r="T1192" i="6"/>
  <c r="M1193" i="6"/>
  <c r="N1193" i="6"/>
  <c r="T1193" i="6"/>
  <c r="M1194" i="6"/>
  <c r="N1194" i="6"/>
  <c r="Q1194" i="6"/>
  <c r="R1194" i="6" s="1"/>
  <c r="T1194" i="6"/>
  <c r="M1195" i="6"/>
  <c r="N1195" i="6"/>
  <c r="T1195" i="6"/>
  <c r="M1196" i="6"/>
  <c r="N1196" i="6"/>
  <c r="T1196" i="6"/>
  <c r="M1197" i="6"/>
  <c r="N1197" i="6"/>
  <c r="Q1197" i="6"/>
  <c r="R1197" i="6" s="1"/>
  <c r="T1197" i="6"/>
  <c r="M1198" i="6"/>
  <c r="N1198" i="6"/>
  <c r="Q1198" i="6"/>
  <c r="R1198" i="6" s="1"/>
  <c r="T1198" i="6"/>
  <c r="M1199" i="6"/>
  <c r="N1199" i="6"/>
  <c r="T1199" i="6"/>
  <c r="M1200" i="6"/>
  <c r="N1200" i="6"/>
  <c r="Q1200" i="6"/>
  <c r="R1200" i="6" s="1"/>
  <c r="T1200" i="6"/>
  <c r="M1201" i="6"/>
  <c r="N1201" i="6"/>
  <c r="T1201" i="6"/>
  <c r="M1202" i="6"/>
  <c r="N1202" i="6"/>
  <c r="Q1202" i="6"/>
  <c r="R1202" i="6" s="1"/>
  <c r="P1202" i="6"/>
  <c r="S1202" i="6" s="1"/>
  <c r="T1202" i="6"/>
  <c r="M1203" i="6"/>
  <c r="N1203" i="6"/>
  <c r="T1203" i="6"/>
  <c r="M1204" i="6"/>
  <c r="N1204" i="6"/>
  <c r="P1204" i="6"/>
  <c r="S1204" i="6" s="1"/>
  <c r="T1204" i="6"/>
  <c r="M1205" i="6"/>
  <c r="N1205" i="6"/>
  <c r="P1205" i="6"/>
  <c r="S1205" i="6" s="1"/>
  <c r="T1205" i="6"/>
  <c r="M1206" i="6"/>
  <c r="N1206" i="6"/>
  <c r="Q1206" i="6"/>
  <c r="R1206" i="6" s="1"/>
  <c r="T1206" i="6"/>
  <c r="M1207" i="6"/>
  <c r="N1207" i="6"/>
  <c r="Q1207" i="6"/>
  <c r="R1207" i="6" s="1"/>
  <c r="P1207" i="6"/>
  <c r="S1207" i="6" s="1"/>
  <c r="T1207" i="6"/>
  <c r="M1208" i="6"/>
  <c r="N1208" i="6"/>
  <c r="Q1208" i="6"/>
  <c r="R1208" i="6" s="1"/>
  <c r="T1208" i="6"/>
  <c r="M1209" i="6"/>
  <c r="N1209" i="6"/>
  <c r="Q1209" i="6"/>
  <c r="R1209" i="6" s="1"/>
  <c r="P1209" i="6"/>
  <c r="S1209" i="6" s="1"/>
  <c r="T1209" i="6"/>
  <c r="M1210" i="6"/>
  <c r="N1210" i="6"/>
  <c r="Q1210" i="6"/>
  <c r="R1210" i="6" s="1"/>
  <c r="T1210" i="6"/>
  <c r="M1211" i="6"/>
  <c r="N1211" i="6"/>
  <c r="Q1211" i="6"/>
  <c r="R1211" i="6" s="1"/>
  <c r="T1211" i="6"/>
  <c r="M1212" i="6"/>
  <c r="N1212" i="6"/>
  <c r="Q1212" i="6"/>
  <c r="R1212" i="6" s="1"/>
  <c r="P1212" i="6"/>
  <c r="S1212" i="6" s="1"/>
  <c r="T1212" i="6"/>
  <c r="M1213" i="6"/>
  <c r="N1213" i="6"/>
  <c r="Q1213" i="6"/>
  <c r="R1213" i="6" s="1"/>
  <c r="T1213" i="6"/>
  <c r="M1214" i="6"/>
  <c r="N1214" i="6"/>
  <c r="T1214" i="6"/>
  <c r="M1215" i="6"/>
  <c r="N1215" i="6"/>
  <c r="Q1215" i="6"/>
  <c r="R1215" i="6" s="1"/>
  <c r="T1215" i="6"/>
  <c r="M1216" i="6"/>
  <c r="N1216" i="6"/>
  <c r="T1216" i="6"/>
  <c r="M1217" i="6"/>
  <c r="N1217" i="6"/>
  <c r="T1217" i="6"/>
  <c r="M1218" i="6"/>
  <c r="N1218" i="6"/>
  <c r="T1218" i="6"/>
  <c r="M1219" i="6"/>
  <c r="N1219" i="6"/>
  <c r="Q1219" i="6"/>
  <c r="R1219" i="6" s="1"/>
  <c r="T1219" i="6"/>
  <c r="M1220" i="6"/>
  <c r="N1220" i="6"/>
  <c r="Q1220" i="6"/>
  <c r="R1220" i="6" s="1"/>
  <c r="T1220" i="6"/>
  <c r="M1221" i="6"/>
  <c r="N1221" i="6"/>
  <c r="T1221" i="6"/>
  <c r="M1222" i="6"/>
  <c r="N1222" i="6"/>
  <c r="T1222" i="6"/>
  <c r="M1223" i="6"/>
  <c r="N1223" i="6"/>
  <c r="Q1223" i="6"/>
  <c r="R1223" i="6" s="1"/>
  <c r="T1223" i="6"/>
  <c r="M1224" i="6"/>
  <c r="N1224" i="6"/>
  <c r="T1224" i="6"/>
  <c r="M1225" i="6"/>
  <c r="N1225" i="6"/>
  <c r="T1225" i="6"/>
  <c r="M1226" i="6"/>
  <c r="N1226" i="6"/>
  <c r="T1226" i="6"/>
  <c r="M1227" i="6"/>
  <c r="N1227" i="6"/>
  <c r="Q1227" i="6"/>
  <c r="R1227" i="6" s="1"/>
  <c r="T1227" i="6"/>
  <c r="M1228" i="6"/>
  <c r="N1228" i="6"/>
  <c r="Q1228" i="6"/>
  <c r="R1228" i="6" s="1"/>
  <c r="T1228" i="6"/>
  <c r="M1229" i="6"/>
  <c r="N1229" i="6"/>
  <c r="T1229" i="6"/>
  <c r="M1230" i="6"/>
  <c r="N1230" i="6"/>
  <c r="T1230" i="6"/>
  <c r="M1231" i="6"/>
  <c r="N1231" i="6"/>
  <c r="Q1231" i="6"/>
  <c r="R1231" i="6" s="1"/>
  <c r="P1231" i="6"/>
  <c r="S1231" i="6" s="1"/>
  <c r="T1231" i="6"/>
  <c r="M1232" i="6"/>
  <c r="N1232" i="6"/>
  <c r="Q1232" i="6"/>
  <c r="R1232" i="6" s="1"/>
  <c r="T1232" i="6"/>
  <c r="M1233" i="6"/>
  <c r="N1233" i="6"/>
  <c r="Q1233" i="6"/>
  <c r="R1233" i="6" s="1"/>
  <c r="T1233" i="6"/>
  <c r="M1234" i="6"/>
  <c r="N1234" i="6"/>
  <c r="T1234" i="6"/>
  <c r="M1235" i="6"/>
  <c r="N1235" i="6"/>
  <c r="Q1235" i="6"/>
  <c r="R1235" i="6" s="1"/>
  <c r="T1235" i="6"/>
  <c r="M1236" i="6"/>
  <c r="N1236" i="6"/>
  <c r="Q1236" i="6"/>
  <c r="R1236" i="6" s="1"/>
  <c r="T1236" i="6"/>
  <c r="M1237" i="6"/>
  <c r="N1237" i="6"/>
  <c r="Q1237" i="6"/>
  <c r="R1237" i="6" s="1"/>
  <c r="T1237" i="6"/>
  <c r="M1238" i="6"/>
  <c r="N1238" i="6"/>
  <c r="Q1238" i="6"/>
  <c r="R1238" i="6" s="1"/>
  <c r="T1238" i="6"/>
  <c r="M1239" i="6"/>
  <c r="N1239" i="6"/>
  <c r="Q1239" i="6"/>
  <c r="R1239" i="6" s="1"/>
  <c r="T1239" i="6"/>
  <c r="M1240" i="6"/>
  <c r="N1240" i="6"/>
  <c r="T1240" i="6"/>
  <c r="M1241" i="6"/>
  <c r="N1241" i="6"/>
  <c r="Q1241" i="6"/>
  <c r="R1241" i="6" s="1"/>
  <c r="T1241" i="6"/>
  <c r="M1242" i="6"/>
  <c r="N1242" i="6"/>
  <c r="Q1242" i="6"/>
  <c r="R1242" i="6" s="1"/>
  <c r="T1242" i="6"/>
  <c r="M1243" i="6"/>
  <c r="N1243" i="6"/>
  <c r="Q1243" i="6"/>
  <c r="R1243" i="6" s="1"/>
  <c r="T1243" i="6"/>
  <c r="M1244" i="6"/>
  <c r="N1244" i="6"/>
  <c r="Q1244" i="6"/>
  <c r="R1244" i="6" s="1"/>
  <c r="T1244" i="6"/>
  <c r="M1245" i="6"/>
  <c r="N1245" i="6"/>
  <c r="T1245" i="6"/>
  <c r="M1246" i="6"/>
  <c r="N1246" i="6"/>
  <c r="Q1246" i="6"/>
  <c r="R1246" i="6" s="1"/>
  <c r="P1246" i="6"/>
  <c r="S1246" i="6" s="1"/>
  <c r="T1246" i="6"/>
  <c r="M1247" i="6"/>
  <c r="N1247" i="6"/>
  <c r="Q1247" i="6"/>
  <c r="R1247" i="6" s="1"/>
  <c r="P1247" i="6"/>
  <c r="S1247" i="6" s="1"/>
  <c r="T1247" i="6"/>
  <c r="M1248" i="6"/>
  <c r="N1248" i="6"/>
  <c r="Q1248" i="6"/>
  <c r="R1248" i="6" s="1"/>
  <c r="T1248" i="6"/>
  <c r="M1249" i="6"/>
  <c r="N1249" i="6"/>
  <c r="Q1249" i="6"/>
  <c r="R1249" i="6" s="1"/>
  <c r="T1249" i="6"/>
  <c r="M1250" i="6"/>
  <c r="N1250" i="6"/>
  <c r="Q1250" i="6"/>
  <c r="R1250" i="6" s="1"/>
  <c r="T1250" i="6"/>
  <c r="M1251" i="6"/>
  <c r="N1251" i="6"/>
  <c r="Q1251" i="6"/>
  <c r="R1251" i="6" s="1"/>
  <c r="P1251" i="6"/>
  <c r="S1251" i="6" s="1"/>
  <c r="T1251" i="6"/>
  <c r="M1252" i="6"/>
  <c r="N1252" i="6"/>
  <c r="Q1252" i="6"/>
  <c r="R1252" i="6" s="1"/>
  <c r="T1252" i="6"/>
  <c r="M1253" i="6"/>
  <c r="N1253" i="6"/>
  <c r="Q1253" i="6"/>
  <c r="R1253" i="6" s="1"/>
  <c r="P1253" i="6"/>
  <c r="S1253" i="6" s="1"/>
  <c r="T1253" i="6"/>
  <c r="M1254" i="6"/>
  <c r="N1254" i="6"/>
  <c r="Q1254" i="6"/>
  <c r="R1254" i="6" s="1"/>
  <c r="T1254" i="6"/>
  <c r="M1255" i="6"/>
  <c r="N1255" i="6"/>
  <c r="Q1255" i="6"/>
  <c r="R1255" i="6" s="1"/>
  <c r="T1255" i="6"/>
  <c r="M1256" i="6"/>
  <c r="N1256" i="6"/>
  <c r="Q1256" i="6"/>
  <c r="R1256" i="6" s="1"/>
  <c r="P1256" i="6"/>
  <c r="S1256" i="6" s="1"/>
  <c r="T1256" i="6"/>
  <c r="M1257" i="6"/>
  <c r="N1257" i="6"/>
  <c r="T1257" i="6"/>
  <c r="M1258" i="6"/>
  <c r="N1258" i="6"/>
  <c r="Q1258" i="6"/>
  <c r="R1258" i="6" s="1"/>
  <c r="T1258" i="6"/>
  <c r="M1259" i="6"/>
  <c r="N1259" i="6"/>
  <c r="Q1259" i="6"/>
  <c r="R1259" i="6" s="1"/>
  <c r="T1259" i="6"/>
  <c r="M1260" i="6"/>
  <c r="N1260" i="6"/>
  <c r="Q1260" i="6"/>
  <c r="R1260" i="6" s="1"/>
  <c r="T1260" i="6"/>
  <c r="M1261" i="6"/>
  <c r="N1261" i="6"/>
  <c r="Q1261" i="6"/>
  <c r="R1261" i="6" s="1"/>
  <c r="T1261" i="6"/>
  <c r="M1262" i="6"/>
  <c r="N1262" i="6"/>
  <c r="Q1262" i="6"/>
  <c r="R1262" i="6" s="1"/>
  <c r="T1262" i="6"/>
  <c r="M1263" i="6"/>
  <c r="N1263" i="6"/>
  <c r="Q1263" i="6"/>
  <c r="R1263" i="6" s="1"/>
  <c r="T1263" i="6"/>
  <c r="M1264" i="6"/>
  <c r="N1264" i="6"/>
  <c r="Q1264" i="6"/>
  <c r="R1264" i="6" s="1"/>
  <c r="T1264" i="6"/>
  <c r="M1265" i="6"/>
  <c r="N1265" i="6"/>
  <c r="Q1265" i="6"/>
  <c r="R1265" i="6" s="1"/>
  <c r="T1265" i="6"/>
  <c r="M1266" i="6"/>
  <c r="N1266" i="6"/>
  <c r="Q1266" i="6"/>
  <c r="R1266" i="6" s="1"/>
  <c r="P1266" i="6"/>
  <c r="S1266" i="6" s="1"/>
  <c r="T1266" i="6"/>
  <c r="M1267" i="6"/>
  <c r="N1267" i="6"/>
  <c r="Q1267" i="6"/>
  <c r="R1267" i="6" s="1"/>
  <c r="T1267" i="6"/>
  <c r="M1268" i="6"/>
  <c r="N1268" i="6"/>
  <c r="Q1268" i="6"/>
  <c r="R1268" i="6" s="1"/>
  <c r="P1268" i="6"/>
  <c r="S1268" i="6" s="1"/>
  <c r="T1268" i="6"/>
  <c r="M1269" i="6"/>
  <c r="N1269" i="6"/>
  <c r="T1269" i="6"/>
  <c r="M1270" i="6"/>
  <c r="N1270" i="6"/>
  <c r="Q1270" i="6"/>
  <c r="R1270" i="6" s="1"/>
  <c r="T1270" i="6"/>
  <c r="M1271" i="6"/>
  <c r="N1271" i="6"/>
  <c r="Q1271" i="6"/>
  <c r="R1271" i="6" s="1"/>
  <c r="T1271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951" i="6"/>
  <c r="M951" i="6"/>
  <c r="N951" i="6"/>
  <c r="P951" i="6"/>
  <c r="S951" i="6" s="1"/>
  <c r="T951" i="6"/>
  <c r="G952" i="6"/>
  <c r="M952" i="6"/>
  <c r="N952" i="6"/>
  <c r="Q952" i="6"/>
  <c r="R952" i="6" s="1"/>
  <c r="P952" i="6"/>
  <c r="S952" i="6" s="1"/>
  <c r="T952" i="6"/>
  <c r="G953" i="6"/>
  <c r="M953" i="6"/>
  <c r="N953" i="6"/>
  <c r="Q953" i="6"/>
  <c r="R953" i="6" s="1"/>
  <c r="T953" i="6"/>
  <c r="G954" i="6"/>
  <c r="M954" i="6"/>
  <c r="N954" i="6"/>
  <c r="P954" i="6"/>
  <c r="S954" i="6" s="1"/>
  <c r="T954" i="6"/>
  <c r="G955" i="6"/>
  <c r="M955" i="6"/>
  <c r="N955" i="6"/>
  <c r="Q955" i="6"/>
  <c r="R955" i="6" s="1"/>
  <c r="T955" i="6"/>
  <c r="G956" i="6"/>
  <c r="M956" i="6"/>
  <c r="N956" i="6"/>
  <c r="P956" i="6"/>
  <c r="S956" i="6" s="1"/>
  <c r="T956" i="6"/>
  <c r="G957" i="6"/>
  <c r="M957" i="6"/>
  <c r="N957" i="6"/>
  <c r="P957" i="6"/>
  <c r="S957" i="6" s="1"/>
  <c r="T957" i="6"/>
  <c r="G958" i="6"/>
  <c r="M958" i="6"/>
  <c r="N958" i="6"/>
  <c r="T958" i="6"/>
  <c r="G959" i="6"/>
  <c r="M959" i="6"/>
  <c r="N959" i="6"/>
  <c r="Q959" i="6"/>
  <c r="R959" i="6" s="1"/>
  <c r="T959" i="6"/>
  <c r="G960" i="6"/>
  <c r="M960" i="6"/>
  <c r="N960" i="6"/>
  <c r="T960" i="6"/>
  <c r="G961" i="6"/>
  <c r="M961" i="6"/>
  <c r="N961" i="6"/>
  <c r="P961" i="6"/>
  <c r="S961" i="6" s="1"/>
  <c r="T961" i="6"/>
  <c r="G962" i="6"/>
  <c r="M962" i="6"/>
  <c r="N962" i="6"/>
  <c r="Q962" i="6"/>
  <c r="R962" i="6" s="1"/>
  <c r="T962" i="6"/>
  <c r="G963" i="6"/>
  <c r="M963" i="6"/>
  <c r="N963" i="6"/>
  <c r="T963" i="6"/>
  <c r="G964" i="6"/>
  <c r="M964" i="6"/>
  <c r="N964" i="6"/>
  <c r="P964" i="6"/>
  <c r="S964" i="6" s="1"/>
  <c r="T964" i="6"/>
  <c r="G965" i="6"/>
  <c r="M965" i="6"/>
  <c r="N965" i="6"/>
  <c r="Q965" i="6"/>
  <c r="R965" i="6" s="1"/>
  <c r="T965" i="6"/>
  <c r="G966" i="6"/>
  <c r="M966" i="6"/>
  <c r="N966" i="6"/>
  <c r="P966" i="6"/>
  <c r="S966" i="6" s="1"/>
  <c r="T966" i="6"/>
  <c r="G967" i="6"/>
  <c r="M967" i="6"/>
  <c r="N967" i="6"/>
  <c r="P967" i="6"/>
  <c r="S967" i="6" s="1"/>
  <c r="T967" i="6"/>
  <c r="G968" i="6"/>
  <c r="M968" i="6"/>
  <c r="N968" i="6"/>
  <c r="P968" i="6"/>
  <c r="S968" i="6" s="1"/>
  <c r="Q968" i="6"/>
  <c r="R968" i="6" s="1"/>
  <c r="T968" i="6"/>
  <c r="G969" i="6"/>
  <c r="M969" i="6"/>
  <c r="N969" i="6"/>
  <c r="P969" i="6"/>
  <c r="S969" i="6" s="1"/>
  <c r="T969" i="6"/>
  <c r="G970" i="6"/>
  <c r="M970" i="6"/>
  <c r="N970" i="6"/>
  <c r="Q970" i="6"/>
  <c r="R970" i="6" s="1"/>
  <c r="T970" i="6"/>
  <c r="G971" i="6"/>
  <c r="M971" i="6"/>
  <c r="N971" i="6"/>
  <c r="T971" i="6"/>
  <c r="G972" i="6"/>
  <c r="M972" i="6"/>
  <c r="N972" i="6"/>
  <c r="Q972" i="6"/>
  <c r="R972" i="6" s="1"/>
  <c r="T972" i="6"/>
  <c r="G973" i="6"/>
  <c r="M973" i="6"/>
  <c r="N973" i="6"/>
  <c r="Q973" i="6"/>
  <c r="R973" i="6" s="1"/>
  <c r="T973" i="6"/>
  <c r="G974" i="6"/>
  <c r="M974" i="6"/>
  <c r="N974" i="6"/>
  <c r="Q974" i="6"/>
  <c r="R974" i="6" s="1"/>
  <c r="T974" i="6"/>
  <c r="G975" i="6"/>
  <c r="M975" i="6"/>
  <c r="N975" i="6"/>
  <c r="T975" i="6"/>
  <c r="G976" i="6"/>
  <c r="M976" i="6"/>
  <c r="N976" i="6"/>
  <c r="Q976" i="6"/>
  <c r="R976" i="6" s="1"/>
  <c r="T976" i="6"/>
  <c r="G977" i="6"/>
  <c r="M977" i="6"/>
  <c r="N977" i="6"/>
  <c r="Q977" i="6"/>
  <c r="R977" i="6" s="1"/>
  <c r="T977" i="6"/>
  <c r="G978" i="6"/>
  <c r="M978" i="6"/>
  <c r="N978" i="6"/>
  <c r="T978" i="6"/>
  <c r="G979" i="6"/>
  <c r="M979" i="6"/>
  <c r="N979" i="6"/>
  <c r="P979" i="6"/>
  <c r="S979" i="6" s="1"/>
  <c r="T979" i="6"/>
  <c r="G980" i="6"/>
  <c r="M980" i="6"/>
  <c r="N980" i="6"/>
  <c r="P980" i="6"/>
  <c r="S980" i="6" s="1"/>
  <c r="T980" i="6"/>
  <c r="G981" i="6"/>
  <c r="M981" i="6"/>
  <c r="N981" i="6"/>
  <c r="P981" i="6"/>
  <c r="S981" i="6" s="1"/>
  <c r="T981" i="6"/>
  <c r="G982" i="6"/>
  <c r="M982" i="6"/>
  <c r="N982" i="6"/>
  <c r="P982" i="6"/>
  <c r="S982" i="6" s="1"/>
  <c r="T982" i="6"/>
  <c r="G983" i="6"/>
  <c r="M983" i="6"/>
  <c r="N983" i="6"/>
  <c r="Q983" i="6"/>
  <c r="R983" i="6" s="1"/>
  <c r="T983" i="6"/>
  <c r="G984" i="6"/>
  <c r="M984" i="6"/>
  <c r="N984" i="6"/>
  <c r="Q984" i="6"/>
  <c r="R984" i="6" s="1"/>
  <c r="T984" i="6"/>
  <c r="G985" i="6"/>
  <c r="M985" i="6"/>
  <c r="N985" i="6"/>
  <c r="T985" i="6"/>
  <c r="G986" i="6"/>
  <c r="M986" i="6"/>
  <c r="N986" i="6"/>
  <c r="T986" i="6"/>
  <c r="G987" i="6"/>
  <c r="M987" i="6"/>
  <c r="N987" i="6"/>
  <c r="P987" i="6"/>
  <c r="S987" i="6" s="1"/>
  <c r="T987" i="6"/>
  <c r="G988" i="6"/>
  <c r="M988" i="6"/>
  <c r="N988" i="6"/>
  <c r="Q988" i="6"/>
  <c r="R988" i="6" s="1"/>
  <c r="T988" i="6"/>
  <c r="G989" i="6"/>
  <c r="M989" i="6"/>
  <c r="N989" i="6"/>
  <c r="Q989" i="6"/>
  <c r="R989" i="6" s="1"/>
  <c r="T989" i="6"/>
  <c r="G990" i="6"/>
  <c r="M990" i="6"/>
  <c r="N990" i="6"/>
  <c r="P990" i="6"/>
  <c r="S990" i="6" s="1"/>
  <c r="T990" i="6"/>
  <c r="G991" i="6"/>
  <c r="M991" i="6"/>
  <c r="N991" i="6"/>
  <c r="P991" i="6"/>
  <c r="S991" i="6" s="1"/>
  <c r="T991" i="6"/>
  <c r="G992" i="6"/>
  <c r="M992" i="6"/>
  <c r="N992" i="6"/>
  <c r="P992" i="6"/>
  <c r="S992" i="6" s="1"/>
  <c r="T992" i="6"/>
  <c r="G993" i="6"/>
  <c r="M993" i="6"/>
  <c r="N993" i="6"/>
  <c r="P993" i="6"/>
  <c r="S993" i="6" s="1"/>
  <c r="T993" i="6"/>
  <c r="G994" i="6"/>
  <c r="M994" i="6"/>
  <c r="N994" i="6"/>
  <c r="T994" i="6"/>
  <c r="G995" i="6"/>
  <c r="M995" i="6"/>
  <c r="N995" i="6"/>
  <c r="P995" i="6"/>
  <c r="S995" i="6" s="1"/>
  <c r="T995" i="6"/>
  <c r="G996" i="6"/>
  <c r="M996" i="6"/>
  <c r="N996" i="6"/>
  <c r="Q996" i="6"/>
  <c r="R996" i="6" s="1"/>
  <c r="T996" i="6"/>
  <c r="G997" i="6"/>
  <c r="M997" i="6"/>
  <c r="N997" i="6"/>
  <c r="T997" i="6"/>
  <c r="G998" i="6"/>
  <c r="M998" i="6"/>
  <c r="N998" i="6"/>
  <c r="Q998" i="6"/>
  <c r="R998" i="6" s="1"/>
  <c r="T998" i="6"/>
  <c r="G999" i="6"/>
  <c r="M999" i="6"/>
  <c r="N999" i="6"/>
  <c r="T999" i="6"/>
  <c r="G1000" i="6"/>
  <c r="M1000" i="6"/>
  <c r="N1000" i="6"/>
  <c r="P1000" i="6"/>
  <c r="S1000" i="6" s="1"/>
  <c r="T1000" i="6"/>
  <c r="G1001" i="6"/>
  <c r="M1001" i="6"/>
  <c r="N1001" i="6"/>
  <c r="Q1001" i="6"/>
  <c r="R1001" i="6" s="1"/>
  <c r="T1001" i="6"/>
  <c r="G1002" i="6"/>
  <c r="M1002" i="6"/>
  <c r="N1002" i="6"/>
  <c r="P1002" i="6"/>
  <c r="S1002" i="6" s="1"/>
  <c r="T1002" i="6"/>
  <c r="G1003" i="6"/>
  <c r="M1003" i="6"/>
  <c r="N1003" i="6"/>
  <c r="P1003" i="6"/>
  <c r="S1003" i="6" s="1"/>
  <c r="Q1003" i="6"/>
  <c r="R1003" i="6" s="1"/>
  <c r="T1003" i="6"/>
  <c r="G1004" i="6"/>
  <c r="M1004" i="6"/>
  <c r="N1004" i="6"/>
  <c r="P1004" i="6"/>
  <c r="S1004" i="6" s="1"/>
  <c r="T1004" i="6"/>
  <c r="G1005" i="6"/>
  <c r="M1005" i="6"/>
  <c r="N1005" i="6"/>
  <c r="P1005" i="6"/>
  <c r="S1005" i="6" s="1"/>
  <c r="T1005" i="6"/>
  <c r="G1006" i="6"/>
  <c r="M1006" i="6"/>
  <c r="N1006" i="6"/>
  <c r="P1006" i="6"/>
  <c r="S1006" i="6" s="1"/>
  <c r="T1006" i="6"/>
  <c r="G1007" i="6"/>
  <c r="M1007" i="6"/>
  <c r="N1007" i="6"/>
  <c r="Q1007" i="6"/>
  <c r="R1007" i="6" s="1"/>
  <c r="P1007" i="6"/>
  <c r="S1007" i="6" s="1"/>
  <c r="T1007" i="6"/>
  <c r="G1008" i="6"/>
  <c r="M1008" i="6"/>
  <c r="N1008" i="6"/>
  <c r="P1008" i="6"/>
  <c r="S1008" i="6" s="1"/>
  <c r="T1008" i="6"/>
  <c r="G1009" i="6"/>
  <c r="M1009" i="6"/>
  <c r="N1009" i="6"/>
  <c r="P1009" i="6"/>
  <c r="S1009" i="6" s="1"/>
  <c r="T1009" i="6"/>
  <c r="G1010" i="6"/>
  <c r="M1010" i="6"/>
  <c r="N1010" i="6"/>
  <c r="Q1010" i="6"/>
  <c r="R1010" i="6" s="1"/>
  <c r="T1010" i="6"/>
  <c r="G1011" i="6"/>
  <c r="M1011" i="6"/>
  <c r="N1011" i="6"/>
  <c r="P1011" i="6"/>
  <c r="S1011" i="6" s="1"/>
  <c r="T1011" i="6"/>
  <c r="G1012" i="6"/>
  <c r="M1012" i="6"/>
  <c r="N1012" i="6"/>
  <c r="P1012" i="6"/>
  <c r="S1012" i="6" s="1"/>
  <c r="T1012" i="6"/>
  <c r="G1013" i="6"/>
  <c r="M1013" i="6"/>
  <c r="N1013" i="6"/>
  <c r="Q1013" i="6"/>
  <c r="R1013" i="6" s="1"/>
  <c r="T1013" i="6"/>
  <c r="G1014" i="6"/>
  <c r="M1014" i="6"/>
  <c r="N1014" i="6"/>
  <c r="P1014" i="6"/>
  <c r="S1014" i="6" s="1"/>
  <c r="T1014" i="6"/>
  <c r="G1015" i="6"/>
  <c r="M1015" i="6"/>
  <c r="N1015" i="6"/>
  <c r="P1015" i="6"/>
  <c r="S1015" i="6" s="1"/>
  <c r="T1015" i="6"/>
  <c r="G1016" i="6"/>
  <c r="M1016" i="6"/>
  <c r="N1016" i="6"/>
  <c r="P1016" i="6"/>
  <c r="S1016" i="6" s="1"/>
  <c r="T1016" i="6"/>
  <c r="G1017" i="6"/>
  <c r="M1017" i="6"/>
  <c r="N1017" i="6"/>
  <c r="P1017" i="6"/>
  <c r="S1017" i="6" s="1"/>
  <c r="T1017" i="6"/>
  <c r="G1018" i="6"/>
  <c r="M1018" i="6"/>
  <c r="N1018" i="6"/>
  <c r="P1018" i="6"/>
  <c r="S1018" i="6" s="1"/>
  <c r="T1018" i="6"/>
  <c r="G1019" i="6"/>
  <c r="M1019" i="6"/>
  <c r="N1019" i="6"/>
  <c r="Q1019" i="6"/>
  <c r="R1019" i="6" s="1"/>
  <c r="T1019" i="6"/>
  <c r="G1020" i="6"/>
  <c r="M1020" i="6"/>
  <c r="N1020" i="6"/>
  <c r="T1020" i="6"/>
  <c r="G1021" i="6"/>
  <c r="M1021" i="6"/>
  <c r="N1021" i="6"/>
  <c r="Q1021" i="6"/>
  <c r="R1021" i="6" s="1"/>
  <c r="T1021" i="6"/>
  <c r="G1022" i="6"/>
  <c r="M1022" i="6"/>
  <c r="N1022" i="6"/>
  <c r="T1022" i="6"/>
  <c r="G1023" i="6"/>
  <c r="M1023" i="6"/>
  <c r="N1023" i="6"/>
  <c r="P1023" i="6"/>
  <c r="S1023" i="6" s="1"/>
  <c r="T1023" i="6"/>
  <c r="G1024" i="6"/>
  <c r="M1024" i="6"/>
  <c r="N1024" i="6"/>
  <c r="P1024" i="6"/>
  <c r="S1024" i="6" s="1"/>
  <c r="T1024" i="6"/>
  <c r="G1025" i="6"/>
  <c r="M1025" i="6"/>
  <c r="N1025" i="6"/>
  <c r="T1025" i="6"/>
  <c r="G1026" i="6"/>
  <c r="M1026" i="6"/>
  <c r="N1026" i="6"/>
  <c r="P1026" i="6"/>
  <c r="S1026" i="6" s="1"/>
  <c r="T1026" i="6"/>
  <c r="G1027" i="6"/>
  <c r="M1027" i="6"/>
  <c r="N1027" i="6"/>
  <c r="Q1027" i="6"/>
  <c r="R1027" i="6" s="1"/>
  <c r="T1027" i="6"/>
  <c r="G1028" i="6"/>
  <c r="M1028" i="6"/>
  <c r="N1028" i="6"/>
  <c r="T1028" i="6"/>
  <c r="G1029" i="6"/>
  <c r="M1029" i="6"/>
  <c r="N1029" i="6"/>
  <c r="P1029" i="6"/>
  <c r="S1029" i="6" s="1"/>
  <c r="T1029" i="6"/>
  <c r="G1030" i="6"/>
  <c r="M1030" i="6"/>
  <c r="N1030" i="6"/>
  <c r="P1030" i="6"/>
  <c r="S1030" i="6" s="1"/>
  <c r="T1030" i="6"/>
  <c r="G1031" i="6"/>
  <c r="M1031" i="6"/>
  <c r="N1031" i="6"/>
  <c r="Q1031" i="6"/>
  <c r="R1031" i="6" s="1"/>
  <c r="P1031" i="6"/>
  <c r="S1031" i="6" s="1"/>
  <c r="T1031" i="6"/>
  <c r="G1032" i="6"/>
  <c r="M1032" i="6"/>
  <c r="N1032" i="6"/>
  <c r="T1032" i="6"/>
  <c r="G1033" i="6"/>
  <c r="M1033" i="6"/>
  <c r="N1033" i="6"/>
  <c r="Q1033" i="6"/>
  <c r="R1033" i="6" s="1"/>
  <c r="T1033" i="6"/>
  <c r="G1034" i="6"/>
  <c r="M1034" i="6"/>
  <c r="N1034" i="6"/>
  <c r="Q1034" i="6"/>
  <c r="R1034" i="6" s="1"/>
  <c r="T1034" i="6"/>
  <c r="G1035" i="6"/>
  <c r="M1035" i="6"/>
  <c r="N1035" i="6"/>
  <c r="T1035" i="6"/>
  <c r="G1036" i="6"/>
  <c r="M1036" i="6"/>
  <c r="N1036" i="6"/>
  <c r="P1036" i="6"/>
  <c r="S1036" i="6" s="1"/>
  <c r="T1036" i="6"/>
  <c r="G1037" i="6"/>
  <c r="M1037" i="6"/>
  <c r="N1037" i="6"/>
  <c r="Q1037" i="6"/>
  <c r="R1037" i="6" s="1"/>
  <c r="T1037" i="6"/>
  <c r="G1038" i="6"/>
  <c r="M1038" i="6"/>
  <c r="N1038" i="6"/>
  <c r="T1038" i="6"/>
  <c r="G1039" i="6"/>
  <c r="M1039" i="6"/>
  <c r="N1039" i="6"/>
  <c r="P1039" i="6"/>
  <c r="S1039" i="6" s="1"/>
  <c r="T1039" i="6"/>
  <c r="G1040" i="6"/>
  <c r="M1040" i="6"/>
  <c r="N1040" i="6"/>
  <c r="P1040" i="6"/>
  <c r="S1040" i="6" s="1"/>
  <c r="T1040" i="6"/>
  <c r="G1041" i="6"/>
  <c r="M1041" i="6"/>
  <c r="N1041" i="6"/>
  <c r="P1041" i="6"/>
  <c r="S1041" i="6" s="1"/>
  <c r="T1041" i="6"/>
  <c r="G1042" i="6"/>
  <c r="M1042" i="6"/>
  <c r="N1042" i="6"/>
  <c r="P1042" i="6"/>
  <c r="S1042" i="6" s="1"/>
  <c r="T1042" i="6"/>
  <c r="G1043" i="6"/>
  <c r="M1043" i="6"/>
  <c r="N1043" i="6"/>
  <c r="P1043" i="6"/>
  <c r="S1043" i="6" s="1"/>
  <c r="T1043" i="6"/>
  <c r="G1044" i="6"/>
  <c r="M1044" i="6"/>
  <c r="N1044" i="6"/>
  <c r="Q1044" i="6"/>
  <c r="R1044" i="6" s="1"/>
  <c r="T1044" i="6"/>
  <c r="G1045" i="6"/>
  <c r="M1045" i="6"/>
  <c r="N1045" i="6"/>
  <c r="P1045" i="6"/>
  <c r="S1045" i="6" s="1"/>
  <c r="T1045" i="6"/>
  <c r="G1046" i="6"/>
  <c r="M1046" i="6"/>
  <c r="N1046" i="6"/>
  <c r="Q1046" i="6"/>
  <c r="R1046" i="6" s="1"/>
  <c r="T1046" i="6"/>
  <c r="G1047" i="6"/>
  <c r="M1047" i="6"/>
  <c r="N1047" i="6"/>
  <c r="P1047" i="6"/>
  <c r="S1047" i="6" s="1"/>
  <c r="T1047" i="6"/>
  <c r="G1048" i="6"/>
  <c r="M1048" i="6"/>
  <c r="N1048" i="6"/>
  <c r="P1048" i="6"/>
  <c r="S1048" i="6" s="1"/>
  <c r="T1048" i="6"/>
  <c r="G1049" i="6"/>
  <c r="M1049" i="6"/>
  <c r="N1049" i="6"/>
  <c r="P1049" i="6"/>
  <c r="S1049" i="6" s="1"/>
  <c r="T1049" i="6"/>
  <c r="G1050" i="6"/>
  <c r="M1050" i="6"/>
  <c r="N1050" i="6"/>
  <c r="P1050" i="6"/>
  <c r="S1050" i="6" s="1"/>
  <c r="Q1050" i="6"/>
  <c r="R1050" i="6" s="1"/>
  <c r="T1050" i="6"/>
  <c r="G1051" i="6"/>
  <c r="M1051" i="6"/>
  <c r="N1051" i="6"/>
  <c r="T1051" i="6"/>
  <c r="G1052" i="6"/>
  <c r="M1052" i="6"/>
  <c r="N1052" i="6"/>
  <c r="P1052" i="6"/>
  <c r="S1052" i="6" s="1"/>
  <c r="T1052" i="6"/>
  <c r="G1053" i="6"/>
  <c r="M1053" i="6"/>
  <c r="N1053" i="6"/>
  <c r="P1053" i="6"/>
  <c r="S1053" i="6" s="1"/>
  <c r="T1053" i="6"/>
  <c r="G1054" i="6"/>
  <c r="M1054" i="6"/>
  <c r="N1054" i="6"/>
  <c r="Q1054" i="6"/>
  <c r="R1054" i="6" s="1"/>
  <c r="T1054" i="6"/>
  <c r="G1055" i="6"/>
  <c r="M1055" i="6"/>
  <c r="N1055" i="6"/>
  <c r="Q1055" i="6"/>
  <c r="R1055" i="6" s="1"/>
  <c r="T1055" i="6"/>
  <c r="G1056" i="6"/>
  <c r="M1056" i="6"/>
  <c r="N1056" i="6"/>
  <c r="Q1056" i="6"/>
  <c r="R1056" i="6" s="1"/>
  <c r="T1056" i="6"/>
  <c r="G1057" i="6"/>
  <c r="M1057" i="6"/>
  <c r="N1057" i="6"/>
  <c r="P1057" i="6"/>
  <c r="S1057" i="6" s="1"/>
  <c r="T1057" i="6"/>
  <c r="G1058" i="6"/>
  <c r="M1058" i="6"/>
  <c r="N1058" i="6"/>
  <c r="Q1058" i="6"/>
  <c r="R1058" i="6" s="1"/>
  <c r="T1058" i="6"/>
  <c r="G1059" i="6"/>
  <c r="M1059" i="6"/>
  <c r="N1059" i="6"/>
  <c r="T1059" i="6"/>
  <c r="G1060" i="6"/>
  <c r="M1060" i="6"/>
  <c r="N1060" i="6"/>
  <c r="Q1060" i="6"/>
  <c r="R1060" i="6" s="1"/>
  <c r="T1060" i="6"/>
  <c r="G1061" i="6"/>
  <c r="M1061" i="6"/>
  <c r="N1061" i="6"/>
  <c r="T1061" i="6"/>
  <c r="G1062" i="6"/>
  <c r="M1062" i="6"/>
  <c r="N1062" i="6"/>
  <c r="T1062" i="6"/>
  <c r="G1063" i="6"/>
  <c r="M1063" i="6"/>
  <c r="N1063" i="6"/>
  <c r="T1063" i="6"/>
  <c r="G1064" i="6"/>
  <c r="M1064" i="6"/>
  <c r="N1064" i="6"/>
  <c r="T1064" i="6"/>
  <c r="G1065" i="6"/>
  <c r="M1065" i="6"/>
  <c r="N1065" i="6"/>
  <c r="P1065" i="6"/>
  <c r="S1065" i="6" s="1"/>
  <c r="T1065" i="6"/>
  <c r="G1066" i="6"/>
  <c r="M1066" i="6"/>
  <c r="N1066" i="6"/>
  <c r="P1066" i="6"/>
  <c r="S1066" i="6" s="1"/>
  <c r="T1066" i="6"/>
  <c r="G1067" i="6"/>
  <c r="M1067" i="6"/>
  <c r="N1067" i="6"/>
  <c r="P1067" i="6"/>
  <c r="S1067" i="6" s="1"/>
  <c r="T1067" i="6"/>
  <c r="G1068" i="6"/>
  <c r="M1068" i="6"/>
  <c r="N1068" i="6"/>
  <c r="T1068" i="6"/>
  <c r="G1069" i="6"/>
  <c r="M1069" i="6"/>
  <c r="N1069" i="6"/>
  <c r="Q1069" i="6"/>
  <c r="R1069" i="6" s="1"/>
  <c r="T1069" i="6"/>
  <c r="G1070" i="6"/>
  <c r="M1070" i="6"/>
  <c r="N1070" i="6"/>
  <c r="Q1070" i="6"/>
  <c r="R1070" i="6" s="1"/>
  <c r="T1070" i="6"/>
  <c r="G1071" i="6"/>
  <c r="M1071" i="6"/>
  <c r="N1071" i="6"/>
  <c r="P1071" i="6"/>
  <c r="S1071" i="6" s="1"/>
  <c r="T1071" i="6"/>
  <c r="G1072" i="6"/>
  <c r="M1072" i="6"/>
  <c r="N1072" i="6"/>
  <c r="Q1072" i="6"/>
  <c r="R1072" i="6" s="1"/>
  <c r="T1072" i="6"/>
  <c r="G1073" i="6"/>
  <c r="M1073" i="6"/>
  <c r="N1073" i="6"/>
  <c r="T1073" i="6"/>
  <c r="G1074" i="6"/>
  <c r="M1074" i="6"/>
  <c r="N1074" i="6"/>
  <c r="Q1074" i="6"/>
  <c r="R1074" i="6" s="1"/>
  <c r="T1074" i="6"/>
  <c r="G1075" i="6"/>
  <c r="M1075" i="6"/>
  <c r="N1075" i="6"/>
  <c r="Q1075" i="6"/>
  <c r="R1075" i="6" s="1"/>
  <c r="P1075" i="6"/>
  <c r="S1075" i="6" s="1"/>
  <c r="T1075" i="6"/>
  <c r="G1076" i="6"/>
  <c r="M1076" i="6"/>
  <c r="N1076" i="6"/>
  <c r="P1076" i="6"/>
  <c r="S1076" i="6" s="1"/>
  <c r="T1076" i="6"/>
  <c r="G1077" i="6"/>
  <c r="M1077" i="6"/>
  <c r="N1077" i="6"/>
  <c r="P1077" i="6"/>
  <c r="S1077" i="6" s="1"/>
  <c r="T1077" i="6"/>
  <c r="G1078" i="6"/>
  <c r="M1078" i="6"/>
  <c r="N1078" i="6"/>
  <c r="P1078" i="6"/>
  <c r="S1078" i="6" s="1"/>
  <c r="T1078" i="6"/>
  <c r="G1079" i="6"/>
  <c r="M1079" i="6"/>
  <c r="N1079" i="6"/>
  <c r="Q1079" i="6"/>
  <c r="R1079" i="6" s="1"/>
  <c r="T1079" i="6"/>
  <c r="G1080" i="6"/>
  <c r="M1080" i="6"/>
  <c r="N1080" i="6"/>
  <c r="Q1080" i="6"/>
  <c r="R1080" i="6" s="1"/>
  <c r="T1080" i="6"/>
  <c r="G1081" i="6"/>
  <c r="M1081" i="6"/>
  <c r="N1081" i="6"/>
  <c r="P1081" i="6"/>
  <c r="S1081" i="6" s="1"/>
  <c r="T1081" i="6"/>
  <c r="G1082" i="6"/>
  <c r="M1082" i="6"/>
  <c r="N1082" i="6"/>
  <c r="Q1082" i="6"/>
  <c r="R1082" i="6" s="1"/>
  <c r="P1082" i="6"/>
  <c r="S1082" i="6" s="1"/>
  <c r="T1082" i="6"/>
  <c r="G1083" i="6"/>
  <c r="M1083" i="6"/>
  <c r="N1083" i="6"/>
  <c r="P1083" i="6"/>
  <c r="S1083" i="6" s="1"/>
  <c r="T1083" i="6"/>
  <c r="G1084" i="6"/>
  <c r="M1084" i="6"/>
  <c r="N1084" i="6"/>
  <c r="P1084" i="6"/>
  <c r="S1084" i="6" s="1"/>
  <c r="T1084" i="6"/>
  <c r="G1085" i="6"/>
  <c r="M1085" i="6"/>
  <c r="N1085" i="6"/>
  <c r="P1085" i="6"/>
  <c r="S1085" i="6" s="1"/>
  <c r="T1085" i="6"/>
  <c r="G1086" i="6"/>
  <c r="M1086" i="6"/>
  <c r="N1086" i="6"/>
  <c r="P1086" i="6"/>
  <c r="S1086" i="6" s="1"/>
  <c r="T1086" i="6"/>
  <c r="G1087" i="6"/>
  <c r="M1087" i="6"/>
  <c r="N1087" i="6"/>
  <c r="P1087" i="6"/>
  <c r="S1087" i="6" s="1"/>
  <c r="T1087" i="6"/>
  <c r="G1088" i="6"/>
  <c r="M1088" i="6"/>
  <c r="N1088" i="6"/>
  <c r="Q1088" i="6"/>
  <c r="R1088" i="6" s="1"/>
  <c r="T1088" i="6"/>
  <c r="G1089" i="6"/>
  <c r="M1089" i="6"/>
  <c r="N1089" i="6"/>
  <c r="P1089" i="6"/>
  <c r="S1089" i="6" s="1"/>
  <c r="T1089" i="6"/>
  <c r="G1090" i="6"/>
  <c r="M1090" i="6"/>
  <c r="N1090" i="6"/>
  <c r="P1090" i="6"/>
  <c r="S1090" i="6" s="1"/>
  <c r="T1090" i="6"/>
  <c r="G1091" i="6"/>
  <c r="M1091" i="6"/>
  <c r="N1091" i="6"/>
  <c r="Q1091" i="6"/>
  <c r="R1091" i="6" s="1"/>
  <c r="T1091" i="6"/>
  <c r="G1092" i="6"/>
  <c r="M1092" i="6"/>
  <c r="N1092" i="6"/>
  <c r="Q1092" i="6"/>
  <c r="R1092" i="6" s="1"/>
  <c r="T1092" i="6"/>
  <c r="G1093" i="6"/>
  <c r="M1093" i="6"/>
  <c r="N1093" i="6"/>
  <c r="P1093" i="6"/>
  <c r="S1093" i="6" s="1"/>
  <c r="T1093" i="6"/>
  <c r="G1094" i="6"/>
  <c r="M1094" i="6"/>
  <c r="N1094" i="6"/>
  <c r="P1094" i="6"/>
  <c r="S1094" i="6" s="1"/>
  <c r="T1094" i="6"/>
  <c r="G1095" i="6"/>
  <c r="M1095" i="6"/>
  <c r="N1095" i="6"/>
  <c r="P1095" i="6"/>
  <c r="S1095" i="6" s="1"/>
  <c r="T1095" i="6"/>
  <c r="G1096" i="6"/>
  <c r="M1096" i="6"/>
  <c r="N1096" i="6"/>
  <c r="Q1096" i="6"/>
  <c r="R1096" i="6" s="1"/>
  <c r="T1096" i="6"/>
  <c r="G1097" i="6"/>
  <c r="M1097" i="6"/>
  <c r="N1097" i="6"/>
  <c r="P1097" i="6"/>
  <c r="S1097" i="6" s="1"/>
  <c r="T1097" i="6"/>
  <c r="G1098" i="6"/>
  <c r="M1098" i="6"/>
  <c r="N1098" i="6"/>
  <c r="Q1098" i="6"/>
  <c r="R1098" i="6" s="1"/>
  <c r="T1098" i="6"/>
  <c r="G1099" i="6"/>
  <c r="M1099" i="6"/>
  <c r="N1099" i="6"/>
  <c r="P1099" i="6"/>
  <c r="S1099" i="6" s="1"/>
  <c r="T1099" i="6"/>
  <c r="G1100" i="6"/>
  <c r="M1100" i="6"/>
  <c r="N1100" i="6"/>
  <c r="T1100" i="6"/>
  <c r="G1101" i="6"/>
  <c r="M1101" i="6"/>
  <c r="N1101" i="6"/>
  <c r="P1101" i="6"/>
  <c r="S1101" i="6" s="1"/>
  <c r="T1101" i="6"/>
  <c r="G1102" i="6"/>
  <c r="M1102" i="6"/>
  <c r="N1102" i="6"/>
  <c r="P1102" i="6"/>
  <c r="S1102" i="6" s="1"/>
  <c r="T1102" i="6"/>
  <c r="G1103" i="6"/>
  <c r="M1103" i="6"/>
  <c r="N1103" i="6"/>
  <c r="Q1103" i="6"/>
  <c r="R1103" i="6" s="1"/>
  <c r="T1103" i="6"/>
  <c r="G1104" i="6"/>
  <c r="M1104" i="6"/>
  <c r="N1104" i="6"/>
  <c r="T1104" i="6"/>
  <c r="G1105" i="6"/>
  <c r="M1105" i="6"/>
  <c r="N1105" i="6"/>
  <c r="P1105" i="6"/>
  <c r="S1105" i="6" s="1"/>
  <c r="T1105" i="6"/>
  <c r="G1106" i="6"/>
  <c r="M1106" i="6"/>
  <c r="N1106" i="6"/>
  <c r="Q1106" i="6"/>
  <c r="R1106" i="6" s="1"/>
  <c r="T1106" i="6"/>
  <c r="G1107" i="6"/>
  <c r="M1107" i="6"/>
  <c r="N1107" i="6"/>
  <c r="Q1107" i="6"/>
  <c r="R1107" i="6" s="1"/>
  <c r="T1107" i="6"/>
  <c r="G1108" i="6"/>
  <c r="M1108" i="6"/>
  <c r="N1108" i="6"/>
  <c r="P1108" i="6"/>
  <c r="S1108" i="6" s="1"/>
  <c r="T1108" i="6"/>
  <c r="G1109" i="6"/>
  <c r="M1109" i="6"/>
  <c r="N1109" i="6"/>
  <c r="P1109" i="6"/>
  <c r="S1109" i="6" s="1"/>
  <c r="T1109" i="6"/>
  <c r="G1110" i="6"/>
  <c r="M1110" i="6"/>
  <c r="N1110" i="6"/>
  <c r="Q1110" i="6"/>
  <c r="R1110" i="6" s="1"/>
  <c r="T1110" i="6"/>
  <c r="G1111" i="6"/>
  <c r="M1111" i="6"/>
  <c r="N1111" i="6"/>
  <c r="P1111" i="6"/>
  <c r="S1111" i="6" s="1"/>
  <c r="T1111" i="6"/>
  <c r="G1112" i="6"/>
  <c r="M1112" i="6"/>
  <c r="N1112" i="6"/>
  <c r="P1112" i="6"/>
  <c r="S1112" i="6" s="1"/>
  <c r="T1112" i="6"/>
  <c r="G1113" i="6"/>
  <c r="M1113" i="6"/>
  <c r="N1113" i="6"/>
  <c r="Q1113" i="6"/>
  <c r="R1113" i="6" s="1"/>
  <c r="T1113" i="6"/>
  <c r="G1114" i="6"/>
  <c r="M1114" i="6"/>
  <c r="N1114" i="6"/>
  <c r="P1114" i="6"/>
  <c r="S1114" i="6" s="1"/>
  <c r="T1114" i="6"/>
  <c r="G1115" i="6"/>
  <c r="M1115" i="6"/>
  <c r="N1115" i="6"/>
  <c r="Q1115" i="6"/>
  <c r="R1115" i="6" s="1"/>
  <c r="T1115" i="6"/>
  <c r="G1116" i="6"/>
  <c r="M1116" i="6"/>
  <c r="N1116" i="6"/>
  <c r="T1116" i="6"/>
  <c r="G1117" i="6"/>
  <c r="M1117" i="6"/>
  <c r="N1117" i="6"/>
  <c r="P1117" i="6"/>
  <c r="S1117" i="6" s="1"/>
  <c r="T1117" i="6"/>
  <c r="G1118" i="6"/>
  <c r="M1118" i="6"/>
  <c r="N1118" i="6"/>
  <c r="P1118" i="6"/>
  <c r="S1118" i="6" s="1"/>
  <c r="T1118" i="6"/>
  <c r="M945" i="6"/>
  <c r="N945" i="6"/>
  <c r="Q945" i="6"/>
  <c r="R945" i="6" s="1"/>
  <c r="T945" i="6"/>
  <c r="M946" i="6"/>
  <c r="N946" i="6"/>
  <c r="P946" i="6"/>
  <c r="S946" i="6" s="1"/>
  <c r="T946" i="6"/>
  <c r="M947" i="6"/>
  <c r="N947" i="6"/>
  <c r="P947" i="6"/>
  <c r="S947" i="6" s="1"/>
  <c r="T947" i="6"/>
  <c r="M948" i="6"/>
  <c r="N948" i="6"/>
  <c r="P948" i="6"/>
  <c r="S948" i="6" s="1"/>
  <c r="T948" i="6"/>
  <c r="M949" i="6"/>
  <c r="N949" i="6"/>
  <c r="P949" i="6"/>
  <c r="S949" i="6" s="1"/>
  <c r="T949" i="6"/>
  <c r="M950" i="6"/>
  <c r="N950" i="6"/>
  <c r="P950" i="6"/>
  <c r="S950" i="6" s="1"/>
  <c r="T950" i="6"/>
  <c r="G945" i="6"/>
  <c r="G946" i="6"/>
  <c r="G947" i="6"/>
  <c r="G948" i="6"/>
  <c r="G949" i="6"/>
  <c r="G950" i="6"/>
  <c r="M414" i="6"/>
  <c r="N414" i="6"/>
  <c r="Q414" i="6"/>
  <c r="R414" i="6" s="1"/>
  <c r="T414" i="6"/>
  <c r="M415" i="6"/>
  <c r="N415" i="6"/>
  <c r="P415" i="6"/>
  <c r="S415" i="6" s="1"/>
  <c r="T415" i="6"/>
  <c r="M416" i="6"/>
  <c r="N416" i="6"/>
  <c r="T416" i="6"/>
  <c r="M417" i="6"/>
  <c r="N417" i="6"/>
  <c r="P417" i="6"/>
  <c r="S417" i="6" s="1"/>
  <c r="T417" i="6"/>
  <c r="M418" i="6"/>
  <c r="N418" i="6"/>
  <c r="T418" i="6"/>
  <c r="M419" i="6"/>
  <c r="N419" i="6"/>
  <c r="T419" i="6"/>
  <c r="M420" i="6"/>
  <c r="N420" i="6"/>
  <c r="T420" i="6"/>
  <c r="M421" i="6"/>
  <c r="N421" i="6"/>
  <c r="P421" i="6"/>
  <c r="S421" i="6" s="1"/>
  <c r="T421" i="6"/>
  <c r="M422" i="6"/>
  <c r="N422" i="6"/>
  <c r="P422" i="6"/>
  <c r="S422" i="6" s="1"/>
  <c r="T422" i="6"/>
  <c r="M423" i="6"/>
  <c r="N423" i="6"/>
  <c r="T423" i="6"/>
  <c r="M424" i="6"/>
  <c r="N424" i="6"/>
  <c r="Q424" i="6"/>
  <c r="R424" i="6" s="1"/>
  <c r="T424" i="6"/>
  <c r="M425" i="6"/>
  <c r="N425" i="6"/>
  <c r="Q425" i="6"/>
  <c r="R425" i="6" s="1"/>
  <c r="T425" i="6"/>
  <c r="M426" i="6"/>
  <c r="N426" i="6"/>
  <c r="P426" i="6"/>
  <c r="S426" i="6" s="1"/>
  <c r="T426" i="6"/>
  <c r="M427" i="6"/>
  <c r="N427" i="6"/>
  <c r="Q427" i="6"/>
  <c r="R427" i="6" s="1"/>
  <c r="T427" i="6"/>
  <c r="M428" i="6"/>
  <c r="N428" i="6"/>
  <c r="Q428" i="6"/>
  <c r="R428" i="6" s="1"/>
  <c r="T428" i="6"/>
  <c r="M429" i="6"/>
  <c r="N429" i="6"/>
  <c r="Q429" i="6"/>
  <c r="R429" i="6" s="1"/>
  <c r="T429" i="6"/>
  <c r="M430" i="6"/>
  <c r="N430" i="6"/>
  <c r="Q430" i="6"/>
  <c r="R430" i="6" s="1"/>
  <c r="T430" i="6"/>
  <c r="M431" i="6"/>
  <c r="N431" i="6"/>
  <c r="T431" i="6"/>
  <c r="M432" i="6"/>
  <c r="N432" i="6"/>
  <c r="T432" i="6"/>
  <c r="M433" i="6"/>
  <c r="N433" i="6"/>
  <c r="Q433" i="6"/>
  <c r="R433" i="6" s="1"/>
  <c r="T433" i="6"/>
  <c r="M434" i="6"/>
  <c r="N434" i="6"/>
  <c r="Q434" i="6"/>
  <c r="R434" i="6" s="1"/>
  <c r="T434" i="6"/>
  <c r="M435" i="6"/>
  <c r="N435" i="6"/>
  <c r="Q435" i="6"/>
  <c r="R435" i="6" s="1"/>
  <c r="T435" i="6"/>
  <c r="M436" i="6"/>
  <c r="N436" i="6"/>
  <c r="T436" i="6"/>
  <c r="M437" i="6"/>
  <c r="N437" i="6"/>
  <c r="Q437" i="6"/>
  <c r="R437" i="6" s="1"/>
  <c r="T437" i="6"/>
  <c r="M438" i="6"/>
  <c r="N438" i="6"/>
  <c r="T438" i="6"/>
  <c r="M439" i="6"/>
  <c r="N439" i="6"/>
  <c r="Q439" i="6"/>
  <c r="R439" i="6" s="1"/>
  <c r="T439" i="6"/>
  <c r="M440" i="6"/>
  <c r="N440" i="6"/>
  <c r="Q440" i="6"/>
  <c r="R440" i="6" s="1"/>
  <c r="T440" i="6"/>
  <c r="M441" i="6"/>
  <c r="N441" i="6"/>
  <c r="Q441" i="6"/>
  <c r="R441" i="6" s="1"/>
  <c r="T441" i="6"/>
  <c r="M442" i="6"/>
  <c r="N442" i="6"/>
  <c r="T442" i="6"/>
  <c r="M443" i="6"/>
  <c r="N443" i="6"/>
  <c r="Q443" i="6"/>
  <c r="R443" i="6" s="1"/>
  <c r="T443" i="6"/>
  <c r="M444" i="6"/>
  <c r="N444" i="6"/>
  <c r="Q444" i="6"/>
  <c r="R444" i="6" s="1"/>
  <c r="T444" i="6"/>
  <c r="M445" i="6"/>
  <c r="N445" i="6"/>
  <c r="T445" i="6"/>
  <c r="M446" i="6"/>
  <c r="N446" i="6"/>
  <c r="T446" i="6"/>
  <c r="M447" i="6"/>
  <c r="N447" i="6"/>
  <c r="Q447" i="6"/>
  <c r="R447" i="6" s="1"/>
  <c r="T447" i="6"/>
  <c r="M448" i="6"/>
  <c r="N448" i="6"/>
  <c r="T448" i="6"/>
  <c r="M449" i="6"/>
  <c r="N449" i="6"/>
  <c r="Q449" i="6"/>
  <c r="R449" i="6" s="1"/>
  <c r="T449" i="6"/>
  <c r="M450" i="6"/>
  <c r="N450" i="6"/>
  <c r="T450" i="6"/>
  <c r="M451" i="6"/>
  <c r="N451" i="6"/>
  <c r="Q451" i="6"/>
  <c r="R451" i="6" s="1"/>
  <c r="T451" i="6"/>
  <c r="M452" i="6"/>
  <c r="N452" i="6"/>
  <c r="Q452" i="6"/>
  <c r="R452" i="6" s="1"/>
  <c r="T452" i="6"/>
  <c r="M453" i="6"/>
  <c r="N453" i="6"/>
  <c r="Q453" i="6"/>
  <c r="R453" i="6" s="1"/>
  <c r="T453" i="6"/>
  <c r="M454" i="6"/>
  <c r="N454" i="6"/>
  <c r="T454" i="6"/>
  <c r="M455" i="6"/>
  <c r="N455" i="6"/>
  <c r="T455" i="6"/>
  <c r="M456" i="6"/>
  <c r="N456" i="6"/>
  <c r="T456" i="6"/>
  <c r="M457" i="6"/>
  <c r="N457" i="6"/>
  <c r="Q457" i="6"/>
  <c r="R457" i="6" s="1"/>
  <c r="T457" i="6"/>
  <c r="M458" i="6"/>
  <c r="N458" i="6"/>
  <c r="Q458" i="6"/>
  <c r="R458" i="6" s="1"/>
  <c r="T458" i="6"/>
  <c r="M459" i="6"/>
  <c r="N459" i="6"/>
  <c r="Q459" i="6"/>
  <c r="R459" i="6" s="1"/>
  <c r="T459" i="6"/>
  <c r="M460" i="6"/>
  <c r="N460" i="6"/>
  <c r="T460" i="6"/>
  <c r="M461" i="6"/>
  <c r="N461" i="6"/>
  <c r="Q461" i="6"/>
  <c r="R461" i="6" s="1"/>
  <c r="T461" i="6"/>
  <c r="M462" i="6"/>
  <c r="N462" i="6"/>
  <c r="T462" i="6"/>
  <c r="M463" i="6"/>
  <c r="N463" i="6"/>
  <c r="Q463" i="6"/>
  <c r="R463" i="6" s="1"/>
  <c r="T463" i="6"/>
  <c r="M464" i="6"/>
  <c r="N464" i="6"/>
  <c r="Q464" i="6"/>
  <c r="R464" i="6" s="1"/>
  <c r="T464" i="6"/>
  <c r="M465" i="6"/>
  <c r="N465" i="6"/>
  <c r="Q465" i="6"/>
  <c r="R465" i="6" s="1"/>
  <c r="T465" i="6"/>
  <c r="M466" i="6"/>
  <c r="N466" i="6"/>
  <c r="T466" i="6"/>
  <c r="M467" i="6"/>
  <c r="N467" i="6"/>
  <c r="Q467" i="6"/>
  <c r="R467" i="6" s="1"/>
  <c r="T467" i="6"/>
  <c r="M468" i="6"/>
  <c r="N468" i="6"/>
  <c r="T468" i="6"/>
  <c r="M469" i="6"/>
  <c r="N469" i="6"/>
  <c r="T469" i="6"/>
  <c r="M470" i="6"/>
  <c r="N470" i="6"/>
  <c r="T470" i="6"/>
  <c r="M471" i="6"/>
  <c r="N471" i="6"/>
  <c r="T471" i="6"/>
  <c r="M472" i="6"/>
  <c r="N472" i="6"/>
  <c r="T472" i="6"/>
  <c r="M473" i="6"/>
  <c r="N473" i="6"/>
  <c r="T473" i="6"/>
  <c r="M474" i="6"/>
  <c r="N474" i="6"/>
  <c r="T474" i="6"/>
  <c r="M475" i="6"/>
  <c r="N475" i="6"/>
  <c r="T475" i="6"/>
  <c r="M476" i="6"/>
  <c r="N476" i="6"/>
  <c r="T476" i="6"/>
  <c r="M477" i="6"/>
  <c r="N477" i="6"/>
  <c r="Q477" i="6"/>
  <c r="R477" i="6" s="1"/>
  <c r="T477" i="6"/>
  <c r="M478" i="6"/>
  <c r="N478" i="6"/>
  <c r="T478" i="6"/>
  <c r="M479" i="6"/>
  <c r="N479" i="6"/>
  <c r="T479" i="6"/>
  <c r="M480" i="6"/>
  <c r="N480" i="6"/>
  <c r="T480" i="6"/>
  <c r="M481" i="6"/>
  <c r="N481" i="6"/>
  <c r="T481" i="6"/>
  <c r="M482" i="6"/>
  <c r="N482" i="6"/>
  <c r="Q482" i="6"/>
  <c r="R482" i="6" s="1"/>
  <c r="T482" i="6"/>
  <c r="M483" i="6"/>
  <c r="N483" i="6"/>
  <c r="T483" i="6"/>
  <c r="M484" i="6"/>
  <c r="N484" i="6"/>
  <c r="T484" i="6"/>
  <c r="M485" i="6"/>
  <c r="N485" i="6"/>
  <c r="T485" i="6"/>
  <c r="M486" i="6"/>
  <c r="N486" i="6"/>
  <c r="T486" i="6"/>
  <c r="M487" i="6"/>
  <c r="N487" i="6"/>
  <c r="Q487" i="6"/>
  <c r="R487" i="6" s="1"/>
  <c r="T487" i="6"/>
  <c r="M488" i="6"/>
  <c r="N488" i="6"/>
  <c r="Q488" i="6"/>
  <c r="R488" i="6" s="1"/>
  <c r="T488" i="6"/>
  <c r="M489" i="6"/>
  <c r="N489" i="6"/>
  <c r="Q489" i="6"/>
  <c r="R489" i="6" s="1"/>
  <c r="T489" i="6"/>
  <c r="M490" i="6"/>
  <c r="N490" i="6"/>
  <c r="T490" i="6"/>
  <c r="M491" i="6"/>
  <c r="N491" i="6"/>
  <c r="T491" i="6"/>
  <c r="M492" i="6"/>
  <c r="N492" i="6"/>
  <c r="T492" i="6"/>
  <c r="M493" i="6"/>
  <c r="N493" i="6"/>
  <c r="T493" i="6"/>
  <c r="M494" i="6"/>
  <c r="N494" i="6"/>
  <c r="Q494" i="6"/>
  <c r="R494" i="6" s="1"/>
  <c r="T494" i="6"/>
  <c r="M495" i="6"/>
  <c r="N495" i="6"/>
  <c r="Q495" i="6"/>
  <c r="R495" i="6" s="1"/>
  <c r="T495" i="6"/>
  <c r="M496" i="6"/>
  <c r="N496" i="6"/>
  <c r="T496" i="6"/>
  <c r="M497" i="6"/>
  <c r="N497" i="6"/>
  <c r="Q497" i="6"/>
  <c r="R497" i="6" s="1"/>
  <c r="T497" i="6"/>
  <c r="M498" i="6"/>
  <c r="N498" i="6"/>
  <c r="T498" i="6"/>
  <c r="M499" i="6"/>
  <c r="N499" i="6"/>
  <c r="T499" i="6"/>
  <c r="M500" i="6"/>
  <c r="N500" i="6"/>
  <c r="Q500" i="6"/>
  <c r="R500" i="6" s="1"/>
  <c r="T500" i="6"/>
  <c r="M501" i="6"/>
  <c r="N501" i="6"/>
  <c r="Q501" i="6"/>
  <c r="R501" i="6" s="1"/>
  <c r="T501" i="6"/>
  <c r="M502" i="6"/>
  <c r="N502" i="6"/>
  <c r="T502" i="6"/>
  <c r="M503" i="6"/>
  <c r="N503" i="6"/>
  <c r="T503" i="6"/>
  <c r="M504" i="6"/>
  <c r="N504" i="6"/>
  <c r="T504" i="6"/>
  <c r="M505" i="6"/>
  <c r="N505" i="6"/>
  <c r="T505" i="6"/>
  <c r="M506" i="6"/>
  <c r="N506" i="6"/>
  <c r="T506" i="6"/>
  <c r="M507" i="6"/>
  <c r="N507" i="6"/>
  <c r="T507" i="6"/>
  <c r="M508" i="6"/>
  <c r="N508" i="6"/>
  <c r="Q508" i="6"/>
  <c r="R508" i="6" s="1"/>
  <c r="T508" i="6"/>
  <c r="M509" i="6"/>
  <c r="N509" i="6"/>
  <c r="Q509" i="6"/>
  <c r="R509" i="6" s="1"/>
  <c r="T509" i="6"/>
  <c r="M510" i="6"/>
  <c r="N510" i="6"/>
  <c r="T510" i="6"/>
  <c r="M511" i="6"/>
  <c r="N511" i="6"/>
  <c r="Q511" i="6"/>
  <c r="R511" i="6" s="1"/>
  <c r="T511" i="6"/>
  <c r="M512" i="6"/>
  <c r="N512" i="6"/>
  <c r="P512" i="6"/>
  <c r="S512" i="6" s="1"/>
  <c r="T512" i="6"/>
  <c r="M513" i="6"/>
  <c r="N513" i="6"/>
  <c r="T513" i="6"/>
  <c r="M514" i="6"/>
  <c r="N514" i="6"/>
  <c r="T514" i="6"/>
  <c r="M515" i="6"/>
  <c r="N515" i="6"/>
  <c r="T515" i="6"/>
  <c r="M516" i="6"/>
  <c r="N516" i="6"/>
  <c r="T516" i="6"/>
  <c r="M517" i="6"/>
  <c r="N517" i="6"/>
  <c r="P517" i="6"/>
  <c r="S517" i="6" s="1"/>
  <c r="T517" i="6"/>
  <c r="M518" i="6"/>
  <c r="N518" i="6"/>
  <c r="Q518" i="6"/>
  <c r="R518" i="6" s="1"/>
  <c r="T518" i="6"/>
  <c r="M519" i="6"/>
  <c r="N519" i="6"/>
  <c r="P519" i="6"/>
  <c r="S519" i="6" s="1"/>
  <c r="T519" i="6"/>
  <c r="M520" i="6"/>
  <c r="N520" i="6"/>
  <c r="P520" i="6"/>
  <c r="S520" i="6" s="1"/>
  <c r="T520" i="6"/>
  <c r="M521" i="6"/>
  <c r="N521" i="6"/>
  <c r="T521" i="6"/>
  <c r="M522" i="6"/>
  <c r="N522" i="6"/>
  <c r="P522" i="6"/>
  <c r="S522" i="6" s="1"/>
  <c r="T522" i="6"/>
  <c r="M523" i="6"/>
  <c r="N523" i="6"/>
  <c r="P523" i="6"/>
  <c r="S523" i="6" s="1"/>
  <c r="T523" i="6"/>
  <c r="M524" i="6"/>
  <c r="N524" i="6"/>
  <c r="P524" i="6"/>
  <c r="S524" i="6" s="1"/>
  <c r="T524" i="6"/>
  <c r="M525" i="6"/>
  <c r="N525" i="6"/>
  <c r="P525" i="6"/>
  <c r="S525" i="6" s="1"/>
  <c r="T525" i="6"/>
  <c r="M526" i="6"/>
  <c r="N526" i="6"/>
  <c r="P526" i="6"/>
  <c r="S526" i="6" s="1"/>
  <c r="T526" i="6"/>
  <c r="M527" i="6"/>
  <c r="N527" i="6"/>
  <c r="P527" i="6"/>
  <c r="S527" i="6" s="1"/>
  <c r="T527" i="6"/>
  <c r="M528" i="6"/>
  <c r="N528" i="6"/>
  <c r="P528" i="6"/>
  <c r="S528" i="6" s="1"/>
  <c r="T528" i="6"/>
  <c r="M529" i="6"/>
  <c r="N529" i="6"/>
  <c r="P529" i="6"/>
  <c r="S529" i="6" s="1"/>
  <c r="T529" i="6"/>
  <c r="M530" i="6"/>
  <c r="N530" i="6"/>
  <c r="P530" i="6"/>
  <c r="S530" i="6" s="1"/>
  <c r="T530" i="6"/>
  <c r="M531" i="6"/>
  <c r="N531" i="6"/>
  <c r="T531" i="6"/>
  <c r="M532" i="6"/>
  <c r="N532" i="6"/>
  <c r="T532" i="6"/>
  <c r="M533" i="6"/>
  <c r="N533" i="6"/>
  <c r="P533" i="6"/>
  <c r="S533" i="6" s="1"/>
  <c r="T533" i="6"/>
  <c r="M534" i="6"/>
  <c r="N534" i="6"/>
  <c r="T534" i="6"/>
  <c r="M535" i="6"/>
  <c r="N535" i="6"/>
  <c r="P535" i="6"/>
  <c r="S535" i="6" s="1"/>
  <c r="T535" i="6"/>
  <c r="M536" i="6"/>
  <c r="N536" i="6"/>
  <c r="P536" i="6"/>
  <c r="S536" i="6" s="1"/>
  <c r="T536" i="6"/>
  <c r="M537" i="6"/>
  <c r="N537" i="6"/>
  <c r="T537" i="6"/>
  <c r="M538" i="6"/>
  <c r="N538" i="6"/>
  <c r="T538" i="6"/>
  <c r="M539" i="6"/>
  <c r="N539" i="6"/>
  <c r="P539" i="6"/>
  <c r="S539" i="6" s="1"/>
  <c r="T539" i="6"/>
  <c r="M540" i="6"/>
  <c r="N540" i="6"/>
  <c r="T540" i="6"/>
  <c r="M541" i="6"/>
  <c r="N541" i="6"/>
  <c r="T541" i="6"/>
  <c r="M542" i="6"/>
  <c r="N542" i="6"/>
  <c r="P542" i="6"/>
  <c r="S542" i="6" s="1"/>
  <c r="T542" i="6"/>
  <c r="M543" i="6"/>
  <c r="N543" i="6"/>
  <c r="P543" i="6"/>
  <c r="S543" i="6" s="1"/>
  <c r="T543" i="6"/>
  <c r="M544" i="6"/>
  <c r="N544" i="6"/>
  <c r="T544" i="6"/>
  <c r="M545" i="6"/>
  <c r="N545" i="6"/>
  <c r="P545" i="6"/>
  <c r="S545" i="6" s="1"/>
  <c r="T545" i="6"/>
  <c r="M546" i="6"/>
  <c r="N546" i="6"/>
  <c r="T546" i="6"/>
  <c r="M547" i="6"/>
  <c r="N547" i="6"/>
  <c r="T547" i="6"/>
  <c r="M548" i="6"/>
  <c r="N548" i="6"/>
  <c r="T548" i="6"/>
  <c r="M549" i="6"/>
  <c r="N549" i="6"/>
  <c r="P549" i="6"/>
  <c r="S549" i="6" s="1"/>
  <c r="T549" i="6"/>
  <c r="M550" i="6"/>
  <c r="N550" i="6"/>
  <c r="T550" i="6"/>
  <c r="M551" i="6"/>
  <c r="N551" i="6"/>
  <c r="P551" i="6"/>
  <c r="S551" i="6" s="1"/>
  <c r="T551" i="6"/>
  <c r="M552" i="6"/>
  <c r="N552" i="6"/>
  <c r="T552" i="6"/>
  <c r="M553" i="6"/>
  <c r="N553" i="6"/>
  <c r="P553" i="6"/>
  <c r="S553" i="6" s="1"/>
  <c r="T553" i="6"/>
  <c r="M554" i="6"/>
  <c r="N554" i="6"/>
  <c r="T554" i="6"/>
  <c r="M555" i="6"/>
  <c r="N555" i="6"/>
  <c r="T555" i="6"/>
  <c r="M556" i="6"/>
  <c r="N556" i="6"/>
  <c r="T556" i="6"/>
  <c r="M557" i="6"/>
  <c r="N557" i="6"/>
  <c r="T557" i="6"/>
  <c r="M558" i="6"/>
  <c r="N558" i="6"/>
  <c r="T558" i="6"/>
  <c r="M559" i="6"/>
  <c r="N559" i="6"/>
  <c r="P559" i="6"/>
  <c r="S559" i="6" s="1"/>
  <c r="T559" i="6"/>
  <c r="M560" i="6"/>
  <c r="N560" i="6"/>
  <c r="T560" i="6"/>
  <c r="M561" i="6"/>
  <c r="N561" i="6"/>
  <c r="T561" i="6"/>
  <c r="M562" i="6"/>
  <c r="N562" i="6"/>
  <c r="T562" i="6"/>
  <c r="M563" i="6"/>
  <c r="N563" i="6"/>
  <c r="P563" i="6"/>
  <c r="S563" i="6" s="1"/>
  <c r="T563" i="6"/>
  <c r="M564" i="6"/>
  <c r="N564" i="6"/>
  <c r="T564" i="6"/>
  <c r="M565" i="6"/>
  <c r="N565" i="6"/>
  <c r="P565" i="6"/>
  <c r="S565" i="6" s="1"/>
  <c r="T565" i="6"/>
  <c r="M566" i="6"/>
  <c r="N566" i="6"/>
  <c r="T566" i="6"/>
  <c r="M567" i="6"/>
  <c r="N567" i="6"/>
  <c r="P567" i="6"/>
  <c r="S567" i="6" s="1"/>
  <c r="T567" i="6"/>
  <c r="M568" i="6"/>
  <c r="N568" i="6"/>
  <c r="P568" i="6"/>
  <c r="S568" i="6" s="1"/>
  <c r="T568" i="6"/>
  <c r="M569" i="6"/>
  <c r="N569" i="6"/>
  <c r="P569" i="6"/>
  <c r="S569" i="6" s="1"/>
  <c r="T569" i="6"/>
  <c r="M570" i="6"/>
  <c r="N570" i="6"/>
  <c r="T570" i="6"/>
  <c r="M571" i="6"/>
  <c r="N571" i="6"/>
  <c r="P571" i="6"/>
  <c r="S571" i="6" s="1"/>
  <c r="T571" i="6"/>
  <c r="M572" i="6"/>
  <c r="N572" i="6"/>
  <c r="T572" i="6"/>
  <c r="M573" i="6"/>
  <c r="N573" i="6"/>
  <c r="Q573" i="6"/>
  <c r="R573" i="6" s="1"/>
  <c r="T573" i="6"/>
  <c r="M574" i="6"/>
  <c r="N574" i="6"/>
  <c r="T574" i="6"/>
  <c r="M575" i="6"/>
  <c r="N575" i="6"/>
  <c r="P575" i="6"/>
  <c r="S575" i="6" s="1"/>
  <c r="T575" i="6"/>
  <c r="M576" i="6"/>
  <c r="N576" i="6"/>
  <c r="P576" i="6"/>
  <c r="S576" i="6" s="1"/>
  <c r="T576" i="6"/>
  <c r="M577" i="6"/>
  <c r="N577" i="6"/>
  <c r="P577" i="6"/>
  <c r="S577" i="6" s="1"/>
  <c r="T577" i="6"/>
  <c r="M578" i="6"/>
  <c r="N578" i="6"/>
  <c r="P578" i="6"/>
  <c r="S578" i="6" s="1"/>
  <c r="T578" i="6"/>
  <c r="M579" i="6"/>
  <c r="N579" i="6"/>
  <c r="Q579" i="6"/>
  <c r="R579" i="6" s="1"/>
  <c r="T579" i="6"/>
  <c r="M580" i="6"/>
  <c r="N580" i="6"/>
  <c r="T580" i="6"/>
  <c r="M581" i="6"/>
  <c r="N581" i="6"/>
  <c r="T581" i="6"/>
  <c r="M582" i="6"/>
  <c r="N582" i="6"/>
  <c r="P582" i="6"/>
  <c r="S582" i="6" s="1"/>
  <c r="T582" i="6"/>
  <c r="M583" i="6"/>
  <c r="N583" i="6"/>
  <c r="P583" i="6"/>
  <c r="S583" i="6" s="1"/>
  <c r="T583" i="6"/>
  <c r="M584" i="6"/>
  <c r="N584" i="6"/>
  <c r="T584" i="6"/>
  <c r="M585" i="6"/>
  <c r="N585" i="6"/>
  <c r="P585" i="6"/>
  <c r="S585" i="6" s="1"/>
  <c r="T585" i="6"/>
  <c r="M586" i="6"/>
  <c r="N586" i="6"/>
  <c r="T586" i="6"/>
  <c r="M587" i="6"/>
  <c r="N587" i="6"/>
  <c r="Q587" i="6"/>
  <c r="R587" i="6" s="1"/>
  <c r="T587" i="6"/>
  <c r="M588" i="6"/>
  <c r="N588" i="6"/>
  <c r="P588" i="6"/>
  <c r="S588" i="6" s="1"/>
  <c r="T588" i="6"/>
  <c r="M589" i="6"/>
  <c r="N589" i="6"/>
  <c r="P589" i="6"/>
  <c r="S589" i="6" s="1"/>
  <c r="T589" i="6"/>
  <c r="M590" i="6"/>
  <c r="N590" i="6"/>
  <c r="P590" i="6"/>
  <c r="S590" i="6" s="1"/>
  <c r="T590" i="6"/>
  <c r="M591" i="6"/>
  <c r="N591" i="6"/>
  <c r="P591" i="6"/>
  <c r="S591" i="6" s="1"/>
  <c r="T591" i="6"/>
  <c r="M592" i="6"/>
  <c r="N592" i="6"/>
  <c r="T592" i="6"/>
  <c r="M593" i="6"/>
  <c r="N593" i="6"/>
  <c r="T593" i="6"/>
  <c r="M594" i="6"/>
  <c r="N594" i="6"/>
  <c r="T594" i="6"/>
  <c r="M595" i="6"/>
  <c r="N595" i="6"/>
  <c r="T595" i="6"/>
  <c r="M596" i="6"/>
  <c r="N596" i="6"/>
  <c r="T596" i="6"/>
  <c r="M597" i="6"/>
  <c r="N597" i="6"/>
  <c r="T597" i="6"/>
  <c r="M598" i="6"/>
  <c r="N598" i="6"/>
  <c r="T598" i="6"/>
  <c r="M599" i="6"/>
  <c r="N599" i="6"/>
  <c r="T599" i="6"/>
  <c r="M600" i="6"/>
  <c r="N600" i="6"/>
  <c r="T600" i="6"/>
  <c r="M601" i="6"/>
  <c r="N601" i="6"/>
  <c r="T601" i="6"/>
  <c r="M602" i="6"/>
  <c r="N602" i="6"/>
  <c r="T602" i="6"/>
  <c r="M603" i="6"/>
  <c r="N603" i="6"/>
  <c r="T603" i="6"/>
  <c r="M604" i="6"/>
  <c r="N604" i="6"/>
  <c r="T604" i="6"/>
  <c r="M605" i="6"/>
  <c r="N605" i="6"/>
  <c r="T605" i="6"/>
  <c r="M606" i="6"/>
  <c r="N606" i="6"/>
  <c r="T606" i="6"/>
  <c r="M607" i="6"/>
  <c r="N607" i="6"/>
  <c r="T607" i="6"/>
  <c r="M608" i="6"/>
  <c r="N608" i="6"/>
  <c r="T608" i="6"/>
  <c r="M609" i="6"/>
  <c r="N609" i="6"/>
  <c r="T609" i="6"/>
  <c r="M610" i="6"/>
  <c r="N610" i="6"/>
  <c r="T610" i="6"/>
  <c r="M611" i="6"/>
  <c r="N611" i="6"/>
  <c r="Q611" i="6"/>
  <c r="R611" i="6" s="1"/>
  <c r="T611" i="6"/>
  <c r="M612" i="6"/>
  <c r="N612" i="6"/>
  <c r="Q612" i="6"/>
  <c r="R612" i="6" s="1"/>
  <c r="T612" i="6"/>
  <c r="M613" i="6"/>
  <c r="N613" i="6"/>
  <c r="T613" i="6"/>
  <c r="M614" i="6"/>
  <c r="N614" i="6"/>
  <c r="Q614" i="6"/>
  <c r="R614" i="6" s="1"/>
  <c r="T614" i="6"/>
  <c r="M615" i="6"/>
  <c r="N615" i="6"/>
  <c r="T615" i="6"/>
  <c r="M616" i="6"/>
  <c r="N616" i="6"/>
  <c r="Q616" i="6"/>
  <c r="R616" i="6" s="1"/>
  <c r="T616" i="6"/>
  <c r="M617" i="6"/>
  <c r="N617" i="6"/>
  <c r="Q617" i="6"/>
  <c r="R617" i="6" s="1"/>
  <c r="T617" i="6"/>
  <c r="M618" i="6"/>
  <c r="N618" i="6"/>
  <c r="T618" i="6"/>
  <c r="M619" i="6"/>
  <c r="N619" i="6"/>
  <c r="Q619" i="6"/>
  <c r="R619" i="6" s="1"/>
  <c r="T619" i="6"/>
  <c r="M620" i="6"/>
  <c r="N620" i="6"/>
  <c r="Q620" i="6"/>
  <c r="R620" i="6" s="1"/>
  <c r="T620" i="6"/>
  <c r="M621" i="6"/>
  <c r="N621" i="6"/>
  <c r="Q621" i="6"/>
  <c r="R621" i="6" s="1"/>
  <c r="T621" i="6"/>
  <c r="M622" i="6"/>
  <c r="N622" i="6"/>
  <c r="T622" i="6"/>
  <c r="M623" i="6"/>
  <c r="N623" i="6"/>
  <c r="Q623" i="6"/>
  <c r="R623" i="6" s="1"/>
  <c r="T623" i="6"/>
  <c r="M624" i="6"/>
  <c r="N624" i="6"/>
  <c r="Q624" i="6"/>
  <c r="R624" i="6" s="1"/>
  <c r="T624" i="6"/>
  <c r="M625" i="6"/>
  <c r="N625" i="6"/>
  <c r="T625" i="6"/>
  <c r="M626" i="6"/>
  <c r="N626" i="6"/>
  <c r="T626" i="6"/>
  <c r="M627" i="6"/>
  <c r="N627" i="6"/>
  <c r="Q627" i="6"/>
  <c r="R627" i="6" s="1"/>
  <c r="T627" i="6"/>
  <c r="M628" i="6"/>
  <c r="N628" i="6"/>
  <c r="T628" i="6"/>
  <c r="M629" i="6"/>
  <c r="N629" i="6"/>
  <c r="T629" i="6"/>
  <c r="M630" i="6"/>
  <c r="N630" i="6"/>
  <c r="T630" i="6"/>
  <c r="M631" i="6"/>
  <c r="N631" i="6"/>
  <c r="Q631" i="6"/>
  <c r="R631" i="6" s="1"/>
  <c r="T631" i="6"/>
  <c r="M632" i="6"/>
  <c r="N632" i="6"/>
  <c r="Q632" i="6"/>
  <c r="R632" i="6" s="1"/>
  <c r="T632" i="6"/>
  <c r="M633" i="6"/>
  <c r="N633" i="6"/>
  <c r="T633" i="6"/>
  <c r="M634" i="6"/>
  <c r="N634" i="6"/>
  <c r="Q634" i="6"/>
  <c r="R634" i="6" s="1"/>
  <c r="T634" i="6"/>
  <c r="M635" i="6"/>
  <c r="N635" i="6"/>
  <c r="T635" i="6"/>
  <c r="M636" i="6"/>
  <c r="N636" i="6"/>
  <c r="T636" i="6"/>
  <c r="M637" i="6"/>
  <c r="N637" i="6"/>
  <c r="T637" i="6"/>
  <c r="M638" i="6"/>
  <c r="N638" i="6"/>
  <c r="T638" i="6"/>
  <c r="M639" i="6"/>
  <c r="N639" i="6"/>
  <c r="Q639" i="6"/>
  <c r="R639" i="6" s="1"/>
  <c r="T639" i="6"/>
  <c r="M640" i="6"/>
  <c r="N640" i="6"/>
  <c r="Q640" i="6"/>
  <c r="R640" i="6" s="1"/>
  <c r="T640" i="6"/>
  <c r="M641" i="6"/>
  <c r="N641" i="6"/>
  <c r="Q641" i="6"/>
  <c r="R641" i="6" s="1"/>
  <c r="T641" i="6"/>
  <c r="M642" i="6"/>
  <c r="N642" i="6"/>
  <c r="T642" i="6"/>
  <c r="M643" i="6"/>
  <c r="N643" i="6"/>
  <c r="T643" i="6"/>
  <c r="M644" i="6"/>
  <c r="N644" i="6"/>
  <c r="Q644" i="6"/>
  <c r="R644" i="6" s="1"/>
  <c r="T644" i="6"/>
  <c r="M645" i="6"/>
  <c r="N645" i="6"/>
  <c r="T645" i="6"/>
  <c r="M646" i="6"/>
  <c r="N646" i="6"/>
  <c r="Q646" i="6"/>
  <c r="R646" i="6" s="1"/>
  <c r="T646" i="6"/>
  <c r="M647" i="6"/>
  <c r="N647" i="6"/>
  <c r="T647" i="6"/>
  <c r="M648" i="6"/>
  <c r="N648" i="6"/>
  <c r="T648" i="6"/>
  <c r="M649" i="6"/>
  <c r="N649" i="6"/>
  <c r="Q649" i="6"/>
  <c r="R649" i="6" s="1"/>
  <c r="T649" i="6"/>
  <c r="M650" i="6"/>
  <c r="N650" i="6"/>
  <c r="T650" i="6"/>
  <c r="M651" i="6"/>
  <c r="N651" i="6"/>
  <c r="T651" i="6"/>
  <c r="M652" i="6"/>
  <c r="N652" i="6"/>
  <c r="Q652" i="6"/>
  <c r="R652" i="6" s="1"/>
  <c r="T652" i="6"/>
  <c r="M653" i="6"/>
  <c r="N653" i="6"/>
  <c r="Q653" i="6"/>
  <c r="R653" i="6" s="1"/>
  <c r="T653" i="6"/>
  <c r="M654" i="6"/>
  <c r="N654" i="6"/>
  <c r="T654" i="6"/>
  <c r="M655" i="6"/>
  <c r="N655" i="6"/>
  <c r="Q655" i="6"/>
  <c r="R655" i="6" s="1"/>
  <c r="T655" i="6"/>
  <c r="M656" i="6"/>
  <c r="N656" i="6"/>
  <c r="T656" i="6"/>
  <c r="M657" i="6"/>
  <c r="N657" i="6"/>
  <c r="Q657" i="6"/>
  <c r="R657" i="6" s="1"/>
  <c r="T657" i="6"/>
  <c r="M658" i="6"/>
  <c r="N658" i="6"/>
  <c r="T658" i="6"/>
  <c r="M659" i="6"/>
  <c r="N659" i="6"/>
  <c r="T659" i="6"/>
  <c r="M660" i="6"/>
  <c r="N660" i="6"/>
  <c r="T660" i="6"/>
  <c r="M661" i="6"/>
  <c r="N661" i="6"/>
  <c r="T661" i="6"/>
  <c r="M662" i="6"/>
  <c r="N662" i="6"/>
  <c r="T662" i="6"/>
  <c r="M663" i="6"/>
  <c r="N663" i="6"/>
  <c r="Q663" i="6"/>
  <c r="R663" i="6" s="1"/>
  <c r="T663" i="6"/>
  <c r="M664" i="6"/>
  <c r="N664" i="6"/>
  <c r="T664" i="6"/>
  <c r="M665" i="6"/>
  <c r="N665" i="6"/>
  <c r="Q665" i="6"/>
  <c r="R665" i="6" s="1"/>
  <c r="T665" i="6"/>
  <c r="M666" i="6"/>
  <c r="N666" i="6"/>
  <c r="T666" i="6"/>
  <c r="M667" i="6"/>
  <c r="N667" i="6"/>
  <c r="T667" i="6"/>
  <c r="M668" i="6"/>
  <c r="N668" i="6"/>
  <c r="T668" i="6"/>
  <c r="M669" i="6"/>
  <c r="N669" i="6"/>
  <c r="Q669" i="6"/>
  <c r="R669" i="6" s="1"/>
  <c r="T669" i="6"/>
  <c r="M670" i="6"/>
  <c r="N670" i="6"/>
  <c r="Q670" i="6"/>
  <c r="R670" i="6" s="1"/>
  <c r="T670" i="6"/>
  <c r="M671" i="6"/>
  <c r="N671" i="6"/>
  <c r="T671" i="6"/>
  <c r="M672" i="6"/>
  <c r="N672" i="6"/>
  <c r="T672" i="6"/>
  <c r="M673" i="6"/>
  <c r="N673" i="6"/>
  <c r="T673" i="6"/>
  <c r="M674" i="6"/>
  <c r="N674" i="6"/>
  <c r="Q674" i="6"/>
  <c r="R674" i="6" s="1"/>
  <c r="T674" i="6"/>
  <c r="M675" i="6"/>
  <c r="N675" i="6"/>
  <c r="Q675" i="6"/>
  <c r="R675" i="6" s="1"/>
  <c r="T675" i="6"/>
  <c r="M676" i="6"/>
  <c r="N676" i="6"/>
  <c r="T676" i="6"/>
  <c r="M677" i="6"/>
  <c r="N677" i="6"/>
  <c r="Q677" i="6"/>
  <c r="R677" i="6" s="1"/>
  <c r="T677" i="6"/>
  <c r="M678" i="6"/>
  <c r="N678" i="6"/>
  <c r="T678" i="6"/>
  <c r="M679" i="6"/>
  <c r="N679" i="6"/>
  <c r="Q679" i="6"/>
  <c r="R679" i="6" s="1"/>
  <c r="T679" i="6"/>
  <c r="M680" i="6"/>
  <c r="N680" i="6"/>
  <c r="T680" i="6"/>
  <c r="M681" i="6"/>
  <c r="N681" i="6"/>
  <c r="T681" i="6"/>
  <c r="M682" i="6"/>
  <c r="N682" i="6"/>
  <c r="Q682" i="6"/>
  <c r="R682" i="6" s="1"/>
  <c r="T682" i="6"/>
  <c r="M683" i="6"/>
  <c r="N683" i="6"/>
  <c r="T683" i="6"/>
  <c r="M684" i="6"/>
  <c r="N684" i="6"/>
  <c r="T684" i="6"/>
  <c r="M685" i="6"/>
  <c r="N685" i="6"/>
  <c r="T685" i="6"/>
  <c r="M686" i="6"/>
  <c r="N686" i="6"/>
  <c r="Q686" i="6"/>
  <c r="R686" i="6" s="1"/>
  <c r="T686" i="6"/>
  <c r="M687" i="6"/>
  <c r="N687" i="6"/>
  <c r="T687" i="6"/>
  <c r="M688" i="6"/>
  <c r="N688" i="6"/>
  <c r="T688" i="6"/>
  <c r="M689" i="6"/>
  <c r="N689" i="6"/>
  <c r="Q689" i="6"/>
  <c r="R689" i="6" s="1"/>
  <c r="T689" i="6"/>
  <c r="M690" i="6"/>
  <c r="N690" i="6"/>
  <c r="T690" i="6"/>
  <c r="M691" i="6"/>
  <c r="N691" i="6"/>
  <c r="T691" i="6"/>
  <c r="M692" i="6"/>
  <c r="N692" i="6"/>
  <c r="T692" i="6"/>
  <c r="M693" i="6"/>
  <c r="N693" i="6"/>
  <c r="Q693" i="6"/>
  <c r="R693" i="6" s="1"/>
  <c r="T693" i="6"/>
  <c r="M694" i="6"/>
  <c r="N694" i="6"/>
  <c r="Q694" i="6"/>
  <c r="R694" i="6" s="1"/>
  <c r="T694" i="6"/>
  <c r="M695" i="6"/>
  <c r="N695" i="6"/>
  <c r="T695" i="6"/>
  <c r="M696" i="6"/>
  <c r="N696" i="6"/>
  <c r="T696" i="6"/>
  <c r="M697" i="6"/>
  <c r="N697" i="6"/>
  <c r="Q697" i="6"/>
  <c r="R697" i="6" s="1"/>
  <c r="T697" i="6"/>
  <c r="M698" i="6"/>
  <c r="N698" i="6"/>
  <c r="Q698" i="6"/>
  <c r="R698" i="6" s="1"/>
  <c r="T698" i="6"/>
  <c r="M699" i="6"/>
  <c r="N699" i="6"/>
  <c r="Q699" i="6"/>
  <c r="R699" i="6" s="1"/>
  <c r="T699" i="6"/>
  <c r="M700" i="6"/>
  <c r="N700" i="6"/>
  <c r="T700" i="6"/>
  <c r="M701" i="6"/>
  <c r="N701" i="6"/>
  <c r="T701" i="6"/>
  <c r="M702" i="6"/>
  <c r="N702" i="6"/>
  <c r="T702" i="6"/>
  <c r="M703" i="6"/>
  <c r="N703" i="6"/>
  <c r="T703" i="6"/>
  <c r="M704" i="6"/>
  <c r="N704" i="6"/>
  <c r="T704" i="6"/>
  <c r="M705" i="6"/>
  <c r="N705" i="6"/>
  <c r="T705" i="6"/>
  <c r="M706" i="6"/>
  <c r="N706" i="6"/>
  <c r="T706" i="6"/>
  <c r="M707" i="6"/>
  <c r="N707" i="6"/>
  <c r="Q707" i="6"/>
  <c r="R707" i="6" s="1"/>
  <c r="T707" i="6"/>
  <c r="M708" i="6"/>
  <c r="N708" i="6"/>
  <c r="T708" i="6"/>
  <c r="M709" i="6"/>
  <c r="N709" i="6"/>
  <c r="T709" i="6"/>
  <c r="M710" i="6"/>
  <c r="N710" i="6"/>
  <c r="T710" i="6"/>
  <c r="M711" i="6"/>
  <c r="N711" i="6"/>
  <c r="Q711" i="6"/>
  <c r="R711" i="6" s="1"/>
  <c r="T711" i="6"/>
  <c r="M712" i="6"/>
  <c r="N712" i="6"/>
  <c r="T712" i="6"/>
  <c r="M713" i="6"/>
  <c r="N713" i="6"/>
  <c r="Q713" i="6"/>
  <c r="R713" i="6" s="1"/>
  <c r="T713" i="6"/>
  <c r="M714" i="6"/>
  <c r="N714" i="6"/>
  <c r="T714" i="6"/>
  <c r="M715" i="6"/>
  <c r="N715" i="6"/>
  <c r="T715" i="6"/>
  <c r="M716" i="6"/>
  <c r="N716" i="6"/>
  <c r="Q716" i="6"/>
  <c r="R716" i="6" s="1"/>
  <c r="T716" i="6"/>
  <c r="M717" i="6"/>
  <c r="N717" i="6"/>
  <c r="T717" i="6"/>
  <c r="M718" i="6"/>
  <c r="N718" i="6"/>
  <c r="T718" i="6"/>
  <c r="M719" i="6"/>
  <c r="N719" i="6"/>
  <c r="Q719" i="6"/>
  <c r="R719" i="6" s="1"/>
  <c r="T719" i="6"/>
  <c r="M720" i="6"/>
  <c r="N720" i="6"/>
  <c r="T720" i="6"/>
  <c r="M721" i="6"/>
  <c r="N721" i="6"/>
  <c r="Q721" i="6"/>
  <c r="R721" i="6" s="1"/>
  <c r="T721" i="6"/>
  <c r="M722" i="6"/>
  <c r="N722" i="6"/>
  <c r="T722" i="6"/>
  <c r="M723" i="6"/>
  <c r="N723" i="6"/>
  <c r="T723" i="6"/>
  <c r="M724" i="6"/>
  <c r="N724" i="6"/>
  <c r="T724" i="6"/>
  <c r="M725" i="6"/>
  <c r="N725" i="6"/>
  <c r="Q725" i="6"/>
  <c r="R725" i="6" s="1"/>
  <c r="T725" i="6"/>
  <c r="M726" i="6"/>
  <c r="N726" i="6"/>
  <c r="Q726" i="6"/>
  <c r="R726" i="6" s="1"/>
  <c r="T726" i="6"/>
  <c r="M727" i="6"/>
  <c r="N727" i="6"/>
  <c r="Q727" i="6"/>
  <c r="R727" i="6" s="1"/>
  <c r="T727" i="6"/>
  <c r="M728" i="6"/>
  <c r="N728" i="6"/>
  <c r="T728" i="6"/>
  <c r="M729" i="6"/>
  <c r="N729" i="6"/>
  <c r="T729" i="6"/>
  <c r="M730" i="6"/>
  <c r="N730" i="6"/>
  <c r="T730" i="6"/>
  <c r="M731" i="6"/>
  <c r="N731" i="6"/>
  <c r="Q731" i="6"/>
  <c r="R731" i="6" s="1"/>
  <c r="T731" i="6"/>
  <c r="M732" i="6"/>
  <c r="N732" i="6"/>
  <c r="T732" i="6"/>
  <c r="M733" i="6"/>
  <c r="N733" i="6"/>
  <c r="T733" i="6"/>
  <c r="M734" i="6"/>
  <c r="N734" i="6"/>
  <c r="T734" i="6"/>
  <c r="M735" i="6"/>
  <c r="N735" i="6"/>
  <c r="T735" i="6"/>
  <c r="M736" i="6"/>
  <c r="N736" i="6"/>
  <c r="Q736" i="6"/>
  <c r="R736" i="6" s="1"/>
  <c r="T736" i="6"/>
  <c r="M737" i="6"/>
  <c r="N737" i="6"/>
  <c r="Q737" i="6"/>
  <c r="R737" i="6" s="1"/>
  <c r="T737" i="6"/>
  <c r="M738" i="6"/>
  <c r="N738" i="6"/>
  <c r="T738" i="6"/>
  <c r="M739" i="6"/>
  <c r="N739" i="6"/>
  <c r="Q739" i="6"/>
  <c r="R739" i="6" s="1"/>
  <c r="T739" i="6"/>
  <c r="M740" i="6"/>
  <c r="N740" i="6"/>
  <c r="Q740" i="6"/>
  <c r="R740" i="6" s="1"/>
  <c r="T740" i="6"/>
  <c r="M741" i="6"/>
  <c r="N741" i="6"/>
  <c r="Q741" i="6"/>
  <c r="R741" i="6" s="1"/>
  <c r="T741" i="6"/>
  <c r="M742" i="6"/>
  <c r="N742" i="6"/>
  <c r="T742" i="6"/>
  <c r="M743" i="6"/>
  <c r="N743" i="6"/>
  <c r="Q743" i="6"/>
  <c r="R743" i="6" s="1"/>
  <c r="T743" i="6"/>
  <c r="M744" i="6"/>
  <c r="N744" i="6"/>
  <c r="T744" i="6"/>
  <c r="M745" i="6"/>
  <c r="N745" i="6"/>
  <c r="Q745" i="6"/>
  <c r="R745" i="6" s="1"/>
  <c r="T745" i="6"/>
  <c r="M746" i="6"/>
  <c r="N746" i="6"/>
  <c r="Q746" i="6"/>
  <c r="R746" i="6" s="1"/>
  <c r="T746" i="6"/>
  <c r="M747" i="6"/>
  <c r="N747" i="6"/>
  <c r="T747" i="6"/>
  <c r="M748" i="6"/>
  <c r="N748" i="6"/>
  <c r="Q748" i="6"/>
  <c r="R748" i="6" s="1"/>
  <c r="T748" i="6"/>
  <c r="M749" i="6"/>
  <c r="N749" i="6"/>
  <c r="T749" i="6"/>
  <c r="M750" i="6"/>
  <c r="N750" i="6"/>
  <c r="T750" i="6"/>
  <c r="M751" i="6"/>
  <c r="N751" i="6"/>
  <c r="Q751" i="6"/>
  <c r="R751" i="6" s="1"/>
  <c r="T751" i="6"/>
  <c r="M752" i="6"/>
  <c r="N752" i="6"/>
  <c r="T752" i="6"/>
  <c r="M753" i="6"/>
  <c r="N753" i="6"/>
  <c r="Q753" i="6"/>
  <c r="R753" i="6" s="1"/>
  <c r="T753" i="6"/>
  <c r="M754" i="6"/>
  <c r="N754" i="6"/>
  <c r="T754" i="6"/>
  <c r="M755" i="6"/>
  <c r="N755" i="6"/>
  <c r="T755" i="6"/>
  <c r="M756" i="6"/>
  <c r="N756" i="6"/>
  <c r="T756" i="6"/>
  <c r="M757" i="6"/>
  <c r="N757" i="6"/>
  <c r="T757" i="6"/>
  <c r="M758" i="6"/>
  <c r="N758" i="6"/>
  <c r="Q758" i="6"/>
  <c r="R758" i="6" s="1"/>
  <c r="T758" i="6"/>
  <c r="M759" i="6"/>
  <c r="N759" i="6"/>
  <c r="T759" i="6"/>
  <c r="M760" i="6"/>
  <c r="N760" i="6"/>
  <c r="T760" i="6"/>
  <c r="M761" i="6"/>
  <c r="N761" i="6"/>
  <c r="T761" i="6"/>
  <c r="M762" i="6"/>
  <c r="N762" i="6"/>
  <c r="T762" i="6"/>
  <c r="M763" i="6"/>
  <c r="N763" i="6"/>
  <c r="Q763" i="6"/>
  <c r="R763" i="6" s="1"/>
  <c r="T763" i="6"/>
  <c r="M764" i="6"/>
  <c r="N764" i="6"/>
  <c r="P764" i="6"/>
  <c r="S764" i="6" s="1"/>
  <c r="T764" i="6"/>
  <c r="M765" i="6"/>
  <c r="N765" i="6"/>
  <c r="P765" i="6"/>
  <c r="S765" i="6" s="1"/>
  <c r="T765" i="6"/>
  <c r="M766" i="6"/>
  <c r="N766" i="6"/>
  <c r="T766" i="6"/>
  <c r="M767" i="6"/>
  <c r="N767" i="6"/>
  <c r="Q767" i="6"/>
  <c r="R767" i="6" s="1"/>
  <c r="T767" i="6"/>
  <c r="M768" i="6"/>
  <c r="N768" i="6"/>
  <c r="P768" i="6"/>
  <c r="S768" i="6" s="1"/>
  <c r="T768" i="6"/>
  <c r="M769" i="6"/>
  <c r="N769" i="6"/>
  <c r="T769" i="6"/>
  <c r="M770" i="6"/>
  <c r="N770" i="6"/>
  <c r="T770" i="6"/>
  <c r="M771" i="6"/>
  <c r="N771" i="6"/>
  <c r="P771" i="6"/>
  <c r="S771" i="6" s="1"/>
  <c r="T771" i="6"/>
  <c r="M772" i="6"/>
  <c r="N772" i="6"/>
  <c r="P772" i="6"/>
  <c r="S772" i="6" s="1"/>
  <c r="T772" i="6"/>
  <c r="M773" i="6"/>
  <c r="N773" i="6"/>
  <c r="T773" i="6"/>
  <c r="M774" i="6"/>
  <c r="N774" i="6"/>
  <c r="T774" i="6"/>
  <c r="M775" i="6"/>
  <c r="N775" i="6"/>
  <c r="T775" i="6"/>
  <c r="M776" i="6"/>
  <c r="N776" i="6"/>
  <c r="T776" i="6"/>
  <c r="M777" i="6"/>
  <c r="N777" i="6"/>
  <c r="T777" i="6"/>
  <c r="M778" i="6"/>
  <c r="N778" i="6"/>
  <c r="T778" i="6"/>
  <c r="M779" i="6"/>
  <c r="N779" i="6"/>
  <c r="P779" i="6"/>
  <c r="S779" i="6" s="1"/>
  <c r="T779" i="6"/>
  <c r="M780" i="6"/>
  <c r="N780" i="6"/>
  <c r="T780" i="6"/>
  <c r="M781" i="6"/>
  <c r="N781" i="6"/>
  <c r="T781" i="6"/>
  <c r="M782" i="6"/>
  <c r="N782" i="6"/>
  <c r="T782" i="6"/>
  <c r="M783" i="6"/>
  <c r="N783" i="6"/>
  <c r="P783" i="6"/>
  <c r="S783" i="6" s="1"/>
  <c r="T783" i="6"/>
  <c r="M784" i="6"/>
  <c r="N784" i="6"/>
  <c r="Q784" i="6"/>
  <c r="R784" i="6" s="1"/>
  <c r="T784" i="6"/>
  <c r="M785" i="6"/>
  <c r="N785" i="6"/>
  <c r="T785" i="6"/>
  <c r="M786" i="6"/>
  <c r="N786" i="6"/>
  <c r="T786" i="6"/>
  <c r="M787" i="6"/>
  <c r="N787" i="6"/>
  <c r="P787" i="6"/>
  <c r="S787" i="6" s="1"/>
  <c r="T787" i="6"/>
  <c r="M788" i="6"/>
  <c r="N788" i="6"/>
  <c r="T788" i="6"/>
  <c r="M789" i="6"/>
  <c r="N789" i="6"/>
  <c r="P789" i="6"/>
  <c r="S789" i="6" s="1"/>
  <c r="T789" i="6"/>
  <c r="M790" i="6"/>
  <c r="N790" i="6"/>
  <c r="T790" i="6"/>
  <c r="M791" i="6"/>
  <c r="N791" i="6"/>
  <c r="Q791" i="6"/>
  <c r="R791" i="6" s="1"/>
  <c r="T791" i="6"/>
  <c r="M792" i="6"/>
  <c r="N792" i="6"/>
  <c r="T792" i="6"/>
  <c r="M793" i="6"/>
  <c r="N793" i="6"/>
  <c r="Q793" i="6"/>
  <c r="R793" i="6" s="1"/>
  <c r="T793" i="6"/>
  <c r="M794" i="6"/>
  <c r="N794" i="6"/>
  <c r="T794" i="6"/>
  <c r="M795" i="6"/>
  <c r="N795" i="6"/>
  <c r="T795" i="6"/>
  <c r="M796" i="6"/>
  <c r="N796" i="6"/>
  <c r="Q796" i="6"/>
  <c r="R796" i="6" s="1"/>
  <c r="T796" i="6"/>
  <c r="M797" i="6"/>
  <c r="N797" i="6"/>
  <c r="P797" i="6"/>
  <c r="S797" i="6" s="1"/>
  <c r="T797" i="6"/>
  <c r="M798" i="6"/>
  <c r="N798" i="6"/>
  <c r="T798" i="6"/>
  <c r="M799" i="6"/>
  <c r="N799" i="6"/>
  <c r="T799" i="6"/>
  <c r="M800" i="6"/>
  <c r="N800" i="6"/>
  <c r="T800" i="6"/>
  <c r="M801" i="6"/>
  <c r="N801" i="6"/>
  <c r="Q801" i="6"/>
  <c r="R801" i="6" s="1"/>
  <c r="T801" i="6"/>
  <c r="M802" i="6"/>
  <c r="N802" i="6"/>
  <c r="T802" i="6"/>
  <c r="M803" i="6"/>
  <c r="N803" i="6"/>
  <c r="T803" i="6"/>
  <c r="M804" i="6"/>
  <c r="N804" i="6"/>
  <c r="T804" i="6"/>
  <c r="M805" i="6"/>
  <c r="N805" i="6"/>
  <c r="Q805" i="6"/>
  <c r="R805" i="6" s="1"/>
  <c r="T805" i="6"/>
  <c r="M806" i="6"/>
  <c r="N806" i="6"/>
  <c r="T806" i="6"/>
  <c r="M807" i="6"/>
  <c r="N807" i="6"/>
  <c r="Q807" i="6"/>
  <c r="R807" i="6" s="1"/>
  <c r="T807" i="6"/>
  <c r="M808" i="6"/>
  <c r="N808" i="6"/>
  <c r="Q808" i="6"/>
  <c r="R808" i="6" s="1"/>
  <c r="T808" i="6"/>
  <c r="M809" i="6"/>
  <c r="N809" i="6"/>
  <c r="Q809" i="6"/>
  <c r="R809" i="6" s="1"/>
  <c r="T809" i="6"/>
  <c r="M810" i="6"/>
  <c r="N810" i="6"/>
  <c r="T810" i="6"/>
  <c r="M811" i="6"/>
  <c r="N811" i="6"/>
  <c r="P811" i="6"/>
  <c r="S811" i="6" s="1"/>
  <c r="T811" i="6"/>
  <c r="M812" i="6"/>
  <c r="N812" i="6"/>
  <c r="Q812" i="6"/>
  <c r="R812" i="6" s="1"/>
  <c r="T812" i="6"/>
  <c r="M813" i="6"/>
  <c r="N813" i="6"/>
  <c r="T813" i="6"/>
  <c r="M814" i="6"/>
  <c r="N814" i="6"/>
  <c r="T814" i="6"/>
  <c r="M815" i="6"/>
  <c r="N815" i="6"/>
  <c r="P815" i="6"/>
  <c r="S815" i="6" s="1"/>
  <c r="T815" i="6"/>
  <c r="M816" i="6"/>
  <c r="N816" i="6"/>
  <c r="T816" i="6"/>
  <c r="M817" i="6"/>
  <c r="N817" i="6"/>
  <c r="P817" i="6"/>
  <c r="S817" i="6" s="1"/>
  <c r="T817" i="6"/>
  <c r="M818" i="6"/>
  <c r="N818" i="6"/>
  <c r="P818" i="6"/>
  <c r="S818" i="6" s="1"/>
  <c r="T818" i="6"/>
  <c r="M819" i="6"/>
  <c r="N819" i="6"/>
  <c r="P819" i="6"/>
  <c r="S819" i="6" s="1"/>
  <c r="T819" i="6"/>
  <c r="M820" i="6"/>
  <c r="N820" i="6"/>
  <c r="P820" i="6"/>
  <c r="S820" i="6" s="1"/>
  <c r="T820" i="6"/>
  <c r="M821" i="6"/>
  <c r="N821" i="6"/>
  <c r="T821" i="6"/>
  <c r="M822" i="6"/>
  <c r="N822" i="6"/>
  <c r="Q822" i="6"/>
  <c r="R822" i="6" s="1"/>
  <c r="T822" i="6"/>
  <c r="M823" i="6"/>
  <c r="N823" i="6"/>
  <c r="T823" i="6"/>
  <c r="M824" i="6"/>
  <c r="N824" i="6"/>
  <c r="T824" i="6"/>
  <c r="M825" i="6"/>
  <c r="N825" i="6"/>
  <c r="T825" i="6"/>
  <c r="M826" i="6"/>
  <c r="N826" i="6"/>
  <c r="T826" i="6"/>
  <c r="M827" i="6"/>
  <c r="N827" i="6"/>
  <c r="T827" i="6"/>
  <c r="M828" i="6"/>
  <c r="N828" i="6"/>
  <c r="Q828" i="6"/>
  <c r="R828" i="6" s="1"/>
  <c r="T828" i="6"/>
  <c r="M829" i="6"/>
  <c r="N829" i="6"/>
  <c r="T829" i="6"/>
  <c r="M830" i="6"/>
  <c r="N830" i="6"/>
  <c r="Q830" i="6"/>
  <c r="R830" i="6" s="1"/>
  <c r="T830" i="6"/>
  <c r="M831" i="6"/>
  <c r="N831" i="6"/>
  <c r="Q831" i="6"/>
  <c r="R831" i="6" s="1"/>
  <c r="T831" i="6"/>
  <c r="M832" i="6"/>
  <c r="N832" i="6"/>
  <c r="Q832" i="6"/>
  <c r="R832" i="6" s="1"/>
  <c r="T832" i="6"/>
  <c r="M833" i="6"/>
  <c r="N833" i="6"/>
  <c r="T833" i="6"/>
  <c r="M834" i="6"/>
  <c r="N834" i="6"/>
  <c r="Q834" i="6"/>
  <c r="R834" i="6" s="1"/>
  <c r="T834" i="6"/>
  <c r="M835" i="6"/>
  <c r="N835" i="6"/>
  <c r="T835" i="6"/>
  <c r="M836" i="6"/>
  <c r="N836" i="6"/>
  <c r="T836" i="6"/>
  <c r="M837" i="6"/>
  <c r="N837" i="6"/>
  <c r="Q837" i="6"/>
  <c r="R837" i="6" s="1"/>
  <c r="T837" i="6"/>
  <c r="M838" i="6"/>
  <c r="N838" i="6"/>
  <c r="T838" i="6"/>
  <c r="M839" i="6"/>
  <c r="N839" i="6"/>
  <c r="Q839" i="6"/>
  <c r="R839" i="6" s="1"/>
  <c r="T839" i="6"/>
  <c r="M840" i="6"/>
  <c r="N840" i="6"/>
  <c r="Q840" i="6"/>
  <c r="R840" i="6" s="1"/>
  <c r="T840" i="6"/>
  <c r="M841" i="6"/>
  <c r="N841" i="6"/>
  <c r="Q841" i="6"/>
  <c r="R841" i="6" s="1"/>
  <c r="T841" i="6"/>
  <c r="M842" i="6"/>
  <c r="N842" i="6"/>
  <c r="T842" i="6"/>
  <c r="M843" i="6"/>
  <c r="N843" i="6"/>
  <c r="Q843" i="6"/>
  <c r="R843" i="6" s="1"/>
  <c r="T843" i="6"/>
  <c r="M844" i="6"/>
  <c r="N844" i="6"/>
  <c r="T844" i="6"/>
  <c r="M845" i="6"/>
  <c r="N845" i="6"/>
  <c r="Q845" i="6"/>
  <c r="R845" i="6" s="1"/>
  <c r="T845" i="6"/>
  <c r="M846" i="6"/>
  <c r="N846" i="6"/>
  <c r="Q846" i="6"/>
  <c r="R846" i="6" s="1"/>
  <c r="T846" i="6"/>
  <c r="M847" i="6"/>
  <c r="N847" i="6"/>
  <c r="Q847" i="6"/>
  <c r="R847" i="6" s="1"/>
  <c r="T847" i="6"/>
  <c r="M848" i="6"/>
  <c r="N848" i="6"/>
  <c r="T848" i="6"/>
  <c r="M849" i="6"/>
  <c r="N849" i="6"/>
  <c r="Q849" i="6"/>
  <c r="R849" i="6" s="1"/>
  <c r="T849" i="6"/>
  <c r="M850" i="6"/>
  <c r="N850" i="6"/>
  <c r="Q850" i="6"/>
  <c r="R850" i="6" s="1"/>
  <c r="T850" i="6"/>
  <c r="M851" i="6"/>
  <c r="N851" i="6"/>
  <c r="Q851" i="6"/>
  <c r="R851" i="6" s="1"/>
  <c r="T851" i="6"/>
  <c r="M852" i="6"/>
  <c r="N852" i="6"/>
  <c r="T852" i="6"/>
  <c r="M853" i="6"/>
  <c r="N853" i="6"/>
  <c r="Q853" i="6"/>
  <c r="R853" i="6" s="1"/>
  <c r="T853" i="6"/>
  <c r="M854" i="6"/>
  <c r="N854" i="6"/>
  <c r="Q854" i="6"/>
  <c r="R854" i="6" s="1"/>
  <c r="T854" i="6"/>
  <c r="M855" i="6"/>
  <c r="N855" i="6"/>
  <c r="Q855" i="6"/>
  <c r="R855" i="6" s="1"/>
  <c r="T855" i="6"/>
  <c r="M856" i="6"/>
  <c r="N856" i="6"/>
  <c r="Q856" i="6"/>
  <c r="R856" i="6" s="1"/>
  <c r="T856" i="6"/>
  <c r="M857" i="6"/>
  <c r="N857" i="6"/>
  <c r="T857" i="6"/>
  <c r="M858" i="6"/>
  <c r="N858" i="6"/>
  <c r="Q858" i="6"/>
  <c r="R858" i="6" s="1"/>
  <c r="T858" i="6"/>
  <c r="M859" i="6"/>
  <c r="N859" i="6"/>
  <c r="Q859" i="6"/>
  <c r="R859" i="6" s="1"/>
  <c r="T859" i="6"/>
  <c r="M860" i="6"/>
  <c r="N860" i="6"/>
  <c r="Q860" i="6"/>
  <c r="R860" i="6" s="1"/>
  <c r="T860" i="6"/>
  <c r="M861" i="6"/>
  <c r="N861" i="6"/>
  <c r="T861" i="6"/>
  <c r="M862" i="6"/>
  <c r="N862" i="6"/>
  <c r="T862" i="6"/>
  <c r="M863" i="6"/>
  <c r="N863" i="6"/>
  <c r="Q863" i="6"/>
  <c r="R863" i="6" s="1"/>
  <c r="T863" i="6"/>
  <c r="M864" i="6"/>
  <c r="N864" i="6"/>
  <c r="Q864" i="6"/>
  <c r="R864" i="6" s="1"/>
  <c r="T864" i="6"/>
  <c r="M865" i="6"/>
  <c r="N865" i="6"/>
  <c r="Q865" i="6"/>
  <c r="R865" i="6" s="1"/>
  <c r="T865" i="6"/>
  <c r="M866" i="6"/>
  <c r="N866" i="6"/>
  <c r="T866" i="6"/>
  <c r="M867" i="6"/>
  <c r="N867" i="6"/>
  <c r="Q867" i="6"/>
  <c r="R867" i="6" s="1"/>
  <c r="T867" i="6"/>
  <c r="M868" i="6"/>
  <c r="N868" i="6"/>
  <c r="Q868" i="6"/>
  <c r="R868" i="6" s="1"/>
  <c r="T868" i="6"/>
  <c r="M869" i="6"/>
  <c r="N869" i="6"/>
  <c r="Q869" i="6"/>
  <c r="R869" i="6" s="1"/>
  <c r="T869" i="6"/>
  <c r="M870" i="6"/>
  <c r="N870" i="6"/>
  <c r="Q870" i="6"/>
  <c r="R870" i="6" s="1"/>
  <c r="T870" i="6"/>
  <c r="M871" i="6"/>
  <c r="N871" i="6"/>
  <c r="T871" i="6"/>
  <c r="M872" i="6"/>
  <c r="N872" i="6"/>
  <c r="Q872" i="6"/>
  <c r="R872" i="6" s="1"/>
  <c r="T872" i="6"/>
  <c r="M873" i="6"/>
  <c r="N873" i="6"/>
  <c r="T873" i="6"/>
  <c r="M874" i="6"/>
  <c r="N874" i="6"/>
  <c r="Q874" i="6"/>
  <c r="R874" i="6" s="1"/>
  <c r="T874" i="6"/>
  <c r="M875" i="6"/>
  <c r="N875" i="6"/>
  <c r="T875" i="6"/>
  <c r="M876" i="6"/>
  <c r="N876" i="6"/>
  <c r="Q876" i="6"/>
  <c r="R876" i="6" s="1"/>
  <c r="T876" i="6"/>
  <c r="M877" i="6"/>
  <c r="N877" i="6"/>
  <c r="Q877" i="6"/>
  <c r="R877" i="6" s="1"/>
  <c r="T877" i="6"/>
  <c r="M878" i="6"/>
  <c r="N878" i="6"/>
  <c r="Q878" i="6"/>
  <c r="R878" i="6" s="1"/>
  <c r="T878" i="6"/>
  <c r="M879" i="6"/>
  <c r="N879" i="6"/>
  <c r="T879" i="6"/>
  <c r="M880" i="6"/>
  <c r="N880" i="6"/>
  <c r="Q880" i="6"/>
  <c r="R880" i="6" s="1"/>
  <c r="T880" i="6"/>
  <c r="M881" i="6"/>
  <c r="N881" i="6"/>
  <c r="Q881" i="6"/>
  <c r="R881" i="6" s="1"/>
  <c r="T881" i="6"/>
  <c r="M882" i="6"/>
  <c r="N882" i="6"/>
  <c r="Q882" i="6"/>
  <c r="R882" i="6" s="1"/>
  <c r="T882" i="6"/>
  <c r="M883" i="6"/>
  <c r="N883" i="6"/>
  <c r="Q883" i="6"/>
  <c r="R883" i="6" s="1"/>
  <c r="T883" i="6"/>
  <c r="M884" i="6"/>
  <c r="N884" i="6"/>
  <c r="Q884" i="6"/>
  <c r="R884" i="6" s="1"/>
  <c r="T884" i="6"/>
  <c r="M885" i="6"/>
  <c r="N885" i="6"/>
  <c r="Q885" i="6"/>
  <c r="R885" i="6" s="1"/>
  <c r="T885" i="6"/>
  <c r="M886" i="6"/>
  <c r="N886" i="6"/>
  <c r="Q886" i="6"/>
  <c r="R886" i="6" s="1"/>
  <c r="T886" i="6"/>
  <c r="M887" i="6"/>
  <c r="N887" i="6"/>
  <c r="T887" i="6"/>
  <c r="M888" i="6"/>
  <c r="N888" i="6"/>
  <c r="Q888" i="6"/>
  <c r="R888" i="6" s="1"/>
  <c r="T888" i="6"/>
  <c r="M889" i="6"/>
  <c r="N889" i="6"/>
  <c r="Q889" i="6"/>
  <c r="R889" i="6" s="1"/>
  <c r="T889" i="6"/>
  <c r="M890" i="6"/>
  <c r="N890" i="6"/>
  <c r="Q890" i="6"/>
  <c r="R890" i="6" s="1"/>
  <c r="T890" i="6"/>
  <c r="M891" i="6"/>
  <c r="N891" i="6"/>
  <c r="Q891" i="6"/>
  <c r="R891" i="6" s="1"/>
  <c r="T891" i="6"/>
  <c r="M892" i="6"/>
  <c r="N892" i="6"/>
  <c r="T892" i="6"/>
  <c r="M893" i="6"/>
  <c r="N893" i="6"/>
  <c r="Q893" i="6"/>
  <c r="R893" i="6" s="1"/>
  <c r="T893" i="6"/>
  <c r="M894" i="6"/>
  <c r="N894" i="6"/>
  <c r="Q894" i="6"/>
  <c r="R894" i="6" s="1"/>
  <c r="T894" i="6"/>
  <c r="M895" i="6"/>
  <c r="N895" i="6"/>
  <c r="Q895" i="6"/>
  <c r="R895" i="6" s="1"/>
  <c r="T895" i="6"/>
  <c r="M896" i="6"/>
  <c r="N896" i="6"/>
  <c r="Q896" i="6"/>
  <c r="R896" i="6" s="1"/>
  <c r="T896" i="6"/>
  <c r="M897" i="6"/>
  <c r="N897" i="6"/>
  <c r="Q897" i="6"/>
  <c r="R897" i="6" s="1"/>
  <c r="T897" i="6"/>
  <c r="M898" i="6"/>
  <c r="N898" i="6"/>
  <c r="Q898" i="6"/>
  <c r="R898" i="6" s="1"/>
  <c r="T898" i="6"/>
  <c r="M899" i="6"/>
  <c r="N899" i="6"/>
  <c r="Q899" i="6"/>
  <c r="R899" i="6" s="1"/>
  <c r="T899" i="6"/>
  <c r="M900" i="6"/>
  <c r="N900" i="6"/>
  <c r="Q900" i="6"/>
  <c r="R900" i="6" s="1"/>
  <c r="T900" i="6"/>
  <c r="M901" i="6"/>
  <c r="N901" i="6"/>
  <c r="Q901" i="6"/>
  <c r="R901" i="6" s="1"/>
  <c r="T901" i="6"/>
  <c r="M902" i="6"/>
  <c r="N902" i="6"/>
  <c r="Q902" i="6"/>
  <c r="R902" i="6" s="1"/>
  <c r="T902" i="6"/>
  <c r="M903" i="6"/>
  <c r="N903" i="6"/>
  <c r="T903" i="6"/>
  <c r="M904" i="6"/>
  <c r="N904" i="6"/>
  <c r="Q904" i="6"/>
  <c r="R904" i="6" s="1"/>
  <c r="T904" i="6"/>
  <c r="M905" i="6"/>
  <c r="N905" i="6"/>
  <c r="T905" i="6"/>
  <c r="M906" i="6"/>
  <c r="N906" i="6"/>
  <c r="Q906" i="6"/>
  <c r="R906" i="6" s="1"/>
  <c r="T906" i="6"/>
  <c r="M907" i="6"/>
  <c r="N907" i="6"/>
  <c r="Q907" i="6"/>
  <c r="R907" i="6" s="1"/>
  <c r="T907" i="6"/>
  <c r="M908" i="6"/>
  <c r="N908" i="6"/>
  <c r="Q908" i="6"/>
  <c r="R908" i="6" s="1"/>
  <c r="T908" i="6"/>
  <c r="M909" i="6"/>
  <c r="N909" i="6"/>
  <c r="T909" i="6"/>
  <c r="M910" i="6"/>
  <c r="N910" i="6"/>
  <c r="Q910" i="6"/>
  <c r="R910" i="6" s="1"/>
  <c r="T910" i="6"/>
  <c r="M911" i="6"/>
  <c r="N911" i="6"/>
  <c r="T911" i="6"/>
  <c r="M912" i="6"/>
  <c r="N912" i="6"/>
  <c r="T912" i="6"/>
  <c r="M913" i="6"/>
  <c r="N913" i="6"/>
  <c r="T913" i="6"/>
  <c r="M914" i="6"/>
  <c r="N914" i="6"/>
  <c r="Q914" i="6"/>
  <c r="R914" i="6" s="1"/>
  <c r="T914" i="6"/>
  <c r="M915" i="6"/>
  <c r="N915" i="6"/>
  <c r="Q915" i="6"/>
  <c r="R915" i="6" s="1"/>
  <c r="T915" i="6"/>
  <c r="M916" i="6"/>
  <c r="N916" i="6"/>
  <c r="T916" i="6"/>
  <c r="M917" i="6"/>
  <c r="N917" i="6"/>
  <c r="Q917" i="6"/>
  <c r="R917" i="6" s="1"/>
  <c r="T917" i="6"/>
  <c r="M918" i="6"/>
  <c r="N918" i="6"/>
  <c r="Q918" i="6"/>
  <c r="R918" i="6" s="1"/>
  <c r="T918" i="6"/>
  <c r="M919" i="6"/>
  <c r="N919" i="6"/>
  <c r="Q919" i="6"/>
  <c r="R919" i="6" s="1"/>
  <c r="T919" i="6"/>
  <c r="M920" i="6"/>
  <c r="N920" i="6"/>
  <c r="T920" i="6"/>
  <c r="M921" i="6"/>
  <c r="N921" i="6"/>
  <c r="Q921" i="6"/>
  <c r="R921" i="6" s="1"/>
  <c r="T921" i="6"/>
  <c r="M922" i="6"/>
  <c r="N922" i="6"/>
  <c r="Q922" i="6"/>
  <c r="R922" i="6" s="1"/>
  <c r="T922" i="6"/>
  <c r="M923" i="6"/>
  <c r="N923" i="6"/>
  <c r="T923" i="6"/>
  <c r="M924" i="6"/>
  <c r="N924" i="6"/>
  <c r="Q924" i="6"/>
  <c r="R924" i="6" s="1"/>
  <c r="T924" i="6"/>
  <c r="M925" i="6"/>
  <c r="N925" i="6"/>
  <c r="Q925" i="6"/>
  <c r="R925" i="6" s="1"/>
  <c r="T925" i="6"/>
  <c r="M926" i="6"/>
  <c r="N926" i="6"/>
  <c r="T926" i="6"/>
  <c r="M927" i="6"/>
  <c r="N927" i="6"/>
  <c r="Q927" i="6"/>
  <c r="R927" i="6" s="1"/>
  <c r="T927" i="6"/>
  <c r="M928" i="6"/>
  <c r="N928" i="6"/>
  <c r="Q928" i="6"/>
  <c r="R928" i="6" s="1"/>
  <c r="T928" i="6"/>
  <c r="M929" i="6"/>
  <c r="N929" i="6"/>
  <c r="Q929" i="6"/>
  <c r="R929" i="6" s="1"/>
  <c r="T929" i="6"/>
  <c r="M930" i="6"/>
  <c r="N930" i="6"/>
  <c r="Q930" i="6"/>
  <c r="R930" i="6" s="1"/>
  <c r="T930" i="6"/>
  <c r="M931" i="6"/>
  <c r="N931" i="6"/>
  <c r="T931" i="6"/>
  <c r="M932" i="6"/>
  <c r="N932" i="6"/>
  <c r="T932" i="6"/>
  <c r="M933" i="6"/>
  <c r="N933" i="6"/>
  <c r="T933" i="6"/>
  <c r="M934" i="6"/>
  <c r="N934" i="6"/>
  <c r="Q934" i="6"/>
  <c r="R934" i="6" s="1"/>
  <c r="T934" i="6"/>
  <c r="M935" i="6"/>
  <c r="N935" i="6"/>
  <c r="Q935" i="6"/>
  <c r="R935" i="6" s="1"/>
  <c r="T935" i="6"/>
  <c r="M936" i="6"/>
  <c r="N936" i="6"/>
  <c r="Q936" i="6"/>
  <c r="R936" i="6" s="1"/>
  <c r="T936" i="6"/>
  <c r="M937" i="6"/>
  <c r="N937" i="6"/>
  <c r="Q937" i="6"/>
  <c r="R937" i="6" s="1"/>
  <c r="T937" i="6"/>
  <c r="M939" i="6"/>
  <c r="N939" i="6"/>
  <c r="Q939" i="6"/>
  <c r="R939" i="6" s="1"/>
  <c r="T939" i="6"/>
  <c r="M940" i="6"/>
  <c r="N940" i="6"/>
  <c r="Q940" i="6"/>
  <c r="R940" i="6" s="1"/>
  <c r="T940" i="6"/>
  <c r="M941" i="6"/>
  <c r="N941" i="6"/>
  <c r="T941" i="6"/>
  <c r="M942" i="6"/>
  <c r="N942" i="6"/>
  <c r="T942" i="6"/>
  <c r="M943" i="6"/>
  <c r="N943" i="6"/>
  <c r="Q943" i="6"/>
  <c r="R943" i="6" s="1"/>
  <c r="T943" i="6"/>
  <c r="M944" i="6"/>
  <c r="N944" i="6"/>
  <c r="T944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69" i="4"/>
  <c r="D70" i="4"/>
  <c r="D71" i="4"/>
  <c r="D72" i="4"/>
  <c r="U1119" i="6" l="1"/>
  <c r="V1119" i="6" s="1"/>
  <c r="W1119" i="6" s="1"/>
  <c r="X1119" i="6" s="1"/>
  <c r="U957" i="6"/>
  <c r="V957" i="6" s="1"/>
  <c r="W957" i="6" s="1"/>
  <c r="X957" i="6" s="1"/>
  <c r="U1207" i="6"/>
  <c r="V1207" i="6" s="1"/>
  <c r="W1207" i="6" s="1"/>
  <c r="X1207" i="6" s="1"/>
  <c r="U1205" i="6"/>
  <c r="V1205" i="6" s="1"/>
  <c r="W1205" i="6" s="1"/>
  <c r="X1205" i="6" s="1"/>
  <c r="P1136" i="6"/>
  <c r="S1136" i="6" s="1"/>
  <c r="U1136" i="6" s="1"/>
  <c r="V1136" i="6" s="1"/>
  <c r="W1136" i="6" s="1"/>
  <c r="X1136" i="6" s="1"/>
  <c r="Q1029" i="6"/>
  <c r="R1029" i="6" s="1"/>
  <c r="P970" i="6"/>
  <c r="S970" i="6" s="1"/>
  <c r="U970" i="6" s="1"/>
  <c r="V970" i="6" s="1"/>
  <c r="W970" i="6" s="1"/>
  <c r="X970" i="6" s="1"/>
  <c r="P1242" i="6"/>
  <c r="S1242" i="6" s="1"/>
  <c r="U1242" i="6" s="1"/>
  <c r="V1242" i="6" s="1"/>
  <c r="W1242" i="6" s="1"/>
  <c r="X1242" i="6" s="1"/>
  <c r="P1228" i="6"/>
  <c r="S1228" i="6" s="1"/>
  <c r="U1228" i="6" s="1"/>
  <c r="V1228" i="6" s="1"/>
  <c r="W1228" i="6" s="1"/>
  <c r="X1228" i="6" s="1"/>
  <c r="P1156" i="6"/>
  <c r="S1156" i="6" s="1"/>
  <c r="U1156" i="6" s="1"/>
  <c r="V1156" i="6" s="1"/>
  <c r="W1156" i="6" s="1"/>
  <c r="X1156" i="6" s="1"/>
  <c r="P1138" i="6"/>
  <c r="S1138" i="6" s="1"/>
  <c r="U1138" i="6" s="1"/>
  <c r="V1138" i="6" s="1"/>
  <c r="W1138" i="6" s="1"/>
  <c r="X1138" i="6" s="1"/>
  <c r="P1130" i="6"/>
  <c r="S1130" i="6" s="1"/>
  <c r="U1130" i="6" s="1"/>
  <c r="V1130" i="6" s="1"/>
  <c r="W1130" i="6" s="1"/>
  <c r="X1130" i="6" s="1"/>
  <c r="P1213" i="6"/>
  <c r="S1213" i="6" s="1"/>
  <c r="U1213" i="6" s="1"/>
  <c r="V1213" i="6" s="1"/>
  <c r="W1213" i="6" s="1"/>
  <c r="X1213" i="6" s="1"/>
  <c r="P1161" i="6"/>
  <c r="S1161" i="6" s="1"/>
  <c r="U1161" i="6" s="1"/>
  <c r="V1161" i="6" s="1"/>
  <c r="W1161" i="6" s="1"/>
  <c r="X1161" i="6" s="1"/>
  <c r="P1140" i="6"/>
  <c r="S1140" i="6" s="1"/>
  <c r="U1140" i="6" s="1"/>
  <c r="V1140" i="6" s="1"/>
  <c r="W1140" i="6" s="1"/>
  <c r="X1140" i="6" s="1"/>
  <c r="P1244" i="6"/>
  <c r="S1244" i="6" s="1"/>
  <c r="U1244" i="6" s="1"/>
  <c r="V1244" i="6" s="1"/>
  <c r="W1244" i="6" s="1"/>
  <c r="X1244" i="6" s="1"/>
  <c r="P1194" i="6"/>
  <c r="S1194" i="6" s="1"/>
  <c r="U1194" i="6" s="1"/>
  <c r="V1194" i="6" s="1"/>
  <c r="W1194" i="6" s="1"/>
  <c r="X1194" i="6" s="1"/>
  <c r="P1158" i="6"/>
  <c r="S1158" i="6" s="1"/>
  <c r="U1158" i="6" s="1"/>
  <c r="V1158" i="6" s="1"/>
  <c r="W1158" i="6" s="1"/>
  <c r="X1158" i="6" s="1"/>
  <c r="P1132" i="6"/>
  <c r="S1132" i="6" s="1"/>
  <c r="U1132" i="6" s="1"/>
  <c r="V1132" i="6" s="1"/>
  <c r="W1132" i="6" s="1"/>
  <c r="X1132" i="6" s="1"/>
  <c r="P1021" i="6"/>
  <c r="S1021" i="6" s="1"/>
  <c r="U1021" i="6" s="1"/>
  <c r="V1021" i="6" s="1"/>
  <c r="W1021" i="6" s="1"/>
  <c r="X1021" i="6" s="1"/>
  <c r="P1241" i="6"/>
  <c r="S1241" i="6" s="1"/>
  <c r="U1241" i="6" s="1"/>
  <c r="V1241" i="6" s="1"/>
  <c r="W1241" i="6" s="1"/>
  <c r="X1241" i="6" s="1"/>
  <c r="P1215" i="6"/>
  <c r="S1215" i="6" s="1"/>
  <c r="U1215" i="6" s="1"/>
  <c r="V1215" i="6" s="1"/>
  <c r="W1215" i="6" s="1"/>
  <c r="X1215" i="6" s="1"/>
  <c r="Q1205" i="6"/>
  <c r="R1205" i="6" s="1"/>
  <c r="P1188" i="6"/>
  <c r="S1188" i="6" s="1"/>
  <c r="U1188" i="6" s="1"/>
  <c r="V1188" i="6" s="1"/>
  <c r="W1188" i="6" s="1"/>
  <c r="X1188" i="6" s="1"/>
  <c r="P1254" i="6"/>
  <c r="S1254" i="6" s="1"/>
  <c r="U1254" i="6" s="1"/>
  <c r="V1254" i="6" s="1"/>
  <c r="W1254" i="6" s="1"/>
  <c r="X1254" i="6" s="1"/>
  <c r="P1168" i="6"/>
  <c r="S1168" i="6" s="1"/>
  <c r="U1168" i="6" s="1"/>
  <c r="V1168" i="6" s="1"/>
  <c r="W1168" i="6" s="1"/>
  <c r="X1168" i="6" s="1"/>
  <c r="P1144" i="6"/>
  <c r="S1144" i="6" s="1"/>
  <c r="U1144" i="6" s="1"/>
  <c r="V1144" i="6" s="1"/>
  <c r="W1144" i="6" s="1"/>
  <c r="X1144" i="6" s="1"/>
  <c r="P1137" i="6"/>
  <c r="S1137" i="6" s="1"/>
  <c r="U1137" i="6" s="1"/>
  <c r="V1137" i="6" s="1"/>
  <c r="W1137" i="6" s="1"/>
  <c r="X1137" i="6" s="1"/>
  <c r="P1126" i="6"/>
  <c r="S1126" i="6" s="1"/>
  <c r="U1126" i="6" s="1"/>
  <c r="V1126" i="6" s="1"/>
  <c r="W1126" i="6" s="1"/>
  <c r="X1126" i="6" s="1"/>
  <c r="P1259" i="6"/>
  <c r="S1259" i="6" s="1"/>
  <c r="U1259" i="6" s="1"/>
  <c r="V1259" i="6" s="1"/>
  <c r="W1259" i="6" s="1"/>
  <c r="X1259" i="6" s="1"/>
  <c r="P1210" i="6"/>
  <c r="S1210" i="6" s="1"/>
  <c r="U1210" i="6" s="1"/>
  <c r="V1210" i="6" s="1"/>
  <c r="W1210" i="6" s="1"/>
  <c r="X1210" i="6" s="1"/>
  <c r="P1208" i="6"/>
  <c r="S1208" i="6" s="1"/>
  <c r="U1208" i="6" s="1"/>
  <c r="V1208" i="6" s="1"/>
  <c r="W1208" i="6" s="1"/>
  <c r="X1208" i="6" s="1"/>
  <c r="P1206" i="6"/>
  <c r="S1206" i="6" s="1"/>
  <c r="U1206" i="6" s="1"/>
  <c r="V1206" i="6" s="1"/>
  <c r="W1206" i="6" s="1"/>
  <c r="X1206" i="6" s="1"/>
  <c r="P976" i="6"/>
  <c r="S976" i="6" s="1"/>
  <c r="U976" i="6" s="1"/>
  <c r="V976" i="6" s="1"/>
  <c r="W976" i="6" s="1"/>
  <c r="X976" i="6" s="1"/>
  <c r="P1271" i="6"/>
  <c r="S1271" i="6" s="1"/>
  <c r="U1271" i="6" s="1"/>
  <c r="V1271" i="6" s="1"/>
  <c r="W1271" i="6" s="1"/>
  <c r="X1271" i="6" s="1"/>
  <c r="P1235" i="6"/>
  <c r="S1235" i="6" s="1"/>
  <c r="U1235" i="6" s="1"/>
  <c r="V1235" i="6" s="1"/>
  <c r="W1235" i="6" s="1"/>
  <c r="X1235" i="6" s="1"/>
  <c r="P1176" i="6"/>
  <c r="S1176" i="6" s="1"/>
  <c r="U1176" i="6" s="1"/>
  <c r="V1176" i="6" s="1"/>
  <c r="W1176" i="6" s="1"/>
  <c r="X1176" i="6" s="1"/>
  <c r="P1200" i="6"/>
  <c r="S1200" i="6" s="1"/>
  <c r="U1200" i="6" s="1"/>
  <c r="V1200" i="6" s="1"/>
  <c r="W1200" i="6" s="1"/>
  <c r="X1200" i="6" s="1"/>
  <c r="U1081" i="6"/>
  <c r="V1081" i="6" s="1"/>
  <c r="W1081" i="6" s="1"/>
  <c r="X1081" i="6" s="1"/>
  <c r="U1204" i="6"/>
  <c r="V1204" i="6" s="1"/>
  <c r="W1204" i="6" s="1"/>
  <c r="X1204" i="6" s="1"/>
  <c r="U1000" i="6"/>
  <c r="V1000" i="6" s="1"/>
  <c r="W1000" i="6" s="1"/>
  <c r="X1000" i="6" s="1"/>
  <c r="U1147" i="6"/>
  <c r="V1147" i="6" s="1"/>
  <c r="W1147" i="6" s="1"/>
  <c r="X1147" i="6" s="1"/>
  <c r="U1082" i="6"/>
  <c r="V1082" i="6" s="1"/>
  <c r="W1082" i="6" s="1"/>
  <c r="X1082" i="6" s="1"/>
  <c r="U1268" i="6"/>
  <c r="V1268" i="6" s="1"/>
  <c r="W1268" i="6" s="1"/>
  <c r="X1268" i="6" s="1"/>
  <c r="U1180" i="6"/>
  <c r="V1180" i="6" s="1"/>
  <c r="W1180" i="6" s="1"/>
  <c r="X1180" i="6" s="1"/>
  <c r="U1150" i="6"/>
  <c r="V1150" i="6" s="1"/>
  <c r="W1150" i="6" s="1"/>
  <c r="X1150" i="6" s="1"/>
  <c r="U1253" i="6"/>
  <c r="V1253" i="6" s="1"/>
  <c r="W1253" i="6" s="1"/>
  <c r="X1253" i="6" s="1"/>
  <c r="U1251" i="6"/>
  <c r="V1251" i="6" s="1"/>
  <c r="W1251" i="6" s="1"/>
  <c r="X1251" i="6" s="1"/>
  <c r="U1142" i="6"/>
  <c r="V1142" i="6" s="1"/>
  <c r="W1142" i="6" s="1"/>
  <c r="X1142" i="6" s="1"/>
  <c r="U1105" i="6"/>
  <c r="V1105" i="6" s="1"/>
  <c r="W1105" i="6" s="1"/>
  <c r="X1105" i="6" s="1"/>
  <c r="U982" i="6"/>
  <c r="V982" i="6" s="1"/>
  <c r="W982" i="6" s="1"/>
  <c r="X982" i="6" s="1"/>
  <c r="U1153" i="6"/>
  <c r="V1153" i="6" s="1"/>
  <c r="W1153" i="6" s="1"/>
  <c r="X1153" i="6" s="1"/>
  <c r="U1039" i="6"/>
  <c r="V1039" i="6" s="1"/>
  <c r="W1039" i="6" s="1"/>
  <c r="X1039" i="6" s="1"/>
  <c r="U1123" i="6"/>
  <c r="V1123" i="6" s="1"/>
  <c r="W1123" i="6" s="1"/>
  <c r="X1123" i="6" s="1"/>
  <c r="U1049" i="6"/>
  <c r="V1049" i="6" s="1"/>
  <c r="W1049" i="6" s="1"/>
  <c r="X1049" i="6" s="1"/>
  <c r="U1003" i="6"/>
  <c r="V1003" i="6" s="1"/>
  <c r="W1003" i="6" s="1"/>
  <c r="X1003" i="6" s="1"/>
  <c r="U968" i="6"/>
  <c r="V968" i="6" s="1"/>
  <c r="W968" i="6" s="1"/>
  <c r="X968" i="6" s="1"/>
  <c r="U1256" i="6"/>
  <c r="V1256" i="6" s="1"/>
  <c r="W1256" i="6" s="1"/>
  <c r="X1256" i="6" s="1"/>
  <c r="U1247" i="6"/>
  <c r="V1247" i="6" s="1"/>
  <c r="W1247" i="6" s="1"/>
  <c r="X1247" i="6" s="1"/>
  <c r="U1182" i="6"/>
  <c r="V1182" i="6" s="1"/>
  <c r="W1182" i="6" s="1"/>
  <c r="X1182" i="6" s="1"/>
  <c r="U949" i="6"/>
  <c r="V949" i="6" s="1"/>
  <c r="W949" i="6" s="1"/>
  <c r="X949" i="6" s="1"/>
  <c r="U1005" i="6"/>
  <c r="V1005" i="6" s="1"/>
  <c r="W1005" i="6" s="1"/>
  <c r="X1005" i="6" s="1"/>
  <c r="P1270" i="6"/>
  <c r="S1270" i="6" s="1"/>
  <c r="U1270" i="6" s="1"/>
  <c r="V1270" i="6" s="1"/>
  <c r="W1270" i="6" s="1"/>
  <c r="X1270" i="6" s="1"/>
  <c r="P1227" i="6"/>
  <c r="S1227" i="6" s="1"/>
  <c r="U1227" i="6" s="1"/>
  <c r="V1227" i="6" s="1"/>
  <c r="W1227" i="6" s="1"/>
  <c r="X1227" i="6" s="1"/>
  <c r="P1149" i="6"/>
  <c r="S1149" i="6" s="1"/>
  <c r="U1149" i="6" s="1"/>
  <c r="V1149" i="6" s="1"/>
  <c r="W1149" i="6" s="1"/>
  <c r="X1149" i="6" s="1"/>
  <c r="U1165" i="6"/>
  <c r="V1165" i="6" s="1"/>
  <c r="W1165" i="6" s="1"/>
  <c r="X1165" i="6" s="1"/>
  <c r="U1053" i="6"/>
  <c r="V1053" i="6" s="1"/>
  <c r="W1053" i="6" s="1"/>
  <c r="X1053" i="6" s="1"/>
  <c r="U1016" i="6"/>
  <c r="V1016" i="6" s="1"/>
  <c r="W1016" i="6" s="1"/>
  <c r="X1016" i="6" s="1"/>
  <c r="U993" i="6"/>
  <c r="V993" i="6" s="1"/>
  <c r="W993" i="6" s="1"/>
  <c r="X993" i="6" s="1"/>
  <c r="Q981" i="6"/>
  <c r="R981" i="6" s="1"/>
  <c r="P1265" i="6"/>
  <c r="S1265" i="6" s="1"/>
  <c r="U1265" i="6" s="1"/>
  <c r="V1265" i="6" s="1"/>
  <c r="W1265" i="6" s="1"/>
  <c r="X1265" i="6" s="1"/>
  <c r="P1263" i="6"/>
  <c r="S1263" i="6" s="1"/>
  <c r="U1263" i="6" s="1"/>
  <c r="V1263" i="6" s="1"/>
  <c r="W1263" i="6" s="1"/>
  <c r="X1263" i="6" s="1"/>
  <c r="P1258" i="6"/>
  <c r="S1258" i="6" s="1"/>
  <c r="U1258" i="6" s="1"/>
  <c r="V1258" i="6" s="1"/>
  <c r="W1258" i="6" s="1"/>
  <c r="X1258" i="6" s="1"/>
  <c r="P1239" i="6"/>
  <c r="S1239" i="6" s="1"/>
  <c r="U1239" i="6" s="1"/>
  <c r="V1239" i="6" s="1"/>
  <c r="W1239" i="6" s="1"/>
  <c r="X1239" i="6" s="1"/>
  <c r="P1219" i="6"/>
  <c r="S1219" i="6" s="1"/>
  <c r="U1219" i="6" s="1"/>
  <c r="V1219" i="6" s="1"/>
  <c r="W1219" i="6" s="1"/>
  <c r="X1219" i="6" s="1"/>
  <c r="P1121" i="6"/>
  <c r="S1121" i="6" s="1"/>
  <c r="U1121" i="6" s="1"/>
  <c r="V1121" i="6" s="1"/>
  <c r="W1121" i="6" s="1"/>
  <c r="X1121" i="6" s="1"/>
  <c r="U1102" i="6"/>
  <c r="V1102" i="6" s="1"/>
  <c r="W1102" i="6" s="1"/>
  <c r="X1102" i="6" s="1"/>
  <c r="U1246" i="6"/>
  <c r="V1246" i="6" s="1"/>
  <c r="W1246" i="6" s="1"/>
  <c r="X1246" i="6" s="1"/>
  <c r="U1141" i="6"/>
  <c r="V1141" i="6" s="1"/>
  <c r="W1141" i="6" s="1"/>
  <c r="X1141" i="6" s="1"/>
  <c r="U1109" i="6"/>
  <c r="V1109" i="6" s="1"/>
  <c r="W1109" i="6" s="1"/>
  <c r="X1109" i="6" s="1"/>
  <c r="U1231" i="6"/>
  <c r="V1231" i="6" s="1"/>
  <c r="W1231" i="6" s="1"/>
  <c r="X1231" i="6" s="1"/>
  <c r="P1223" i="6"/>
  <c r="S1223" i="6" s="1"/>
  <c r="U1223" i="6" s="1"/>
  <c r="V1223" i="6" s="1"/>
  <c r="W1223" i="6" s="1"/>
  <c r="X1223" i="6" s="1"/>
  <c r="P1183" i="6"/>
  <c r="S1183" i="6" s="1"/>
  <c r="U1183" i="6" s="1"/>
  <c r="V1183" i="6" s="1"/>
  <c r="W1183" i="6" s="1"/>
  <c r="X1183" i="6" s="1"/>
  <c r="P1166" i="6"/>
  <c r="S1166" i="6" s="1"/>
  <c r="U1166" i="6" s="1"/>
  <c r="V1166" i="6" s="1"/>
  <c r="W1166" i="6" s="1"/>
  <c r="X1166" i="6" s="1"/>
  <c r="P1164" i="6"/>
  <c r="S1164" i="6" s="1"/>
  <c r="U1164" i="6" s="1"/>
  <c r="V1164" i="6" s="1"/>
  <c r="W1164" i="6" s="1"/>
  <c r="X1164" i="6" s="1"/>
  <c r="P1159" i="6"/>
  <c r="S1159" i="6" s="1"/>
  <c r="U1159" i="6" s="1"/>
  <c r="V1159" i="6" s="1"/>
  <c r="W1159" i="6" s="1"/>
  <c r="X1159" i="6" s="1"/>
  <c r="P1125" i="6"/>
  <c r="S1125" i="6" s="1"/>
  <c r="U1125" i="6" s="1"/>
  <c r="V1125" i="6" s="1"/>
  <c r="W1125" i="6" s="1"/>
  <c r="X1125" i="6" s="1"/>
  <c r="U995" i="6"/>
  <c r="V995" i="6" s="1"/>
  <c r="W995" i="6" s="1"/>
  <c r="X995" i="6" s="1"/>
  <c r="U1085" i="6"/>
  <c r="V1085" i="6" s="1"/>
  <c r="W1085" i="6" s="1"/>
  <c r="X1085" i="6" s="1"/>
  <c r="Q1017" i="6"/>
  <c r="R1017" i="6" s="1"/>
  <c r="Q1015" i="6"/>
  <c r="R1015" i="6" s="1"/>
  <c r="U1266" i="6"/>
  <c r="V1266" i="6" s="1"/>
  <c r="W1266" i="6" s="1"/>
  <c r="X1266" i="6" s="1"/>
  <c r="Q1204" i="6"/>
  <c r="R1204" i="6" s="1"/>
  <c r="U1202" i="6"/>
  <c r="V1202" i="6" s="1"/>
  <c r="W1202" i="6" s="1"/>
  <c r="X1202" i="6" s="1"/>
  <c r="U1190" i="6"/>
  <c r="V1190" i="6" s="1"/>
  <c r="W1190" i="6" s="1"/>
  <c r="X1190" i="6" s="1"/>
  <c r="U948" i="6"/>
  <c r="V948" i="6" s="1"/>
  <c r="W948" i="6" s="1"/>
  <c r="X948" i="6" s="1"/>
  <c r="U990" i="6"/>
  <c r="V990" i="6" s="1"/>
  <c r="W990" i="6" s="1"/>
  <c r="X990" i="6" s="1"/>
  <c r="U947" i="6"/>
  <c r="V947" i="6" s="1"/>
  <c r="W947" i="6" s="1"/>
  <c r="X947" i="6" s="1"/>
  <c r="U1118" i="6"/>
  <c r="V1118" i="6" s="1"/>
  <c r="W1118" i="6" s="1"/>
  <c r="X1118" i="6" s="1"/>
  <c r="P1054" i="6"/>
  <c r="S1054" i="6" s="1"/>
  <c r="U1054" i="6" s="1"/>
  <c r="V1054" i="6" s="1"/>
  <c r="W1054" i="6" s="1"/>
  <c r="X1054" i="6" s="1"/>
  <c r="U1040" i="6"/>
  <c r="V1040" i="6" s="1"/>
  <c r="W1040" i="6" s="1"/>
  <c r="X1040" i="6" s="1"/>
  <c r="U964" i="6"/>
  <c r="V964" i="6" s="1"/>
  <c r="W964" i="6" s="1"/>
  <c r="X964" i="6" s="1"/>
  <c r="P1220" i="6"/>
  <c r="S1220" i="6" s="1"/>
  <c r="U1220" i="6" s="1"/>
  <c r="V1220" i="6" s="1"/>
  <c r="W1220" i="6" s="1"/>
  <c r="X1220" i="6" s="1"/>
  <c r="P1211" i="6"/>
  <c r="S1211" i="6" s="1"/>
  <c r="U1211" i="6" s="1"/>
  <c r="V1211" i="6" s="1"/>
  <c r="W1211" i="6" s="1"/>
  <c r="X1211" i="6" s="1"/>
  <c r="P1197" i="6"/>
  <c r="S1197" i="6" s="1"/>
  <c r="U1197" i="6" s="1"/>
  <c r="V1197" i="6" s="1"/>
  <c r="W1197" i="6" s="1"/>
  <c r="X1197" i="6" s="1"/>
  <c r="P1192" i="6"/>
  <c r="S1192" i="6" s="1"/>
  <c r="U1192" i="6" s="1"/>
  <c r="V1192" i="6" s="1"/>
  <c r="W1192" i="6" s="1"/>
  <c r="X1192" i="6" s="1"/>
  <c r="P1185" i="6"/>
  <c r="S1185" i="6" s="1"/>
  <c r="U1185" i="6" s="1"/>
  <c r="V1185" i="6" s="1"/>
  <c r="W1185" i="6" s="1"/>
  <c r="X1185" i="6" s="1"/>
  <c r="P1178" i="6"/>
  <c r="S1178" i="6" s="1"/>
  <c r="U1178" i="6" s="1"/>
  <c r="V1178" i="6" s="1"/>
  <c r="W1178" i="6" s="1"/>
  <c r="X1178" i="6" s="1"/>
  <c r="P1173" i="6"/>
  <c r="S1173" i="6" s="1"/>
  <c r="U1173" i="6" s="1"/>
  <c r="V1173" i="6" s="1"/>
  <c r="W1173" i="6" s="1"/>
  <c r="X1173" i="6" s="1"/>
  <c r="P1154" i="6"/>
  <c r="S1154" i="6" s="1"/>
  <c r="U1154" i="6" s="1"/>
  <c r="V1154" i="6" s="1"/>
  <c r="W1154" i="6" s="1"/>
  <c r="X1154" i="6" s="1"/>
  <c r="P1129" i="6"/>
  <c r="S1129" i="6" s="1"/>
  <c r="U1129" i="6" s="1"/>
  <c r="V1129" i="6" s="1"/>
  <c r="W1129" i="6" s="1"/>
  <c r="X1129" i="6" s="1"/>
  <c r="P1120" i="6"/>
  <c r="S1120" i="6" s="1"/>
  <c r="U1120" i="6" s="1"/>
  <c r="V1120" i="6" s="1"/>
  <c r="W1120" i="6" s="1"/>
  <c r="X1120" i="6" s="1"/>
  <c r="Q1196" i="6"/>
  <c r="R1196" i="6" s="1"/>
  <c r="P1196" i="6"/>
  <c r="S1196" i="6" s="1"/>
  <c r="U1196" i="6" s="1"/>
  <c r="V1196" i="6" s="1"/>
  <c r="W1196" i="6" s="1"/>
  <c r="X1196" i="6" s="1"/>
  <c r="Q1269" i="6"/>
  <c r="R1269" i="6" s="1"/>
  <c r="P1269" i="6"/>
  <c r="S1269" i="6" s="1"/>
  <c r="U1269" i="6" s="1"/>
  <c r="V1269" i="6" s="1"/>
  <c r="W1269" i="6" s="1"/>
  <c r="X1269" i="6" s="1"/>
  <c r="Q1224" i="6"/>
  <c r="R1224" i="6" s="1"/>
  <c r="P1224" i="6"/>
  <c r="S1224" i="6" s="1"/>
  <c r="U1224" i="6" s="1"/>
  <c r="V1224" i="6" s="1"/>
  <c r="W1224" i="6" s="1"/>
  <c r="X1224" i="6" s="1"/>
  <c r="Q1245" i="6"/>
  <c r="R1245" i="6" s="1"/>
  <c r="P1245" i="6"/>
  <c r="S1245" i="6" s="1"/>
  <c r="U1245" i="6" s="1"/>
  <c r="V1245" i="6" s="1"/>
  <c r="W1245" i="6" s="1"/>
  <c r="X1245" i="6" s="1"/>
  <c r="Q1216" i="6"/>
  <c r="R1216" i="6" s="1"/>
  <c r="P1216" i="6"/>
  <c r="S1216" i="6" s="1"/>
  <c r="U1216" i="6" s="1"/>
  <c r="V1216" i="6" s="1"/>
  <c r="W1216" i="6" s="1"/>
  <c r="X1216" i="6" s="1"/>
  <c r="Q1181" i="6"/>
  <c r="R1181" i="6" s="1"/>
  <c r="P1181" i="6"/>
  <c r="S1181" i="6" s="1"/>
  <c r="U1181" i="6" s="1"/>
  <c r="V1181" i="6" s="1"/>
  <c r="W1181" i="6" s="1"/>
  <c r="X1181" i="6" s="1"/>
  <c r="Q1257" i="6"/>
  <c r="R1257" i="6" s="1"/>
  <c r="P1257" i="6"/>
  <c r="S1257" i="6" s="1"/>
  <c r="U1257" i="6" s="1"/>
  <c r="V1257" i="6" s="1"/>
  <c r="W1257" i="6" s="1"/>
  <c r="X1257" i="6" s="1"/>
  <c r="Q1199" i="6"/>
  <c r="R1199" i="6" s="1"/>
  <c r="P1199" i="6"/>
  <c r="S1199" i="6" s="1"/>
  <c r="U1199" i="6" s="1"/>
  <c r="V1199" i="6" s="1"/>
  <c r="W1199" i="6" s="1"/>
  <c r="X1199" i="6" s="1"/>
  <c r="Q1163" i="6"/>
  <c r="R1163" i="6" s="1"/>
  <c r="P1163" i="6"/>
  <c r="S1163" i="6" s="1"/>
  <c r="U1163" i="6" s="1"/>
  <c r="V1163" i="6" s="1"/>
  <c r="W1163" i="6" s="1"/>
  <c r="X1163" i="6" s="1"/>
  <c r="U1171" i="6"/>
  <c r="V1171" i="6" s="1"/>
  <c r="W1171" i="6" s="1"/>
  <c r="X1171" i="6" s="1"/>
  <c r="Q1146" i="6"/>
  <c r="R1146" i="6" s="1"/>
  <c r="P1146" i="6"/>
  <c r="S1146" i="6" s="1"/>
  <c r="U1146" i="6" s="1"/>
  <c r="V1146" i="6" s="1"/>
  <c r="W1146" i="6" s="1"/>
  <c r="X1146" i="6" s="1"/>
  <c r="P1260" i="6"/>
  <c r="S1260" i="6" s="1"/>
  <c r="U1260" i="6" s="1"/>
  <c r="V1260" i="6" s="1"/>
  <c r="W1260" i="6" s="1"/>
  <c r="X1260" i="6" s="1"/>
  <c r="P1248" i="6"/>
  <c r="S1248" i="6" s="1"/>
  <c r="U1248" i="6" s="1"/>
  <c r="V1248" i="6" s="1"/>
  <c r="W1248" i="6" s="1"/>
  <c r="X1248" i="6" s="1"/>
  <c r="P1236" i="6"/>
  <c r="S1236" i="6" s="1"/>
  <c r="U1236" i="6" s="1"/>
  <c r="V1236" i="6" s="1"/>
  <c r="W1236" i="6" s="1"/>
  <c r="X1236" i="6" s="1"/>
  <c r="Q1151" i="6"/>
  <c r="R1151" i="6" s="1"/>
  <c r="P1151" i="6"/>
  <c r="S1151" i="6" s="1"/>
  <c r="U1151" i="6" s="1"/>
  <c r="V1151" i="6" s="1"/>
  <c r="W1151" i="6" s="1"/>
  <c r="X1151" i="6" s="1"/>
  <c r="P1261" i="6"/>
  <c r="S1261" i="6" s="1"/>
  <c r="U1261" i="6" s="1"/>
  <c r="V1261" i="6" s="1"/>
  <c r="W1261" i="6" s="1"/>
  <c r="X1261" i="6" s="1"/>
  <c r="P1249" i="6"/>
  <c r="S1249" i="6" s="1"/>
  <c r="U1249" i="6" s="1"/>
  <c r="V1249" i="6" s="1"/>
  <c r="W1249" i="6" s="1"/>
  <c r="X1249" i="6" s="1"/>
  <c r="Q1240" i="6"/>
  <c r="R1240" i="6" s="1"/>
  <c r="P1240" i="6"/>
  <c r="S1240" i="6" s="1"/>
  <c r="U1240" i="6" s="1"/>
  <c r="V1240" i="6" s="1"/>
  <c r="W1240" i="6" s="1"/>
  <c r="X1240" i="6" s="1"/>
  <c r="P1232" i="6"/>
  <c r="S1232" i="6" s="1"/>
  <c r="U1232" i="6" s="1"/>
  <c r="V1232" i="6" s="1"/>
  <c r="W1232" i="6" s="1"/>
  <c r="X1232" i="6" s="1"/>
  <c r="Q1225" i="6"/>
  <c r="R1225" i="6" s="1"/>
  <c r="P1225" i="6"/>
  <c r="S1225" i="6" s="1"/>
  <c r="U1225" i="6" s="1"/>
  <c r="V1225" i="6" s="1"/>
  <c r="W1225" i="6" s="1"/>
  <c r="X1225" i="6" s="1"/>
  <c r="Q1222" i="6"/>
  <c r="R1222" i="6" s="1"/>
  <c r="P1222" i="6"/>
  <c r="S1222" i="6" s="1"/>
  <c r="U1222" i="6" s="1"/>
  <c r="V1222" i="6" s="1"/>
  <c r="W1222" i="6" s="1"/>
  <c r="X1222" i="6" s="1"/>
  <c r="Q1214" i="6"/>
  <c r="R1214" i="6" s="1"/>
  <c r="P1214" i="6"/>
  <c r="S1214" i="6" s="1"/>
  <c r="U1214" i="6" s="1"/>
  <c r="V1214" i="6" s="1"/>
  <c r="W1214" i="6" s="1"/>
  <c r="X1214" i="6" s="1"/>
  <c r="Q1189" i="6"/>
  <c r="R1189" i="6" s="1"/>
  <c r="P1189" i="6"/>
  <c r="S1189" i="6" s="1"/>
  <c r="U1189" i="6" s="1"/>
  <c r="V1189" i="6" s="1"/>
  <c r="W1189" i="6" s="1"/>
  <c r="X1189" i="6" s="1"/>
  <c r="Q1169" i="6"/>
  <c r="R1169" i="6" s="1"/>
  <c r="P1169" i="6"/>
  <c r="S1169" i="6" s="1"/>
  <c r="U1169" i="6" s="1"/>
  <c r="V1169" i="6" s="1"/>
  <c r="W1169" i="6" s="1"/>
  <c r="X1169" i="6" s="1"/>
  <c r="Q1124" i="6"/>
  <c r="R1124" i="6" s="1"/>
  <c r="P1124" i="6"/>
  <c r="S1124" i="6" s="1"/>
  <c r="U1124" i="6" s="1"/>
  <c r="V1124" i="6" s="1"/>
  <c r="W1124" i="6" s="1"/>
  <c r="X1124" i="6" s="1"/>
  <c r="P1262" i="6"/>
  <c r="S1262" i="6" s="1"/>
  <c r="U1262" i="6" s="1"/>
  <c r="V1262" i="6" s="1"/>
  <c r="W1262" i="6" s="1"/>
  <c r="X1262" i="6" s="1"/>
  <c r="P1250" i="6"/>
  <c r="S1250" i="6" s="1"/>
  <c r="U1250" i="6" s="1"/>
  <c r="V1250" i="6" s="1"/>
  <c r="W1250" i="6" s="1"/>
  <c r="X1250" i="6" s="1"/>
  <c r="Q1217" i="6"/>
  <c r="R1217" i="6" s="1"/>
  <c r="P1217" i="6"/>
  <c r="S1217" i="6" s="1"/>
  <c r="U1217" i="6" s="1"/>
  <c r="V1217" i="6" s="1"/>
  <c r="W1217" i="6" s="1"/>
  <c r="X1217" i="6" s="1"/>
  <c r="U1209" i="6"/>
  <c r="V1209" i="6" s="1"/>
  <c r="W1209" i="6" s="1"/>
  <c r="X1209" i="6" s="1"/>
  <c r="Q1145" i="6"/>
  <c r="R1145" i="6" s="1"/>
  <c r="P1145" i="6"/>
  <c r="S1145" i="6" s="1"/>
  <c r="U1145" i="6" s="1"/>
  <c r="V1145" i="6" s="1"/>
  <c r="W1145" i="6" s="1"/>
  <c r="X1145" i="6" s="1"/>
  <c r="Q1229" i="6"/>
  <c r="R1229" i="6" s="1"/>
  <c r="P1229" i="6"/>
  <c r="S1229" i="6" s="1"/>
  <c r="U1229" i="6" s="1"/>
  <c r="V1229" i="6" s="1"/>
  <c r="W1229" i="6" s="1"/>
  <c r="X1229" i="6" s="1"/>
  <c r="Q1187" i="6"/>
  <c r="R1187" i="6" s="1"/>
  <c r="P1187" i="6"/>
  <c r="S1187" i="6" s="1"/>
  <c r="U1187" i="6" s="1"/>
  <c r="V1187" i="6" s="1"/>
  <c r="W1187" i="6" s="1"/>
  <c r="X1187" i="6" s="1"/>
  <c r="Q1167" i="6"/>
  <c r="R1167" i="6" s="1"/>
  <c r="P1167" i="6"/>
  <c r="S1167" i="6" s="1"/>
  <c r="U1167" i="6" s="1"/>
  <c r="V1167" i="6" s="1"/>
  <c r="W1167" i="6" s="1"/>
  <c r="X1167" i="6" s="1"/>
  <c r="P1264" i="6"/>
  <c r="S1264" i="6" s="1"/>
  <c r="U1264" i="6" s="1"/>
  <c r="V1264" i="6" s="1"/>
  <c r="W1264" i="6" s="1"/>
  <c r="X1264" i="6" s="1"/>
  <c r="P1252" i="6"/>
  <c r="S1252" i="6" s="1"/>
  <c r="U1252" i="6" s="1"/>
  <c r="V1252" i="6" s="1"/>
  <c r="W1252" i="6" s="1"/>
  <c r="X1252" i="6" s="1"/>
  <c r="P1237" i="6"/>
  <c r="S1237" i="6" s="1"/>
  <c r="U1237" i="6" s="1"/>
  <c r="V1237" i="6" s="1"/>
  <c r="W1237" i="6" s="1"/>
  <c r="X1237" i="6" s="1"/>
  <c r="P1233" i="6"/>
  <c r="S1233" i="6" s="1"/>
  <c r="U1233" i="6" s="1"/>
  <c r="V1233" i="6" s="1"/>
  <c r="W1233" i="6" s="1"/>
  <c r="X1233" i="6" s="1"/>
  <c r="U1212" i="6"/>
  <c r="V1212" i="6" s="1"/>
  <c r="W1212" i="6" s="1"/>
  <c r="X1212" i="6" s="1"/>
  <c r="Q1195" i="6"/>
  <c r="R1195" i="6" s="1"/>
  <c r="P1195" i="6"/>
  <c r="S1195" i="6" s="1"/>
  <c r="U1195" i="6" s="1"/>
  <c r="V1195" i="6" s="1"/>
  <c r="W1195" i="6" s="1"/>
  <c r="X1195" i="6" s="1"/>
  <c r="P1177" i="6"/>
  <c r="S1177" i="6" s="1"/>
  <c r="U1177" i="6" s="1"/>
  <c r="V1177" i="6" s="1"/>
  <c r="W1177" i="6" s="1"/>
  <c r="X1177" i="6" s="1"/>
  <c r="P1172" i="6"/>
  <c r="S1172" i="6" s="1"/>
  <c r="U1172" i="6" s="1"/>
  <c r="V1172" i="6" s="1"/>
  <c r="W1172" i="6" s="1"/>
  <c r="X1172" i="6" s="1"/>
  <c r="Q1226" i="6"/>
  <c r="R1226" i="6" s="1"/>
  <c r="P1226" i="6"/>
  <c r="S1226" i="6" s="1"/>
  <c r="U1226" i="6" s="1"/>
  <c r="V1226" i="6" s="1"/>
  <c r="W1226" i="6" s="1"/>
  <c r="X1226" i="6" s="1"/>
  <c r="Q1203" i="6"/>
  <c r="R1203" i="6" s="1"/>
  <c r="P1203" i="6"/>
  <c r="S1203" i="6" s="1"/>
  <c r="U1203" i="6" s="1"/>
  <c r="V1203" i="6" s="1"/>
  <c r="W1203" i="6" s="1"/>
  <c r="X1203" i="6" s="1"/>
  <c r="Q1152" i="6"/>
  <c r="R1152" i="6" s="1"/>
  <c r="P1152" i="6"/>
  <c r="S1152" i="6" s="1"/>
  <c r="U1152" i="6" s="1"/>
  <c r="V1152" i="6" s="1"/>
  <c r="W1152" i="6" s="1"/>
  <c r="X1152" i="6" s="1"/>
  <c r="P1267" i="6"/>
  <c r="S1267" i="6" s="1"/>
  <c r="U1267" i="6" s="1"/>
  <c r="V1267" i="6" s="1"/>
  <c r="W1267" i="6" s="1"/>
  <c r="X1267" i="6" s="1"/>
  <c r="P1255" i="6"/>
  <c r="S1255" i="6" s="1"/>
  <c r="U1255" i="6" s="1"/>
  <c r="V1255" i="6" s="1"/>
  <c r="W1255" i="6" s="1"/>
  <c r="X1255" i="6" s="1"/>
  <c r="P1243" i="6"/>
  <c r="S1243" i="6" s="1"/>
  <c r="U1243" i="6" s="1"/>
  <c r="V1243" i="6" s="1"/>
  <c r="W1243" i="6" s="1"/>
  <c r="X1243" i="6" s="1"/>
  <c r="P1238" i="6"/>
  <c r="S1238" i="6" s="1"/>
  <c r="U1238" i="6" s="1"/>
  <c r="V1238" i="6" s="1"/>
  <c r="W1238" i="6" s="1"/>
  <c r="X1238" i="6" s="1"/>
  <c r="Q1234" i="6"/>
  <c r="R1234" i="6" s="1"/>
  <c r="P1234" i="6"/>
  <c r="S1234" i="6" s="1"/>
  <c r="U1234" i="6" s="1"/>
  <c r="V1234" i="6" s="1"/>
  <c r="W1234" i="6" s="1"/>
  <c r="X1234" i="6" s="1"/>
  <c r="Q1230" i="6"/>
  <c r="R1230" i="6" s="1"/>
  <c r="P1230" i="6"/>
  <c r="S1230" i="6" s="1"/>
  <c r="U1230" i="6" s="1"/>
  <c r="V1230" i="6" s="1"/>
  <c r="W1230" i="6" s="1"/>
  <c r="X1230" i="6" s="1"/>
  <c r="Q1218" i="6"/>
  <c r="R1218" i="6" s="1"/>
  <c r="P1218" i="6"/>
  <c r="S1218" i="6" s="1"/>
  <c r="U1218" i="6" s="1"/>
  <c r="V1218" i="6" s="1"/>
  <c r="W1218" i="6" s="1"/>
  <c r="X1218" i="6" s="1"/>
  <c r="P1170" i="6"/>
  <c r="S1170" i="6" s="1"/>
  <c r="U1170" i="6" s="1"/>
  <c r="V1170" i="6" s="1"/>
  <c r="W1170" i="6" s="1"/>
  <c r="X1170" i="6" s="1"/>
  <c r="Q1221" i="6"/>
  <c r="R1221" i="6" s="1"/>
  <c r="P1221" i="6"/>
  <c r="S1221" i="6" s="1"/>
  <c r="U1221" i="6" s="1"/>
  <c r="V1221" i="6" s="1"/>
  <c r="W1221" i="6" s="1"/>
  <c r="X1221" i="6" s="1"/>
  <c r="Q1191" i="6"/>
  <c r="R1191" i="6" s="1"/>
  <c r="P1191" i="6"/>
  <c r="S1191" i="6" s="1"/>
  <c r="U1191" i="6" s="1"/>
  <c r="V1191" i="6" s="1"/>
  <c r="W1191" i="6" s="1"/>
  <c r="X1191" i="6" s="1"/>
  <c r="Q1160" i="6"/>
  <c r="R1160" i="6" s="1"/>
  <c r="P1160" i="6"/>
  <c r="S1160" i="6" s="1"/>
  <c r="U1160" i="6" s="1"/>
  <c r="V1160" i="6" s="1"/>
  <c r="W1160" i="6" s="1"/>
  <c r="X1160" i="6" s="1"/>
  <c r="Q1155" i="6"/>
  <c r="R1155" i="6" s="1"/>
  <c r="P1155" i="6"/>
  <c r="S1155" i="6" s="1"/>
  <c r="U1155" i="6" s="1"/>
  <c r="V1155" i="6" s="1"/>
  <c r="W1155" i="6" s="1"/>
  <c r="X1155" i="6" s="1"/>
  <c r="Q1201" i="6"/>
  <c r="R1201" i="6" s="1"/>
  <c r="P1201" i="6"/>
  <c r="S1201" i="6" s="1"/>
  <c r="U1201" i="6" s="1"/>
  <c r="V1201" i="6" s="1"/>
  <c r="W1201" i="6" s="1"/>
  <c r="X1201" i="6" s="1"/>
  <c r="Q1148" i="6"/>
  <c r="R1148" i="6" s="1"/>
  <c r="P1148" i="6"/>
  <c r="S1148" i="6" s="1"/>
  <c r="U1148" i="6" s="1"/>
  <c r="V1148" i="6" s="1"/>
  <c r="W1148" i="6" s="1"/>
  <c r="X1148" i="6" s="1"/>
  <c r="P1184" i="6"/>
  <c r="S1184" i="6" s="1"/>
  <c r="U1184" i="6" s="1"/>
  <c r="V1184" i="6" s="1"/>
  <c r="W1184" i="6" s="1"/>
  <c r="X1184" i="6" s="1"/>
  <c r="P1135" i="6"/>
  <c r="S1135" i="6" s="1"/>
  <c r="U1135" i="6" s="1"/>
  <c r="V1135" i="6" s="1"/>
  <c r="W1135" i="6" s="1"/>
  <c r="X1135" i="6" s="1"/>
  <c r="Q1133" i="6"/>
  <c r="R1133" i="6" s="1"/>
  <c r="P1133" i="6"/>
  <c r="S1133" i="6" s="1"/>
  <c r="U1133" i="6" s="1"/>
  <c r="V1133" i="6" s="1"/>
  <c r="W1133" i="6" s="1"/>
  <c r="X1133" i="6" s="1"/>
  <c r="Q1193" i="6"/>
  <c r="R1193" i="6" s="1"/>
  <c r="P1193" i="6"/>
  <c r="S1193" i="6" s="1"/>
  <c r="U1193" i="6" s="1"/>
  <c r="V1193" i="6" s="1"/>
  <c r="W1193" i="6" s="1"/>
  <c r="X1193" i="6" s="1"/>
  <c r="Q1179" i="6"/>
  <c r="R1179" i="6" s="1"/>
  <c r="P1179" i="6"/>
  <c r="S1179" i="6" s="1"/>
  <c r="U1179" i="6" s="1"/>
  <c r="V1179" i="6" s="1"/>
  <c r="W1179" i="6" s="1"/>
  <c r="X1179" i="6" s="1"/>
  <c r="Q1175" i="6"/>
  <c r="R1175" i="6" s="1"/>
  <c r="P1175" i="6"/>
  <c r="S1175" i="6" s="1"/>
  <c r="U1175" i="6" s="1"/>
  <c r="V1175" i="6" s="1"/>
  <c r="W1175" i="6" s="1"/>
  <c r="X1175" i="6" s="1"/>
  <c r="Q1157" i="6"/>
  <c r="R1157" i="6" s="1"/>
  <c r="P1157" i="6"/>
  <c r="S1157" i="6" s="1"/>
  <c r="U1157" i="6" s="1"/>
  <c r="V1157" i="6" s="1"/>
  <c r="W1157" i="6" s="1"/>
  <c r="X1157" i="6" s="1"/>
  <c r="P1134" i="6"/>
  <c r="S1134" i="6" s="1"/>
  <c r="U1134" i="6" s="1"/>
  <c r="V1134" i="6" s="1"/>
  <c r="W1134" i="6" s="1"/>
  <c r="X1134" i="6" s="1"/>
  <c r="P1122" i="6"/>
  <c r="S1122" i="6" s="1"/>
  <c r="U1122" i="6" s="1"/>
  <c r="V1122" i="6" s="1"/>
  <c r="W1122" i="6" s="1"/>
  <c r="X1122" i="6" s="1"/>
  <c r="Q1143" i="6"/>
  <c r="R1143" i="6" s="1"/>
  <c r="P1143" i="6"/>
  <c r="S1143" i="6" s="1"/>
  <c r="U1143" i="6" s="1"/>
  <c r="V1143" i="6" s="1"/>
  <c r="W1143" i="6" s="1"/>
  <c r="X1143" i="6" s="1"/>
  <c r="P1198" i="6"/>
  <c r="S1198" i="6" s="1"/>
  <c r="U1198" i="6" s="1"/>
  <c r="V1198" i="6" s="1"/>
  <c r="W1198" i="6" s="1"/>
  <c r="X1198" i="6" s="1"/>
  <c r="P1186" i="6"/>
  <c r="S1186" i="6" s="1"/>
  <c r="U1186" i="6" s="1"/>
  <c r="V1186" i="6" s="1"/>
  <c r="W1186" i="6" s="1"/>
  <c r="X1186" i="6" s="1"/>
  <c r="P1174" i="6"/>
  <c r="S1174" i="6" s="1"/>
  <c r="U1174" i="6" s="1"/>
  <c r="V1174" i="6" s="1"/>
  <c r="W1174" i="6" s="1"/>
  <c r="X1174" i="6" s="1"/>
  <c r="P1162" i="6"/>
  <c r="S1162" i="6" s="1"/>
  <c r="U1162" i="6" s="1"/>
  <c r="V1162" i="6" s="1"/>
  <c r="W1162" i="6" s="1"/>
  <c r="X1162" i="6" s="1"/>
  <c r="P1139" i="6"/>
  <c r="S1139" i="6" s="1"/>
  <c r="U1139" i="6" s="1"/>
  <c r="V1139" i="6" s="1"/>
  <c r="W1139" i="6" s="1"/>
  <c r="X1139" i="6" s="1"/>
  <c r="P1127" i="6"/>
  <c r="S1127" i="6" s="1"/>
  <c r="U1127" i="6" s="1"/>
  <c r="V1127" i="6" s="1"/>
  <c r="W1127" i="6" s="1"/>
  <c r="X1127" i="6" s="1"/>
  <c r="P1128" i="6"/>
  <c r="S1128" i="6" s="1"/>
  <c r="U1128" i="6" s="1"/>
  <c r="V1128" i="6" s="1"/>
  <c r="W1128" i="6" s="1"/>
  <c r="X1128" i="6" s="1"/>
  <c r="P1131" i="6"/>
  <c r="S1131" i="6" s="1"/>
  <c r="U1131" i="6" s="1"/>
  <c r="V1131" i="6" s="1"/>
  <c r="W1131" i="6" s="1"/>
  <c r="X1131" i="6" s="1"/>
  <c r="Q1097" i="6"/>
  <c r="R1097" i="6" s="1"/>
  <c r="Q1095" i="6"/>
  <c r="R1095" i="6" s="1"/>
  <c r="P983" i="6"/>
  <c r="S983" i="6" s="1"/>
  <c r="U983" i="6" s="1"/>
  <c r="V983" i="6" s="1"/>
  <c r="W983" i="6" s="1"/>
  <c r="X983" i="6" s="1"/>
  <c r="P1060" i="6"/>
  <c r="S1060" i="6" s="1"/>
  <c r="U1060" i="6" s="1"/>
  <c r="V1060" i="6" s="1"/>
  <c r="W1060" i="6" s="1"/>
  <c r="X1060" i="6" s="1"/>
  <c r="Q1005" i="6"/>
  <c r="R1005" i="6" s="1"/>
  <c r="Q992" i="6"/>
  <c r="R992" i="6" s="1"/>
  <c r="P1027" i="6"/>
  <c r="S1027" i="6" s="1"/>
  <c r="U1027" i="6" s="1"/>
  <c r="V1027" i="6" s="1"/>
  <c r="W1027" i="6" s="1"/>
  <c r="X1027" i="6" s="1"/>
  <c r="P996" i="6"/>
  <c r="S996" i="6" s="1"/>
  <c r="U996" i="6" s="1"/>
  <c r="V996" i="6" s="1"/>
  <c r="W996" i="6" s="1"/>
  <c r="X996" i="6" s="1"/>
  <c r="P965" i="6"/>
  <c r="S965" i="6" s="1"/>
  <c r="U965" i="6" s="1"/>
  <c r="V965" i="6" s="1"/>
  <c r="W965" i="6" s="1"/>
  <c r="X965" i="6" s="1"/>
  <c r="Q949" i="6"/>
  <c r="R949" i="6" s="1"/>
  <c r="P1110" i="6"/>
  <c r="S1110" i="6" s="1"/>
  <c r="U1110" i="6" s="1"/>
  <c r="V1110" i="6" s="1"/>
  <c r="W1110" i="6" s="1"/>
  <c r="X1110" i="6" s="1"/>
  <c r="P1098" i="6"/>
  <c r="S1098" i="6" s="1"/>
  <c r="U1098" i="6" s="1"/>
  <c r="V1098" i="6" s="1"/>
  <c r="W1098" i="6" s="1"/>
  <c r="X1098" i="6" s="1"/>
  <c r="P1096" i="6"/>
  <c r="S1096" i="6" s="1"/>
  <c r="U1096" i="6" s="1"/>
  <c r="V1096" i="6" s="1"/>
  <c r="W1096" i="6" s="1"/>
  <c r="X1096" i="6" s="1"/>
  <c r="P984" i="6"/>
  <c r="S984" i="6" s="1"/>
  <c r="U984" i="6" s="1"/>
  <c r="V984" i="6" s="1"/>
  <c r="W984" i="6" s="1"/>
  <c r="X984" i="6" s="1"/>
  <c r="Q980" i="6"/>
  <c r="R980" i="6" s="1"/>
  <c r="P830" i="6"/>
  <c r="S830" i="6" s="1"/>
  <c r="U830" i="6" s="1"/>
  <c r="V830" i="6" s="1"/>
  <c r="W830" i="6" s="1"/>
  <c r="X830" i="6" s="1"/>
  <c r="P1019" i="6"/>
  <c r="S1019" i="6" s="1"/>
  <c r="U1019" i="6" s="1"/>
  <c r="V1019" i="6" s="1"/>
  <c r="W1019" i="6" s="1"/>
  <c r="X1019" i="6" s="1"/>
  <c r="Q1011" i="6"/>
  <c r="R1011" i="6" s="1"/>
  <c r="Q1009" i="6"/>
  <c r="R1009" i="6" s="1"/>
  <c r="Q961" i="6"/>
  <c r="R961" i="6" s="1"/>
  <c r="P1106" i="6"/>
  <c r="S1106" i="6" s="1"/>
  <c r="U1106" i="6" s="1"/>
  <c r="V1106" i="6" s="1"/>
  <c r="W1106" i="6" s="1"/>
  <c r="X1106" i="6" s="1"/>
  <c r="Q1052" i="6"/>
  <c r="R1052" i="6" s="1"/>
  <c r="Q1023" i="6"/>
  <c r="R1023" i="6" s="1"/>
  <c r="Q1090" i="6"/>
  <c r="R1090" i="6" s="1"/>
  <c r="P1079" i="6"/>
  <c r="S1079" i="6" s="1"/>
  <c r="U1079" i="6" s="1"/>
  <c r="V1079" i="6" s="1"/>
  <c r="W1079" i="6" s="1"/>
  <c r="X1079" i="6" s="1"/>
  <c r="P1033" i="6"/>
  <c r="S1033" i="6" s="1"/>
  <c r="U1033" i="6" s="1"/>
  <c r="V1033" i="6" s="1"/>
  <c r="W1033" i="6" s="1"/>
  <c r="X1033" i="6" s="1"/>
  <c r="Q1000" i="6"/>
  <c r="R1000" i="6" s="1"/>
  <c r="Q948" i="6"/>
  <c r="R948" i="6" s="1"/>
  <c r="Q1012" i="6"/>
  <c r="R1012" i="6" s="1"/>
  <c r="Q1114" i="6"/>
  <c r="R1114" i="6" s="1"/>
  <c r="Q1053" i="6"/>
  <c r="R1053" i="6" s="1"/>
  <c r="P955" i="6"/>
  <c r="S955" i="6" s="1"/>
  <c r="U955" i="6" s="1"/>
  <c r="V955" i="6" s="1"/>
  <c r="W955" i="6" s="1"/>
  <c r="X955" i="6" s="1"/>
  <c r="P1044" i="6"/>
  <c r="S1044" i="6" s="1"/>
  <c r="U1044" i="6" s="1"/>
  <c r="V1044" i="6" s="1"/>
  <c r="W1044" i="6" s="1"/>
  <c r="X1044" i="6" s="1"/>
  <c r="P988" i="6"/>
  <c r="S988" i="6" s="1"/>
  <c r="U988" i="6" s="1"/>
  <c r="V988" i="6" s="1"/>
  <c r="W988" i="6" s="1"/>
  <c r="X988" i="6" s="1"/>
  <c r="Q966" i="6"/>
  <c r="R966" i="6" s="1"/>
  <c r="U1117" i="6"/>
  <c r="V1117" i="6" s="1"/>
  <c r="W1117" i="6" s="1"/>
  <c r="X1117" i="6" s="1"/>
  <c r="U1108" i="6"/>
  <c r="V1108" i="6" s="1"/>
  <c r="W1108" i="6" s="1"/>
  <c r="X1108" i="6" s="1"/>
  <c r="U1101" i="6"/>
  <c r="V1101" i="6" s="1"/>
  <c r="W1101" i="6" s="1"/>
  <c r="X1101" i="6" s="1"/>
  <c r="U1083" i="6"/>
  <c r="V1083" i="6" s="1"/>
  <c r="W1083" i="6" s="1"/>
  <c r="X1083" i="6" s="1"/>
  <c r="U1077" i="6"/>
  <c r="V1077" i="6" s="1"/>
  <c r="W1077" i="6" s="1"/>
  <c r="X1077" i="6" s="1"/>
  <c r="U1052" i="6"/>
  <c r="V1052" i="6" s="1"/>
  <c r="W1052" i="6" s="1"/>
  <c r="X1052" i="6" s="1"/>
  <c r="U1031" i="6"/>
  <c r="V1031" i="6" s="1"/>
  <c r="W1031" i="6" s="1"/>
  <c r="X1031" i="6" s="1"/>
  <c r="U1023" i="6"/>
  <c r="V1023" i="6" s="1"/>
  <c r="W1023" i="6" s="1"/>
  <c r="X1023" i="6" s="1"/>
  <c r="U967" i="6"/>
  <c r="V967" i="6" s="1"/>
  <c r="W967" i="6" s="1"/>
  <c r="X967" i="6" s="1"/>
  <c r="U1065" i="6"/>
  <c r="V1065" i="6" s="1"/>
  <c r="W1065" i="6" s="1"/>
  <c r="X1065" i="6" s="1"/>
  <c r="U1029" i="6"/>
  <c r="V1029" i="6" s="1"/>
  <c r="W1029" i="6" s="1"/>
  <c r="X1029" i="6" s="1"/>
  <c r="U969" i="6"/>
  <c r="V969" i="6" s="1"/>
  <c r="W969" i="6" s="1"/>
  <c r="X969" i="6" s="1"/>
  <c r="U1026" i="6"/>
  <c r="V1026" i="6" s="1"/>
  <c r="W1026" i="6" s="1"/>
  <c r="X1026" i="6" s="1"/>
  <c r="U1007" i="6"/>
  <c r="V1007" i="6" s="1"/>
  <c r="W1007" i="6" s="1"/>
  <c r="X1007" i="6" s="1"/>
  <c r="U1036" i="6"/>
  <c r="V1036" i="6" s="1"/>
  <c r="W1036" i="6" s="1"/>
  <c r="X1036" i="6" s="1"/>
  <c r="U1017" i="6"/>
  <c r="V1017" i="6" s="1"/>
  <c r="W1017" i="6" s="1"/>
  <c r="X1017" i="6" s="1"/>
  <c r="U1015" i="6"/>
  <c r="V1015" i="6" s="1"/>
  <c r="W1015" i="6" s="1"/>
  <c r="X1015" i="6" s="1"/>
  <c r="U1050" i="6"/>
  <c r="V1050" i="6" s="1"/>
  <c r="W1050" i="6" s="1"/>
  <c r="X1050" i="6" s="1"/>
  <c r="U987" i="6"/>
  <c r="V987" i="6" s="1"/>
  <c r="W987" i="6" s="1"/>
  <c r="X987" i="6" s="1"/>
  <c r="U954" i="6"/>
  <c r="V954" i="6" s="1"/>
  <c r="W954" i="6" s="1"/>
  <c r="X954" i="6" s="1"/>
  <c r="U950" i="6"/>
  <c r="V950" i="6" s="1"/>
  <c r="W950" i="6" s="1"/>
  <c r="X950" i="6" s="1"/>
  <c r="U1012" i="6"/>
  <c r="V1012" i="6" s="1"/>
  <c r="W1012" i="6" s="1"/>
  <c r="X1012" i="6" s="1"/>
  <c r="U1048" i="6"/>
  <c r="V1048" i="6" s="1"/>
  <c r="W1048" i="6" s="1"/>
  <c r="X1048" i="6" s="1"/>
  <c r="U1095" i="6"/>
  <c r="V1095" i="6" s="1"/>
  <c r="W1095" i="6" s="1"/>
  <c r="X1095" i="6" s="1"/>
  <c r="U1114" i="6"/>
  <c r="V1114" i="6" s="1"/>
  <c r="W1114" i="6" s="1"/>
  <c r="X1114" i="6" s="1"/>
  <c r="U952" i="6"/>
  <c r="V952" i="6" s="1"/>
  <c r="W952" i="6" s="1"/>
  <c r="X952" i="6" s="1"/>
  <c r="U946" i="6"/>
  <c r="V946" i="6" s="1"/>
  <c r="W946" i="6" s="1"/>
  <c r="X946" i="6" s="1"/>
  <c r="U1076" i="6"/>
  <c r="V1076" i="6" s="1"/>
  <c r="W1076" i="6" s="1"/>
  <c r="X1076" i="6" s="1"/>
  <c r="U1086" i="6"/>
  <c r="V1086" i="6" s="1"/>
  <c r="W1086" i="6" s="1"/>
  <c r="X1086" i="6" s="1"/>
  <c r="U1075" i="6"/>
  <c r="V1075" i="6" s="1"/>
  <c r="W1075" i="6" s="1"/>
  <c r="X1075" i="6" s="1"/>
  <c r="U1089" i="6"/>
  <c r="V1089" i="6" s="1"/>
  <c r="W1089" i="6" s="1"/>
  <c r="X1089" i="6" s="1"/>
  <c r="U1057" i="6"/>
  <c r="V1057" i="6" s="1"/>
  <c r="W1057" i="6" s="1"/>
  <c r="X1057" i="6" s="1"/>
  <c r="U1030" i="6"/>
  <c r="V1030" i="6" s="1"/>
  <c r="W1030" i="6" s="1"/>
  <c r="X1030" i="6" s="1"/>
  <c r="U1024" i="6"/>
  <c r="V1024" i="6" s="1"/>
  <c r="W1024" i="6" s="1"/>
  <c r="X1024" i="6" s="1"/>
  <c r="U981" i="6"/>
  <c r="V981" i="6" s="1"/>
  <c r="W981" i="6" s="1"/>
  <c r="X981" i="6" s="1"/>
  <c r="Q1078" i="6"/>
  <c r="R1078" i="6" s="1"/>
  <c r="Q1045" i="6"/>
  <c r="R1045" i="6" s="1"/>
  <c r="Q991" i="6"/>
  <c r="R991" i="6" s="1"/>
  <c r="Q957" i="6"/>
  <c r="R957" i="6" s="1"/>
  <c r="Q1118" i="6"/>
  <c r="R1118" i="6" s="1"/>
  <c r="P1055" i="6"/>
  <c r="S1055" i="6" s="1"/>
  <c r="U1055" i="6" s="1"/>
  <c r="V1055" i="6" s="1"/>
  <c r="W1055" i="6" s="1"/>
  <c r="X1055" i="6" s="1"/>
  <c r="Q1043" i="6"/>
  <c r="R1043" i="6" s="1"/>
  <c r="P989" i="6"/>
  <c r="S989" i="6" s="1"/>
  <c r="U989" i="6" s="1"/>
  <c r="V989" i="6" s="1"/>
  <c r="W989" i="6" s="1"/>
  <c r="X989" i="6" s="1"/>
  <c r="Q987" i="6"/>
  <c r="R987" i="6" s="1"/>
  <c r="Q946" i="6"/>
  <c r="R946" i="6" s="1"/>
  <c r="P1103" i="6"/>
  <c r="S1103" i="6" s="1"/>
  <c r="U1103" i="6" s="1"/>
  <c r="V1103" i="6" s="1"/>
  <c r="W1103" i="6" s="1"/>
  <c r="X1103" i="6" s="1"/>
  <c r="Q1085" i="6"/>
  <c r="R1085" i="6" s="1"/>
  <c r="Q1083" i="6"/>
  <c r="R1083" i="6" s="1"/>
  <c r="Q1076" i="6"/>
  <c r="R1076" i="6" s="1"/>
  <c r="P1072" i="6"/>
  <c r="S1072" i="6" s="1"/>
  <c r="U1072" i="6" s="1"/>
  <c r="V1072" i="6" s="1"/>
  <c r="W1072" i="6" s="1"/>
  <c r="X1072" i="6" s="1"/>
  <c r="P1070" i="6"/>
  <c r="S1070" i="6" s="1"/>
  <c r="U1070" i="6" s="1"/>
  <c r="V1070" i="6" s="1"/>
  <c r="W1070" i="6" s="1"/>
  <c r="X1070" i="6" s="1"/>
  <c r="Q1066" i="6"/>
  <c r="R1066" i="6" s="1"/>
  <c r="P1074" i="6"/>
  <c r="S1074" i="6" s="1"/>
  <c r="U1074" i="6" s="1"/>
  <c r="V1074" i="6" s="1"/>
  <c r="W1074" i="6" s="1"/>
  <c r="X1074" i="6" s="1"/>
  <c r="Q1049" i="6"/>
  <c r="R1049" i="6" s="1"/>
  <c r="Q1030" i="6"/>
  <c r="R1030" i="6" s="1"/>
  <c r="P953" i="6"/>
  <c r="S953" i="6" s="1"/>
  <c r="U953" i="6" s="1"/>
  <c r="V953" i="6" s="1"/>
  <c r="W953" i="6" s="1"/>
  <c r="X953" i="6" s="1"/>
  <c r="Q1094" i="6"/>
  <c r="R1094" i="6" s="1"/>
  <c r="P1092" i="6"/>
  <c r="S1092" i="6" s="1"/>
  <c r="U1092" i="6" s="1"/>
  <c r="V1092" i="6" s="1"/>
  <c r="W1092" i="6" s="1"/>
  <c r="X1092" i="6" s="1"/>
  <c r="Q1086" i="6"/>
  <c r="R1086" i="6" s="1"/>
  <c r="Q1036" i="6"/>
  <c r="R1036" i="6" s="1"/>
  <c r="P1113" i="6"/>
  <c r="S1113" i="6" s="1"/>
  <c r="U1113" i="6" s="1"/>
  <c r="V1113" i="6" s="1"/>
  <c r="W1113" i="6" s="1"/>
  <c r="X1113" i="6" s="1"/>
  <c r="Q1111" i="6"/>
  <c r="R1111" i="6" s="1"/>
  <c r="Q1109" i="6"/>
  <c r="R1109" i="6" s="1"/>
  <c r="P998" i="6"/>
  <c r="S998" i="6" s="1"/>
  <c r="U998" i="6" s="1"/>
  <c r="V998" i="6" s="1"/>
  <c r="W998" i="6" s="1"/>
  <c r="X998" i="6" s="1"/>
  <c r="Q1077" i="6"/>
  <c r="R1077" i="6" s="1"/>
  <c r="Q1067" i="6"/>
  <c r="R1067" i="6" s="1"/>
  <c r="P945" i="6"/>
  <c r="S945" i="6" s="1"/>
  <c r="U945" i="6" s="1"/>
  <c r="V945" i="6" s="1"/>
  <c r="W945" i="6" s="1"/>
  <c r="X945" i="6" s="1"/>
  <c r="Q1071" i="6"/>
  <c r="R1071" i="6" s="1"/>
  <c r="P1069" i="6"/>
  <c r="S1069" i="6" s="1"/>
  <c r="U1069" i="6" s="1"/>
  <c r="V1069" i="6" s="1"/>
  <c r="W1069" i="6" s="1"/>
  <c r="X1069" i="6" s="1"/>
  <c r="P1058" i="6"/>
  <c r="S1058" i="6" s="1"/>
  <c r="U1058" i="6" s="1"/>
  <c r="V1058" i="6" s="1"/>
  <c r="W1058" i="6" s="1"/>
  <c r="X1058" i="6" s="1"/>
  <c r="Q1042" i="6"/>
  <c r="R1042" i="6" s="1"/>
  <c r="P1107" i="6"/>
  <c r="S1107" i="6" s="1"/>
  <c r="U1107" i="6" s="1"/>
  <c r="V1107" i="6" s="1"/>
  <c r="W1107" i="6" s="1"/>
  <c r="X1107" i="6" s="1"/>
  <c r="Q1101" i="6"/>
  <c r="R1101" i="6" s="1"/>
  <c r="P1010" i="6"/>
  <c r="S1010" i="6" s="1"/>
  <c r="U1010" i="6" s="1"/>
  <c r="V1010" i="6" s="1"/>
  <c r="W1010" i="6" s="1"/>
  <c r="X1010" i="6" s="1"/>
  <c r="Q947" i="6"/>
  <c r="R947" i="6" s="1"/>
  <c r="Q1065" i="6"/>
  <c r="R1065" i="6" s="1"/>
  <c r="Q1048" i="6"/>
  <c r="R1048" i="6" s="1"/>
  <c r="Q1041" i="6"/>
  <c r="R1041" i="6" s="1"/>
  <c r="Q1024" i="6"/>
  <c r="R1024" i="6" s="1"/>
  <c r="Q1008" i="6"/>
  <c r="R1008" i="6" s="1"/>
  <c r="Q979" i="6"/>
  <c r="R979" i="6" s="1"/>
  <c r="P1115" i="6"/>
  <c r="S1115" i="6" s="1"/>
  <c r="U1115" i="6" s="1"/>
  <c r="V1115" i="6" s="1"/>
  <c r="W1115" i="6" s="1"/>
  <c r="X1115" i="6" s="1"/>
  <c r="Q1112" i="6"/>
  <c r="R1112" i="6" s="1"/>
  <c r="Q1093" i="6"/>
  <c r="R1093" i="6" s="1"/>
  <c r="P1091" i="6"/>
  <c r="S1091" i="6" s="1"/>
  <c r="U1091" i="6" s="1"/>
  <c r="V1091" i="6" s="1"/>
  <c r="W1091" i="6" s="1"/>
  <c r="X1091" i="6" s="1"/>
  <c r="Q1087" i="6"/>
  <c r="R1087" i="6" s="1"/>
  <c r="Q1057" i="6"/>
  <c r="R1057" i="6" s="1"/>
  <c r="Q1039" i="6"/>
  <c r="R1039" i="6" s="1"/>
  <c r="P1013" i="6"/>
  <c r="S1013" i="6" s="1"/>
  <c r="U1013" i="6" s="1"/>
  <c r="V1013" i="6" s="1"/>
  <c r="W1013" i="6" s="1"/>
  <c r="X1013" i="6" s="1"/>
  <c r="Q1006" i="6"/>
  <c r="R1006" i="6" s="1"/>
  <c r="Q990" i="6"/>
  <c r="R990" i="6" s="1"/>
  <c r="P977" i="6"/>
  <c r="S977" i="6" s="1"/>
  <c r="U977" i="6" s="1"/>
  <c r="V977" i="6" s="1"/>
  <c r="W977" i="6" s="1"/>
  <c r="X977" i="6" s="1"/>
  <c r="P973" i="6"/>
  <c r="S973" i="6" s="1"/>
  <c r="U973" i="6" s="1"/>
  <c r="V973" i="6" s="1"/>
  <c r="W973" i="6" s="1"/>
  <c r="X973" i="6" s="1"/>
  <c r="Q969" i="6"/>
  <c r="R969" i="6" s="1"/>
  <c r="Q964" i="6"/>
  <c r="R964" i="6" s="1"/>
  <c r="Q1089" i="6"/>
  <c r="R1089" i="6" s="1"/>
  <c r="P1037" i="6"/>
  <c r="S1037" i="6" s="1"/>
  <c r="U1037" i="6" s="1"/>
  <c r="V1037" i="6" s="1"/>
  <c r="W1037" i="6" s="1"/>
  <c r="X1037" i="6" s="1"/>
  <c r="P962" i="6"/>
  <c r="S962" i="6" s="1"/>
  <c r="U962" i="6" s="1"/>
  <c r="V962" i="6" s="1"/>
  <c r="W962" i="6" s="1"/>
  <c r="X962" i="6" s="1"/>
  <c r="Q950" i="6"/>
  <c r="R950" i="6" s="1"/>
  <c r="Q1102" i="6"/>
  <c r="R1102" i="6" s="1"/>
  <c r="Q1084" i="6"/>
  <c r="R1084" i="6" s="1"/>
  <c r="Q995" i="6"/>
  <c r="R995" i="6" s="1"/>
  <c r="Q993" i="6"/>
  <c r="R993" i="6" s="1"/>
  <c r="Q982" i="6"/>
  <c r="R982" i="6" s="1"/>
  <c r="Q967" i="6"/>
  <c r="R967" i="6" s="1"/>
  <c r="Q954" i="6"/>
  <c r="R954" i="6" s="1"/>
  <c r="P1046" i="6"/>
  <c r="S1046" i="6" s="1"/>
  <c r="U1046" i="6" s="1"/>
  <c r="V1046" i="6" s="1"/>
  <c r="W1046" i="6" s="1"/>
  <c r="X1046" i="6" s="1"/>
  <c r="Q1016" i="6"/>
  <c r="R1016" i="6" s="1"/>
  <c r="U966" i="6"/>
  <c r="V966" i="6" s="1"/>
  <c r="W966" i="6" s="1"/>
  <c r="X966" i="6" s="1"/>
  <c r="U1099" i="6"/>
  <c r="V1099" i="6" s="1"/>
  <c r="W1099" i="6" s="1"/>
  <c r="X1099" i="6" s="1"/>
  <c r="U1006" i="6"/>
  <c r="V1006" i="6" s="1"/>
  <c r="W1006" i="6" s="1"/>
  <c r="X1006" i="6" s="1"/>
  <c r="U1097" i="6"/>
  <c r="V1097" i="6" s="1"/>
  <c r="W1097" i="6" s="1"/>
  <c r="X1097" i="6" s="1"/>
  <c r="U1071" i="6"/>
  <c r="V1071" i="6" s="1"/>
  <c r="W1071" i="6" s="1"/>
  <c r="X1071" i="6" s="1"/>
  <c r="U992" i="6"/>
  <c r="V992" i="6" s="1"/>
  <c r="W992" i="6" s="1"/>
  <c r="X992" i="6" s="1"/>
  <c r="U1066" i="6"/>
  <c r="V1066" i="6" s="1"/>
  <c r="W1066" i="6" s="1"/>
  <c r="X1066" i="6" s="1"/>
  <c r="U1067" i="6"/>
  <c r="V1067" i="6" s="1"/>
  <c r="W1067" i="6" s="1"/>
  <c r="X1067" i="6" s="1"/>
  <c r="U1014" i="6"/>
  <c r="V1014" i="6" s="1"/>
  <c r="W1014" i="6" s="1"/>
  <c r="X1014" i="6" s="1"/>
  <c r="U956" i="6"/>
  <c r="V956" i="6" s="1"/>
  <c r="W956" i="6" s="1"/>
  <c r="X956" i="6" s="1"/>
  <c r="U1018" i="6"/>
  <c r="V1018" i="6" s="1"/>
  <c r="W1018" i="6" s="1"/>
  <c r="X1018" i="6" s="1"/>
  <c r="U1112" i="6"/>
  <c r="V1112" i="6" s="1"/>
  <c r="W1112" i="6" s="1"/>
  <c r="X1112" i="6" s="1"/>
  <c r="U1090" i="6"/>
  <c r="V1090" i="6" s="1"/>
  <c r="W1090" i="6" s="1"/>
  <c r="X1090" i="6" s="1"/>
  <c r="U1041" i="6"/>
  <c r="V1041" i="6" s="1"/>
  <c r="W1041" i="6" s="1"/>
  <c r="X1041" i="6" s="1"/>
  <c r="U1008" i="6"/>
  <c r="V1008" i="6" s="1"/>
  <c r="W1008" i="6" s="1"/>
  <c r="X1008" i="6" s="1"/>
  <c r="U980" i="6"/>
  <c r="V980" i="6" s="1"/>
  <c r="W980" i="6" s="1"/>
  <c r="X980" i="6" s="1"/>
  <c r="U1093" i="6"/>
  <c r="V1093" i="6" s="1"/>
  <c r="W1093" i="6" s="1"/>
  <c r="X1093" i="6" s="1"/>
  <c r="U1087" i="6"/>
  <c r="V1087" i="6" s="1"/>
  <c r="W1087" i="6" s="1"/>
  <c r="X1087" i="6" s="1"/>
  <c r="U1042" i="6"/>
  <c r="V1042" i="6" s="1"/>
  <c r="W1042" i="6" s="1"/>
  <c r="X1042" i="6" s="1"/>
  <c r="U1002" i="6"/>
  <c r="V1002" i="6" s="1"/>
  <c r="W1002" i="6" s="1"/>
  <c r="X1002" i="6" s="1"/>
  <c r="U1094" i="6"/>
  <c r="V1094" i="6" s="1"/>
  <c r="W1094" i="6" s="1"/>
  <c r="X1094" i="6" s="1"/>
  <c r="U1043" i="6"/>
  <c r="V1043" i="6" s="1"/>
  <c r="W1043" i="6" s="1"/>
  <c r="X1043" i="6" s="1"/>
  <c r="U979" i="6"/>
  <c r="V979" i="6" s="1"/>
  <c r="W979" i="6" s="1"/>
  <c r="X979" i="6" s="1"/>
  <c r="Q1025" i="6"/>
  <c r="R1025" i="6" s="1"/>
  <c r="P1025" i="6"/>
  <c r="S1025" i="6" s="1"/>
  <c r="U1025" i="6" s="1"/>
  <c r="V1025" i="6" s="1"/>
  <c r="W1025" i="6" s="1"/>
  <c r="X1025" i="6" s="1"/>
  <c r="P994" i="6"/>
  <c r="S994" i="6" s="1"/>
  <c r="U994" i="6" s="1"/>
  <c r="V994" i="6" s="1"/>
  <c r="W994" i="6" s="1"/>
  <c r="X994" i="6" s="1"/>
  <c r="Q994" i="6"/>
  <c r="R994" i="6" s="1"/>
  <c r="P1028" i="6"/>
  <c r="S1028" i="6" s="1"/>
  <c r="U1028" i="6" s="1"/>
  <c r="V1028" i="6" s="1"/>
  <c r="W1028" i="6" s="1"/>
  <c r="X1028" i="6" s="1"/>
  <c r="Q1028" i="6"/>
  <c r="R1028" i="6" s="1"/>
  <c r="Q1100" i="6"/>
  <c r="R1100" i="6" s="1"/>
  <c r="P1100" i="6"/>
  <c r="S1100" i="6" s="1"/>
  <c r="U1100" i="6" s="1"/>
  <c r="V1100" i="6" s="1"/>
  <c r="W1100" i="6" s="1"/>
  <c r="X1100" i="6" s="1"/>
  <c r="U1111" i="6"/>
  <c r="V1111" i="6" s="1"/>
  <c r="W1111" i="6" s="1"/>
  <c r="X1111" i="6" s="1"/>
  <c r="P1073" i="6"/>
  <c r="S1073" i="6" s="1"/>
  <c r="U1073" i="6" s="1"/>
  <c r="V1073" i="6" s="1"/>
  <c r="W1073" i="6" s="1"/>
  <c r="X1073" i="6" s="1"/>
  <c r="Q1073" i="6"/>
  <c r="R1073" i="6" s="1"/>
  <c r="Q1068" i="6"/>
  <c r="R1068" i="6" s="1"/>
  <c r="P1068" i="6"/>
  <c r="S1068" i="6" s="1"/>
  <c r="U1068" i="6" s="1"/>
  <c r="V1068" i="6" s="1"/>
  <c r="W1068" i="6" s="1"/>
  <c r="X1068" i="6" s="1"/>
  <c r="P1116" i="6"/>
  <c r="S1116" i="6" s="1"/>
  <c r="U1116" i="6" s="1"/>
  <c r="V1116" i="6" s="1"/>
  <c r="W1116" i="6" s="1"/>
  <c r="X1116" i="6" s="1"/>
  <c r="Q1116" i="6"/>
  <c r="R1116" i="6" s="1"/>
  <c r="P1104" i="6"/>
  <c r="S1104" i="6" s="1"/>
  <c r="U1104" i="6" s="1"/>
  <c r="V1104" i="6" s="1"/>
  <c r="W1104" i="6" s="1"/>
  <c r="X1104" i="6" s="1"/>
  <c r="Q1104" i="6"/>
  <c r="R1104" i="6" s="1"/>
  <c r="P1032" i="6"/>
  <c r="S1032" i="6" s="1"/>
  <c r="U1032" i="6" s="1"/>
  <c r="V1032" i="6" s="1"/>
  <c r="W1032" i="6" s="1"/>
  <c r="X1032" i="6" s="1"/>
  <c r="Q1032" i="6"/>
  <c r="R1032" i="6" s="1"/>
  <c r="P1064" i="6"/>
  <c r="S1064" i="6" s="1"/>
  <c r="U1064" i="6" s="1"/>
  <c r="V1064" i="6" s="1"/>
  <c r="W1064" i="6" s="1"/>
  <c r="X1064" i="6" s="1"/>
  <c r="Q1064" i="6"/>
  <c r="R1064" i="6" s="1"/>
  <c r="P1020" i="6"/>
  <c r="S1020" i="6" s="1"/>
  <c r="U1020" i="6" s="1"/>
  <c r="V1020" i="6" s="1"/>
  <c r="W1020" i="6" s="1"/>
  <c r="X1020" i="6" s="1"/>
  <c r="Q1020" i="6"/>
  <c r="R1020" i="6" s="1"/>
  <c r="P1038" i="6"/>
  <c r="S1038" i="6" s="1"/>
  <c r="U1038" i="6" s="1"/>
  <c r="V1038" i="6" s="1"/>
  <c r="W1038" i="6" s="1"/>
  <c r="X1038" i="6" s="1"/>
  <c r="Q1038" i="6"/>
  <c r="R1038" i="6" s="1"/>
  <c r="U1009" i="6"/>
  <c r="V1009" i="6" s="1"/>
  <c r="W1009" i="6" s="1"/>
  <c r="X1009" i="6" s="1"/>
  <c r="P963" i="6"/>
  <c r="S963" i="6" s="1"/>
  <c r="U963" i="6" s="1"/>
  <c r="V963" i="6" s="1"/>
  <c r="W963" i="6" s="1"/>
  <c r="X963" i="6" s="1"/>
  <c r="Q963" i="6"/>
  <c r="R963" i="6" s="1"/>
  <c r="U1045" i="6"/>
  <c r="V1045" i="6" s="1"/>
  <c r="W1045" i="6" s="1"/>
  <c r="X1045" i="6" s="1"/>
  <c r="U1084" i="6"/>
  <c r="V1084" i="6" s="1"/>
  <c r="W1084" i="6" s="1"/>
  <c r="X1084" i="6" s="1"/>
  <c r="U1004" i="6"/>
  <c r="V1004" i="6" s="1"/>
  <c r="W1004" i="6" s="1"/>
  <c r="X1004" i="6" s="1"/>
  <c r="Q1081" i="6"/>
  <c r="R1081" i="6" s="1"/>
  <c r="P1080" i="6"/>
  <c r="S1080" i="6" s="1"/>
  <c r="U1080" i="6" s="1"/>
  <c r="V1080" i="6" s="1"/>
  <c r="W1080" i="6" s="1"/>
  <c r="X1080" i="6" s="1"/>
  <c r="P1056" i="6"/>
  <c r="S1056" i="6" s="1"/>
  <c r="U1056" i="6" s="1"/>
  <c r="V1056" i="6" s="1"/>
  <c r="W1056" i="6" s="1"/>
  <c r="X1056" i="6" s="1"/>
  <c r="Q1026" i="6"/>
  <c r="R1026" i="6" s="1"/>
  <c r="Q1004" i="6"/>
  <c r="R1004" i="6" s="1"/>
  <c r="P1062" i="6"/>
  <c r="S1062" i="6" s="1"/>
  <c r="U1062" i="6" s="1"/>
  <c r="V1062" i="6" s="1"/>
  <c r="W1062" i="6" s="1"/>
  <c r="X1062" i="6" s="1"/>
  <c r="Q1062" i="6"/>
  <c r="R1062" i="6" s="1"/>
  <c r="Q1022" i="6"/>
  <c r="R1022" i="6" s="1"/>
  <c r="P1022" i="6"/>
  <c r="S1022" i="6" s="1"/>
  <c r="U1022" i="6" s="1"/>
  <c r="V1022" i="6" s="1"/>
  <c r="W1022" i="6" s="1"/>
  <c r="X1022" i="6" s="1"/>
  <c r="P997" i="6"/>
  <c r="S997" i="6" s="1"/>
  <c r="U997" i="6" s="1"/>
  <c r="V997" i="6" s="1"/>
  <c r="W997" i="6" s="1"/>
  <c r="X997" i="6" s="1"/>
  <c r="Q997" i="6"/>
  <c r="R997" i="6" s="1"/>
  <c r="P985" i="6"/>
  <c r="S985" i="6" s="1"/>
  <c r="U985" i="6" s="1"/>
  <c r="V985" i="6" s="1"/>
  <c r="W985" i="6" s="1"/>
  <c r="X985" i="6" s="1"/>
  <c r="Q985" i="6"/>
  <c r="R985" i="6" s="1"/>
  <c r="U1078" i="6"/>
  <c r="V1078" i="6" s="1"/>
  <c r="W1078" i="6" s="1"/>
  <c r="X1078" i="6" s="1"/>
  <c r="U991" i="6"/>
  <c r="V991" i="6" s="1"/>
  <c r="W991" i="6" s="1"/>
  <c r="X991" i="6" s="1"/>
  <c r="Q1108" i="6"/>
  <c r="R1108" i="6" s="1"/>
  <c r="U1047" i="6"/>
  <c r="V1047" i="6" s="1"/>
  <c r="W1047" i="6" s="1"/>
  <c r="X1047" i="6" s="1"/>
  <c r="Q1018" i="6"/>
  <c r="R1018" i="6" s="1"/>
  <c r="P1001" i="6"/>
  <c r="S1001" i="6" s="1"/>
  <c r="U1001" i="6" s="1"/>
  <c r="V1001" i="6" s="1"/>
  <c r="W1001" i="6" s="1"/>
  <c r="X1001" i="6" s="1"/>
  <c r="P959" i="6"/>
  <c r="S959" i="6" s="1"/>
  <c r="U959" i="6" s="1"/>
  <c r="V959" i="6" s="1"/>
  <c r="W959" i="6" s="1"/>
  <c r="X959" i="6" s="1"/>
  <c r="Q956" i="6"/>
  <c r="R956" i="6" s="1"/>
  <c r="P960" i="6"/>
  <c r="S960" i="6" s="1"/>
  <c r="U960" i="6" s="1"/>
  <c r="V960" i="6" s="1"/>
  <c r="W960" i="6" s="1"/>
  <c r="X960" i="6" s="1"/>
  <c r="Q960" i="6"/>
  <c r="R960" i="6" s="1"/>
  <c r="P958" i="6"/>
  <c r="S958" i="6" s="1"/>
  <c r="U958" i="6" s="1"/>
  <c r="V958" i="6" s="1"/>
  <c r="W958" i="6" s="1"/>
  <c r="X958" i="6" s="1"/>
  <c r="Q958" i="6"/>
  <c r="R958" i="6" s="1"/>
  <c r="P1061" i="6"/>
  <c r="S1061" i="6" s="1"/>
  <c r="U1061" i="6" s="1"/>
  <c r="V1061" i="6" s="1"/>
  <c r="W1061" i="6" s="1"/>
  <c r="X1061" i="6" s="1"/>
  <c r="Q1061" i="6"/>
  <c r="R1061" i="6" s="1"/>
  <c r="P1088" i="6"/>
  <c r="S1088" i="6" s="1"/>
  <c r="U1088" i="6" s="1"/>
  <c r="V1088" i="6" s="1"/>
  <c r="W1088" i="6" s="1"/>
  <c r="X1088" i="6" s="1"/>
  <c r="Q1040" i="6"/>
  <c r="R1040" i="6" s="1"/>
  <c r="Q1014" i="6"/>
  <c r="R1014" i="6" s="1"/>
  <c r="P978" i="6"/>
  <c r="S978" i="6" s="1"/>
  <c r="U978" i="6" s="1"/>
  <c r="V978" i="6" s="1"/>
  <c r="W978" i="6" s="1"/>
  <c r="X978" i="6" s="1"/>
  <c r="Q978" i="6"/>
  <c r="R978" i="6" s="1"/>
  <c r="Q1063" i="6"/>
  <c r="R1063" i="6" s="1"/>
  <c r="P1063" i="6"/>
  <c r="S1063" i="6" s="1"/>
  <c r="U1063" i="6" s="1"/>
  <c r="V1063" i="6" s="1"/>
  <c r="W1063" i="6" s="1"/>
  <c r="X1063" i="6" s="1"/>
  <c r="P1035" i="6"/>
  <c r="S1035" i="6" s="1"/>
  <c r="U1035" i="6" s="1"/>
  <c r="V1035" i="6" s="1"/>
  <c r="W1035" i="6" s="1"/>
  <c r="X1035" i="6" s="1"/>
  <c r="Q1035" i="6"/>
  <c r="R1035" i="6" s="1"/>
  <c r="P971" i="6"/>
  <c r="S971" i="6" s="1"/>
  <c r="U971" i="6" s="1"/>
  <c r="V971" i="6" s="1"/>
  <c r="W971" i="6" s="1"/>
  <c r="X971" i="6" s="1"/>
  <c r="Q971" i="6"/>
  <c r="R971" i="6" s="1"/>
  <c r="Q1117" i="6"/>
  <c r="R1117" i="6" s="1"/>
  <c r="Q1099" i="6"/>
  <c r="R1099" i="6" s="1"/>
  <c r="Q1105" i="6"/>
  <c r="R1105" i="6" s="1"/>
  <c r="P1059" i="6"/>
  <c r="S1059" i="6" s="1"/>
  <c r="U1059" i="6" s="1"/>
  <c r="V1059" i="6" s="1"/>
  <c r="W1059" i="6" s="1"/>
  <c r="X1059" i="6" s="1"/>
  <c r="Q1059" i="6"/>
  <c r="R1059" i="6" s="1"/>
  <c r="Q1002" i="6"/>
  <c r="R1002" i="6" s="1"/>
  <c r="P999" i="6"/>
  <c r="S999" i="6" s="1"/>
  <c r="U999" i="6" s="1"/>
  <c r="V999" i="6" s="1"/>
  <c r="W999" i="6" s="1"/>
  <c r="X999" i="6" s="1"/>
  <c r="Q999" i="6"/>
  <c r="R999" i="6" s="1"/>
  <c r="Q986" i="6"/>
  <c r="R986" i="6" s="1"/>
  <c r="P986" i="6"/>
  <c r="S986" i="6" s="1"/>
  <c r="U986" i="6" s="1"/>
  <c r="V986" i="6" s="1"/>
  <c r="W986" i="6" s="1"/>
  <c r="X986" i="6" s="1"/>
  <c r="P974" i="6"/>
  <c r="S974" i="6" s="1"/>
  <c r="U974" i="6" s="1"/>
  <c r="V974" i="6" s="1"/>
  <c r="W974" i="6" s="1"/>
  <c r="X974" i="6" s="1"/>
  <c r="Q1051" i="6"/>
  <c r="R1051" i="6" s="1"/>
  <c r="P1051" i="6"/>
  <c r="S1051" i="6" s="1"/>
  <c r="U1051" i="6" s="1"/>
  <c r="V1051" i="6" s="1"/>
  <c r="W1051" i="6" s="1"/>
  <c r="X1051" i="6" s="1"/>
  <c r="P972" i="6"/>
  <c r="S972" i="6" s="1"/>
  <c r="U972" i="6" s="1"/>
  <c r="V972" i="6" s="1"/>
  <c r="W972" i="6" s="1"/>
  <c r="X972" i="6" s="1"/>
  <c r="Q1047" i="6"/>
  <c r="R1047" i="6" s="1"/>
  <c r="P1034" i="6"/>
  <c r="S1034" i="6" s="1"/>
  <c r="U1034" i="6" s="1"/>
  <c r="V1034" i="6" s="1"/>
  <c r="W1034" i="6" s="1"/>
  <c r="X1034" i="6" s="1"/>
  <c r="P975" i="6"/>
  <c r="S975" i="6" s="1"/>
  <c r="U975" i="6" s="1"/>
  <c r="V975" i="6" s="1"/>
  <c r="W975" i="6" s="1"/>
  <c r="X975" i="6" s="1"/>
  <c r="Q975" i="6"/>
  <c r="R975" i="6" s="1"/>
  <c r="U961" i="6"/>
  <c r="V961" i="6" s="1"/>
  <c r="W961" i="6" s="1"/>
  <c r="X961" i="6" s="1"/>
  <c r="U1011" i="6"/>
  <c r="V1011" i="6" s="1"/>
  <c r="W1011" i="6" s="1"/>
  <c r="X1011" i="6" s="1"/>
  <c r="U951" i="6"/>
  <c r="V951" i="6" s="1"/>
  <c r="W951" i="6" s="1"/>
  <c r="X951" i="6" s="1"/>
  <c r="Q951" i="6"/>
  <c r="R951" i="6" s="1"/>
  <c r="Q811" i="6"/>
  <c r="R811" i="6" s="1"/>
  <c r="P930" i="6"/>
  <c r="S930" i="6" s="1"/>
  <c r="U930" i="6" s="1"/>
  <c r="V930" i="6" s="1"/>
  <c r="W930" i="6" s="1"/>
  <c r="X930" i="6" s="1"/>
  <c r="P801" i="6"/>
  <c r="S801" i="6" s="1"/>
  <c r="U801" i="6" s="1"/>
  <c r="V801" i="6" s="1"/>
  <c r="W801" i="6" s="1"/>
  <c r="X801" i="6" s="1"/>
  <c r="P904" i="6"/>
  <c r="S904" i="6" s="1"/>
  <c r="U904" i="6" s="1"/>
  <c r="V904" i="6" s="1"/>
  <c r="W904" i="6" s="1"/>
  <c r="X904" i="6" s="1"/>
  <c r="P868" i="6"/>
  <c r="S868" i="6" s="1"/>
  <c r="U868" i="6" s="1"/>
  <c r="V868" i="6" s="1"/>
  <c r="W868" i="6" s="1"/>
  <c r="X868" i="6" s="1"/>
  <c r="Q585" i="6"/>
  <c r="R585" i="6" s="1"/>
  <c r="P885" i="6"/>
  <c r="S885" i="6" s="1"/>
  <c r="U885" i="6" s="1"/>
  <c r="V885" i="6" s="1"/>
  <c r="W885" i="6" s="1"/>
  <c r="X885" i="6" s="1"/>
  <c r="P751" i="6"/>
  <c r="S751" i="6" s="1"/>
  <c r="U751" i="6" s="1"/>
  <c r="V751" i="6" s="1"/>
  <c r="W751" i="6" s="1"/>
  <c r="X751" i="6" s="1"/>
  <c r="P807" i="6"/>
  <c r="S807" i="6" s="1"/>
  <c r="P739" i="6"/>
  <c r="S739" i="6" s="1"/>
  <c r="U739" i="6" s="1"/>
  <c r="V739" i="6" s="1"/>
  <c r="W739" i="6" s="1"/>
  <c r="X739" i="6" s="1"/>
  <c r="P518" i="6"/>
  <c r="S518" i="6" s="1"/>
  <c r="U518" i="6" s="1"/>
  <c r="V518" i="6" s="1"/>
  <c r="W518" i="6" s="1"/>
  <c r="X518" i="6" s="1"/>
  <c r="Q779" i="6"/>
  <c r="R779" i="6" s="1"/>
  <c r="P435" i="6"/>
  <c r="S435" i="6" s="1"/>
  <c r="U435" i="6" s="1"/>
  <c r="V435" i="6" s="1"/>
  <c r="W435" i="6" s="1"/>
  <c r="X435" i="6" s="1"/>
  <c r="Q520" i="6"/>
  <c r="R520" i="6" s="1"/>
  <c r="P849" i="6"/>
  <c r="S849" i="6" s="1"/>
  <c r="U849" i="6" s="1"/>
  <c r="V849" i="6" s="1"/>
  <c r="W849" i="6" s="1"/>
  <c r="X849" i="6" s="1"/>
  <c r="P831" i="6"/>
  <c r="S831" i="6" s="1"/>
  <c r="U831" i="6" s="1"/>
  <c r="V831" i="6" s="1"/>
  <c r="W831" i="6" s="1"/>
  <c r="X831" i="6" s="1"/>
  <c r="P463" i="6"/>
  <c r="S463" i="6" s="1"/>
  <c r="U463" i="6" s="1"/>
  <c r="V463" i="6" s="1"/>
  <c r="W463" i="6" s="1"/>
  <c r="X463" i="6" s="1"/>
  <c r="P428" i="6"/>
  <c r="S428" i="6" s="1"/>
  <c r="U428" i="6" s="1"/>
  <c r="V428" i="6" s="1"/>
  <c r="W428" i="6" s="1"/>
  <c r="X428" i="6" s="1"/>
  <c r="Q787" i="6"/>
  <c r="R787" i="6" s="1"/>
  <c r="Q545" i="6"/>
  <c r="R545" i="6" s="1"/>
  <c r="P746" i="6"/>
  <c r="S746" i="6" s="1"/>
  <c r="U746" i="6" s="1"/>
  <c r="V746" i="6" s="1"/>
  <c r="W746" i="6" s="1"/>
  <c r="X746" i="6" s="1"/>
  <c r="P935" i="6"/>
  <c r="S935" i="6" s="1"/>
  <c r="U935" i="6" s="1"/>
  <c r="V935" i="6" s="1"/>
  <c r="W935" i="6" s="1"/>
  <c r="X935" i="6" s="1"/>
  <c r="P924" i="6"/>
  <c r="S924" i="6" s="1"/>
  <c r="U924" i="6" s="1"/>
  <c r="V924" i="6" s="1"/>
  <c r="W924" i="6" s="1"/>
  <c r="X924" i="6" s="1"/>
  <c r="Q765" i="6"/>
  <c r="R765" i="6" s="1"/>
  <c r="P748" i="6"/>
  <c r="S748" i="6" s="1"/>
  <c r="U748" i="6" s="1"/>
  <c r="V748" i="6" s="1"/>
  <c r="W748" i="6" s="1"/>
  <c r="X748" i="6" s="1"/>
  <c r="Q583" i="6"/>
  <c r="R583" i="6" s="1"/>
  <c r="P451" i="6"/>
  <c r="S451" i="6" s="1"/>
  <c r="U451" i="6" s="1"/>
  <c r="V451" i="6" s="1"/>
  <c r="W451" i="6" s="1"/>
  <c r="X451" i="6" s="1"/>
  <c r="Q565" i="6"/>
  <c r="R565" i="6" s="1"/>
  <c r="U567" i="6"/>
  <c r="V567" i="6" s="1"/>
  <c r="W567" i="6" s="1"/>
  <c r="X567" i="6" s="1"/>
  <c r="U787" i="6"/>
  <c r="V787" i="6" s="1"/>
  <c r="W787" i="6" s="1"/>
  <c r="X787" i="6" s="1"/>
  <c r="P796" i="6"/>
  <c r="S796" i="6" s="1"/>
  <c r="U796" i="6" s="1"/>
  <c r="V796" i="6" s="1"/>
  <c r="W796" i="6" s="1"/>
  <c r="X796" i="6" s="1"/>
  <c r="U543" i="6"/>
  <c r="V543" i="6" s="1"/>
  <c r="W543" i="6" s="1"/>
  <c r="X543" i="6" s="1"/>
  <c r="P793" i="6"/>
  <c r="S793" i="6" s="1"/>
  <c r="U793" i="6" s="1"/>
  <c r="V793" i="6" s="1"/>
  <c r="W793" i="6" s="1"/>
  <c r="X793" i="6" s="1"/>
  <c r="P767" i="6"/>
  <c r="S767" i="6" s="1"/>
  <c r="U767" i="6" s="1"/>
  <c r="V767" i="6" s="1"/>
  <c r="W767" i="6" s="1"/>
  <c r="X767" i="6" s="1"/>
  <c r="P434" i="6"/>
  <c r="S434" i="6" s="1"/>
  <c r="U434" i="6" s="1"/>
  <c r="V434" i="6" s="1"/>
  <c r="W434" i="6" s="1"/>
  <c r="X434" i="6" s="1"/>
  <c r="P620" i="6"/>
  <c r="S620" i="6" s="1"/>
  <c r="U620" i="6" s="1"/>
  <c r="V620" i="6" s="1"/>
  <c r="W620" i="6" s="1"/>
  <c r="X620" i="6" s="1"/>
  <c r="P670" i="6"/>
  <c r="S670" i="6" s="1"/>
  <c r="U670" i="6" s="1"/>
  <c r="V670" i="6" s="1"/>
  <c r="W670" i="6" s="1"/>
  <c r="X670" i="6" s="1"/>
  <c r="P841" i="6"/>
  <c r="S841" i="6" s="1"/>
  <c r="U841" i="6" s="1"/>
  <c r="V841" i="6" s="1"/>
  <c r="W841" i="6" s="1"/>
  <c r="X841" i="6" s="1"/>
  <c r="P812" i="6"/>
  <c r="S812" i="6" s="1"/>
  <c r="U812" i="6" s="1"/>
  <c r="V812" i="6" s="1"/>
  <c r="W812" i="6" s="1"/>
  <c r="X812" i="6" s="1"/>
  <c r="P675" i="6"/>
  <c r="S675" i="6" s="1"/>
  <c r="U675" i="6" s="1"/>
  <c r="V675" i="6" s="1"/>
  <c r="W675" i="6" s="1"/>
  <c r="X675" i="6" s="1"/>
  <c r="P487" i="6"/>
  <c r="S487" i="6" s="1"/>
  <c r="U487" i="6" s="1"/>
  <c r="V487" i="6" s="1"/>
  <c r="W487" i="6" s="1"/>
  <c r="X487" i="6" s="1"/>
  <c r="P884" i="6"/>
  <c r="S884" i="6" s="1"/>
  <c r="U884" i="6" s="1"/>
  <c r="V884" i="6" s="1"/>
  <c r="W884" i="6" s="1"/>
  <c r="X884" i="6" s="1"/>
  <c r="P843" i="6"/>
  <c r="S843" i="6" s="1"/>
  <c r="U843" i="6" s="1"/>
  <c r="V843" i="6" s="1"/>
  <c r="W843" i="6" s="1"/>
  <c r="X843" i="6" s="1"/>
  <c r="Q817" i="6"/>
  <c r="R817" i="6" s="1"/>
  <c r="P727" i="6"/>
  <c r="S727" i="6" s="1"/>
  <c r="U727" i="6" s="1"/>
  <c r="V727" i="6" s="1"/>
  <c r="W727" i="6" s="1"/>
  <c r="X727" i="6" s="1"/>
  <c r="P677" i="6"/>
  <c r="S677" i="6" s="1"/>
  <c r="U677" i="6" s="1"/>
  <c r="V677" i="6" s="1"/>
  <c r="W677" i="6" s="1"/>
  <c r="X677" i="6" s="1"/>
  <c r="P640" i="6"/>
  <c r="S640" i="6" s="1"/>
  <c r="U640" i="6" s="1"/>
  <c r="V640" i="6" s="1"/>
  <c r="W640" i="6" s="1"/>
  <c r="X640" i="6" s="1"/>
  <c r="P443" i="6"/>
  <c r="S443" i="6" s="1"/>
  <c r="U443" i="6" s="1"/>
  <c r="V443" i="6" s="1"/>
  <c r="W443" i="6" s="1"/>
  <c r="X443" i="6" s="1"/>
  <c r="P943" i="6"/>
  <c r="S943" i="6" s="1"/>
  <c r="U943" i="6" s="1"/>
  <c r="V943" i="6" s="1"/>
  <c r="W943" i="6" s="1"/>
  <c r="X943" i="6" s="1"/>
  <c r="P922" i="6"/>
  <c r="S922" i="6" s="1"/>
  <c r="U922" i="6" s="1"/>
  <c r="V922" i="6" s="1"/>
  <c r="W922" i="6" s="1"/>
  <c r="X922" i="6" s="1"/>
  <c r="P869" i="6"/>
  <c r="S869" i="6" s="1"/>
  <c r="U869" i="6" s="1"/>
  <c r="V869" i="6" s="1"/>
  <c r="W869" i="6" s="1"/>
  <c r="X869" i="6" s="1"/>
  <c r="P763" i="6"/>
  <c r="S763" i="6" s="1"/>
  <c r="U763" i="6" s="1"/>
  <c r="V763" i="6" s="1"/>
  <c r="W763" i="6" s="1"/>
  <c r="X763" i="6" s="1"/>
  <c r="P669" i="6"/>
  <c r="S669" i="6" s="1"/>
  <c r="U669" i="6" s="1"/>
  <c r="V669" i="6" s="1"/>
  <c r="W669" i="6" s="1"/>
  <c r="X669" i="6" s="1"/>
  <c r="Q526" i="6"/>
  <c r="R526" i="6" s="1"/>
  <c r="P437" i="6"/>
  <c r="S437" i="6" s="1"/>
  <c r="U437" i="6" s="1"/>
  <c r="V437" i="6" s="1"/>
  <c r="W437" i="6" s="1"/>
  <c r="X437" i="6" s="1"/>
  <c r="Q426" i="6"/>
  <c r="R426" i="6" s="1"/>
  <c r="P461" i="6"/>
  <c r="S461" i="6" s="1"/>
  <c r="U461" i="6" s="1"/>
  <c r="V461" i="6" s="1"/>
  <c r="W461" i="6" s="1"/>
  <c r="X461" i="6" s="1"/>
  <c r="P929" i="6"/>
  <c r="S929" i="6" s="1"/>
  <c r="U929" i="6" s="1"/>
  <c r="V929" i="6" s="1"/>
  <c r="W929" i="6" s="1"/>
  <c r="X929" i="6" s="1"/>
  <c r="P897" i="6"/>
  <c r="S897" i="6" s="1"/>
  <c r="U897" i="6" s="1"/>
  <c r="V897" i="6" s="1"/>
  <c r="W897" i="6" s="1"/>
  <c r="X897" i="6" s="1"/>
  <c r="P877" i="6"/>
  <c r="S877" i="6" s="1"/>
  <c r="U877" i="6" s="1"/>
  <c r="V877" i="6" s="1"/>
  <c r="W877" i="6" s="1"/>
  <c r="X877" i="6" s="1"/>
  <c r="P854" i="6"/>
  <c r="S854" i="6" s="1"/>
  <c r="U854" i="6" s="1"/>
  <c r="V854" i="6" s="1"/>
  <c r="W854" i="6" s="1"/>
  <c r="X854" i="6" s="1"/>
  <c r="P737" i="6"/>
  <c r="S737" i="6" s="1"/>
  <c r="U737" i="6" s="1"/>
  <c r="V737" i="6" s="1"/>
  <c r="W737" i="6" s="1"/>
  <c r="X737" i="6" s="1"/>
  <c r="P726" i="6"/>
  <c r="S726" i="6" s="1"/>
  <c r="U726" i="6" s="1"/>
  <c r="V726" i="6" s="1"/>
  <c r="W726" i="6" s="1"/>
  <c r="X726" i="6" s="1"/>
  <c r="P697" i="6"/>
  <c r="S697" i="6" s="1"/>
  <c r="U697" i="6" s="1"/>
  <c r="V697" i="6" s="1"/>
  <c r="W697" i="6" s="1"/>
  <c r="X697" i="6" s="1"/>
  <c r="P634" i="6"/>
  <c r="S634" i="6" s="1"/>
  <c r="U634" i="6" s="1"/>
  <c r="V634" i="6" s="1"/>
  <c r="W634" i="6" s="1"/>
  <c r="X634" i="6" s="1"/>
  <c r="P579" i="6"/>
  <c r="S579" i="6" s="1"/>
  <c r="U579" i="6" s="1"/>
  <c r="V579" i="6" s="1"/>
  <c r="W579" i="6" s="1"/>
  <c r="X579" i="6" s="1"/>
  <c r="P500" i="6"/>
  <c r="S500" i="6" s="1"/>
  <c r="U500" i="6" s="1"/>
  <c r="V500" i="6" s="1"/>
  <c r="W500" i="6" s="1"/>
  <c r="X500" i="6" s="1"/>
  <c r="Q421" i="6"/>
  <c r="R421" i="6" s="1"/>
  <c r="P851" i="6"/>
  <c r="S851" i="6" s="1"/>
  <c r="U851" i="6" s="1"/>
  <c r="V851" i="6" s="1"/>
  <c r="W851" i="6" s="1"/>
  <c r="X851" i="6" s="1"/>
  <c r="P840" i="6"/>
  <c r="S840" i="6" s="1"/>
  <c r="U840" i="6" s="1"/>
  <c r="V840" i="6" s="1"/>
  <c r="W840" i="6" s="1"/>
  <c r="X840" i="6" s="1"/>
  <c r="U789" i="6"/>
  <c r="V789" i="6" s="1"/>
  <c r="W789" i="6" s="1"/>
  <c r="X789" i="6" s="1"/>
  <c r="Q764" i="6"/>
  <c r="R764" i="6" s="1"/>
  <c r="P731" i="6"/>
  <c r="S731" i="6" s="1"/>
  <c r="U731" i="6" s="1"/>
  <c r="V731" i="6" s="1"/>
  <c r="W731" i="6" s="1"/>
  <c r="X731" i="6" s="1"/>
  <c r="P657" i="6"/>
  <c r="S657" i="6" s="1"/>
  <c r="U657" i="6" s="1"/>
  <c r="V657" i="6" s="1"/>
  <c r="W657" i="6" s="1"/>
  <c r="X657" i="6" s="1"/>
  <c r="Q530" i="6"/>
  <c r="R530" i="6" s="1"/>
  <c r="P464" i="6"/>
  <c r="S464" i="6" s="1"/>
  <c r="U464" i="6" s="1"/>
  <c r="V464" i="6" s="1"/>
  <c r="W464" i="6" s="1"/>
  <c r="X464" i="6" s="1"/>
  <c r="P459" i="6"/>
  <c r="S459" i="6" s="1"/>
  <c r="U459" i="6" s="1"/>
  <c r="V459" i="6" s="1"/>
  <c r="W459" i="6" s="1"/>
  <c r="X459" i="6" s="1"/>
  <c r="P936" i="6"/>
  <c r="S936" i="6" s="1"/>
  <c r="U936" i="6" s="1"/>
  <c r="V936" i="6" s="1"/>
  <c r="W936" i="6" s="1"/>
  <c r="X936" i="6" s="1"/>
  <c r="P893" i="6"/>
  <c r="S893" i="6" s="1"/>
  <c r="U893" i="6" s="1"/>
  <c r="V893" i="6" s="1"/>
  <c r="W893" i="6" s="1"/>
  <c r="X893" i="6" s="1"/>
  <c r="P876" i="6"/>
  <c r="S876" i="6" s="1"/>
  <c r="U876" i="6" s="1"/>
  <c r="V876" i="6" s="1"/>
  <c r="W876" i="6" s="1"/>
  <c r="X876" i="6" s="1"/>
  <c r="Q819" i="6"/>
  <c r="R819" i="6" s="1"/>
  <c r="P808" i="6"/>
  <c r="S808" i="6" s="1"/>
  <c r="U808" i="6" s="1"/>
  <c r="V808" i="6" s="1"/>
  <c r="W808" i="6" s="1"/>
  <c r="X808" i="6" s="1"/>
  <c r="Q771" i="6"/>
  <c r="R771" i="6" s="1"/>
  <c r="P624" i="6"/>
  <c r="S624" i="6" s="1"/>
  <c r="U624" i="6" s="1"/>
  <c r="V624" i="6" s="1"/>
  <c r="W624" i="6" s="1"/>
  <c r="X624" i="6" s="1"/>
  <c r="Q575" i="6"/>
  <c r="R575" i="6" s="1"/>
  <c r="Q524" i="6"/>
  <c r="R524" i="6" s="1"/>
  <c r="U533" i="6"/>
  <c r="V533" i="6" s="1"/>
  <c r="W533" i="6" s="1"/>
  <c r="X533" i="6" s="1"/>
  <c r="U772" i="6"/>
  <c r="V772" i="6" s="1"/>
  <c r="W772" i="6" s="1"/>
  <c r="X772" i="6" s="1"/>
  <c r="U422" i="6"/>
  <c r="V422" i="6" s="1"/>
  <c r="W422" i="6" s="1"/>
  <c r="X422" i="6" s="1"/>
  <c r="U569" i="6"/>
  <c r="V569" i="6" s="1"/>
  <c r="W569" i="6" s="1"/>
  <c r="X569" i="6" s="1"/>
  <c r="U524" i="6"/>
  <c r="V524" i="6" s="1"/>
  <c r="W524" i="6" s="1"/>
  <c r="X524" i="6" s="1"/>
  <c r="U590" i="6"/>
  <c r="V590" i="6" s="1"/>
  <c r="W590" i="6" s="1"/>
  <c r="X590" i="6" s="1"/>
  <c r="P927" i="6"/>
  <c r="S927" i="6" s="1"/>
  <c r="U927" i="6" s="1"/>
  <c r="V927" i="6" s="1"/>
  <c r="W927" i="6" s="1"/>
  <c r="X927" i="6" s="1"/>
  <c r="P901" i="6"/>
  <c r="S901" i="6" s="1"/>
  <c r="U901" i="6" s="1"/>
  <c r="V901" i="6" s="1"/>
  <c r="W901" i="6" s="1"/>
  <c r="X901" i="6" s="1"/>
  <c r="P870" i="6"/>
  <c r="S870" i="6" s="1"/>
  <c r="U870" i="6" s="1"/>
  <c r="V870" i="6" s="1"/>
  <c r="W870" i="6" s="1"/>
  <c r="X870" i="6" s="1"/>
  <c r="P859" i="6"/>
  <c r="S859" i="6" s="1"/>
  <c r="U859" i="6" s="1"/>
  <c r="V859" i="6" s="1"/>
  <c r="W859" i="6" s="1"/>
  <c r="X859" i="6" s="1"/>
  <c r="P837" i="6"/>
  <c r="S837" i="6" s="1"/>
  <c r="U837" i="6" s="1"/>
  <c r="V837" i="6" s="1"/>
  <c r="W837" i="6" s="1"/>
  <c r="X837" i="6" s="1"/>
  <c r="P725" i="6"/>
  <c r="S725" i="6" s="1"/>
  <c r="U725" i="6" s="1"/>
  <c r="V725" i="6" s="1"/>
  <c r="W725" i="6" s="1"/>
  <c r="X725" i="6" s="1"/>
  <c r="P682" i="6"/>
  <c r="S682" i="6" s="1"/>
  <c r="U682" i="6" s="1"/>
  <c r="V682" i="6" s="1"/>
  <c r="W682" i="6" s="1"/>
  <c r="X682" i="6" s="1"/>
  <c r="Q542" i="6"/>
  <c r="R542" i="6" s="1"/>
  <c r="Q519" i="6"/>
  <c r="R519" i="6" s="1"/>
  <c r="P439" i="6"/>
  <c r="S439" i="6" s="1"/>
  <c r="U439" i="6" s="1"/>
  <c r="V439" i="6" s="1"/>
  <c r="W439" i="6" s="1"/>
  <c r="X439" i="6" s="1"/>
  <c r="U415" i="6"/>
  <c r="V415" i="6" s="1"/>
  <c r="W415" i="6" s="1"/>
  <c r="X415" i="6" s="1"/>
  <c r="U522" i="6"/>
  <c r="V522" i="6" s="1"/>
  <c r="W522" i="6" s="1"/>
  <c r="X522" i="6" s="1"/>
  <c r="U807" i="6"/>
  <c r="V807" i="6" s="1"/>
  <c r="W807" i="6" s="1"/>
  <c r="X807" i="6" s="1"/>
  <c r="U529" i="6"/>
  <c r="V529" i="6" s="1"/>
  <c r="W529" i="6" s="1"/>
  <c r="X529" i="6" s="1"/>
  <c r="U421" i="6"/>
  <c r="V421" i="6" s="1"/>
  <c r="W421" i="6" s="1"/>
  <c r="X421" i="6" s="1"/>
  <c r="P853" i="6"/>
  <c r="S853" i="6" s="1"/>
  <c r="U853" i="6" s="1"/>
  <c r="V853" i="6" s="1"/>
  <c r="W853" i="6" s="1"/>
  <c r="X853" i="6" s="1"/>
  <c r="Q820" i="6"/>
  <c r="R820" i="6" s="1"/>
  <c r="P753" i="6"/>
  <c r="S753" i="6" s="1"/>
  <c r="U753" i="6" s="1"/>
  <c r="V753" i="6" s="1"/>
  <c r="W753" i="6" s="1"/>
  <c r="X753" i="6" s="1"/>
  <c r="P743" i="6"/>
  <c r="S743" i="6" s="1"/>
  <c r="U743" i="6" s="1"/>
  <c r="V743" i="6" s="1"/>
  <c r="W743" i="6" s="1"/>
  <c r="X743" i="6" s="1"/>
  <c r="P693" i="6"/>
  <c r="S693" i="6" s="1"/>
  <c r="U693" i="6" s="1"/>
  <c r="V693" i="6" s="1"/>
  <c r="W693" i="6" s="1"/>
  <c r="X693" i="6" s="1"/>
  <c r="P621" i="6"/>
  <c r="S621" i="6" s="1"/>
  <c r="U621" i="6" s="1"/>
  <c r="V621" i="6" s="1"/>
  <c r="W621" i="6" s="1"/>
  <c r="X621" i="6" s="1"/>
  <c r="P616" i="6"/>
  <c r="S616" i="6" s="1"/>
  <c r="U616" i="6" s="1"/>
  <c r="V616" i="6" s="1"/>
  <c r="W616" i="6" s="1"/>
  <c r="X616" i="6" s="1"/>
  <c r="U589" i="6"/>
  <c r="V589" i="6" s="1"/>
  <c r="W589" i="6" s="1"/>
  <c r="X589" i="6" s="1"/>
  <c r="Q577" i="6"/>
  <c r="R577" i="6" s="1"/>
  <c r="Q528" i="6"/>
  <c r="R528" i="6" s="1"/>
  <c r="P511" i="6"/>
  <c r="S511" i="6" s="1"/>
  <c r="U511" i="6" s="1"/>
  <c r="V511" i="6" s="1"/>
  <c r="W511" i="6" s="1"/>
  <c r="X511" i="6" s="1"/>
  <c r="P452" i="6"/>
  <c r="S452" i="6" s="1"/>
  <c r="U452" i="6" s="1"/>
  <c r="V452" i="6" s="1"/>
  <c r="W452" i="6" s="1"/>
  <c r="X452" i="6" s="1"/>
  <c r="U527" i="6"/>
  <c r="V527" i="6" s="1"/>
  <c r="W527" i="6" s="1"/>
  <c r="X527" i="6" s="1"/>
  <c r="U542" i="6"/>
  <c r="V542" i="6" s="1"/>
  <c r="W542" i="6" s="1"/>
  <c r="X542" i="6" s="1"/>
  <c r="P889" i="6"/>
  <c r="S889" i="6" s="1"/>
  <c r="U889" i="6" s="1"/>
  <c r="V889" i="6" s="1"/>
  <c r="W889" i="6" s="1"/>
  <c r="X889" i="6" s="1"/>
  <c r="P864" i="6"/>
  <c r="S864" i="6" s="1"/>
  <c r="U864" i="6" s="1"/>
  <c r="V864" i="6" s="1"/>
  <c r="W864" i="6" s="1"/>
  <c r="X864" i="6" s="1"/>
  <c r="Q815" i="6"/>
  <c r="R815" i="6" s="1"/>
  <c r="P805" i="6"/>
  <c r="S805" i="6" s="1"/>
  <c r="U805" i="6" s="1"/>
  <c r="V805" i="6" s="1"/>
  <c r="W805" i="6" s="1"/>
  <c r="X805" i="6" s="1"/>
  <c r="P707" i="6"/>
  <c r="S707" i="6" s="1"/>
  <c r="U707" i="6" s="1"/>
  <c r="V707" i="6" s="1"/>
  <c r="W707" i="6" s="1"/>
  <c r="X707" i="6" s="1"/>
  <c r="P652" i="6"/>
  <c r="S652" i="6" s="1"/>
  <c r="U652" i="6" s="1"/>
  <c r="V652" i="6" s="1"/>
  <c r="W652" i="6" s="1"/>
  <c r="X652" i="6" s="1"/>
  <c r="P587" i="6"/>
  <c r="S587" i="6" s="1"/>
  <c r="U587" i="6" s="1"/>
  <c r="V587" i="6" s="1"/>
  <c r="W587" i="6" s="1"/>
  <c r="X587" i="6" s="1"/>
  <c r="Q569" i="6"/>
  <c r="R569" i="6" s="1"/>
  <c r="Q422" i="6"/>
  <c r="R422" i="6" s="1"/>
  <c r="Q417" i="6"/>
  <c r="R417" i="6" s="1"/>
  <c r="U768" i="6"/>
  <c r="V768" i="6" s="1"/>
  <c r="W768" i="6" s="1"/>
  <c r="X768" i="6" s="1"/>
  <c r="P934" i="6"/>
  <c r="S934" i="6" s="1"/>
  <c r="U934" i="6" s="1"/>
  <c r="V934" i="6" s="1"/>
  <c r="W934" i="6" s="1"/>
  <c r="X934" i="6" s="1"/>
  <c r="P822" i="6"/>
  <c r="S822" i="6" s="1"/>
  <c r="U822" i="6" s="1"/>
  <c r="V822" i="6" s="1"/>
  <c r="W822" i="6" s="1"/>
  <c r="X822" i="6" s="1"/>
  <c r="P758" i="6"/>
  <c r="S758" i="6" s="1"/>
  <c r="U758" i="6" s="1"/>
  <c r="V758" i="6" s="1"/>
  <c r="W758" i="6" s="1"/>
  <c r="X758" i="6" s="1"/>
  <c r="P745" i="6"/>
  <c r="S745" i="6" s="1"/>
  <c r="U745" i="6" s="1"/>
  <c r="V745" i="6" s="1"/>
  <c r="W745" i="6" s="1"/>
  <c r="X745" i="6" s="1"/>
  <c r="P740" i="6"/>
  <c r="S740" i="6" s="1"/>
  <c r="U740" i="6" s="1"/>
  <c r="V740" i="6" s="1"/>
  <c r="W740" i="6" s="1"/>
  <c r="X740" i="6" s="1"/>
  <c r="P698" i="6"/>
  <c r="S698" i="6" s="1"/>
  <c r="U698" i="6" s="1"/>
  <c r="V698" i="6" s="1"/>
  <c r="W698" i="6" s="1"/>
  <c r="X698" i="6" s="1"/>
  <c r="Q571" i="6"/>
  <c r="R571" i="6" s="1"/>
  <c r="Q523" i="6"/>
  <c r="R523" i="6" s="1"/>
  <c r="P508" i="6"/>
  <c r="S508" i="6" s="1"/>
  <c r="U508" i="6" s="1"/>
  <c r="V508" i="6" s="1"/>
  <c r="W508" i="6" s="1"/>
  <c r="X508" i="6" s="1"/>
  <c r="P457" i="6"/>
  <c r="S457" i="6" s="1"/>
  <c r="U457" i="6" s="1"/>
  <c r="V457" i="6" s="1"/>
  <c r="W457" i="6" s="1"/>
  <c r="X457" i="6" s="1"/>
  <c r="P414" i="6"/>
  <c r="S414" i="6" s="1"/>
  <c r="U414" i="6" s="1"/>
  <c r="V414" i="6" s="1"/>
  <c r="W414" i="6" s="1"/>
  <c r="X414" i="6" s="1"/>
  <c r="P416" i="6"/>
  <c r="S416" i="6" s="1"/>
  <c r="U416" i="6" s="1"/>
  <c r="V416" i="6" s="1"/>
  <c r="W416" i="6" s="1"/>
  <c r="X416" i="6" s="1"/>
  <c r="Q416" i="6"/>
  <c r="R416" i="6" s="1"/>
  <c r="P418" i="6"/>
  <c r="S418" i="6" s="1"/>
  <c r="U418" i="6" s="1"/>
  <c r="V418" i="6" s="1"/>
  <c r="W418" i="6" s="1"/>
  <c r="X418" i="6" s="1"/>
  <c r="Q418" i="6"/>
  <c r="R418" i="6" s="1"/>
  <c r="Q942" i="6"/>
  <c r="R942" i="6" s="1"/>
  <c r="P942" i="6"/>
  <c r="S942" i="6" s="1"/>
  <c r="U942" i="6" s="1"/>
  <c r="V942" i="6" s="1"/>
  <c r="W942" i="6" s="1"/>
  <c r="X942" i="6" s="1"/>
  <c r="Q818" i="6"/>
  <c r="R818" i="6" s="1"/>
  <c r="P674" i="6"/>
  <c r="S674" i="6" s="1"/>
  <c r="U674" i="6" s="1"/>
  <c r="V674" i="6" s="1"/>
  <c r="W674" i="6" s="1"/>
  <c r="X674" i="6" s="1"/>
  <c r="Q667" i="6"/>
  <c r="R667" i="6" s="1"/>
  <c r="P667" i="6"/>
  <c r="S667" i="6" s="1"/>
  <c r="U667" i="6" s="1"/>
  <c r="V667" i="6" s="1"/>
  <c r="W667" i="6" s="1"/>
  <c r="X667" i="6" s="1"/>
  <c r="U571" i="6"/>
  <c r="V571" i="6" s="1"/>
  <c r="W571" i="6" s="1"/>
  <c r="X571" i="6" s="1"/>
  <c r="Q549" i="6"/>
  <c r="R549" i="6" s="1"/>
  <c r="Q533" i="6"/>
  <c r="R533" i="6" s="1"/>
  <c r="P424" i="6"/>
  <c r="S424" i="6" s="1"/>
  <c r="U424" i="6" s="1"/>
  <c r="V424" i="6" s="1"/>
  <c r="W424" i="6" s="1"/>
  <c r="X424" i="6" s="1"/>
  <c r="U417" i="6"/>
  <c r="V417" i="6" s="1"/>
  <c r="W417" i="6" s="1"/>
  <c r="X417" i="6" s="1"/>
  <c r="Q912" i="6"/>
  <c r="R912" i="6" s="1"/>
  <c r="P912" i="6"/>
  <c r="S912" i="6" s="1"/>
  <c r="U912" i="6" s="1"/>
  <c r="V912" i="6" s="1"/>
  <c r="W912" i="6" s="1"/>
  <c r="X912" i="6" s="1"/>
  <c r="Q826" i="6"/>
  <c r="R826" i="6" s="1"/>
  <c r="P826" i="6"/>
  <c r="S826" i="6" s="1"/>
  <c r="U826" i="6" s="1"/>
  <c r="V826" i="6" s="1"/>
  <c r="W826" i="6" s="1"/>
  <c r="X826" i="6" s="1"/>
  <c r="Q635" i="6"/>
  <c r="R635" i="6" s="1"/>
  <c r="P635" i="6"/>
  <c r="S635" i="6" s="1"/>
  <c r="U635" i="6" s="1"/>
  <c r="V635" i="6" s="1"/>
  <c r="W635" i="6" s="1"/>
  <c r="X635" i="6" s="1"/>
  <c r="Q455" i="6"/>
  <c r="R455" i="6" s="1"/>
  <c r="P455" i="6"/>
  <c r="S455" i="6" s="1"/>
  <c r="U455" i="6" s="1"/>
  <c r="V455" i="6" s="1"/>
  <c r="W455" i="6" s="1"/>
  <c r="X455" i="6" s="1"/>
  <c r="Q871" i="6"/>
  <c r="R871" i="6" s="1"/>
  <c r="P871" i="6"/>
  <c r="S871" i="6" s="1"/>
  <c r="U871" i="6" s="1"/>
  <c r="V871" i="6" s="1"/>
  <c r="W871" i="6" s="1"/>
  <c r="X871" i="6" s="1"/>
  <c r="Q879" i="6"/>
  <c r="R879" i="6" s="1"/>
  <c r="P879" i="6"/>
  <c r="S879" i="6" s="1"/>
  <c r="U879" i="6" s="1"/>
  <c r="V879" i="6" s="1"/>
  <c r="W879" i="6" s="1"/>
  <c r="X879" i="6" s="1"/>
  <c r="U575" i="6"/>
  <c r="V575" i="6" s="1"/>
  <c r="W575" i="6" s="1"/>
  <c r="X575" i="6" s="1"/>
  <c r="U526" i="6"/>
  <c r="V526" i="6" s="1"/>
  <c r="W526" i="6" s="1"/>
  <c r="X526" i="6" s="1"/>
  <c r="U512" i="6"/>
  <c r="V512" i="6" s="1"/>
  <c r="W512" i="6" s="1"/>
  <c r="X512" i="6" s="1"/>
  <c r="Q781" i="6"/>
  <c r="R781" i="6" s="1"/>
  <c r="P781" i="6"/>
  <c r="S781" i="6" s="1"/>
  <c r="U781" i="6" s="1"/>
  <c r="V781" i="6" s="1"/>
  <c r="W781" i="6" s="1"/>
  <c r="X781" i="6" s="1"/>
  <c r="U765" i="6"/>
  <c r="V765" i="6" s="1"/>
  <c r="W765" i="6" s="1"/>
  <c r="X765" i="6" s="1"/>
  <c r="Q671" i="6"/>
  <c r="R671" i="6" s="1"/>
  <c r="P671" i="6"/>
  <c r="S671" i="6" s="1"/>
  <c r="U671" i="6" s="1"/>
  <c r="V671" i="6" s="1"/>
  <c r="W671" i="6" s="1"/>
  <c r="X671" i="6" s="1"/>
  <c r="U563" i="6"/>
  <c r="V563" i="6" s="1"/>
  <c r="W563" i="6" s="1"/>
  <c r="X563" i="6" s="1"/>
  <c r="P521" i="6"/>
  <c r="S521" i="6" s="1"/>
  <c r="U521" i="6" s="1"/>
  <c r="V521" i="6" s="1"/>
  <c r="W521" i="6" s="1"/>
  <c r="X521" i="6" s="1"/>
  <c r="Q521" i="6"/>
  <c r="R521" i="6" s="1"/>
  <c r="P514" i="6"/>
  <c r="S514" i="6" s="1"/>
  <c r="U514" i="6" s="1"/>
  <c r="V514" i="6" s="1"/>
  <c r="W514" i="6" s="1"/>
  <c r="X514" i="6" s="1"/>
  <c r="Q514" i="6"/>
  <c r="R514" i="6" s="1"/>
  <c r="Q456" i="6"/>
  <c r="R456" i="6" s="1"/>
  <c r="P456" i="6"/>
  <c r="S456" i="6" s="1"/>
  <c r="U456" i="6" s="1"/>
  <c r="V456" i="6" s="1"/>
  <c r="W456" i="6" s="1"/>
  <c r="X456" i="6" s="1"/>
  <c r="Q491" i="6"/>
  <c r="R491" i="6" s="1"/>
  <c r="P491" i="6"/>
  <c r="S491" i="6" s="1"/>
  <c r="U491" i="6" s="1"/>
  <c r="V491" i="6" s="1"/>
  <c r="W491" i="6" s="1"/>
  <c r="X491" i="6" s="1"/>
  <c r="P823" i="6"/>
  <c r="S823" i="6" s="1"/>
  <c r="U823" i="6" s="1"/>
  <c r="V823" i="6" s="1"/>
  <c r="W823" i="6" s="1"/>
  <c r="X823" i="6" s="1"/>
  <c r="Q823" i="6"/>
  <c r="R823" i="6" s="1"/>
  <c r="Q887" i="6"/>
  <c r="R887" i="6" s="1"/>
  <c r="P887" i="6"/>
  <c r="S887" i="6" s="1"/>
  <c r="U887" i="6" s="1"/>
  <c r="V887" i="6" s="1"/>
  <c r="W887" i="6" s="1"/>
  <c r="X887" i="6" s="1"/>
  <c r="P773" i="6"/>
  <c r="S773" i="6" s="1"/>
  <c r="U773" i="6" s="1"/>
  <c r="V773" i="6" s="1"/>
  <c r="W773" i="6" s="1"/>
  <c r="X773" i="6" s="1"/>
  <c r="Q773" i="6"/>
  <c r="R773" i="6" s="1"/>
  <c r="Q730" i="6"/>
  <c r="R730" i="6" s="1"/>
  <c r="P730" i="6"/>
  <c r="S730" i="6" s="1"/>
  <c r="U730" i="6" s="1"/>
  <c r="V730" i="6" s="1"/>
  <c r="W730" i="6" s="1"/>
  <c r="X730" i="6" s="1"/>
  <c r="U539" i="6"/>
  <c r="V539" i="6" s="1"/>
  <c r="W539" i="6" s="1"/>
  <c r="X539" i="6" s="1"/>
  <c r="P795" i="6"/>
  <c r="S795" i="6" s="1"/>
  <c r="U795" i="6" s="1"/>
  <c r="V795" i="6" s="1"/>
  <c r="W795" i="6" s="1"/>
  <c r="X795" i="6" s="1"/>
  <c r="Q795" i="6"/>
  <c r="R795" i="6" s="1"/>
  <c r="Q750" i="6"/>
  <c r="R750" i="6" s="1"/>
  <c r="P750" i="6"/>
  <c r="S750" i="6" s="1"/>
  <c r="U750" i="6" s="1"/>
  <c r="V750" i="6" s="1"/>
  <c r="W750" i="6" s="1"/>
  <c r="X750" i="6" s="1"/>
  <c r="Q626" i="6"/>
  <c r="R626" i="6" s="1"/>
  <c r="P626" i="6"/>
  <c r="S626" i="6" s="1"/>
  <c r="U626" i="6" s="1"/>
  <c r="V626" i="6" s="1"/>
  <c r="W626" i="6" s="1"/>
  <c r="X626" i="6" s="1"/>
  <c r="P561" i="6"/>
  <c r="S561" i="6" s="1"/>
  <c r="U561" i="6" s="1"/>
  <c r="V561" i="6" s="1"/>
  <c r="W561" i="6" s="1"/>
  <c r="X561" i="6" s="1"/>
  <c r="Q561" i="6"/>
  <c r="R561" i="6" s="1"/>
  <c r="U549" i="6"/>
  <c r="V549" i="6" s="1"/>
  <c r="W549" i="6" s="1"/>
  <c r="X549" i="6" s="1"/>
  <c r="Q932" i="6"/>
  <c r="R932" i="6" s="1"/>
  <c r="P932" i="6"/>
  <c r="S932" i="6" s="1"/>
  <c r="U932" i="6" s="1"/>
  <c r="V932" i="6" s="1"/>
  <c r="W932" i="6" s="1"/>
  <c r="X932" i="6" s="1"/>
  <c r="U815" i="6"/>
  <c r="V815" i="6" s="1"/>
  <c r="W815" i="6" s="1"/>
  <c r="X815" i="6" s="1"/>
  <c r="P802" i="6"/>
  <c r="S802" i="6" s="1"/>
  <c r="U802" i="6" s="1"/>
  <c r="V802" i="6" s="1"/>
  <c r="W802" i="6" s="1"/>
  <c r="X802" i="6" s="1"/>
  <c r="Q802" i="6"/>
  <c r="R802" i="6" s="1"/>
  <c r="Q581" i="6"/>
  <c r="R581" i="6" s="1"/>
  <c r="P581" i="6"/>
  <c r="S581" i="6" s="1"/>
  <c r="U581" i="6" s="1"/>
  <c r="V581" i="6" s="1"/>
  <c r="W581" i="6" s="1"/>
  <c r="X581" i="6" s="1"/>
  <c r="U568" i="6"/>
  <c r="V568" i="6" s="1"/>
  <c r="W568" i="6" s="1"/>
  <c r="X568" i="6" s="1"/>
  <c r="Q622" i="6"/>
  <c r="R622" i="6" s="1"/>
  <c r="P622" i="6"/>
  <c r="S622" i="6" s="1"/>
  <c r="U622" i="6" s="1"/>
  <c r="V622" i="6" s="1"/>
  <c r="W622" i="6" s="1"/>
  <c r="X622" i="6" s="1"/>
  <c r="U520" i="6"/>
  <c r="V520" i="6" s="1"/>
  <c r="W520" i="6" s="1"/>
  <c r="X520" i="6" s="1"/>
  <c r="Q460" i="6"/>
  <c r="R460" i="6" s="1"/>
  <c r="P460" i="6"/>
  <c r="S460" i="6" s="1"/>
  <c r="U460" i="6" s="1"/>
  <c r="V460" i="6" s="1"/>
  <c r="W460" i="6" s="1"/>
  <c r="X460" i="6" s="1"/>
  <c r="Q705" i="6"/>
  <c r="R705" i="6" s="1"/>
  <c r="P705" i="6"/>
  <c r="S705" i="6" s="1"/>
  <c r="U705" i="6" s="1"/>
  <c r="V705" i="6" s="1"/>
  <c r="W705" i="6" s="1"/>
  <c r="X705" i="6" s="1"/>
  <c r="Q892" i="6"/>
  <c r="R892" i="6" s="1"/>
  <c r="P892" i="6"/>
  <c r="S892" i="6" s="1"/>
  <c r="U892" i="6" s="1"/>
  <c r="V892" i="6" s="1"/>
  <c r="W892" i="6" s="1"/>
  <c r="X892" i="6" s="1"/>
  <c r="Q659" i="6"/>
  <c r="R659" i="6" s="1"/>
  <c r="P659" i="6"/>
  <c r="S659" i="6" s="1"/>
  <c r="U659" i="6" s="1"/>
  <c r="V659" i="6" s="1"/>
  <c r="W659" i="6" s="1"/>
  <c r="X659" i="6" s="1"/>
  <c r="Q836" i="6"/>
  <c r="R836" i="6" s="1"/>
  <c r="P836" i="6"/>
  <c r="S836" i="6" s="1"/>
  <c r="U836" i="6" s="1"/>
  <c r="V836" i="6" s="1"/>
  <c r="W836" i="6" s="1"/>
  <c r="X836" i="6" s="1"/>
  <c r="Q754" i="6"/>
  <c r="R754" i="6" s="1"/>
  <c r="P754" i="6"/>
  <c r="S754" i="6" s="1"/>
  <c r="U754" i="6" s="1"/>
  <c r="V754" i="6" s="1"/>
  <c r="W754" i="6" s="1"/>
  <c r="X754" i="6" s="1"/>
  <c r="P888" i="6"/>
  <c r="S888" i="6" s="1"/>
  <c r="U888" i="6" s="1"/>
  <c r="V888" i="6" s="1"/>
  <c r="W888" i="6" s="1"/>
  <c r="X888" i="6" s="1"/>
  <c r="Q866" i="6"/>
  <c r="R866" i="6" s="1"/>
  <c r="P866" i="6"/>
  <c r="S866" i="6" s="1"/>
  <c r="U866" i="6" s="1"/>
  <c r="V866" i="6" s="1"/>
  <c r="W866" i="6" s="1"/>
  <c r="X866" i="6" s="1"/>
  <c r="Q769" i="6"/>
  <c r="R769" i="6" s="1"/>
  <c r="P769" i="6"/>
  <c r="S769" i="6" s="1"/>
  <c r="U769" i="6" s="1"/>
  <c r="V769" i="6" s="1"/>
  <c r="W769" i="6" s="1"/>
  <c r="X769" i="6" s="1"/>
  <c r="Q681" i="6"/>
  <c r="R681" i="6" s="1"/>
  <c r="P681" i="6"/>
  <c r="S681" i="6" s="1"/>
  <c r="U681" i="6" s="1"/>
  <c r="V681" i="6" s="1"/>
  <c r="W681" i="6" s="1"/>
  <c r="X681" i="6" s="1"/>
  <c r="P644" i="6"/>
  <c r="S644" i="6" s="1"/>
  <c r="U644" i="6" s="1"/>
  <c r="V644" i="6" s="1"/>
  <c r="W644" i="6" s="1"/>
  <c r="X644" i="6" s="1"/>
  <c r="P497" i="6"/>
  <c r="S497" i="6" s="1"/>
  <c r="U497" i="6" s="1"/>
  <c r="V497" i="6" s="1"/>
  <c r="W497" i="6" s="1"/>
  <c r="X497" i="6" s="1"/>
  <c r="P458" i="6"/>
  <c r="S458" i="6" s="1"/>
  <c r="U458" i="6" s="1"/>
  <c r="V458" i="6" s="1"/>
  <c r="W458" i="6" s="1"/>
  <c r="X458" i="6" s="1"/>
  <c r="P449" i="6"/>
  <c r="S449" i="6" s="1"/>
  <c r="U449" i="6" s="1"/>
  <c r="V449" i="6" s="1"/>
  <c r="W449" i="6" s="1"/>
  <c r="X449" i="6" s="1"/>
  <c r="U591" i="6"/>
  <c r="V591" i="6" s="1"/>
  <c r="W591" i="6" s="1"/>
  <c r="X591" i="6" s="1"/>
  <c r="U545" i="6"/>
  <c r="V545" i="6" s="1"/>
  <c r="W545" i="6" s="1"/>
  <c r="X545" i="6" s="1"/>
  <c r="U819" i="6"/>
  <c r="V819" i="6" s="1"/>
  <c r="W819" i="6" s="1"/>
  <c r="X819" i="6" s="1"/>
  <c r="U779" i="6"/>
  <c r="V779" i="6" s="1"/>
  <c r="W779" i="6" s="1"/>
  <c r="X779" i="6" s="1"/>
  <c r="U771" i="6"/>
  <c r="V771" i="6" s="1"/>
  <c r="W771" i="6" s="1"/>
  <c r="X771" i="6" s="1"/>
  <c r="U764" i="6"/>
  <c r="V764" i="6" s="1"/>
  <c r="W764" i="6" s="1"/>
  <c r="X764" i="6" s="1"/>
  <c r="U588" i="6"/>
  <c r="V588" i="6" s="1"/>
  <c r="W588" i="6" s="1"/>
  <c r="X588" i="6" s="1"/>
  <c r="U559" i="6"/>
  <c r="V559" i="6" s="1"/>
  <c r="W559" i="6" s="1"/>
  <c r="X559" i="6" s="1"/>
  <c r="U553" i="6"/>
  <c r="V553" i="6" s="1"/>
  <c r="W553" i="6" s="1"/>
  <c r="X553" i="6" s="1"/>
  <c r="U519" i="6"/>
  <c r="V519" i="6" s="1"/>
  <c r="W519" i="6" s="1"/>
  <c r="X519" i="6" s="1"/>
  <c r="Q517" i="6"/>
  <c r="R517" i="6" s="1"/>
  <c r="Q512" i="6"/>
  <c r="R512" i="6" s="1"/>
  <c r="P914" i="6"/>
  <c r="S914" i="6" s="1"/>
  <c r="U914" i="6" s="1"/>
  <c r="V914" i="6" s="1"/>
  <c r="W914" i="6" s="1"/>
  <c r="X914" i="6" s="1"/>
  <c r="P882" i="6"/>
  <c r="S882" i="6" s="1"/>
  <c r="U882" i="6" s="1"/>
  <c r="V882" i="6" s="1"/>
  <c r="W882" i="6" s="1"/>
  <c r="X882" i="6" s="1"/>
  <c r="P874" i="6"/>
  <c r="S874" i="6" s="1"/>
  <c r="U874" i="6" s="1"/>
  <c r="V874" i="6" s="1"/>
  <c r="W874" i="6" s="1"/>
  <c r="X874" i="6" s="1"/>
  <c r="P855" i="6"/>
  <c r="S855" i="6" s="1"/>
  <c r="U855" i="6" s="1"/>
  <c r="V855" i="6" s="1"/>
  <c r="W855" i="6" s="1"/>
  <c r="X855" i="6" s="1"/>
  <c r="P828" i="6"/>
  <c r="S828" i="6" s="1"/>
  <c r="U828" i="6" s="1"/>
  <c r="V828" i="6" s="1"/>
  <c r="W828" i="6" s="1"/>
  <c r="X828" i="6" s="1"/>
  <c r="Q789" i="6"/>
  <c r="R789" i="6" s="1"/>
  <c r="P784" i="6"/>
  <c r="S784" i="6" s="1"/>
  <c r="U784" i="6" s="1"/>
  <c r="V784" i="6" s="1"/>
  <c r="W784" i="6" s="1"/>
  <c r="X784" i="6" s="1"/>
  <c r="P716" i="6"/>
  <c r="S716" i="6" s="1"/>
  <c r="U716" i="6" s="1"/>
  <c r="V716" i="6" s="1"/>
  <c r="W716" i="6" s="1"/>
  <c r="X716" i="6" s="1"/>
  <c r="P614" i="6"/>
  <c r="S614" i="6" s="1"/>
  <c r="U614" i="6" s="1"/>
  <c r="V614" i="6" s="1"/>
  <c r="W614" i="6" s="1"/>
  <c r="X614" i="6" s="1"/>
  <c r="P488" i="6"/>
  <c r="S488" i="6" s="1"/>
  <c r="U488" i="6" s="1"/>
  <c r="V488" i="6" s="1"/>
  <c r="W488" i="6" s="1"/>
  <c r="X488" i="6" s="1"/>
  <c r="P440" i="6"/>
  <c r="S440" i="6" s="1"/>
  <c r="U440" i="6" s="1"/>
  <c r="V440" i="6" s="1"/>
  <c r="W440" i="6" s="1"/>
  <c r="X440" i="6" s="1"/>
  <c r="P425" i="6"/>
  <c r="S425" i="6" s="1"/>
  <c r="U425" i="6" s="1"/>
  <c r="V425" i="6" s="1"/>
  <c r="W425" i="6" s="1"/>
  <c r="X425" i="6" s="1"/>
  <c r="P906" i="6"/>
  <c r="S906" i="6" s="1"/>
  <c r="U906" i="6" s="1"/>
  <c r="V906" i="6" s="1"/>
  <c r="W906" i="6" s="1"/>
  <c r="X906" i="6" s="1"/>
  <c r="P856" i="6"/>
  <c r="S856" i="6" s="1"/>
  <c r="U856" i="6" s="1"/>
  <c r="V856" i="6" s="1"/>
  <c r="W856" i="6" s="1"/>
  <c r="X856" i="6" s="1"/>
  <c r="P846" i="6"/>
  <c r="S846" i="6" s="1"/>
  <c r="U846" i="6" s="1"/>
  <c r="V846" i="6" s="1"/>
  <c r="W846" i="6" s="1"/>
  <c r="X846" i="6" s="1"/>
  <c r="P584" i="6"/>
  <c r="S584" i="6" s="1"/>
  <c r="U584" i="6" s="1"/>
  <c r="V584" i="6" s="1"/>
  <c r="W584" i="6" s="1"/>
  <c r="X584" i="6" s="1"/>
  <c r="Q584" i="6"/>
  <c r="R584" i="6" s="1"/>
  <c r="P419" i="6"/>
  <c r="S419" i="6" s="1"/>
  <c r="U419" i="6" s="1"/>
  <c r="V419" i="6" s="1"/>
  <c r="W419" i="6" s="1"/>
  <c r="X419" i="6" s="1"/>
  <c r="Q419" i="6"/>
  <c r="R419" i="6" s="1"/>
  <c r="Q431" i="6"/>
  <c r="R431" i="6" s="1"/>
  <c r="P431" i="6"/>
  <c r="S431" i="6" s="1"/>
  <c r="U431" i="6" s="1"/>
  <c r="V431" i="6" s="1"/>
  <c r="W431" i="6" s="1"/>
  <c r="X431" i="6" s="1"/>
  <c r="Q658" i="6"/>
  <c r="R658" i="6" s="1"/>
  <c r="P658" i="6"/>
  <c r="S658" i="6" s="1"/>
  <c r="U658" i="6" s="1"/>
  <c r="V658" i="6" s="1"/>
  <c r="W658" i="6" s="1"/>
  <c r="X658" i="6" s="1"/>
  <c r="P586" i="6"/>
  <c r="S586" i="6" s="1"/>
  <c r="U586" i="6" s="1"/>
  <c r="V586" i="6" s="1"/>
  <c r="W586" i="6" s="1"/>
  <c r="X586" i="6" s="1"/>
  <c r="Q586" i="6"/>
  <c r="R586" i="6" s="1"/>
  <c r="Q931" i="6"/>
  <c r="R931" i="6" s="1"/>
  <c r="P931" i="6"/>
  <c r="S931" i="6" s="1"/>
  <c r="U931" i="6" s="1"/>
  <c r="V931" i="6" s="1"/>
  <c r="W931" i="6" s="1"/>
  <c r="X931" i="6" s="1"/>
  <c r="Q848" i="6"/>
  <c r="R848" i="6" s="1"/>
  <c r="P848" i="6"/>
  <c r="S848" i="6" s="1"/>
  <c r="U848" i="6" s="1"/>
  <c r="V848" i="6" s="1"/>
  <c r="W848" i="6" s="1"/>
  <c r="X848" i="6" s="1"/>
  <c r="Q735" i="6"/>
  <c r="R735" i="6" s="1"/>
  <c r="P735" i="6"/>
  <c r="S735" i="6" s="1"/>
  <c r="U735" i="6" s="1"/>
  <c r="V735" i="6" s="1"/>
  <c r="W735" i="6" s="1"/>
  <c r="X735" i="6" s="1"/>
  <c r="Q475" i="6"/>
  <c r="R475" i="6" s="1"/>
  <c r="P475" i="6"/>
  <c r="S475" i="6" s="1"/>
  <c r="U475" i="6" s="1"/>
  <c r="V475" i="6" s="1"/>
  <c r="W475" i="6" s="1"/>
  <c r="X475" i="6" s="1"/>
  <c r="Q472" i="6"/>
  <c r="R472" i="6" s="1"/>
  <c r="P472" i="6"/>
  <c r="S472" i="6" s="1"/>
  <c r="U472" i="6" s="1"/>
  <c r="V472" i="6" s="1"/>
  <c r="W472" i="6" s="1"/>
  <c r="X472" i="6" s="1"/>
  <c r="P423" i="6"/>
  <c r="S423" i="6" s="1"/>
  <c r="U423" i="6" s="1"/>
  <c r="V423" i="6" s="1"/>
  <c r="W423" i="6" s="1"/>
  <c r="X423" i="6" s="1"/>
  <c r="Q423" i="6"/>
  <c r="R423" i="6" s="1"/>
  <c r="P939" i="6"/>
  <c r="S939" i="6" s="1"/>
  <c r="U939" i="6" s="1"/>
  <c r="V939" i="6" s="1"/>
  <c r="W939" i="6" s="1"/>
  <c r="X939" i="6" s="1"/>
  <c r="Q933" i="6"/>
  <c r="R933" i="6" s="1"/>
  <c r="P933" i="6"/>
  <c r="S933" i="6" s="1"/>
  <c r="U933" i="6" s="1"/>
  <c r="V933" i="6" s="1"/>
  <c r="W933" i="6" s="1"/>
  <c r="X933" i="6" s="1"/>
  <c r="Q783" i="6"/>
  <c r="R783" i="6" s="1"/>
  <c r="Q703" i="6"/>
  <c r="R703" i="6" s="1"/>
  <c r="P703" i="6"/>
  <c r="S703" i="6" s="1"/>
  <c r="U703" i="6" s="1"/>
  <c r="V703" i="6" s="1"/>
  <c r="W703" i="6" s="1"/>
  <c r="X703" i="6" s="1"/>
  <c r="Q695" i="6"/>
  <c r="R695" i="6" s="1"/>
  <c r="P695" i="6"/>
  <c r="S695" i="6" s="1"/>
  <c r="U695" i="6" s="1"/>
  <c r="V695" i="6" s="1"/>
  <c r="W695" i="6" s="1"/>
  <c r="X695" i="6" s="1"/>
  <c r="Q650" i="6"/>
  <c r="R650" i="6" s="1"/>
  <c r="P650" i="6"/>
  <c r="S650" i="6" s="1"/>
  <c r="U650" i="6" s="1"/>
  <c r="V650" i="6" s="1"/>
  <c r="W650" i="6" s="1"/>
  <c r="X650" i="6" s="1"/>
  <c r="P433" i="6"/>
  <c r="S433" i="6" s="1"/>
  <c r="U433" i="6" s="1"/>
  <c r="V433" i="6" s="1"/>
  <c r="W433" i="6" s="1"/>
  <c r="X433" i="6" s="1"/>
  <c r="Q875" i="6"/>
  <c r="R875" i="6" s="1"/>
  <c r="P875" i="6"/>
  <c r="S875" i="6" s="1"/>
  <c r="U875" i="6" s="1"/>
  <c r="V875" i="6" s="1"/>
  <c r="W875" i="6" s="1"/>
  <c r="X875" i="6" s="1"/>
  <c r="Q718" i="6"/>
  <c r="R718" i="6" s="1"/>
  <c r="P718" i="6"/>
  <c r="S718" i="6" s="1"/>
  <c r="U718" i="6" s="1"/>
  <c r="V718" i="6" s="1"/>
  <c r="W718" i="6" s="1"/>
  <c r="X718" i="6" s="1"/>
  <c r="Q909" i="6"/>
  <c r="R909" i="6" s="1"/>
  <c r="P909" i="6"/>
  <c r="S909" i="6" s="1"/>
  <c r="U909" i="6" s="1"/>
  <c r="V909" i="6" s="1"/>
  <c r="W909" i="6" s="1"/>
  <c r="X909" i="6" s="1"/>
  <c r="U783" i="6"/>
  <c r="V783" i="6" s="1"/>
  <c r="W783" i="6" s="1"/>
  <c r="X783" i="6" s="1"/>
  <c r="Q676" i="6"/>
  <c r="R676" i="6" s="1"/>
  <c r="P676" i="6"/>
  <c r="S676" i="6" s="1"/>
  <c r="U676" i="6" s="1"/>
  <c r="V676" i="6" s="1"/>
  <c r="W676" i="6" s="1"/>
  <c r="X676" i="6" s="1"/>
  <c r="P515" i="6"/>
  <c r="S515" i="6" s="1"/>
  <c r="U515" i="6" s="1"/>
  <c r="V515" i="6" s="1"/>
  <c r="W515" i="6" s="1"/>
  <c r="X515" i="6" s="1"/>
  <c r="Q515" i="6"/>
  <c r="R515" i="6" s="1"/>
  <c r="Q469" i="6"/>
  <c r="R469" i="6" s="1"/>
  <c r="P469" i="6"/>
  <c r="S469" i="6" s="1"/>
  <c r="U469" i="6" s="1"/>
  <c r="V469" i="6" s="1"/>
  <c r="W469" i="6" s="1"/>
  <c r="X469" i="6" s="1"/>
  <c r="Q844" i="6"/>
  <c r="R844" i="6" s="1"/>
  <c r="P844" i="6"/>
  <c r="S844" i="6" s="1"/>
  <c r="U844" i="6" s="1"/>
  <c r="V844" i="6" s="1"/>
  <c r="W844" i="6" s="1"/>
  <c r="X844" i="6" s="1"/>
  <c r="Q920" i="6"/>
  <c r="R920" i="6" s="1"/>
  <c r="P920" i="6"/>
  <c r="S920" i="6" s="1"/>
  <c r="U920" i="6" s="1"/>
  <c r="V920" i="6" s="1"/>
  <c r="W920" i="6" s="1"/>
  <c r="X920" i="6" s="1"/>
  <c r="Q615" i="6"/>
  <c r="R615" i="6" s="1"/>
  <c r="P615" i="6"/>
  <c r="S615" i="6" s="1"/>
  <c r="U615" i="6" s="1"/>
  <c r="V615" i="6" s="1"/>
  <c r="W615" i="6" s="1"/>
  <c r="X615" i="6" s="1"/>
  <c r="Q911" i="6"/>
  <c r="R911" i="6" s="1"/>
  <c r="P911" i="6"/>
  <c r="S911" i="6" s="1"/>
  <c r="U911" i="6" s="1"/>
  <c r="V911" i="6" s="1"/>
  <c r="W911" i="6" s="1"/>
  <c r="X911" i="6" s="1"/>
  <c r="P895" i="6"/>
  <c r="S895" i="6" s="1"/>
  <c r="U895" i="6" s="1"/>
  <c r="V895" i="6" s="1"/>
  <c r="W895" i="6" s="1"/>
  <c r="X895" i="6" s="1"/>
  <c r="Q678" i="6"/>
  <c r="R678" i="6" s="1"/>
  <c r="P678" i="6"/>
  <c r="S678" i="6" s="1"/>
  <c r="U678" i="6" s="1"/>
  <c r="V678" i="6" s="1"/>
  <c r="W678" i="6" s="1"/>
  <c r="X678" i="6" s="1"/>
  <c r="P547" i="6"/>
  <c r="S547" i="6" s="1"/>
  <c r="U547" i="6" s="1"/>
  <c r="V547" i="6" s="1"/>
  <c r="W547" i="6" s="1"/>
  <c r="X547" i="6" s="1"/>
  <c r="Q547" i="6"/>
  <c r="R547" i="6" s="1"/>
  <c r="U517" i="6"/>
  <c r="V517" i="6" s="1"/>
  <c r="W517" i="6" s="1"/>
  <c r="X517" i="6" s="1"/>
  <c r="Q760" i="6"/>
  <c r="R760" i="6" s="1"/>
  <c r="P760" i="6"/>
  <c r="S760" i="6" s="1"/>
  <c r="U760" i="6" s="1"/>
  <c r="V760" i="6" s="1"/>
  <c r="W760" i="6" s="1"/>
  <c r="X760" i="6" s="1"/>
  <c r="Q710" i="6"/>
  <c r="R710" i="6" s="1"/>
  <c r="P710" i="6"/>
  <c r="S710" i="6" s="1"/>
  <c r="U710" i="6" s="1"/>
  <c r="V710" i="6" s="1"/>
  <c r="W710" i="6" s="1"/>
  <c r="X710" i="6" s="1"/>
  <c r="P774" i="6"/>
  <c r="S774" i="6" s="1"/>
  <c r="U774" i="6" s="1"/>
  <c r="V774" i="6" s="1"/>
  <c r="W774" i="6" s="1"/>
  <c r="X774" i="6" s="1"/>
  <c r="Q774" i="6"/>
  <c r="R774" i="6" s="1"/>
  <c r="Q873" i="6"/>
  <c r="R873" i="6" s="1"/>
  <c r="P873" i="6"/>
  <c r="S873" i="6" s="1"/>
  <c r="U873" i="6" s="1"/>
  <c r="V873" i="6" s="1"/>
  <c r="W873" i="6" s="1"/>
  <c r="X873" i="6" s="1"/>
  <c r="P834" i="6"/>
  <c r="S834" i="6" s="1"/>
  <c r="U834" i="6" s="1"/>
  <c r="V834" i="6" s="1"/>
  <c r="W834" i="6" s="1"/>
  <c r="X834" i="6" s="1"/>
  <c r="Q755" i="6"/>
  <c r="R755" i="6" s="1"/>
  <c r="P755" i="6"/>
  <c r="S755" i="6" s="1"/>
  <c r="U755" i="6" s="1"/>
  <c r="V755" i="6" s="1"/>
  <c r="W755" i="6" s="1"/>
  <c r="X755" i="6" s="1"/>
  <c r="Q522" i="6"/>
  <c r="R522" i="6" s="1"/>
  <c r="Q499" i="6"/>
  <c r="R499" i="6" s="1"/>
  <c r="P499" i="6"/>
  <c r="S499" i="6" s="1"/>
  <c r="U499" i="6" s="1"/>
  <c r="V499" i="6" s="1"/>
  <c r="W499" i="6" s="1"/>
  <c r="X499" i="6" s="1"/>
  <c r="Q415" i="6"/>
  <c r="R415" i="6" s="1"/>
  <c r="Q916" i="6"/>
  <c r="R916" i="6" s="1"/>
  <c r="P916" i="6"/>
  <c r="S916" i="6" s="1"/>
  <c r="U916" i="6" s="1"/>
  <c r="V916" i="6" s="1"/>
  <c r="W916" i="6" s="1"/>
  <c r="X916" i="6" s="1"/>
  <c r="Q838" i="6"/>
  <c r="R838" i="6" s="1"/>
  <c r="P838" i="6"/>
  <c r="S838" i="6" s="1"/>
  <c r="U838" i="6" s="1"/>
  <c r="V838" i="6" s="1"/>
  <c r="W838" i="6" s="1"/>
  <c r="X838" i="6" s="1"/>
  <c r="Q775" i="6"/>
  <c r="R775" i="6" s="1"/>
  <c r="P775" i="6"/>
  <c r="S775" i="6" s="1"/>
  <c r="U775" i="6" s="1"/>
  <c r="V775" i="6" s="1"/>
  <c r="W775" i="6" s="1"/>
  <c r="X775" i="6" s="1"/>
  <c r="Q683" i="6"/>
  <c r="R683" i="6" s="1"/>
  <c r="P683" i="6"/>
  <c r="S683" i="6" s="1"/>
  <c r="U683" i="6" s="1"/>
  <c r="V683" i="6" s="1"/>
  <c r="W683" i="6" s="1"/>
  <c r="X683" i="6" s="1"/>
  <c r="U565" i="6"/>
  <c r="V565" i="6" s="1"/>
  <c r="W565" i="6" s="1"/>
  <c r="X565" i="6" s="1"/>
  <c r="P557" i="6"/>
  <c r="S557" i="6" s="1"/>
  <c r="U557" i="6" s="1"/>
  <c r="V557" i="6" s="1"/>
  <c r="W557" i="6" s="1"/>
  <c r="X557" i="6" s="1"/>
  <c r="Q557" i="6"/>
  <c r="R557" i="6" s="1"/>
  <c r="U551" i="6"/>
  <c r="V551" i="6" s="1"/>
  <c r="W551" i="6" s="1"/>
  <c r="X551" i="6" s="1"/>
  <c r="P908" i="6"/>
  <c r="S908" i="6" s="1"/>
  <c r="U908" i="6" s="1"/>
  <c r="V908" i="6" s="1"/>
  <c r="W908" i="6" s="1"/>
  <c r="X908" i="6" s="1"/>
  <c r="P896" i="6"/>
  <c r="S896" i="6" s="1"/>
  <c r="U896" i="6" s="1"/>
  <c r="V896" i="6" s="1"/>
  <c r="W896" i="6" s="1"/>
  <c r="X896" i="6" s="1"/>
  <c r="P872" i="6"/>
  <c r="S872" i="6" s="1"/>
  <c r="U872" i="6" s="1"/>
  <c r="V872" i="6" s="1"/>
  <c r="W872" i="6" s="1"/>
  <c r="X872" i="6" s="1"/>
  <c r="P865" i="6"/>
  <c r="S865" i="6" s="1"/>
  <c r="U865" i="6" s="1"/>
  <c r="V865" i="6" s="1"/>
  <c r="W865" i="6" s="1"/>
  <c r="X865" i="6" s="1"/>
  <c r="P860" i="6"/>
  <c r="S860" i="6" s="1"/>
  <c r="U860" i="6" s="1"/>
  <c r="V860" i="6" s="1"/>
  <c r="W860" i="6" s="1"/>
  <c r="X860" i="6" s="1"/>
  <c r="P780" i="6"/>
  <c r="S780" i="6" s="1"/>
  <c r="U780" i="6" s="1"/>
  <c r="V780" i="6" s="1"/>
  <c r="W780" i="6" s="1"/>
  <c r="X780" i="6" s="1"/>
  <c r="Q780" i="6"/>
  <c r="R780" i="6" s="1"/>
  <c r="Q759" i="6"/>
  <c r="R759" i="6" s="1"/>
  <c r="P759" i="6"/>
  <c r="S759" i="6" s="1"/>
  <c r="U759" i="6" s="1"/>
  <c r="V759" i="6" s="1"/>
  <c r="W759" i="6" s="1"/>
  <c r="X759" i="6" s="1"/>
  <c r="P699" i="6"/>
  <c r="S699" i="6" s="1"/>
  <c r="U699" i="6" s="1"/>
  <c r="V699" i="6" s="1"/>
  <c r="W699" i="6" s="1"/>
  <c r="X699" i="6" s="1"/>
  <c r="P639" i="6"/>
  <c r="S639" i="6" s="1"/>
  <c r="U639" i="6" s="1"/>
  <c r="V639" i="6" s="1"/>
  <c r="W639" i="6" s="1"/>
  <c r="X639" i="6" s="1"/>
  <c r="U583" i="6"/>
  <c r="V583" i="6" s="1"/>
  <c r="W583" i="6" s="1"/>
  <c r="X583" i="6" s="1"/>
  <c r="P509" i="6"/>
  <c r="S509" i="6" s="1"/>
  <c r="U509" i="6" s="1"/>
  <c r="V509" i="6" s="1"/>
  <c r="W509" i="6" s="1"/>
  <c r="X509" i="6" s="1"/>
  <c r="Q493" i="6"/>
  <c r="R493" i="6" s="1"/>
  <c r="P493" i="6"/>
  <c r="S493" i="6" s="1"/>
  <c r="U493" i="6" s="1"/>
  <c r="V493" i="6" s="1"/>
  <c r="W493" i="6" s="1"/>
  <c r="X493" i="6" s="1"/>
  <c r="Q432" i="6"/>
  <c r="R432" i="6" s="1"/>
  <c r="P432" i="6"/>
  <c r="S432" i="6" s="1"/>
  <c r="U432" i="6" s="1"/>
  <c r="V432" i="6" s="1"/>
  <c r="W432" i="6" s="1"/>
  <c r="X432" i="6" s="1"/>
  <c r="P427" i="6"/>
  <c r="S427" i="6" s="1"/>
  <c r="U427" i="6" s="1"/>
  <c r="V427" i="6" s="1"/>
  <c r="W427" i="6" s="1"/>
  <c r="X427" i="6" s="1"/>
  <c r="Q628" i="6"/>
  <c r="R628" i="6" s="1"/>
  <c r="P628" i="6"/>
  <c r="S628" i="6" s="1"/>
  <c r="U628" i="6" s="1"/>
  <c r="V628" i="6" s="1"/>
  <c r="W628" i="6" s="1"/>
  <c r="X628" i="6" s="1"/>
  <c r="P867" i="6"/>
  <c r="S867" i="6" s="1"/>
  <c r="U867" i="6" s="1"/>
  <c r="V867" i="6" s="1"/>
  <c r="W867" i="6" s="1"/>
  <c r="X867" i="6" s="1"/>
  <c r="Q857" i="6"/>
  <c r="R857" i="6" s="1"/>
  <c r="P857" i="6"/>
  <c r="S857" i="6" s="1"/>
  <c r="U857" i="6" s="1"/>
  <c r="V857" i="6" s="1"/>
  <c r="W857" i="6" s="1"/>
  <c r="X857" i="6" s="1"/>
  <c r="U818" i="6"/>
  <c r="V818" i="6" s="1"/>
  <c r="W818" i="6" s="1"/>
  <c r="X818" i="6" s="1"/>
  <c r="P816" i="6"/>
  <c r="S816" i="6" s="1"/>
  <c r="U816" i="6" s="1"/>
  <c r="V816" i="6" s="1"/>
  <c r="W816" i="6" s="1"/>
  <c r="X816" i="6" s="1"/>
  <c r="Q816" i="6"/>
  <c r="R816" i="6" s="1"/>
  <c r="Q768" i="6"/>
  <c r="R768" i="6" s="1"/>
  <c r="Q729" i="6"/>
  <c r="R729" i="6" s="1"/>
  <c r="P729" i="6"/>
  <c r="S729" i="6" s="1"/>
  <c r="U729" i="6" s="1"/>
  <c r="V729" i="6" s="1"/>
  <c r="W729" i="6" s="1"/>
  <c r="X729" i="6" s="1"/>
  <c r="Q654" i="6"/>
  <c r="R654" i="6" s="1"/>
  <c r="P654" i="6"/>
  <c r="S654" i="6" s="1"/>
  <c r="U654" i="6" s="1"/>
  <c r="V654" i="6" s="1"/>
  <c r="W654" i="6" s="1"/>
  <c r="X654" i="6" s="1"/>
  <c r="Q476" i="6"/>
  <c r="R476" i="6" s="1"/>
  <c r="P476" i="6"/>
  <c r="S476" i="6" s="1"/>
  <c r="U476" i="6" s="1"/>
  <c r="V476" i="6" s="1"/>
  <c r="W476" i="6" s="1"/>
  <c r="X476" i="6" s="1"/>
  <c r="P420" i="6"/>
  <c r="S420" i="6" s="1"/>
  <c r="U420" i="6" s="1"/>
  <c r="V420" i="6" s="1"/>
  <c r="W420" i="6" s="1"/>
  <c r="X420" i="6" s="1"/>
  <c r="Q420" i="6"/>
  <c r="R420" i="6" s="1"/>
  <c r="Q913" i="6"/>
  <c r="R913" i="6" s="1"/>
  <c r="P913" i="6"/>
  <c r="S913" i="6" s="1"/>
  <c r="U913" i="6" s="1"/>
  <c r="V913" i="6" s="1"/>
  <c r="W913" i="6" s="1"/>
  <c r="X913" i="6" s="1"/>
  <c r="Q814" i="6"/>
  <c r="R814" i="6" s="1"/>
  <c r="P814" i="6"/>
  <c r="S814" i="6" s="1"/>
  <c r="U814" i="6" s="1"/>
  <c r="V814" i="6" s="1"/>
  <c r="W814" i="6" s="1"/>
  <c r="X814" i="6" s="1"/>
  <c r="Q905" i="6"/>
  <c r="R905" i="6" s="1"/>
  <c r="P905" i="6"/>
  <c r="S905" i="6" s="1"/>
  <c r="U905" i="6" s="1"/>
  <c r="V905" i="6" s="1"/>
  <c r="W905" i="6" s="1"/>
  <c r="X905" i="6" s="1"/>
  <c r="P881" i="6"/>
  <c r="S881" i="6" s="1"/>
  <c r="U881" i="6" s="1"/>
  <c r="V881" i="6" s="1"/>
  <c r="W881" i="6" s="1"/>
  <c r="X881" i="6" s="1"/>
  <c r="Q862" i="6"/>
  <c r="R862" i="6" s="1"/>
  <c r="P862" i="6"/>
  <c r="S862" i="6" s="1"/>
  <c r="U862" i="6" s="1"/>
  <c r="V862" i="6" s="1"/>
  <c r="W862" i="6" s="1"/>
  <c r="X862" i="6" s="1"/>
  <c r="Q842" i="6"/>
  <c r="R842" i="6" s="1"/>
  <c r="P842" i="6"/>
  <c r="S842" i="6" s="1"/>
  <c r="U842" i="6" s="1"/>
  <c r="V842" i="6" s="1"/>
  <c r="W842" i="6" s="1"/>
  <c r="X842" i="6" s="1"/>
  <c r="P824" i="6"/>
  <c r="S824" i="6" s="1"/>
  <c r="U824" i="6" s="1"/>
  <c r="V824" i="6" s="1"/>
  <c r="W824" i="6" s="1"/>
  <c r="X824" i="6" s="1"/>
  <c r="Q824" i="6"/>
  <c r="R824" i="6" s="1"/>
  <c r="P799" i="6"/>
  <c r="S799" i="6" s="1"/>
  <c r="U799" i="6" s="1"/>
  <c r="V799" i="6" s="1"/>
  <c r="W799" i="6" s="1"/>
  <c r="X799" i="6" s="1"/>
  <c r="Q799" i="6"/>
  <c r="R799" i="6" s="1"/>
  <c r="P792" i="6"/>
  <c r="S792" i="6" s="1"/>
  <c r="U792" i="6" s="1"/>
  <c r="V792" i="6" s="1"/>
  <c r="W792" i="6" s="1"/>
  <c r="X792" i="6" s="1"/>
  <c r="Q792" i="6"/>
  <c r="R792" i="6" s="1"/>
  <c r="Q777" i="6"/>
  <c r="R777" i="6" s="1"/>
  <c r="P777" i="6"/>
  <c r="S777" i="6" s="1"/>
  <c r="U777" i="6" s="1"/>
  <c r="V777" i="6" s="1"/>
  <c r="W777" i="6" s="1"/>
  <c r="X777" i="6" s="1"/>
  <c r="Q772" i="6"/>
  <c r="R772" i="6" s="1"/>
  <c r="Q761" i="6"/>
  <c r="R761" i="6" s="1"/>
  <c r="P761" i="6"/>
  <c r="S761" i="6" s="1"/>
  <c r="U761" i="6" s="1"/>
  <c r="V761" i="6" s="1"/>
  <c r="W761" i="6" s="1"/>
  <c r="X761" i="6" s="1"/>
  <c r="Q706" i="6"/>
  <c r="R706" i="6" s="1"/>
  <c r="P706" i="6"/>
  <c r="S706" i="6" s="1"/>
  <c r="U706" i="6" s="1"/>
  <c r="V706" i="6" s="1"/>
  <c r="W706" i="6" s="1"/>
  <c r="X706" i="6" s="1"/>
  <c r="Q691" i="6"/>
  <c r="R691" i="6" s="1"/>
  <c r="P691" i="6"/>
  <c r="S691" i="6" s="1"/>
  <c r="U691" i="6" s="1"/>
  <c r="V691" i="6" s="1"/>
  <c r="W691" i="6" s="1"/>
  <c r="X691" i="6" s="1"/>
  <c r="P513" i="6"/>
  <c r="S513" i="6" s="1"/>
  <c r="U513" i="6" s="1"/>
  <c r="V513" i="6" s="1"/>
  <c r="W513" i="6" s="1"/>
  <c r="X513" i="6" s="1"/>
  <c r="Q513" i="6"/>
  <c r="R513" i="6" s="1"/>
  <c r="Q829" i="6"/>
  <c r="R829" i="6" s="1"/>
  <c r="P829" i="6"/>
  <c r="S829" i="6" s="1"/>
  <c r="U829" i="6" s="1"/>
  <c r="V829" i="6" s="1"/>
  <c r="W829" i="6" s="1"/>
  <c r="X829" i="6" s="1"/>
  <c r="Q630" i="6"/>
  <c r="R630" i="6" s="1"/>
  <c r="P630" i="6"/>
  <c r="S630" i="6" s="1"/>
  <c r="U630" i="6" s="1"/>
  <c r="V630" i="6" s="1"/>
  <c r="W630" i="6" s="1"/>
  <c r="X630" i="6" s="1"/>
  <c r="Q492" i="6"/>
  <c r="R492" i="6" s="1"/>
  <c r="P492" i="6"/>
  <c r="S492" i="6" s="1"/>
  <c r="U492" i="6" s="1"/>
  <c r="V492" i="6" s="1"/>
  <c r="W492" i="6" s="1"/>
  <c r="X492" i="6" s="1"/>
  <c r="Q479" i="6"/>
  <c r="R479" i="6" s="1"/>
  <c r="P479" i="6"/>
  <c r="S479" i="6" s="1"/>
  <c r="U479" i="6" s="1"/>
  <c r="V479" i="6" s="1"/>
  <c r="W479" i="6" s="1"/>
  <c r="X479" i="6" s="1"/>
  <c r="Q471" i="6"/>
  <c r="R471" i="6" s="1"/>
  <c r="P471" i="6"/>
  <c r="S471" i="6" s="1"/>
  <c r="U471" i="6" s="1"/>
  <c r="V471" i="6" s="1"/>
  <c r="W471" i="6" s="1"/>
  <c r="X471" i="6" s="1"/>
  <c r="U426" i="6"/>
  <c r="V426" i="6" s="1"/>
  <c r="W426" i="6" s="1"/>
  <c r="X426" i="6" s="1"/>
  <c r="U811" i="6"/>
  <c r="V811" i="6" s="1"/>
  <c r="W811" i="6" s="1"/>
  <c r="X811" i="6" s="1"/>
  <c r="Q722" i="6"/>
  <c r="R722" i="6" s="1"/>
  <c r="P722" i="6"/>
  <c r="S722" i="6" s="1"/>
  <c r="U722" i="6" s="1"/>
  <c r="V722" i="6" s="1"/>
  <c r="W722" i="6" s="1"/>
  <c r="X722" i="6" s="1"/>
  <c r="Q852" i="6"/>
  <c r="R852" i="6" s="1"/>
  <c r="P852" i="6"/>
  <c r="S852" i="6" s="1"/>
  <c r="U852" i="6" s="1"/>
  <c r="V852" i="6" s="1"/>
  <c r="W852" i="6" s="1"/>
  <c r="X852" i="6" s="1"/>
  <c r="Q712" i="6"/>
  <c r="R712" i="6" s="1"/>
  <c r="P712" i="6"/>
  <c r="S712" i="6" s="1"/>
  <c r="U712" i="6" s="1"/>
  <c r="V712" i="6" s="1"/>
  <c r="W712" i="6" s="1"/>
  <c r="X712" i="6" s="1"/>
  <c r="Q661" i="6"/>
  <c r="R661" i="6" s="1"/>
  <c r="P661" i="6"/>
  <c r="S661" i="6" s="1"/>
  <c r="U661" i="6" s="1"/>
  <c r="V661" i="6" s="1"/>
  <c r="W661" i="6" s="1"/>
  <c r="X661" i="6" s="1"/>
  <c r="Q647" i="6"/>
  <c r="R647" i="6" s="1"/>
  <c r="P647" i="6"/>
  <c r="S647" i="6" s="1"/>
  <c r="U647" i="6" s="1"/>
  <c r="V647" i="6" s="1"/>
  <c r="W647" i="6" s="1"/>
  <c r="X647" i="6" s="1"/>
  <c r="Q473" i="6"/>
  <c r="R473" i="6" s="1"/>
  <c r="P473" i="6"/>
  <c r="S473" i="6" s="1"/>
  <c r="U473" i="6" s="1"/>
  <c r="V473" i="6" s="1"/>
  <c r="W473" i="6" s="1"/>
  <c r="X473" i="6" s="1"/>
  <c r="Q724" i="6"/>
  <c r="R724" i="6" s="1"/>
  <c r="P724" i="6"/>
  <c r="S724" i="6" s="1"/>
  <c r="U724" i="6" s="1"/>
  <c r="V724" i="6" s="1"/>
  <c r="W724" i="6" s="1"/>
  <c r="X724" i="6" s="1"/>
  <c r="P566" i="6"/>
  <c r="S566" i="6" s="1"/>
  <c r="U566" i="6" s="1"/>
  <c r="V566" i="6" s="1"/>
  <c r="W566" i="6" s="1"/>
  <c r="X566" i="6" s="1"/>
  <c r="Q566" i="6"/>
  <c r="R566" i="6" s="1"/>
  <c r="Q516" i="6"/>
  <c r="R516" i="6" s="1"/>
  <c r="P516" i="6"/>
  <c r="S516" i="6" s="1"/>
  <c r="U516" i="6" s="1"/>
  <c r="V516" i="6" s="1"/>
  <c r="W516" i="6" s="1"/>
  <c r="X516" i="6" s="1"/>
  <c r="Q580" i="6"/>
  <c r="R580" i="6" s="1"/>
  <c r="P580" i="6"/>
  <c r="S580" i="6" s="1"/>
  <c r="U580" i="6" s="1"/>
  <c r="V580" i="6" s="1"/>
  <c r="W580" i="6" s="1"/>
  <c r="X580" i="6" s="1"/>
  <c r="P570" i="6"/>
  <c r="S570" i="6" s="1"/>
  <c r="U570" i="6" s="1"/>
  <c r="V570" i="6" s="1"/>
  <c r="W570" i="6" s="1"/>
  <c r="X570" i="6" s="1"/>
  <c r="Q570" i="6"/>
  <c r="R570" i="6" s="1"/>
  <c r="P537" i="6"/>
  <c r="S537" i="6" s="1"/>
  <c r="U537" i="6" s="1"/>
  <c r="V537" i="6" s="1"/>
  <c r="W537" i="6" s="1"/>
  <c r="X537" i="6" s="1"/>
  <c r="Q537" i="6"/>
  <c r="R537" i="6" s="1"/>
  <c r="Q700" i="6"/>
  <c r="R700" i="6" s="1"/>
  <c r="P700" i="6"/>
  <c r="S700" i="6" s="1"/>
  <c r="U700" i="6" s="1"/>
  <c r="V700" i="6" s="1"/>
  <c r="W700" i="6" s="1"/>
  <c r="X700" i="6" s="1"/>
  <c r="Q446" i="6"/>
  <c r="R446" i="6" s="1"/>
  <c r="P446" i="6"/>
  <c r="S446" i="6" s="1"/>
  <c r="U446" i="6" s="1"/>
  <c r="V446" i="6" s="1"/>
  <c r="W446" i="6" s="1"/>
  <c r="X446" i="6" s="1"/>
  <c r="P918" i="6"/>
  <c r="S918" i="6" s="1"/>
  <c r="U918" i="6" s="1"/>
  <c r="V918" i="6" s="1"/>
  <c r="W918" i="6" s="1"/>
  <c r="X918" i="6" s="1"/>
  <c r="P900" i="6"/>
  <c r="S900" i="6" s="1"/>
  <c r="U900" i="6" s="1"/>
  <c r="V900" i="6" s="1"/>
  <c r="W900" i="6" s="1"/>
  <c r="X900" i="6" s="1"/>
  <c r="P821" i="6"/>
  <c r="S821" i="6" s="1"/>
  <c r="U821" i="6" s="1"/>
  <c r="V821" i="6" s="1"/>
  <c r="W821" i="6" s="1"/>
  <c r="X821" i="6" s="1"/>
  <c r="Q821" i="6"/>
  <c r="R821" i="6" s="1"/>
  <c r="U817" i="6"/>
  <c r="V817" i="6" s="1"/>
  <c r="W817" i="6" s="1"/>
  <c r="X817" i="6" s="1"/>
  <c r="P721" i="6"/>
  <c r="S721" i="6" s="1"/>
  <c r="U721" i="6" s="1"/>
  <c r="V721" i="6" s="1"/>
  <c r="W721" i="6" s="1"/>
  <c r="X721" i="6" s="1"/>
  <c r="P719" i="6"/>
  <c r="S719" i="6" s="1"/>
  <c r="U719" i="6" s="1"/>
  <c r="V719" i="6" s="1"/>
  <c r="W719" i="6" s="1"/>
  <c r="X719" i="6" s="1"/>
  <c r="Q625" i="6"/>
  <c r="R625" i="6" s="1"/>
  <c r="P625" i="6"/>
  <c r="S625" i="6" s="1"/>
  <c r="U625" i="6" s="1"/>
  <c r="V625" i="6" s="1"/>
  <c r="W625" i="6" s="1"/>
  <c r="X625" i="6" s="1"/>
  <c r="Q448" i="6"/>
  <c r="R448" i="6" s="1"/>
  <c r="P448" i="6"/>
  <c r="S448" i="6" s="1"/>
  <c r="U448" i="6" s="1"/>
  <c r="V448" i="6" s="1"/>
  <c r="W448" i="6" s="1"/>
  <c r="X448" i="6" s="1"/>
  <c r="Q436" i="6"/>
  <c r="R436" i="6" s="1"/>
  <c r="P436" i="6"/>
  <c r="S436" i="6" s="1"/>
  <c r="U436" i="6" s="1"/>
  <c r="V436" i="6" s="1"/>
  <c r="W436" i="6" s="1"/>
  <c r="X436" i="6" s="1"/>
  <c r="P880" i="6"/>
  <c r="S880" i="6" s="1"/>
  <c r="U880" i="6" s="1"/>
  <c r="V880" i="6" s="1"/>
  <c r="W880" i="6" s="1"/>
  <c r="X880" i="6" s="1"/>
  <c r="P850" i="6"/>
  <c r="S850" i="6" s="1"/>
  <c r="U850" i="6" s="1"/>
  <c r="V850" i="6" s="1"/>
  <c r="W850" i="6" s="1"/>
  <c r="X850" i="6" s="1"/>
  <c r="P845" i="6"/>
  <c r="S845" i="6" s="1"/>
  <c r="U845" i="6" s="1"/>
  <c r="V845" i="6" s="1"/>
  <c r="W845" i="6" s="1"/>
  <c r="X845" i="6" s="1"/>
  <c r="P736" i="6"/>
  <c r="S736" i="6" s="1"/>
  <c r="U736" i="6" s="1"/>
  <c r="V736" i="6" s="1"/>
  <c r="W736" i="6" s="1"/>
  <c r="X736" i="6" s="1"/>
  <c r="Q717" i="6"/>
  <c r="R717" i="6" s="1"/>
  <c r="P717" i="6"/>
  <c r="S717" i="6" s="1"/>
  <c r="U717" i="6" s="1"/>
  <c r="V717" i="6" s="1"/>
  <c r="W717" i="6" s="1"/>
  <c r="X717" i="6" s="1"/>
  <c r="Q702" i="6"/>
  <c r="R702" i="6" s="1"/>
  <c r="P702" i="6"/>
  <c r="S702" i="6" s="1"/>
  <c r="U702" i="6" s="1"/>
  <c r="V702" i="6" s="1"/>
  <c r="W702" i="6" s="1"/>
  <c r="X702" i="6" s="1"/>
  <c r="P686" i="6"/>
  <c r="S686" i="6" s="1"/>
  <c r="U686" i="6" s="1"/>
  <c r="V686" i="6" s="1"/>
  <c r="W686" i="6" s="1"/>
  <c r="X686" i="6" s="1"/>
  <c r="P679" i="6"/>
  <c r="S679" i="6" s="1"/>
  <c r="U679" i="6" s="1"/>
  <c r="V679" i="6" s="1"/>
  <c r="W679" i="6" s="1"/>
  <c r="X679" i="6" s="1"/>
  <c r="P655" i="6"/>
  <c r="S655" i="6" s="1"/>
  <c r="U655" i="6" s="1"/>
  <c r="V655" i="6" s="1"/>
  <c r="W655" i="6" s="1"/>
  <c r="X655" i="6" s="1"/>
  <c r="P632" i="6"/>
  <c r="S632" i="6" s="1"/>
  <c r="U632" i="6" s="1"/>
  <c r="V632" i="6" s="1"/>
  <c r="W632" i="6" s="1"/>
  <c r="X632" i="6" s="1"/>
  <c r="Q559" i="6"/>
  <c r="R559" i="6" s="1"/>
  <c r="Q551" i="6"/>
  <c r="R551" i="6" s="1"/>
  <c r="Q539" i="6"/>
  <c r="R539" i="6" s="1"/>
  <c r="Q529" i="6"/>
  <c r="R529" i="6" s="1"/>
  <c r="Q527" i="6"/>
  <c r="R527" i="6" s="1"/>
  <c r="Q525" i="6"/>
  <c r="R525" i="6" s="1"/>
  <c r="U523" i="6"/>
  <c r="V523" i="6" s="1"/>
  <c r="W523" i="6" s="1"/>
  <c r="X523" i="6" s="1"/>
  <c r="P495" i="6"/>
  <c r="S495" i="6" s="1"/>
  <c r="U495" i="6" s="1"/>
  <c r="V495" i="6" s="1"/>
  <c r="W495" i="6" s="1"/>
  <c r="X495" i="6" s="1"/>
  <c r="Q861" i="6"/>
  <c r="R861" i="6" s="1"/>
  <c r="P861" i="6"/>
  <c r="S861" i="6" s="1"/>
  <c r="U861" i="6" s="1"/>
  <c r="V861" i="6" s="1"/>
  <c r="W861" i="6" s="1"/>
  <c r="X861" i="6" s="1"/>
  <c r="Q742" i="6"/>
  <c r="R742" i="6" s="1"/>
  <c r="P742" i="6"/>
  <c r="S742" i="6" s="1"/>
  <c r="U742" i="6" s="1"/>
  <c r="V742" i="6" s="1"/>
  <c r="W742" i="6" s="1"/>
  <c r="X742" i="6" s="1"/>
  <c r="Q734" i="6"/>
  <c r="R734" i="6" s="1"/>
  <c r="P734" i="6"/>
  <c r="S734" i="6" s="1"/>
  <c r="U734" i="6" s="1"/>
  <c r="V734" i="6" s="1"/>
  <c r="W734" i="6" s="1"/>
  <c r="X734" i="6" s="1"/>
  <c r="Q666" i="6"/>
  <c r="R666" i="6" s="1"/>
  <c r="P666" i="6"/>
  <c r="S666" i="6" s="1"/>
  <c r="U666" i="6" s="1"/>
  <c r="V666" i="6" s="1"/>
  <c r="W666" i="6" s="1"/>
  <c r="X666" i="6" s="1"/>
  <c r="Q651" i="6"/>
  <c r="R651" i="6" s="1"/>
  <c r="P651" i="6"/>
  <c r="S651" i="6" s="1"/>
  <c r="U651" i="6" s="1"/>
  <c r="V651" i="6" s="1"/>
  <c r="W651" i="6" s="1"/>
  <c r="X651" i="6" s="1"/>
  <c r="Q485" i="6"/>
  <c r="R485" i="6" s="1"/>
  <c r="P485" i="6"/>
  <c r="S485" i="6" s="1"/>
  <c r="U485" i="6" s="1"/>
  <c r="V485" i="6" s="1"/>
  <c r="W485" i="6" s="1"/>
  <c r="X485" i="6" s="1"/>
  <c r="Q438" i="6"/>
  <c r="R438" i="6" s="1"/>
  <c r="P438" i="6"/>
  <c r="S438" i="6" s="1"/>
  <c r="U438" i="6" s="1"/>
  <c r="V438" i="6" s="1"/>
  <c r="W438" i="6" s="1"/>
  <c r="X438" i="6" s="1"/>
  <c r="Q797" i="6"/>
  <c r="R797" i="6" s="1"/>
  <c r="P741" i="6"/>
  <c r="S741" i="6" s="1"/>
  <c r="U741" i="6" s="1"/>
  <c r="V741" i="6" s="1"/>
  <c r="W741" i="6" s="1"/>
  <c r="X741" i="6" s="1"/>
  <c r="P713" i="6"/>
  <c r="S713" i="6" s="1"/>
  <c r="U713" i="6" s="1"/>
  <c r="V713" i="6" s="1"/>
  <c r="W713" i="6" s="1"/>
  <c r="X713" i="6" s="1"/>
  <c r="P711" i="6"/>
  <c r="S711" i="6" s="1"/>
  <c r="U711" i="6" s="1"/>
  <c r="V711" i="6" s="1"/>
  <c r="W711" i="6" s="1"/>
  <c r="X711" i="6" s="1"/>
  <c r="P689" i="6"/>
  <c r="S689" i="6" s="1"/>
  <c r="U689" i="6" s="1"/>
  <c r="V689" i="6" s="1"/>
  <c r="W689" i="6" s="1"/>
  <c r="X689" i="6" s="1"/>
  <c r="P665" i="6"/>
  <c r="S665" i="6" s="1"/>
  <c r="U665" i="6" s="1"/>
  <c r="V665" i="6" s="1"/>
  <c r="W665" i="6" s="1"/>
  <c r="X665" i="6" s="1"/>
  <c r="P663" i="6"/>
  <c r="S663" i="6" s="1"/>
  <c r="U663" i="6" s="1"/>
  <c r="V663" i="6" s="1"/>
  <c r="W663" i="6" s="1"/>
  <c r="X663" i="6" s="1"/>
  <c r="P627" i="6"/>
  <c r="S627" i="6" s="1"/>
  <c r="U627" i="6" s="1"/>
  <c r="V627" i="6" s="1"/>
  <c r="W627" i="6" s="1"/>
  <c r="X627" i="6" s="1"/>
  <c r="Q567" i="6"/>
  <c r="R567" i="6" s="1"/>
  <c r="Q535" i="6"/>
  <c r="R535" i="6" s="1"/>
  <c r="U797" i="6"/>
  <c r="V797" i="6" s="1"/>
  <c r="W797" i="6" s="1"/>
  <c r="X797" i="6" s="1"/>
  <c r="P646" i="6"/>
  <c r="S646" i="6" s="1"/>
  <c r="U646" i="6" s="1"/>
  <c r="V646" i="6" s="1"/>
  <c r="W646" i="6" s="1"/>
  <c r="X646" i="6" s="1"/>
  <c r="P641" i="6"/>
  <c r="S641" i="6" s="1"/>
  <c r="U641" i="6" s="1"/>
  <c r="V641" i="6" s="1"/>
  <c r="W641" i="6" s="1"/>
  <c r="X641" i="6" s="1"/>
  <c r="U585" i="6"/>
  <c r="V585" i="6" s="1"/>
  <c r="W585" i="6" s="1"/>
  <c r="X585" i="6" s="1"/>
  <c r="U535" i="6"/>
  <c r="V535" i="6" s="1"/>
  <c r="W535" i="6" s="1"/>
  <c r="X535" i="6" s="1"/>
  <c r="P429" i="6"/>
  <c r="S429" i="6" s="1"/>
  <c r="U429" i="6" s="1"/>
  <c r="V429" i="6" s="1"/>
  <c r="W429" i="6" s="1"/>
  <c r="X429" i="6" s="1"/>
  <c r="U528" i="6"/>
  <c r="V528" i="6" s="1"/>
  <c r="W528" i="6" s="1"/>
  <c r="X528" i="6" s="1"/>
  <c r="P694" i="6"/>
  <c r="S694" i="6" s="1"/>
  <c r="U694" i="6" s="1"/>
  <c r="V694" i="6" s="1"/>
  <c r="W694" i="6" s="1"/>
  <c r="X694" i="6" s="1"/>
  <c r="P653" i="6"/>
  <c r="S653" i="6" s="1"/>
  <c r="U653" i="6" s="1"/>
  <c r="V653" i="6" s="1"/>
  <c r="W653" i="6" s="1"/>
  <c r="X653" i="6" s="1"/>
  <c r="P619" i="6"/>
  <c r="S619" i="6" s="1"/>
  <c r="U619" i="6" s="1"/>
  <c r="V619" i="6" s="1"/>
  <c r="W619" i="6" s="1"/>
  <c r="X619" i="6" s="1"/>
  <c r="P612" i="6"/>
  <c r="S612" i="6" s="1"/>
  <c r="U612" i="6" s="1"/>
  <c r="V612" i="6" s="1"/>
  <c r="W612" i="6" s="1"/>
  <c r="X612" i="6" s="1"/>
  <c r="Q582" i="6"/>
  <c r="R582" i="6" s="1"/>
  <c r="U578" i="6"/>
  <c r="V578" i="6" s="1"/>
  <c r="W578" i="6" s="1"/>
  <c r="X578" i="6" s="1"/>
  <c r="Q576" i="6"/>
  <c r="R576" i="6" s="1"/>
  <c r="P430" i="6"/>
  <c r="S430" i="6" s="1"/>
  <c r="U430" i="6" s="1"/>
  <c r="V430" i="6" s="1"/>
  <c r="W430" i="6" s="1"/>
  <c r="X430" i="6" s="1"/>
  <c r="U576" i="6"/>
  <c r="V576" i="6" s="1"/>
  <c r="W576" i="6" s="1"/>
  <c r="X576" i="6" s="1"/>
  <c r="U536" i="6"/>
  <c r="V536" i="6" s="1"/>
  <c r="W536" i="6" s="1"/>
  <c r="X536" i="6" s="1"/>
  <c r="P770" i="6"/>
  <c r="S770" i="6" s="1"/>
  <c r="U770" i="6" s="1"/>
  <c r="V770" i="6" s="1"/>
  <c r="W770" i="6" s="1"/>
  <c r="X770" i="6" s="1"/>
  <c r="Q770" i="6"/>
  <c r="R770" i="6" s="1"/>
  <c r="Q903" i="6"/>
  <c r="R903" i="6" s="1"/>
  <c r="P903" i="6"/>
  <c r="S903" i="6" s="1"/>
  <c r="U903" i="6" s="1"/>
  <c r="V903" i="6" s="1"/>
  <c r="W903" i="6" s="1"/>
  <c r="X903" i="6" s="1"/>
  <c r="P858" i="6"/>
  <c r="S858" i="6" s="1"/>
  <c r="U858" i="6" s="1"/>
  <c r="V858" i="6" s="1"/>
  <c r="W858" i="6" s="1"/>
  <c r="X858" i="6" s="1"/>
  <c r="P791" i="6"/>
  <c r="S791" i="6" s="1"/>
  <c r="U791" i="6" s="1"/>
  <c r="V791" i="6" s="1"/>
  <c r="W791" i="6" s="1"/>
  <c r="X791" i="6" s="1"/>
  <c r="Q715" i="6"/>
  <c r="R715" i="6" s="1"/>
  <c r="P715" i="6"/>
  <c r="S715" i="6" s="1"/>
  <c r="U715" i="6" s="1"/>
  <c r="V715" i="6" s="1"/>
  <c r="W715" i="6" s="1"/>
  <c r="X715" i="6" s="1"/>
  <c r="Q664" i="6"/>
  <c r="R664" i="6" s="1"/>
  <c r="P664" i="6"/>
  <c r="S664" i="6" s="1"/>
  <c r="U664" i="6" s="1"/>
  <c r="V664" i="6" s="1"/>
  <c r="W664" i="6" s="1"/>
  <c r="X664" i="6" s="1"/>
  <c r="Q696" i="6"/>
  <c r="R696" i="6" s="1"/>
  <c r="P696" i="6"/>
  <c r="S696" i="6" s="1"/>
  <c r="U696" i="6" s="1"/>
  <c r="V696" i="6" s="1"/>
  <c r="W696" i="6" s="1"/>
  <c r="X696" i="6" s="1"/>
  <c r="Q941" i="6"/>
  <c r="R941" i="6" s="1"/>
  <c r="P941" i="6"/>
  <c r="S941" i="6" s="1"/>
  <c r="U941" i="6" s="1"/>
  <c r="V941" i="6" s="1"/>
  <c r="W941" i="6" s="1"/>
  <c r="X941" i="6" s="1"/>
  <c r="Q642" i="6"/>
  <c r="R642" i="6" s="1"/>
  <c r="P642" i="6"/>
  <c r="S642" i="6" s="1"/>
  <c r="U642" i="6" s="1"/>
  <c r="V642" i="6" s="1"/>
  <c r="W642" i="6" s="1"/>
  <c r="X642" i="6" s="1"/>
  <c r="Q944" i="6"/>
  <c r="R944" i="6" s="1"/>
  <c r="P944" i="6"/>
  <c r="S944" i="6" s="1"/>
  <c r="U944" i="6" s="1"/>
  <c r="V944" i="6" s="1"/>
  <c r="W944" i="6" s="1"/>
  <c r="X944" i="6" s="1"/>
  <c r="Q662" i="6"/>
  <c r="R662" i="6" s="1"/>
  <c r="P662" i="6"/>
  <c r="S662" i="6" s="1"/>
  <c r="U662" i="6" s="1"/>
  <c r="V662" i="6" s="1"/>
  <c r="W662" i="6" s="1"/>
  <c r="X662" i="6" s="1"/>
  <c r="P919" i="6"/>
  <c r="S919" i="6" s="1"/>
  <c r="U919" i="6" s="1"/>
  <c r="V919" i="6" s="1"/>
  <c r="W919" i="6" s="1"/>
  <c r="X919" i="6" s="1"/>
  <c r="P898" i="6"/>
  <c r="S898" i="6" s="1"/>
  <c r="U898" i="6" s="1"/>
  <c r="V898" i="6" s="1"/>
  <c r="W898" i="6" s="1"/>
  <c r="X898" i="6" s="1"/>
  <c r="Q827" i="6"/>
  <c r="R827" i="6" s="1"/>
  <c r="P827" i="6"/>
  <c r="S827" i="6" s="1"/>
  <c r="U827" i="6" s="1"/>
  <c r="V827" i="6" s="1"/>
  <c r="W827" i="6" s="1"/>
  <c r="X827" i="6" s="1"/>
  <c r="Q756" i="6"/>
  <c r="R756" i="6" s="1"/>
  <c r="P756" i="6"/>
  <c r="S756" i="6" s="1"/>
  <c r="U756" i="6" s="1"/>
  <c r="V756" i="6" s="1"/>
  <c r="W756" i="6" s="1"/>
  <c r="X756" i="6" s="1"/>
  <c r="P798" i="6"/>
  <c r="S798" i="6" s="1"/>
  <c r="U798" i="6" s="1"/>
  <c r="V798" i="6" s="1"/>
  <c r="W798" i="6" s="1"/>
  <c r="X798" i="6" s="1"/>
  <c r="Q798" i="6"/>
  <c r="R798" i="6" s="1"/>
  <c r="Q645" i="6"/>
  <c r="R645" i="6" s="1"/>
  <c r="P645" i="6"/>
  <c r="S645" i="6" s="1"/>
  <c r="U645" i="6" s="1"/>
  <c r="V645" i="6" s="1"/>
  <c r="W645" i="6" s="1"/>
  <c r="X645" i="6" s="1"/>
  <c r="P804" i="6"/>
  <c r="S804" i="6" s="1"/>
  <c r="U804" i="6" s="1"/>
  <c r="V804" i="6" s="1"/>
  <c r="W804" i="6" s="1"/>
  <c r="X804" i="6" s="1"/>
  <c r="Q804" i="6"/>
  <c r="R804" i="6" s="1"/>
  <c r="Q708" i="6"/>
  <c r="R708" i="6" s="1"/>
  <c r="P708" i="6"/>
  <c r="S708" i="6" s="1"/>
  <c r="U708" i="6" s="1"/>
  <c r="V708" i="6" s="1"/>
  <c r="W708" i="6" s="1"/>
  <c r="X708" i="6" s="1"/>
  <c r="P785" i="6"/>
  <c r="S785" i="6" s="1"/>
  <c r="U785" i="6" s="1"/>
  <c r="V785" i="6" s="1"/>
  <c r="W785" i="6" s="1"/>
  <c r="X785" i="6" s="1"/>
  <c r="Q785" i="6"/>
  <c r="R785" i="6" s="1"/>
  <c r="Q505" i="6"/>
  <c r="R505" i="6" s="1"/>
  <c r="P505" i="6"/>
  <c r="S505" i="6" s="1"/>
  <c r="U505" i="6" s="1"/>
  <c r="V505" i="6" s="1"/>
  <c r="W505" i="6" s="1"/>
  <c r="X505" i="6" s="1"/>
  <c r="P531" i="6"/>
  <c r="S531" i="6" s="1"/>
  <c r="U531" i="6" s="1"/>
  <c r="V531" i="6" s="1"/>
  <c r="W531" i="6" s="1"/>
  <c r="X531" i="6" s="1"/>
  <c r="Q531" i="6"/>
  <c r="R531" i="6" s="1"/>
  <c r="P605" i="6"/>
  <c r="S605" i="6" s="1"/>
  <c r="U605" i="6" s="1"/>
  <c r="V605" i="6" s="1"/>
  <c r="W605" i="6" s="1"/>
  <c r="X605" i="6" s="1"/>
  <c r="Q605" i="6"/>
  <c r="R605" i="6" s="1"/>
  <c r="Q701" i="6"/>
  <c r="R701" i="6" s="1"/>
  <c r="P701" i="6"/>
  <c r="S701" i="6" s="1"/>
  <c r="U701" i="6" s="1"/>
  <c r="V701" i="6" s="1"/>
  <c r="W701" i="6" s="1"/>
  <c r="X701" i="6" s="1"/>
  <c r="P607" i="6"/>
  <c r="S607" i="6" s="1"/>
  <c r="U607" i="6" s="1"/>
  <c r="V607" i="6" s="1"/>
  <c r="W607" i="6" s="1"/>
  <c r="X607" i="6" s="1"/>
  <c r="Q607" i="6"/>
  <c r="R607" i="6" s="1"/>
  <c r="Q445" i="6"/>
  <c r="R445" i="6" s="1"/>
  <c r="P445" i="6"/>
  <c r="S445" i="6" s="1"/>
  <c r="U445" i="6" s="1"/>
  <c r="V445" i="6" s="1"/>
  <c r="W445" i="6" s="1"/>
  <c r="X445" i="6" s="1"/>
  <c r="Q923" i="6"/>
  <c r="R923" i="6" s="1"/>
  <c r="P923" i="6"/>
  <c r="S923" i="6" s="1"/>
  <c r="U923" i="6" s="1"/>
  <c r="V923" i="6" s="1"/>
  <c r="W923" i="6" s="1"/>
  <c r="X923" i="6" s="1"/>
  <c r="P839" i="6"/>
  <c r="S839" i="6" s="1"/>
  <c r="U839" i="6" s="1"/>
  <c r="V839" i="6" s="1"/>
  <c r="W839" i="6" s="1"/>
  <c r="X839" i="6" s="1"/>
  <c r="Q835" i="6"/>
  <c r="R835" i="6" s="1"/>
  <c r="P835" i="6"/>
  <c r="S835" i="6" s="1"/>
  <c r="U835" i="6" s="1"/>
  <c r="V835" i="6" s="1"/>
  <c r="W835" i="6" s="1"/>
  <c r="X835" i="6" s="1"/>
  <c r="Q833" i="6"/>
  <c r="R833" i="6" s="1"/>
  <c r="P833" i="6"/>
  <c r="S833" i="6" s="1"/>
  <c r="U833" i="6" s="1"/>
  <c r="V833" i="6" s="1"/>
  <c r="W833" i="6" s="1"/>
  <c r="X833" i="6" s="1"/>
  <c r="P809" i="6"/>
  <c r="S809" i="6" s="1"/>
  <c r="U809" i="6" s="1"/>
  <c r="V809" i="6" s="1"/>
  <c r="W809" i="6" s="1"/>
  <c r="X809" i="6" s="1"/>
  <c r="P794" i="6"/>
  <c r="S794" i="6" s="1"/>
  <c r="U794" i="6" s="1"/>
  <c r="V794" i="6" s="1"/>
  <c r="W794" i="6" s="1"/>
  <c r="X794" i="6" s="1"/>
  <c r="Q794" i="6"/>
  <c r="R794" i="6" s="1"/>
  <c r="P937" i="6"/>
  <c r="S937" i="6" s="1"/>
  <c r="U937" i="6" s="1"/>
  <c r="V937" i="6" s="1"/>
  <c r="W937" i="6" s="1"/>
  <c r="X937" i="6" s="1"/>
  <c r="Q926" i="6"/>
  <c r="R926" i="6" s="1"/>
  <c r="P926" i="6"/>
  <c r="S926" i="6" s="1"/>
  <c r="U926" i="6" s="1"/>
  <c r="V926" i="6" s="1"/>
  <c r="W926" i="6" s="1"/>
  <c r="X926" i="6" s="1"/>
  <c r="P890" i="6"/>
  <c r="S890" i="6" s="1"/>
  <c r="U890" i="6" s="1"/>
  <c r="V890" i="6" s="1"/>
  <c r="W890" i="6" s="1"/>
  <c r="X890" i="6" s="1"/>
  <c r="P863" i="6"/>
  <c r="S863" i="6" s="1"/>
  <c r="U863" i="6" s="1"/>
  <c r="V863" i="6" s="1"/>
  <c r="W863" i="6" s="1"/>
  <c r="X863" i="6" s="1"/>
  <c r="P847" i="6"/>
  <c r="S847" i="6" s="1"/>
  <c r="U847" i="6" s="1"/>
  <c r="V847" i="6" s="1"/>
  <c r="W847" i="6" s="1"/>
  <c r="X847" i="6" s="1"/>
  <c r="P832" i="6"/>
  <c r="S832" i="6" s="1"/>
  <c r="U832" i="6" s="1"/>
  <c r="V832" i="6" s="1"/>
  <c r="W832" i="6" s="1"/>
  <c r="X832" i="6" s="1"/>
  <c r="Q704" i="6"/>
  <c r="R704" i="6" s="1"/>
  <c r="P704" i="6"/>
  <c r="S704" i="6" s="1"/>
  <c r="U704" i="6" s="1"/>
  <c r="V704" i="6" s="1"/>
  <c r="W704" i="6" s="1"/>
  <c r="X704" i="6" s="1"/>
  <c r="P554" i="6"/>
  <c r="S554" i="6" s="1"/>
  <c r="U554" i="6" s="1"/>
  <c r="V554" i="6" s="1"/>
  <c r="W554" i="6" s="1"/>
  <c r="X554" i="6" s="1"/>
  <c r="Q554" i="6"/>
  <c r="R554" i="6" s="1"/>
  <c r="Q692" i="6"/>
  <c r="R692" i="6" s="1"/>
  <c r="P692" i="6"/>
  <c r="S692" i="6" s="1"/>
  <c r="U692" i="6" s="1"/>
  <c r="V692" i="6" s="1"/>
  <c r="W692" i="6" s="1"/>
  <c r="X692" i="6" s="1"/>
  <c r="P782" i="6"/>
  <c r="S782" i="6" s="1"/>
  <c r="U782" i="6" s="1"/>
  <c r="V782" i="6" s="1"/>
  <c r="W782" i="6" s="1"/>
  <c r="X782" i="6" s="1"/>
  <c r="Q782" i="6"/>
  <c r="R782" i="6" s="1"/>
  <c r="U820" i="6"/>
  <c r="V820" i="6" s="1"/>
  <c r="W820" i="6" s="1"/>
  <c r="X820" i="6" s="1"/>
  <c r="P810" i="6"/>
  <c r="S810" i="6" s="1"/>
  <c r="U810" i="6" s="1"/>
  <c r="V810" i="6" s="1"/>
  <c r="W810" i="6" s="1"/>
  <c r="X810" i="6" s="1"/>
  <c r="Q810" i="6"/>
  <c r="R810" i="6" s="1"/>
  <c r="Q752" i="6"/>
  <c r="R752" i="6" s="1"/>
  <c r="P752" i="6"/>
  <c r="S752" i="6" s="1"/>
  <c r="U752" i="6" s="1"/>
  <c r="V752" i="6" s="1"/>
  <c r="W752" i="6" s="1"/>
  <c r="X752" i="6" s="1"/>
  <c r="Q687" i="6"/>
  <c r="R687" i="6" s="1"/>
  <c r="P687" i="6"/>
  <c r="S687" i="6" s="1"/>
  <c r="U687" i="6" s="1"/>
  <c r="V687" i="6" s="1"/>
  <c r="W687" i="6" s="1"/>
  <c r="X687" i="6" s="1"/>
  <c r="P649" i="6"/>
  <c r="S649" i="6" s="1"/>
  <c r="U649" i="6" s="1"/>
  <c r="V649" i="6" s="1"/>
  <c r="W649" i="6" s="1"/>
  <c r="X649" i="6" s="1"/>
  <c r="P631" i="6"/>
  <c r="S631" i="6" s="1"/>
  <c r="U631" i="6" s="1"/>
  <c r="V631" i="6" s="1"/>
  <c r="W631" i="6" s="1"/>
  <c r="X631" i="6" s="1"/>
  <c r="Q766" i="6"/>
  <c r="R766" i="6" s="1"/>
  <c r="P766" i="6"/>
  <c r="S766" i="6" s="1"/>
  <c r="U766" i="6" s="1"/>
  <c r="V766" i="6" s="1"/>
  <c r="W766" i="6" s="1"/>
  <c r="X766" i="6" s="1"/>
  <c r="Q685" i="6"/>
  <c r="R685" i="6" s="1"/>
  <c r="P685" i="6"/>
  <c r="S685" i="6" s="1"/>
  <c r="U685" i="6" s="1"/>
  <c r="V685" i="6" s="1"/>
  <c r="W685" i="6" s="1"/>
  <c r="X685" i="6" s="1"/>
  <c r="P572" i="6"/>
  <c r="S572" i="6" s="1"/>
  <c r="U572" i="6" s="1"/>
  <c r="V572" i="6" s="1"/>
  <c r="W572" i="6" s="1"/>
  <c r="X572" i="6" s="1"/>
  <c r="Q572" i="6"/>
  <c r="R572" i="6" s="1"/>
  <c r="P776" i="6"/>
  <c r="S776" i="6" s="1"/>
  <c r="U776" i="6" s="1"/>
  <c r="V776" i="6" s="1"/>
  <c r="W776" i="6" s="1"/>
  <c r="X776" i="6" s="1"/>
  <c r="Q776" i="6"/>
  <c r="R776" i="6" s="1"/>
  <c r="Q656" i="6"/>
  <c r="R656" i="6" s="1"/>
  <c r="P656" i="6"/>
  <c r="S656" i="6" s="1"/>
  <c r="U656" i="6" s="1"/>
  <c r="V656" i="6" s="1"/>
  <c r="W656" i="6" s="1"/>
  <c r="X656" i="6" s="1"/>
  <c r="Q636" i="6"/>
  <c r="R636" i="6" s="1"/>
  <c r="P636" i="6"/>
  <c r="S636" i="6" s="1"/>
  <c r="U636" i="6" s="1"/>
  <c r="V636" i="6" s="1"/>
  <c r="W636" i="6" s="1"/>
  <c r="X636" i="6" s="1"/>
  <c r="P601" i="6"/>
  <c r="S601" i="6" s="1"/>
  <c r="U601" i="6" s="1"/>
  <c r="V601" i="6" s="1"/>
  <c r="W601" i="6" s="1"/>
  <c r="X601" i="6" s="1"/>
  <c r="Q601" i="6"/>
  <c r="R601" i="6" s="1"/>
  <c r="P803" i="6"/>
  <c r="S803" i="6" s="1"/>
  <c r="U803" i="6" s="1"/>
  <c r="V803" i="6" s="1"/>
  <c r="W803" i="6" s="1"/>
  <c r="X803" i="6" s="1"/>
  <c r="Q803" i="6"/>
  <c r="R803" i="6" s="1"/>
  <c r="Q688" i="6"/>
  <c r="R688" i="6" s="1"/>
  <c r="P688" i="6"/>
  <c r="S688" i="6" s="1"/>
  <c r="U688" i="6" s="1"/>
  <c r="V688" i="6" s="1"/>
  <c r="W688" i="6" s="1"/>
  <c r="X688" i="6" s="1"/>
  <c r="Q637" i="6"/>
  <c r="R637" i="6" s="1"/>
  <c r="P637" i="6"/>
  <c r="S637" i="6" s="1"/>
  <c r="U637" i="6" s="1"/>
  <c r="V637" i="6" s="1"/>
  <c r="W637" i="6" s="1"/>
  <c r="X637" i="6" s="1"/>
  <c r="Q749" i="6"/>
  <c r="R749" i="6" s="1"/>
  <c r="P749" i="6"/>
  <c r="S749" i="6" s="1"/>
  <c r="U749" i="6" s="1"/>
  <c r="V749" i="6" s="1"/>
  <c r="W749" i="6" s="1"/>
  <c r="X749" i="6" s="1"/>
  <c r="Q714" i="6"/>
  <c r="R714" i="6" s="1"/>
  <c r="P714" i="6"/>
  <c r="S714" i="6" s="1"/>
  <c r="U714" i="6" s="1"/>
  <c r="V714" i="6" s="1"/>
  <c r="W714" i="6" s="1"/>
  <c r="X714" i="6" s="1"/>
  <c r="P786" i="6"/>
  <c r="S786" i="6" s="1"/>
  <c r="U786" i="6" s="1"/>
  <c r="V786" i="6" s="1"/>
  <c r="W786" i="6" s="1"/>
  <c r="X786" i="6" s="1"/>
  <c r="Q786" i="6"/>
  <c r="R786" i="6" s="1"/>
  <c r="Q762" i="6"/>
  <c r="R762" i="6" s="1"/>
  <c r="P762" i="6"/>
  <c r="S762" i="6" s="1"/>
  <c r="U762" i="6" s="1"/>
  <c r="V762" i="6" s="1"/>
  <c r="W762" i="6" s="1"/>
  <c r="X762" i="6" s="1"/>
  <c r="Q672" i="6"/>
  <c r="R672" i="6" s="1"/>
  <c r="P672" i="6"/>
  <c r="S672" i="6" s="1"/>
  <c r="U672" i="6" s="1"/>
  <c r="V672" i="6" s="1"/>
  <c r="W672" i="6" s="1"/>
  <c r="X672" i="6" s="1"/>
  <c r="P778" i="6"/>
  <c r="S778" i="6" s="1"/>
  <c r="U778" i="6" s="1"/>
  <c r="V778" i="6" s="1"/>
  <c r="W778" i="6" s="1"/>
  <c r="X778" i="6" s="1"/>
  <c r="Q778" i="6"/>
  <c r="R778" i="6" s="1"/>
  <c r="P574" i="6"/>
  <c r="S574" i="6" s="1"/>
  <c r="U574" i="6" s="1"/>
  <c r="V574" i="6" s="1"/>
  <c r="W574" i="6" s="1"/>
  <c r="X574" i="6" s="1"/>
  <c r="Q574" i="6"/>
  <c r="R574" i="6" s="1"/>
  <c r="Q496" i="6"/>
  <c r="R496" i="6" s="1"/>
  <c r="P496" i="6"/>
  <c r="S496" i="6" s="1"/>
  <c r="U496" i="6" s="1"/>
  <c r="V496" i="6" s="1"/>
  <c r="W496" i="6" s="1"/>
  <c r="X496" i="6" s="1"/>
  <c r="Q468" i="6"/>
  <c r="R468" i="6" s="1"/>
  <c r="P468" i="6"/>
  <c r="S468" i="6" s="1"/>
  <c r="U468" i="6" s="1"/>
  <c r="V468" i="6" s="1"/>
  <c r="W468" i="6" s="1"/>
  <c r="X468" i="6" s="1"/>
  <c r="P800" i="6"/>
  <c r="S800" i="6" s="1"/>
  <c r="U800" i="6" s="1"/>
  <c r="V800" i="6" s="1"/>
  <c r="W800" i="6" s="1"/>
  <c r="X800" i="6" s="1"/>
  <c r="Q800" i="6"/>
  <c r="R800" i="6" s="1"/>
  <c r="Q738" i="6"/>
  <c r="R738" i="6" s="1"/>
  <c r="P738" i="6"/>
  <c r="S738" i="6" s="1"/>
  <c r="U738" i="6" s="1"/>
  <c r="V738" i="6" s="1"/>
  <c r="W738" i="6" s="1"/>
  <c r="X738" i="6" s="1"/>
  <c r="P940" i="6"/>
  <c r="S940" i="6" s="1"/>
  <c r="U940" i="6" s="1"/>
  <c r="V940" i="6" s="1"/>
  <c r="W940" i="6" s="1"/>
  <c r="X940" i="6" s="1"/>
  <c r="P928" i="6"/>
  <c r="S928" i="6" s="1"/>
  <c r="U928" i="6" s="1"/>
  <c r="V928" i="6" s="1"/>
  <c r="W928" i="6" s="1"/>
  <c r="X928" i="6" s="1"/>
  <c r="P915" i="6"/>
  <c r="S915" i="6" s="1"/>
  <c r="U915" i="6" s="1"/>
  <c r="V915" i="6" s="1"/>
  <c r="W915" i="6" s="1"/>
  <c r="X915" i="6" s="1"/>
  <c r="P910" i="6"/>
  <c r="S910" i="6" s="1"/>
  <c r="U910" i="6" s="1"/>
  <c r="V910" i="6" s="1"/>
  <c r="W910" i="6" s="1"/>
  <c r="X910" i="6" s="1"/>
  <c r="P907" i="6"/>
  <c r="S907" i="6" s="1"/>
  <c r="U907" i="6" s="1"/>
  <c r="V907" i="6" s="1"/>
  <c r="W907" i="6" s="1"/>
  <c r="X907" i="6" s="1"/>
  <c r="P902" i="6"/>
  <c r="S902" i="6" s="1"/>
  <c r="U902" i="6" s="1"/>
  <c r="V902" i="6" s="1"/>
  <c r="W902" i="6" s="1"/>
  <c r="X902" i="6" s="1"/>
  <c r="P899" i="6"/>
  <c r="S899" i="6" s="1"/>
  <c r="U899" i="6" s="1"/>
  <c r="V899" i="6" s="1"/>
  <c r="W899" i="6" s="1"/>
  <c r="X899" i="6" s="1"/>
  <c r="P894" i="6"/>
  <c r="S894" i="6" s="1"/>
  <c r="U894" i="6" s="1"/>
  <c r="V894" i="6" s="1"/>
  <c r="W894" i="6" s="1"/>
  <c r="X894" i="6" s="1"/>
  <c r="P891" i="6"/>
  <c r="S891" i="6" s="1"/>
  <c r="U891" i="6" s="1"/>
  <c r="V891" i="6" s="1"/>
  <c r="W891" i="6" s="1"/>
  <c r="X891" i="6" s="1"/>
  <c r="P886" i="6"/>
  <c r="S886" i="6" s="1"/>
  <c r="U886" i="6" s="1"/>
  <c r="V886" i="6" s="1"/>
  <c r="W886" i="6" s="1"/>
  <c r="X886" i="6" s="1"/>
  <c r="P883" i="6"/>
  <c r="S883" i="6" s="1"/>
  <c r="U883" i="6" s="1"/>
  <c r="V883" i="6" s="1"/>
  <c r="W883" i="6" s="1"/>
  <c r="X883" i="6" s="1"/>
  <c r="P878" i="6"/>
  <c r="S878" i="6" s="1"/>
  <c r="U878" i="6" s="1"/>
  <c r="V878" i="6" s="1"/>
  <c r="W878" i="6" s="1"/>
  <c r="X878" i="6" s="1"/>
  <c r="Q733" i="6"/>
  <c r="R733" i="6" s="1"/>
  <c r="P733" i="6"/>
  <c r="S733" i="6" s="1"/>
  <c r="U733" i="6" s="1"/>
  <c r="V733" i="6" s="1"/>
  <c r="W733" i="6" s="1"/>
  <c r="X733" i="6" s="1"/>
  <c r="Q673" i="6"/>
  <c r="R673" i="6" s="1"/>
  <c r="P673" i="6"/>
  <c r="S673" i="6" s="1"/>
  <c r="U673" i="6" s="1"/>
  <c r="V673" i="6" s="1"/>
  <c r="W673" i="6" s="1"/>
  <c r="X673" i="6" s="1"/>
  <c r="P790" i="6"/>
  <c r="S790" i="6" s="1"/>
  <c r="U790" i="6" s="1"/>
  <c r="V790" i="6" s="1"/>
  <c r="W790" i="6" s="1"/>
  <c r="X790" i="6" s="1"/>
  <c r="Q790" i="6"/>
  <c r="R790" i="6" s="1"/>
  <c r="P788" i="6"/>
  <c r="S788" i="6" s="1"/>
  <c r="U788" i="6" s="1"/>
  <c r="V788" i="6" s="1"/>
  <c r="W788" i="6" s="1"/>
  <c r="X788" i="6" s="1"/>
  <c r="Q788" i="6"/>
  <c r="R788" i="6" s="1"/>
  <c r="Q723" i="6"/>
  <c r="R723" i="6" s="1"/>
  <c r="P723" i="6"/>
  <c r="S723" i="6" s="1"/>
  <c r="U723" i="6" s="1"/>
  <c r="V723" i="6" s="1"/>
  <c r="W723" i="6" s="1"/>
  <c r="X723" i="6" s="1"/>
  <c r="Q690" i="6"/>
  <c r="R690" i="6" s="1"/>
  <c r="P690" i="6"/>
  <c r="S690" i="6" s="1"/>
  <c r="U690" i="6" s="1"/>
  <c r="V690" i="6" s="1"/>
  <c r="W690" i="6" s="1"/>
  <c r="X690" i="6" s="1"/>
  <c r="Q680" i="6"/>
  <c r="R680" i="6" s="1"/>
  <c r="P680" i="6"/>
  <c r="S680" i="6" s="1"/>
  <c r="U680" i="6" s="1"/>
  <c r="V680" i="6" s="1"/>
  <c r="W680" i="6" s="1"/>
  <c r="X680" i="6" s="1"/>
  <c r="Q668" i="6"/>
  <c r="R668" i="6" s="1"/>
  <c r="P668" i="6"/>
  <c r="S668" i="6" s="1"/>
  <c r="U668" i="6" s="1"/>
  <c r="V668" i="6" s="1"/>
  <c r="W668" i="6" s="1"/>
  <c r="X668" i="6" s="1"/>
  <c r="Q643" i="6"/>
  <c r="R643" i="6" s="1"/>
  <c r="P643" i="6"/>
  <c r="S643" i="6" s="1"/>
  <c r="U643" i="6" s="1"/>
  <c r="V643" i="6" s="1"/>
  <c r="W643" i="6" s="1"/>
  <c r="X643" i="6" s="1"/>
  <c r="Q618" i="6"/>
  <c r="R618" i="6" s="1"/>
  <c r="P618" i="6"/>
  <c r="S618" i="6" s="1"/>
  <c r="U618" i="6" s="1"/>
  <c r="V618" i="6" s="1"/>
  <c r="W618" i="6" s="1"/>
  <c r="X618" i="6" s="1"/>
  <c r="P925" i="6"/>
  <c r="S925" i="6" s="1"/>
  <c r="U925" i="6" s="1"/>
  <c r="V925" i="6" s="1"/>
  <c r="W925" i="6" s="1"/>
  <c r="X925" i="6" s="1"/>
  <c r="P921" i="6"/>
  <c r="S921" i="6" s="1"/>
  <c r="U921" i="6" s="1"/>
  <c r="V921" i="6" s="1"/>
  <c r="W921" i="6" s="1"/>
  <c r="X921" i="6" s="1"/>
  <c r="P917" i="6"/>
  <c r="S917" i="6" s="1"/>
  <c r="U917" i="6" s="1"/>
  <c r="V917" i="6" s="1"/>
  <c r="W917" i="6" s="1"/>
  <c r="X917" i="6" s="1"/>
  <c r="P825" i="6"/>
  <c r="S825" i="6" s="1"/>
  <c r="U825" i="6" s="1"/>
  <c r="V825" i="6" s="1"/>
  <c r="W825" i="6" s="1"/>
  <c r="X825" i="6" s="1"/>
  <c r="Q825" i="6"/>
  <c r="R825" i="6" s="1"/>
  <c r="Q747" i="6"/>
  <c r="R747" i="6" s="1"/>
  <c r="P747" i="6"/>
  <c r="S747" i="6" s="1"/>
  <c r="U747" i="6" s="1"/>
  <c r="V747" i="6" s="1"/>
  <c r="W747" i="6" s="1"/>
  <c r="X747" i="6" s="1"/>
  <c r="Q728" i="6"/>
  <c r="R728" i="6" s="1"/>
  <c r="P728" i="6"/>
  <c r="S728" i="6" s="1"/>
  <c r="U728" i="6" s="1"/>
  <c r="V728" i="6" s="1"/>
  <c r="W728" i="6" s="1"/>
  <c r="X728" i="6" s="1"/>
  <c r="P813" i="6"/>
  <c r="S813" i="6" s="1"/>
  <c r="U813" i="6" s="1"/>
  <c r="V813" i="6" s="1"/>
  <c r="W813" i="6" s="1"/>
  <c r="X813" i="6" s="1"/>
  <c r="Q813" i="6"/>
  <c r="R813" i="6" s="1"/>
  <c r="Q757" i="6"/>
  <c r="R757" i="6" s="1"/>
  <c r="P757" i="6"/>
  <c r="S757" i="6" s="1"/>
  <c r="U757" i="6" s="1"/>
  <c r="V757" i="6" s="1"/>
  <c r="W757" i="6" s="1"/>
  <c r="X757" i="6" s="1"/>
  <c r="Q709" i="6"/>
  <c r="R709" i="6" s="1"/>
  <c r="P709" i="6"/>
  <c r="S709" i="6" s="1"/>
  <c r="U709" i="6" s="1"/>
  <c r="V709" i="6" s="1"/>
  <c r="W709" i="6" s="1"/>
  <c r="X709" i="6" s="1"/>
  <c r="Q633" i="6"/>
  <c r="R633" i="6" s="1"/>
  <c r="P633" i="6"/>
  <c r="S633" i="6" s="1"/>
  <c r="U633" i="6" s="1"/>
  <c r="V633" i="6" s="1"/>
  <c r="W633" i="6" s="1"/>
  <c r="X633" i="6" s="1"/>
  <c r="P608" i="6"/>
  <c r="S608" i="6" s="1"/>
  <c r="U608" i="6" s="1"/>
  <c r="V608" i="6" s="1"/>
  <c r="W608" i="6" s="1"/>
  <c r="X608" i="6" s="1"/>
  <c r="Q608" i="6"/>
  <c r="R608" i="6" s="1"/>
  <c r="P806" i="6"/>
  <c r="S806" i="6" s="1"/>
  <c r="U806" i="6" s="1"/>
  <c r="V806" i="6" s="1"/>
  <c r="W806" i="6" s="1"/>
  <c r="X806" i="6" s="1"/>
  <c r="Q806" i="6"/>
  <c r="R806" i="6" s="1"/>
  <c r="Q732" i="6"/>
  <c r="R732" i="6" s="1"/>
  <c r="P732" i="6"/>
  <c r="S732" i="6" s="1"/>
  <c r="U732" i="6" s="1"/>
  <c r="V732" i="6" s="1"/>
  <c r="W732" i="6" s="1"/>
  <c r="X732" i="6" s="1"/>
  <c r="P595" i="6"/>
  <c r="S595" i="6" s="1"/>
  <c r="U595" i="6" s="1"/>
  <c r="V595" i="6" s="1"/>
  <c r="W595" i="6" s="1"/>
  <c r="X595" i="6" s="1"/>
  <c r="Q595" i="6"/>
  <c r="R595" i="6" s="1"/>
  <c r="U577" i="6"/>
  <c r="V577" i="6" s="1"/>
  <c r="W577" i="6" s="1"/>
  <c r="X577" i="6" s="1"/>
  <c r="Q684" i="6"/>
  <c r="R684" i="6" s="1"/>
  <c r="P684" i="6"/>
  <c r="S684" i="6" s="1"/>
  <c r="U684" i="6" s="1"/>
  <c r="V684" i="6" s="1"/>
  <c r="W684" i="6" s="1"/>
  <c r="X684" i="6" s="1"/>
  <c r="Q629" i="6"/>
  <c r="R629" i="6" s="1"/>
  <c r="P629" i="6"/>
  <c r="S629" i="6" s="1"/>
  <c r="U629" i="6" s="1"/>
  <c r="V629" i="6" s="1"/>
  <c r="W629" i="6" s="1"/>
  <c r="X629" i="6" s="1"/>
  <c r="P560" i="6"/>
  <c r="S560" i="6" s="1"/>
  <c r="U560" i="6" s="1"/>
  <c r="V560" i="6" s="1"/>
  <c r="W560" i="6" s="1"/>
  <c r="X560" i="6" s="1"/>
  <c r="Q560" i="6"/>
  <c r="R560" i="6" s="1"/>
  <c r="P558" i="6"/>
  <c r="S558" i="6" s="1"/>
  <c r="U558" i="6" s="1"/>
  <c r="V558" i="6" s="1"/>
  <c r="W558" i="6" s="1"/>
  <c r="X558" i="6" s="1"/>
  <c r="Q558" i="6"/>
  <c r="R558" i="6" s="1"/>
  <c r="Q660" i="6"/>
  <c r="R660" i="6" s="1"/>
  <c r="P660" i="6"/>
  <c r="S660" i="6" s="1"/>
  <c r="U660" i="6" s="1"/>
  <c r="V660" i="6" s="1"/>
  <c r="W660" i="6" s="1"/>
  <c r="X660" i="6" s="1"/>
  <c r="Q638" i="6"/>
  <c r="R638" i="6" s="1"/>
  <c r="P638" i="6"/>
  <c r="S638" i="6" s="1"/>
  <c r="U638" i="6" s="1"/>
  <c r="V638" i="6" s="1"/>
  <c r="W638" i="6" s="1"/>
  <c r="X638" i="6" s="1"/>
  <c r="Q613" i="6"/>
  <c r="R613" i="6" s="1"/>
  <c r="P613" i="6"/>
  <c r="S613" i="6" s="1"/>
  <c r="U613" i="6" s="1"/>
  <c r="V613" i="6" s="1"/>
  <c r="W613" i="6" s="1"/>
  <c r="X613" i="6" s="1"/>
  <c r="P564" i="6"/>
  <c r="S564" i="6" s="1"/>
  <c r="U564" i="6" s="1"/>
  <c r="V564" i="6" s="1"/>
  <c r="W564" i="6" s="1"/>
  <c r="X564" i="6" s="1"/>
  <c r="Q564" i="6"/>
  <c r="R564" i="6" s="1"/>
  <c r="P552" i="6"/>
  <c r="S552" i="6" s="1"/>
  <c r="U552" i="6" s="1"/>
  <c r="V552" i="6" s="1"/>
  <c r="W552" i="6" s="1"/>
  <c r="X552" i="6" s="1"/>
  <c r="Q552" i="6"/>
  <c r="R552" i="6" s="1"/>
  <c r="P550" i="6"/>
  <c r="S550" i="6" s="1"/>
  <c r="U550" i="6" s="1"/>
  <c r="V550" i="6" s="1"/>
  <c r="W550" i="6" s="1"/>
  <c r="X550" i="6" s="1"/>
  <c r="Q550" i="6"/>
  <c r="R550" i="6" s="1"/>
  <c r="Q507" i="6"/>
  <c r="R507" i="6" s="1"/>
  <c r="P507" i="6"/>
  <c r="S507" i="6" s="1"/>
  <c r="U507" i="6" s="1"/>
  <c r="V507" i="6" s="1"/>
  <c r="W507" i="6" s="1"/>
  <c r="X507" i="6" s="1"/>
  <c r="Q474" i="6"/>
  <c r="R474" i="6" s="1"/>
  <c r="P474" i="6"/>
  <c r="S474" i="6" s="1"/>
  <c r="U474" i="6" s="1"/>
  <c r="V474" i="6" s="1"/>
  <c r="W474" i="6" s="1"/>
  <c r="X474" i="6" s="1"/>
  <c r="Q744" i="6"/>
  <c r="R744" i="6" s="1"/>
  <c r="P744" i="6"/>
  <c r="S744" i="6" s="1"/>
  <c r="U744" i="6" s="1"/>
  <c r="V744" i="6" s="1"/>
  <c r="W744" i="6" s="1"/>
  <c r="X744" i="6" s="1"/>
  <c r="Q720" i="6"/>
  <c r="R720" i="6" s="1"/>
  <c r="P720" i="6"/>
  <c r="S720" i="6" s="1"/>
  <c r="U720" i="6" s="1"/>
  <c r="V720" i="6" s="1"/>
  <c r="W720" i="6" s="1"/>
  <c r="X720" i="6" s="1"/>
  <c r="P600" i="6"/>
  <c r="S600" i="6" s="1"/>
  <c r="U600" i="6" s="1"/>
  <c r="V600" i="6" s="1"/>
  <c r="W600" i="6" s="1"/>
  <c r="X600" i="6" s="1"/>
  <c r="Q600" i="6"/>
  <c r="R600" i="6" s="1"/>
  <c r="U582" i="6"/>
  <c r="V582" i="6" s="1"/>
  <c r="W582" i="6" s="1"/>
  <c r="X582" i="6" s="1"/>
  <c r="P548" i="6"/>
  <c r="S548" i="6" s="1"/>
  <c r="U548" i="6" s="1"/>
  <c r="V548" i="6" s="1"/>
  <c r="W548" i="6" s="1"/>
  <c r="X548" i="6" s="1"/>
  <c r="Q548" i="6"/>
  <c r="R548" i="6" s="1"/>
  <c r="P546" i="6"/>
  <c r="S546" i="6" s="1"/>
  <c r="U546" i="6" s="1"/>
  <c r="V546" i="6" s="1"/>
  <c r="W546" i="6" s="1"/>
  <c r="X546" i="6" s="1"/>
  <c r="Q546" i="6"/>
  <c r="R546" i="6" s="1"/>
  <c r="P544" i="6"/>
  <c r="S544" i="6" s="1"/>
  <c r="U544" i="6" s="1"/>
  <c r="V544" i="6" s="1"/>
  <c r="W544" i="6" s="1"/>
  <c r="X544" i="6" s="1"/>
  <c r="Q544" i="6"/>
  <c r="R544" i="6" s="1"/>
  <c r="Q503" i="6"/>
  <c r="R503" i="6" s="1"/>
  <c r="P503" i="6"/>
  <c r="S503" i="6" s="1"/>
  <c r="U503" i="6" s="1"/>
  <c r="V503" i="6" s="1"/>
  <c r="W503" i="6" s="1"/>
  <c r="X503" i="6" s="1"/>
  <c r="Q454" i="6"/>
  <c r="R454" i="6" s="1"/>
  <c r="P454" i="6"/>
  <c r="S454" i="6" s="1"/>
  <c r="U454" i="6" s="1"/>
  <c r="V454" i="6" s="1"/>
  <c r="W454" i="6" s="1"/>
  <c r="X454" i="6" s="1"/>
  <c r="P593" i="6"/>
  <c r="S593" i="6" s="1"/>
  <c r="U593" i="6" s="1"/>
  <c r="V593" i="6" s="1"/>
  <c r="W593" i="6" s="1"/>
  <c r="X593" i="6" s="1"/>
  <c r="Q593" i="6"/>
  <c r="R593" i="6" s="1"/>
  <c r="P538" i="6"/>
  <c r="S538" i="6" s="1"/>
  <c r="U538" i="6" s="1"/>
  <c r="V538" i="6" s="1"/>
  <c r="W538" i="6" s="1"/>
  <c r="X538" i="6" s="1"/>
  <c r="Q538" i="6"/>
  <c r="R538" i="6" s="1"/>
  <c r="U530" i="6"/>
  <c r="V530" i="6" s="1"/>
  <c r="W530" i="6" s="1"/>
  <c r="X530" i="6" s="1"/>
  <c r="U525" i="6"/>
  <c r="V525" i="6" s="1"/>
  <c r="W525" i="6" s="1"/>
  <c r="X525" i="6" s="1"/>
  <c r="P596" i="6"/>
  <c r="S596" i="6" s="1"/>
  <c r="U596" i="6" s="1"/>
  <c r="V596" i="6" s="1"/>
  <c r="W596" i="6" s="1"/>
  <c r="X596" i="6" s="1"/>
  <c r="Q596" i="6"/>
  <c r="R596" i="6" s="1"/>
  <c r="P555" i="6"/>
  <c r="S555" i="6" s="1"/>
  <c r="U555" i="6" s="1"/>
  <c r="V555" i="6" s="1"/>
  <c r="W555" i="6" s="1"/>
  <c r="X555" i="6" s="1"/>
  <c r="Q555" i="6"/>
  <c r="R555" i="6" s="1"/>
  <c r="Q484" i="6"/>
  <c r="R484" i="6" s="1"/>
  <c r="P484" i="6"/>
  <c r="S484" i="6" s="1"/>
  <c r="U484" i="6" s="1"/>
  <c r="V484" i="6" s="1"/>
  <c r="W484" i="6" s="1"/>
  <c r="X484" i="6" s="1"/>
  <c r="Q648" i="6"/>
  <c r="R648" i="6" s="1"/>
  <c r="P648" i="6"/>
  <c r="S648" i="6" s="1"/>
  <c r="U648" i="6" s="1"/>
  <c r="V648" i="6" s="1"/>
  <c r="W648" i="6" s="1"/>
  <c r="X648" i="6" s="1"/>
  <c r="P532" i="6"/>
  <c r="S532" i="6" s="1"/>
  <c r="U532" i="6" s="1"/>
  <c r="V532" i="6" s="1"/>
  <c r="W532" i="6" s="1"/>
  <c r="X532" i="6" s="1"/>
  <c r="Q532" i="6"/>
  <c r="R532" i="6" s="1"/>
  <c r="Q481" i="6"/>
  <c r="R481" i="6" s="1"/>
  <c r="P481" i="6"/>
  <c r="S481" i="6" s="1"/>
  <c r="U481" i="6" s="1"/>
  <c r="V481" i="6" s="1"/>
  <c r="W481" i="6" s="1"/>
  <c r="X481" i="6" s="1"/>
  <c r="Q466" i="6"/>
  <c r="R466" i="6" s="1"/>
  <c r="P466" i="6"/>
  <c r="S466" i="6" s="1"/>
  <c r="U466" i="6" s="1"/>
  <c r="V466" i="6" s="1"/>
  <c r="W466" i="6" s="1"/>
  <c r="X466" i="6" s="1"/>
  <c r="P606" i="6"/>
  <c r="S606" i="6" s="1"/>
  <c r="U606" i="6" s="1"/>
  <c r="V606" i="6" s="1"/>
  <c r="W606" i="6" s="1"/>
  <c r="X606" i="6" s="1"/>
  <c r="Q606" i="6"/>
  <c r="R606" i="6" s="1"/>
  <c r="P594" i="6"/>
  <c r="S594" i="6" s="1"/>
  <c r="U594" i="6" s="1"/>
  <c r="V594" i="6" s="1"/>
  <c r="W594" i="6" s="1"/>
  <c r="X594" i="6" s="1"/>
  <c r="Q594" i="6"/>
  <c r="R594" i="6" s="1"/>
  <c r="Q578" i="6"/>
  <c r="R578" i="6" s="1"/>
  <c r="P623" i="6"/>
  <c r="S623" i="6" s="1"/>
  <c r="U623" i="6" s="1"/>
  <c r="V623" i="6" s="1"/>
  <c r="W623" i="6" s="1"/>
  <c r="X623" i="6" s="1"/>
  <c r="P617" i="6"/>
  <c r="S617" i="6" s="1"/>
  <c r="U617" i="6" s="1"/>
  <c r="V617" i="6" s="1"/>
  <c r="W617" i="6" s="1"/>
  <c r="X617" i="6" s="1"/>
  <c r="P611" i="6"/>
  <c r="S611" i="6" s="1"/>
  <c r="U611" i="6" s="1"/>
  <c r="V611" i="6" s="1"/>
  <c r="W611" i="6" s="1"/>
  <c r="X611" i="6" s="1"/>
  <c r="P602" i="6"/>
  <c r="S602" i="6" s="1"/>
  <c r="U602" i="6" s="1"/>
  <c r="V602" i="6" s="1"/>
  <c r="W602" i="6" s="1"/>
  <c r="X602" i="6" s="1"/>
  <c r="Q602" i="6"/>
  <c r="R602" i="6" s="1"/>
  <c r="Q536" i="6"/>
  <c r="R536" i="6" s="1"/>
  <c r="P494" i="6"/>
  <c r="S494" i="6" s="1"/>
  <c r="U494" i="6" s="1"/>
  <c r="V494" i="6" s="1"/>
  <c r="W494" i="6" s="1"/>
  <c r="X494" i="6" s="1"/>
  <c r="P599" i="6"/>
  <c r="S599" i="6" s="1"/>
  <c r="U599" i="6" s="1"/>
  <c r="V599" i="6" s="1"/>
  <c r="W599" i="6" s="1"/>
  <c r="X599" i="6" s="1"/>
  <c r="Q599" i="6"/>
  <c r="R599" i="6" s="1"/>
  <c r="P541" i="6"/>
  <c r="S541" i="6" s="1"/>
  <c r="U541" i="6" s="1"/>
  <c r="V541" i="6" s="1"/>
  <c r="W541" i="6" s="1"/>
  <c r="X541" i="6" s="1"/>
  <c r="Q541" i="6"/>
  <c r="R541" i="6" s="1"/>
  <c r="P534" i="6"/>
  <c r="S534" i="6" s="1"/>
  <c r="U534" i="6" s="1"/>
  <c r="V534" i="6" s="1"/>
  <c r="W534" i="6" s="1"/>
  <c r="X534" i="6" s="1"/>
  <c r="Q534" i="6"/>
  <c r="R534" i="6" s="1"/>
  <c r="Q483" i="6"/>
  <c r="R483" i="6" s="1"/>
  <c r="P483" i="6"/>
  <c r="S483" i="6" s="1"/>
  <c r="U483" i="6" s="1"/>
  <c r="V483" i="6" s="1"/>
  <c r="W483" i="6" s="1"/>
  <c r="X483" i="6" s="1"/>
  <c r="Q470" i="6"/>
  <c r="R470" i="6" s="1"/>
  <c r="P470" i="6"/>
  <c r="S470" i="6" s="1"/>
  <c r="U470" i="6" s="1"/>
  <c r="V470" i="6" s="1"/>
  <c r="W470" i="6" s="1"/>
  <c r="X470" i="6" s="1"/>
  <c r="P540" i="6"/>
  <c r="S540" i="6" s="1"/>
  <c r="U540" i="6" s="1"/>
  <c r="V540" i="6" s="1"/>
  <c r="W540" i="6" s="1"/>
  <c r="X540" i="6" s="1"/>
  <c r="Q540" i="6"/>
  <c r="R540" i="6" s="1"/>
  <c r="Q490" i="6"/>
  <c r="R490" i="6" s="1"/>
  <c r="P490" i="6"/>
  <c r="S490" i="6" s="1"/>
  <c r="U490" i="6" s="1"/>
  <c r="V490" i="6" s="1"/>
  <c r="W490" i="6" s="1"/>
  <c r="X490" i="6" s="1"/>
  <c r="Q486" i="6"/>
  <c r="R486" i="6" s="1"/>
  <c r="P486" i="6"/>
  <c r="S486" i="6" s="1"/>
  <c r="U486" i="6" s="1"/>
  <c r="V486" i="6" s="1"/>
  <c r="W486" i="6" s="1"/>
  <c r="X486" i="6" s="1"/>
  <c r="Q442" i="6"/>
  <c r="R442" i="6" s="1"/>
  <c r="P442" i="6"/>
  <c r="S442" i="6" s="1"/>
  <c r="U442" i="6" s="1"/>
  <c r="V442" i="6" s="1"/>
  <c r="W442" i="6" s="1"/>
  <c r="X442" i="6" s="1"/>
  <c r="P609" i="6"/>
  <c r="S609" i="6" s="1"/>
  <c r="U609" i="6" s="1"/>
  <c r="V609" i="6" s="1"/>
  <c r="W609" i="6" s="1"/>
  <c r="X609" i="6" s="1"/>
  <c r="Q609" i="6"/>
  <c r="R609" i="6" s="1"/>
  <c r="P603" i="6"/>
  <c r="S603" i="6" s="1"/>
  <c r="U603" i="6" s="1"/>
  <c r="V603" i="6" s="1"/>
  <c r="W603" i="6" s="1"/>
  <c r="X603" i="6" s="1"/>
  <c r="Q603" i="6"/>
  <c r="R603" i="6" s="1"/>
  <c r="P597" i="6"/>
  <c r="S597" i="6" s="1"/>
  <c r="U597" i="6" s="1"/>
  <c r="V597" i="6" s="1"/>
  <c r="W597" i="6" s="1"/>
  <c r="X597" i="6" s="1"/>
  <c r="Q597" i="6"/>
  <c r="R597" i="6" s="1"/>
  <c r="P573" i="6"/>
  <c r="S573" i="6" s="1"/>
  <c r="U573" i="6" s="1"/>
  <c r="V573" i="6" s="1"/>
  <c r="W573" i="6" s="1"/>
  <c r="X573" i="6" s="1"/>
  <c r="Q568" i="6"/>
  <c r="R568" i="6" s="1"/>
  <c r="Q553" i="6"/>
  <c r="R553" i="6" s="1"/>
  <c r="Q543" i="6"/>
  <c r="R543" i="6" s="1"/>
  <c r="P482" i="6"/>
  <c r="S482" i="6" s="1"/>
  <c r="U482" i="6" s="1"/>
  <c r="V482" i="6" s="1"/>
  <c r="W482" i="6" s="1"/>
  <c r="X482" i="6" s="1"/>
  <c r="Q480" i="6"/>
  <c r="R480" i="6" s="1"/>
  <c r="P480" i="6"/>
  <c r="S480" i="6" s="1"/>
  <c r="U480" i="6" s="1"/>
  <c r="V480" i="6" s="1"/>
  <c r="W480" i="6" s="1"/>
  <c r="X480" i="6" s="1"/>
  <c r="P467" i="6"/>
  <c r="S467" i="6" s="1"/>
  <c r="U467" i="6" s="1"/>
  <c r="V467" i="6" s="1"/>
  <c r="W467" i="6" s="1"/>
  <c r="X467" i="6" s="1"/>
  <c r="P562" i="6"/>
  <c r="S562" i="6" s="1"/>
  <c r="U562" i="6" s="1"/>
  <c r="V562" i="6" s="1"/>
  <c r="W562" i="6" s="1"/>
  <c r="X562" i="6" s="1"/>
  <c r="Q562" i="6"/>
  <c r="R562" i="6" s="1"/>
  <c r="Q506" i="6"/>
  <c r="R506" i="6" s="1"/>
  <c r="P506" i="6"/>
  <c r="S506" i="6" s="1"/>
  <c r="U506" i="6" s="1"/>
  <c r="V506" i="6" s="1"/>
  <c r="W506" i="6" s="1"/>
  <c r="X506" i="6" s="1"/>
  <c r="Q504" i="6"/>
  <c r="R504" i="6" s="1"/>
  <c r="P504" i="6"/>
  <c r="S504" i="6" s="1"/>
  <c r="U504" i="6" s="1"/>
  <c r="V504" i="6" s="1"/>
  <c r="W504" i="6" s="1"/>
  <c r="X504" i="6" s="1"/>
  <c r="Q450" i="6"/>
  <c r="R450" i="6" s="1"/>
  <c r="P450" i="6"/>
  <c r="S450" i="6" s="1"/>
  <c r="U450" i="6" s="1"/>
  <c r="V450" i="6" s="1"/>
  <c r="W450" i="6" s="1"/>
  <c r="X450" i="6" s="1"/>
  <c r="P610" i="6"/>
  <c r="S610" i="6" s="1"/>
  <c r="U610" i="6" s="1"/>
  <c r="V610" i="6" s="1"/>
  <c r="W610" i="6" s="1"/>
  <c r="X610" i="6" s="1"/>
  <c r="Q610" i="6"/>
  <c r="R610" i="6" s="1"/>
  <c r="P604" i="6"/>
  <c r="S604" i="6" s="1"/>
  <c r="U604" i="6" s="1"/>
  <c r="V604" i="6" s="1"/>
  <c r="W604" i="6" s="1"/>
  <c r="X604" i="6" s="1"/>
  <c r="Q604" i="6"/>
  <c r="R604" i="6" s="1"/>
  <c r="P598" i="6"/>
  <c r="S598" i="6" s="1"/>
  <c r="U598" i="6" s="1"/>
  <c r="V598" i="6" s="1"/>
  <c r="W598" i="6" s="1"/>
  <c r="X598" i="6" s="1"/>
  <c r="Q598" i="6"/>
  <c r="R598" i="6" s="1"/>
  <c r="P592" i="6"/>
  <c r="S592" i="6" s="1"/>
  <c r="U592" i="6" s="1"/>
  <c r="V592" i="6" s="1"/>
  <c r="W592" i="6" s="1"/>
  <c r="X592" i="6" s="1"/>
  <c r="Q592" i="6"/>
  <c r="R592" i="6" s="1"/>
  <c r="P556" i="6"/>
  <c r="S556" i="6" s="1"/>
  <c r="U556" i="6" s="1"/>
  <c r="V556" i="6" s="1"/>
  <c r="W556" i="6" s="1"/>
  <c r="X556" i="6" s="1"/>
  <c r="Q556" i="6"/>
  <c r="R556" i="6" s="1"/>
  <c r="Q502" i="6"/>
  <c r="R502" i="6" s="1"/>
  <c r="P502" i="6"/>
  <c r="S502" i="6" s="1"/>
  <c r="U502" i="6" s="1"/>
  <c r="V502" i="6" s="1"/>
  <c r="W502" i="6" s="1"/>
  <c r="X502" i="6" s="1"/>
  <c r="Q498" i="6"/>
  <c r="R498" i="6" s="1"/>
  <c r="P498" i="6"/>
  <c r="S498" i="6" s="1"/>
  <c r="U498" i="6" s="1"/>
  <c r="V498" i="6" s="1"/>
  <c r="W498" i="6" s="1"/>
  <c r="X498" i="6" s="1"/>
  <c r="Q591" i="6"/>
  <c r="R591" i="6" s="1"/>
  <c r="Q590" i="6"/>
  <c r="R590" i="6" s="1"/>
  <c r="Q589" i="6"/>
  <c r="R589" i="6" s="1"/>
  <c r="Q588" i="6"/>
  <c r="R588" i="6" s="1"/>
  <c r="Q563" i="6"/>
  <c r="R563" i="6" s="1"/>
  <c r="Q510" i="6"/>
  <c r="R510" i="6" s="1"/>
  <c r="P510" i="6"/>
  <c r="S510" i="6" s="1"/>
  <c r="U510" i="6" s="1"/>
  <c r="V510" i="6" s="1"/>
  <c r="W510" i="6" s="1"/>
  <c r="X510" i="6" s="1"/>
  <c r="P447" i="6"/>
  <c r="S447" i="6" s="1"/>
  <c r="U447" i="6" s="1"/>
  <c r="V447" i="6" s="1"/>
  <c r="W447" i="6" s="1"/>
  <c r="X447" i="6" s="1"/>
  <c r="P444" i="6"/>
  <c r="S444" i="6" s="1"/>
  <c r="U444" i="6" s="1"/>
  <c r="V444" i="6" s="1"/>
  <c r="W444" i="6" s="1"/>
  <c r="X444" i="6" s="1"/>
  <c r="Q478" i="6"/>
  <c r="R478" i="6" s="1"/>
  <c r="P478" i="6"/>
  <c r="S478" i="6" s="1"/>
  <c r="U478" i="6" s="1"/>
  <c r="V478" i="6" s="1"/>
  <c r="W478" i="6" s="1"/>
  <c r="X478" i="6" s="1"/>
  <c r="Q462" i="6"/>
  <c r="R462" i="6" s="1"/>
  <c r="P462" i="6"/>
  <c r="S462" i="6" s="1"/>
  <c r="U462" i="6" s="1"/>
  <c r="V462" i="6" s="1"/>
  <c r="W462" i="6" s="1"/>
  <c r="X462" i="6" s="1"/>
  <c r="P501" i="6"/>
  <c r="S501" i="6" s="1"/>
  <c r="U501" i="6" s="1"/>
  <c r="V501" i="6" s="1"/>
  <c r="W501" i="6" s="1"/>
  <c r="X501" i="6" s="1"/>
  <c r="P489" i="6"/>
  <c r="S489" i="6" s="1"/>
  <c r="U489" i="6" s="1"/>
  <c r="V489" i="6" s="1"/>
  <c r="W489" i="6" s="1"/>
  <c r="X489" i="6" s="1"/>
  <c r="P477" i="6"/>
  <c r="S477" i="6" s="1"/>
  <c r="U477" i="6" s="1"/>
  <c r="V477" i="6" s="1"/>
  <c r="W477" i="6" s="1"/>
  <c r="X477" i="6" s="1"/>
  <c r="P465" i="6"/>
  <c r="S465" i="6" s="1"/>
  <c r="U465" i="6" s="1"/>
  <c r="V465" i="6" s="1"/>
  <c r="W465" i="6" s="1"/>
  <c r="X465" i="6" s="1"/>
  <c r="P453" i="6"/>
  <c r="S453" i="6" s="1"/>
  <c r="U453" i="6" s="1"/>
  <c r="V453" i="6" s="1"/>
  <c r="W453" i="6" s="1"/>
  <c r="X453" i="6" s="1"/>
  <c r="P441" i="6"/>
  <c r="S441" i="6" s="1"/>
  <c r="U441" i="6" s="1"/>
  <c r="V441" i="6" s="1"/>
  <c r="W441" i="6" s="1"/>
  <c r="X441" i="6" s="1"/>
  <c r="AF73" i="4"/>
  <c r="AD72" i="4" l="1"/>
  <c r="AC72" i="4"/>
  <c r="AB72" i="4"/>
  <c r="AD71" i="4"/>
  <c r="AC71" i="4"/>
  <c r="AB71" i="4"/>
  <c r="AD70" i="4"/>
  <c r="AC70" i="4"/>
  <c r="AB70" i="4"/>
  <c r="AD69" i="4"/>
  <c r="AC69" i="4"/>
  <c r="AB69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2" i="4"/>
  <c r="E71" i="4"/>
  <c r="E70" i="4"/>
  <c r="E69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3" i="4"/>
  <c r="F93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3" i="4" l="1"/>
  <c r="F83" i="4" s="1"/>
  <c r="L18" i="9"/>
  <c r="M18" i="9" s="1"/>
  <c r="M2" i="9"/>
  <c r="J3" i="4"/>
  <c r="I73" i="4"/>
  <c r="AL73" i="4" s="1"/>
  <c r="H73" i="4"/>
  <c r="D3" i="4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9" i="6"/>
  <c r="G940" i="6"/>
  <c r="G941" i="6"/>
  <c r="G942" i="6"/>
  <c r="G943" i="6"/>
  <c r="G944" i="6"/>
  <c r="F77" i="4" l="1"/>
  <c r="AK73" i="4"/>
  <c r="Q4" i="6"/>
  <c r="P4" i="6"/>
  <c r="T413" i="6"/>
  <c r="P413" i="6"/>
  <c r="S413" i="6" s="1"/>
  <c r="N413" i="6"/>
  <c r="M413" i="6"/>
  <c r="T412" i="6"/>
  <c r="Q412" i="6"/>
  <c r="R412" i="6" s="1"/>
  <c r="N412" i="6"/>
  <c r="M412" i="6"/>
  <c r="T411" i="6"/>
  <c r="Q411" i="6"/>
  <c r="R411" i="6" s="1"/>
  <c r="N411" i="6"/>
  <c r="M411" i="6"/>
  <c r="T410" i="6"/>
  <c r="N410" i="6"/>
  <c r="M410" i="6"/>
  <c r="T409" i="6"/>
  <c r="Q409" i="6"/>
  <c r="R409" i="6" s="1"/>
  <c r="N409" i="6"/>
  <c r="M409" i="6"/>
  <c r="T408" i="6"/>
  <c r="Q408" i="6"/>
  <c r="R408" i="6" s="1"/>
  <c r="N408" i="6"/>
  <c r="M408" i="6"/>
  <c r="T407" i="6"/>
  <c r="Q407" i="6"/>
  <c r="R407" i="6" s="1"/>
  <c r="N407" i="6"/>
  <c r="M407" i="6"/>
  <c r="T406" i="6"/>
  <c r="N406" i="6"/>
  <c r="M406" i="6"/>
  <c r="T405" i="6"/>
  <c r="Q405" i="6"/>
  <c r="R405" i="6" s="1"/>
  <c r="N405" i="6"/>
  <c r="M405" i="6"/>
  <c r="T404" i="6"/>
  <c r="P404" i="6"/>
  <c r="S404" i="6" s="1"/>
  <c r="N404" i="6"/>
  <c r="M404" i="6"/>
  <c r="T403" i="6"/>
  <c r="Q403" i="6"/>
  <c r="R403" i="6" s="1"/>
  <c r="N403" i="6"/>
  <c r="M403" i="6"/>
  <c r="T402" i="6"/>
  <c r="N402" i="6"/>
  <c r="M402" i="6"/>
  <c r="T401" i="6"/>
  <c r="Q401" i="6"/>
  <c r="R401" i="6" s="1"/>
  <c r="N401" i="6"/>
  <c r="M401" i="6"/>
  <c r="T400" i="6"/>
  <c r="Q400" i="6"/>
  <c r="R400" i="6" s="1"/>
  <c r="N400" i="6"/>
  <c r="M400" i="6"/>
  <c r="T399" i="6"/>
  <c r="Q399" i="6"/>
  <c r="R399" i="6" s="1"/>
  <c r="N399" i="6"/>
  <c r="M399" i="6"/>
  <c r="T398" i="6"/>
  <c r="N398" i="6"/>
  <c r="M398" i="6"/>
  <c r="T397" i="6"/>
  <c r="Q397" i="6"/>
  <c r="R397" i="6" s="1"/>
  <c r="N397" i="6"/>
  <c r="M397" i="6"/>
  <c r="T396" i="6"/>
  <c r="Q396" i="6"/>
  <c r="R396" i="6" s="1"/>
  <c r="N396" i="6"/>
  <c r="M396" i="6"/>
  <c r="T395" i="6"/>
  <c r="N395" i="6"/>
  <c r="M395" i="6"/>
  <c r="T394" i="6"/>
  <c r="Q394" i="6"/>
  <c r="R394" i="6" s="1"/>
  <c r="N394" i="6"/>
  <c r="M394" i="6"/>
  <c r="T393" i="6"/>
  <c r="Q393" i="6"/>
  <c r="R393" i="6" s="1"/>
  <c r="N393" i="6"/>
  <c r="M393" i="6"/>
  <c r="T392" i="6"/>
  <c r="Q392" i="6"/>
  <c r="R392" i="6" s="1"/>
  <c r="N392" i="6"/>
  <c r="M392" i="6"/>
  <c r="T391" i="6"/>
  <c r="N391" i="6"/>
  <c r="M391" i="6"/>
  <c r="T390" i="6"/>
  <c r="Q390" i="6"/>
  <c r="R390" i="6" s="1"/>
  <c r="N390" i="6"/>
  <c r="M390" i="6"/>
  <c r="T389" i="6"/>
  <c r="Q389" i="6"/>
  <c r="R389" i="6" s="1"/>
  <c r="N389" i="6"/>
  <c r="M389" i="6"/>
  <c r="T388" i="6"/>
  <c r="P388" i="6"/>
  <c r="S388" i="6" s="1"/>
  <c r="N388" i="6"/>
  <c r="M388" i="6"/>
  <c r="T387" i="6"/>
  <c r="N387" i="6"/>
  <c r="M387" i="6"/>
  <c r="T386" i="6"/>
  <c r="P386" i="6"/>
  <c r="S386" i="6" s="1"/>
  <c r="N386" i="6"/>
  <c r="M386" i="6"/>
  <c r="T385" i="6"/>
  <c r="Q385" i="6"/>
  <c r="R385" i="6" s="1"/>
  <c r="N385" i="6"/>
  <c r="M385" i="6"/>
  <c r="T384" i="6"/>
  <c r="Q384" i="6"/>
  <c r="R384" i="6" s="1"/>
  <c r="N384" i="6"/>
  <c r="M384" i="6"/>
  <c r="T383" i="6"/>
  <c r="N383" i="6"/>
  <c r="M383" i="6"/>
  <c r="T382" i="6"/>
  <c r="P382" i="6"/>
  <c r="S382" i="6" s="1"/>
  <c r="N382" i="6"/>
  <c r="M382" i="6"/>
  <c r="T381" i="6"/>
  <c r="Q381" i="6"/>
  <c r="R381" i="6" s="1"/>
  <c r="N381" i="6"/>
  <c r="M381" i="6"/>
  <c r="T380" i="6"/>
  <c r="Q380" i="6"/>
  <c r="R380" i="6" s="1"/>
  <c r="N380" i="6"/>
  <c r="M380" i="6"/>
  <c r="T379" i="6"/>
  <c r="N379" i="6"/>
  <c r="M379" i="6"/>
  <c r="T378" i="6"/>
  <c r="Q378" i="6"/>
  <c r="R378" i="6" s="1"/>
  <c r="N378" i="6"/>
  <c r="M378" i="6"/>
  <c r="T377" i="6"/>
  <c r="Q377" i="6"/>
  <c r="R377" i="6" s="1"/>
  <c r="N377" i="6"/>
  <c r="M377" i="6"/>
  <c r="T376" i="6"/>
  <c r="P376" i="6"/>
  <c r="S376" i="6" s="1"/>
  <c r="N376" i="6"/>
  <c r="M376" i="6"/>
  <c r="T375" i="6"/>
  <c r="N375" i="6"/>
  <c r="M375" i="6"/>
  <c r="T374" i="6"/>
  <c r="Q374" i="6"/>
  <c r="R374" i="6" s="1"/>
  <c r="N374" i="6"/>
  <c r="M374" i="6"/>
  <c r="T373" i="6"/>
  <c r="Q373" i="6"/>
  <c r="R373" i="6" s="1"/>
  <c r="N373" i="6"/>
  <c r="M373" i="6"/>
  <c r="T372" i="6"/>
  <c r="Q372" i="6"/>
  <c r="R372" i="6" s="1"/>
  <c r="N372" i="6"/>
  <c r="M372" i="6"/>
  <c r="T371" i="6"/>
  <c r="N371" i="6"/>
  <c r="M371" i="6"/>
  <c r="T370" i="6"/>
  <c r="P370" i="6"/>
  <c r="S370" i="6" s="1"/>
  <c r="N370" i="6"/>
  <c r="M370" i="6"/>
  <c r="T369" i="6"/>
  <c r="Q369" i="6"/>
  <c r="R369" i="6" s="1"/>
  <c r="N369" i="6"/>
  <c r="M369" i="6"/>
  <c r="T368" i="6"/>
  <c r="Q368" i="6"/>
  <c r="R368" i="6" s="1"/>
  <c r="N368" i="6"/>
  <c r="M368" i="6"/>
  <c r="T367" i="6"/>
  <c r="N367" i="6"/>
  <c r="M367" i="6"/>
  <c r="T366" i="6"/>
  <c r="Q366" i="6"/>
  <c r="R366" i="6" s="1"/>
  <c r="N366" i="6"/>
  <c r="M366" i="6"/>
  <c r="T365" i="6"/>
  <c r="Q365" i="6"/>
  <c r="R365" i="6" s="1"/>
  <c r="N365" i="6"/>
  <c r="M365" i="6"/>
  <c r="T364" i="6"/>
  <c r="Q364" i="6"/>
  <c r="R364" i="6" s="1"/>
  <c r="N364" i="6"/>
  <c r="M364" i="6"/>
  <c r="T363" i="6"/>
  <c r="N363" i="6"/>
  <c r="M363" i="6"/>
  <c r="T362" i="6"/>
  <c r="Q362" i="6"/>
  <c r="R362" i="6" s="1"/>
  <c r="N362" i="6"/>
  <c r="M362" i="6"/>
  <c r="T361" i="6"/>
  <c r="Q361" i="6"/>
  <c r="R361" i="6" s="1"/>
  <c r="N361" i="6"/>
  <c r="M361" i="6"/>
  <c r="T360" i="6"/>
  <c r="P360" i="6"/>
  <c r="S360" i="6" s="1"/>
  <c r="N360" i="6"/>
  <c r="M360" i="6"/>
  <c r="T359" i="6"/>
  <c r="Q359" i="6"/>
  <c r="R359" i="6" s="1"/>
  <c r="N359" i="6"/>
  <c r="M359" i="6"/>
  <c r="T358" i="6"/>
  <c r="Q358" i="6"/>
  <c r="R358" i="6" s="1"/>
  <c r="N358" i="6"/>
  <c r="M358" i="6"/>
  <c r="T357" i="6"/>
  <c r="Q357" i="6"/>
  <c r="R357" i="6" s="1"/>
  <c r="N357" i="6"/>
  <c r="M357" i="6"/>
  <c r="T356" i="6"/>
  <c r="P356" i="6"/>
  <c r="S356" i="6" s="1"/>
  <c r="N356" i="6"/>
  <c r="M356" i="6"/>
  <c r="T355" i="6"/>
  <c r="Q355" i="6"/>
  <c r="R355" i="6" s="1"/>
  <c r="N355" i="6"/>
  <c r="M355" i="6"/>
  <c r="T354" i="6"/>
  <c r="Q354" i="6"/>
  <c r="R354" i="6" s="1"/>
  <c r="N354" i="6"/>
  <c r="M354" i="6"/>
  <c r="T353" i="6"/>
  <c r="Q353" i="6"/>
  <c r="R353" i="6" s="1"/>
  <c r="N353" i="6"/>
  <c r="M353" i="6"/>
  <c r="T352" i="6"/>
  <c r="N352" i="6"/>
  <c r="M352" i="6"/>
  <c r="T351" i="6"/>
  <c r="Q351" i="6"/>
  <c r="R351" i="6" s="1"/>
  <c r="N351" i="6"/>
  <c r="M351" i="6"/>
  <c r="T350" i="6"/>
  <c r="P350" i="6"/>
  <c r="S350" i="6" s="1"/>
  <c r="N350" i="6"/>
  <c r="M350" i="6"/>
  <c r="T349" i="6"/>
  <c r="Q349" i="6"/>
  <c r="R349" i="6" s="1"/>
  <c r="N349" i="6"/>
  <c r="M349" i="6"/>
  <c r="T348" i="6"/>
  <c r="N348" i="6"/>
  <c r="M348" i="6"/>
  <c r="T347" i="6"/>
  <c r="P347" i="6"/>
  <c r="S347" i="6" s="1"/>
  <c r="N347" i="6"/>
  <c r="M347" i="6"/>
  <c r="T346" i="6"/>
  <c r="Q346" i="6"/>
  <c r="R346" i="6" s="1"/>
  <c r="N346" i="6"/>
  <c r="M346" i="6"/>
  <c r="T345" i="6"/>
  <c r="Q345" i="6"/>
  <c r="R345" i="6" s="1"/>
  <c r="N345" i="6"/>
  <c r="M345" i="6"/>
  <c r="T344" i="6"/>
  <c r="N344" i="6"/>
  <c r="M344" i="6"/>
  <c r="T343" i="6"/>
  <c r="P343" i="6"/>
  <c r="S343" i="6" s="1"/>
  <c r="N343" i="6"/>
  <c r="M343" i="6"/>
  <c r="T342" i="6"/>
  <c r="P342" i="6"/>
  <c r="S342" i="6" s="1"/>
  <c r="N342" i="6"/>
  <c r="M342" i="6"/>
  <c r="T341" i="6"/>
  <c r="Q341" i="6"/>
  <c r="R341" i="6" s="1"/>
  <c r="N341" i="6"/>
  <c r="M341" i="6"/>
  <c r="T340" i="6"/>
  <c r="N340" i="6"/>
  <c r="M340" i="6"/>
  <c r="T339" i="6"/>
  <c r="P339" i="6"/>
  <c r="S339" i="6" s="1"/>
  <c r="N339" i="6"/>
  <c r="M339" i="6"/>
  <c r="T338" i="6"/>
  <c r="P338" i="6"/>
  <c r="S338" i="6" s="1"/>
  <c r="N338" i="6"/>
  <c r="M338" i="6"/>
  <c r="T337" i="6"/>
  <c r="Q337" i="6"/>
  <c r="R337" i="6" s="1"/>
  <c r="N337" i="6"/>
  <c r="M337" i="6"/>
  <c r="T336" i="6"/>
  <c r="N336" i="6"/>
  <c r="M336" i="6"/>
  <c r="T335" i="6"/>
  <c r="P335" i="6"/>
  <c r="S335" i="6" s="1"/>
  <c r="N335" i="6"/>
  <c r="M335" i="6"/>
  <c r="T334" i="6"/>
  <c r="P334" i="6"/>
  <c r="S334" i="6" s="1"/>
  <c r="N334" i="6"/>
  <c r="M334" i="6"/>
  <c r="T333" i="6"/>
  <c r="Q333" i="6"/>
  <c r="R333" i="6" s="1"/>
  <c r="N333" i="6"/>
  <c r="M333" i="6"/>
  <c r="T332" i="6"/>
  <c r="N332" i="6"/>
  <c r="M332" i="6"/>
  <c r="T331" i="6"/>
  <c r="P331" i="6"/>
  <c r="S331" i="6" s="1"/>
  <c r="N331" i="6"/>
  <c r="M331" i="6"/>
  <c r="T330" i="6"/>
  <c r="P330" i="6"/>
  <c r="S330" i="6" s="1"/>
  <c r="N330" i="6"/>
  <c r="M330" i="6"/>
  <c r="T329" i="6"/>
  <c r="Q329" i="6"/>
  <c r="R329" i="6" s="1"/>
  <c r="N329" i="6"/>
  <c r="M329" i="6"/>
  <c r="T328" i="6"/>
  <c r="N328" i="6"/>
  <c r="M328" i="6"/>
  <c r="T327" i="6"/>
  <c r="P327" i="6"/>
  <c r="S327" i="6" s="1"/>
  <c r="N327" i="6"/>
  <c r="M327" i="6"/>
  <c r="T326" i="6"/>
  <c r="Q326" i="6"/>
  <c r="R326" i="6" s="1"/>
  <c r="N326" i="6"/>
  <c r="M326" i="6"/>
  <c r="T325" i="6"/>
  <c r="Q325" i="6"/>
  <c r="R325" i="6" s="1"/>
  <c r="N325" i="6"/>
  <c r="M325" i="6"/>
  <c r="T324" i="6"/>
  <c r="N324" i="6"/>
  <c r="M324" i="6"/>
  <c r="T323" i="6"/>
  <c r="P323" i="6"/>
  <c r="S323" i="6" s="1"/>
  <c r="N323" i="6"/>
  <c r="M323" i="6"/>
  <c r="T322" i="6"/>
  <c r="P322" i="6"/>
  <c r="S322" i="6" s="1"/>
  <c r="N322" i="6"/>
  <c r="M322" i="6"/>
  <c r="T321" i="6"/>
  <c r="Q321" i="6"/>
  <c r="R321" i="6" s="1"/>
  <c r="N321" i="6"/>
  <c r="M321" i="6"/>
  <c r="T320" i="6"/>
  <c r="N320" i="6"/>
  <c r="M320" i="6"/>
  <c r="T319" i="6"/>
  <c r="P319" i="6"/>
  <c r="S319" i="6" s="1"/>
  <c r="N319" i="6"/>
  <c r="M319" i="6"/>
  <c r="T318" i="6"/>
  <c r="Q318" i="6"/>
  <c r="R318" i="6" s="1"/>
  <c r="N318" i="6"/>
  <c r="M318" i="6"/>
  <c r="T317" i="6"/>
  <c r="Q317" i="6"/>
  <c r="R317" i="6" s="1"/>
  <c r="N317" i="6"/>
  <c r="M317" i="6"/>
  <c r="T316" i="6"/>
  <c r="N316" i="6"/>
  <c r="M316" i="6"/>
  <c r="T315" i="6"/>
  <c r="P315" i="6"/>
  <c r="S315" i="6" s="1"/>
  <c r="N315" i="6"/>
  <c r="M315" i="6"/>
  <c r="T314" i="6"/>
  <c r="Q314" i="6"/>
  <c r="R314" i="6" s="1"/>
  <c r="N314" i="6"/>
  <c r="M314" i="6"/>
  <c r="T313" i="6"/>
  <c r="Q313" i="6"/>
  <c r="R313" i="6" s="1"/>
  <c r="N313" i="6"/>
  <c r="M313" i="6"/>
  <c r="T312" i="6"/>
  <c r="N312" i="6"/>
  <c r="M312" i="6"/>
  <c r="T311" i="6"/>
  <c r="P311" i="6"/>
  <c r="S311" i="6" s="1"/>
  <c r="N311" i="6"/>
  <c r="M311" i="6"/>
  <c r="T310" i="6"/>
  <c r="Q310" i="6"/>
  <c r="R310" i="6" s="1"/>
  <c r="N310" i="6"/>
  <c r="M310" i="6"/>
  <c r="T309" i="6"/>
  <c r="Q309" i="6"/>
  <c r="R309" i="6" s="1"/>
  <c r="N309" i="6"/>
  <c r="M309" i="6"/>
  <c r="T308" i="6"/>
  <c r="N308" i="6"/>
  <c r="M308" i="6"/>
  <c r="T307" i="6"/>
  <c r="P307" i="6"/>
  <c r="S307" i="6" s="1"/>
  <c r="N307" i="6"/>
  <c r="M307" i="6"/>
  <c r="T306" i="6"/>
  <c r="P306" i="6"/>
  <c r="S306" i="6" s="1"/>
  <c r="N306" i="6"/>
  <c r="M306" i="6"/>
  <c r="T305" i="6"/>
  <c r="Q305" i="6"/>
  <c r="R305" i="6" s="1"/>
  <c r="N305" i="6"/>
  <c r="M305" i="6"/>
  <c r="T304" i="6"/>
  <c r="N304" i="6"/>
  <c r="M304" i="6"/>
  <c r="T303" i="6"/>
  <c r="P303" i="6"/>
  <c r="S303" i="6" s="1"/>
  <c r="N303" i="6"/>
  <c r="M303" i="6"/>
  <c r="T302" i="6"/>
  <c r="Q302" i="6"/>
  <c r="R302" i="6" s="1"/>
  <c r="N302" i="6"/>
  <c r="M302" i="6"/>
  <c r="T301" i="6"/>
  <c r="Q301" i="6"/>
  <c r="R301" i="6" s="1"/>
  <c r="N301" i="6"/>
  <c r="M301" i="6"/>
  <c r="T300" i="6"/>
  <c r="N300" i="6"/>
  <c r="M300" i="6"/>
  <c r="T299" i="6"/>
  <c r="P299" i="6"/>
  <c r="S299" i="6" s="1"/>
  <c r="N299" i="6"/>
  <c r="M299" i="6"/>
  <c r="T298" i="6"/>
  <c r="P298" i="6"/>
  <c r="S298" i="6" s="1"/>
  <c r="N298" i="6"/>
  <c r="M298" i="6"/>
  <c r="T297" i="6"/>
  <c r="Q297" i="6"/>
  <c r="R297" i="6" s="1"/>
  <c r="N297" i="6"/>
  <c r="M297" i="6"/>
  <c r="T296" i="6"/>
  <c r="N296" i="6"/>
  <c r="M296" i="6"/>
  <c r="T295" i="6"/>
  <c r="P295" i="6"/>
  <c r="S295" i="6" s="1"/>
  <c r="N295" i="6"/>
  <c r="M295" i="6"/>
  <c r="T294" i="6"/>
  <c r="P294" i="6"/>
  <c r="S294" i="6" s="1"/>
  <c r="N294" i="6"/>
  <c r="M294" i="6"/>
  <c r="T293" i="6"/>
  <c r="Q293" i="6"/>
  <c r="R293" i="6" s="1"/>
  <c r="N293" i="6"/>
  <c r="M293" i="6"/>
  <c r="T292" i="6"/>
  <c r="N292" i="6"/>
  <c r="M292" i="6"/>
  <c r="T291" i="6"/>
  <c r="P291" i="6"/>
  <c r="S291" i="6" s="1"/>
  <c r="N291" i="6"/>
  <c r="M291" i="6"/>
  <c r="T290" i="6"/>
  <c r="Q290" i="6"/>
  <c r="R290" i="6" s="1"/>
  <c r="N290" i="6"/>
  <c r="M290" i="6"/>
  <c r="T289" i="6"/>
  <c r="Q289" i="6"/>
  <c r="R289" i="6" s="1"/>
  <c r="N289" i="6"/>
  <c r="M289" i="6"/>
  <c r="T288" i="6"/>
  <c r="N288" i="6"/>
  <c r="M288" i="6"/>
  <c r="T287" i="6"/>
  <c r="P287" i="6"/>
  <c r="S287" i="6" s="1"/>
  <c r="N287" i="6"/>
  <c r="M287" i="6"/>
  <c r="T286" i="6"/>
  <c r="Q286" i="6"/>
  <c r="R286" i="6" s="1"/>
  <c r="N286" i="6"/>
  <c r="M286" i="6"/>
  <c r="T285" i="6"/>
  <c r="Q285" i="6"/>
  <c r="R285" i="6" s="1"/>
  <c r="N285" i="6"/>
  <c r="M285" i="6"/>
  <c r="T284" i="6"/>
  <c r="N284" i="6"/>
  <c r="M284" i="6"/>
  <c r="T283" i="6"/>
  <c r="P283" i="6"/>
  <c r="S283" i="6" s="1"/>
  <c r="N283" i="6"/>
  <c r="M283" i="6"/>
  <c r="T282" i="6"/>
  <c r="Q282" i="6"/>
  <c r="R282" i="6" s="1"/>
  <c r="N282" i="6"/>
  <c r="M282" i="6"/>
  <c r="T281" i="6"/>
  <c r="Q281" i="6"/>
  <c r="R281" i="6" s="1"/>
  <c r="N281" i="6"/>
  <c r="M281" i="6"/>
  <c r="T280" i="6"/>
  <c r="N280" i="6"/>
  <c r="M280" i="6"/>
  <c r="T279" i="6"/>
  <c r="P279" i="6"/>
  <c r="S279" i="6" s="1"/>
  <c r="N279" i="6"/>
  <c r="M279" i="6"/>
  <c r="T278" i="6"/>
  <c r="Q278" i="6"/>
  <c r="R278" i="6" s="1"/>
  <c r="N278" i="6"/>
  <c r="M278" i="6"/>
  <c r="T277" i="6"/>
  <c r="Q277" i="6"/>
  <c r="R277" i="6" s="1"/>
  <c r="N277" i="6"/>
  <c r="M277" i="6"/>
  <c r="T276" i="6"/>
  <c r="N276" i="6"/>
  <c r="M276" i="6"/>
  <c r="T275" i="6"/>
  <c r="P275" i="6"/>
  <c r="S275" i="6" s="1"/>
  <c r="N275" i="6"/>
  <c r="M275" i="6"/>
  <c r="T274" i="6"/>
  <c r="P274" i="6"/>
  <c r="S274" i="6" s="1"/>
  <c r="N274" i="6"/>
  <c r="M274" i="6"/>
  <c r="T273" i="6"/>
  <c r="Q273" i="6"/>
  <c r="R273" i="6" s="1"/>
  <c r="N273" i="6"/>
  <c r="M273" i="6"/>
  <c r="T272" i="6"/>
  <c r="N272" i="6"/>
  <c r="M272" i="6"/>
  <c r="T271" i="6"/>
  <c r="Q271" i="6"/>
  <c r="R271" i="6" s="1"/>
  <c r="N271" i="6"/>
  <c r="M271" i="6"/>
  <c r="T270" i="6"/>
  <c r="Q270" i="6"/>
  <c r="R270" i="6" s="1"/>
  <c r="N270" i="6"/>
  <c r="M270" i="6"/>
  <c r="T269" i="6"/>
  <c r="P269" i="6"/>
  <c r="S269" i="6" s="1"/>
  <c r="N269" i="6"/>
  <c r="M269" i="6"/>
  <c r="T268" i="6"/>
  <c r="Q268" i="6"/>
  <c r="R268" i="6" s="1"/>
  <c r="N268" i="6"/>
  <c r="M268" i="6"/>
  <c r="T267" i="6"/>
  <c r="P267" i="6"/>
  <c r="S267" i="6" s="1"/>
  <c r="N267" i="6"/>
  <c r="M267" i="6"/>
  <c r="T266" i="6"/>
  <c r="P266" i="6"/>
  <c r="S266" i="6" s="1"/>
  <c r="N266" i="6"/>
  <c r="M266" i="6"/>
  <c r="T265" i="6"/>
  <c r="Q265" i="6"/>
  <c r="R265" i="6" s="1"/>
  <c r="N265" i="6"/>
  <c r="M265" i="6"/>
  <c r="T264" i="6"/>
  <c r="P264" i="6"/>
  <c r="S264" i="6" s="1"/>
  <c r="N264" i="6"/>
  <c r="M264" i="6"/>
  <c r="T263" i="6"/>
  <c r="Q263" i="6"/>
  <c r="R263" i="6" s="1"/>
  <c r="N263" i="6"/>
  <c r="M263" i="6"/>
  <c r="T262" i="6"/>
  <c r="Q262" i="6"/>
  <c r="R262" i="6" s="1"/>
  <c r="N262" i="6"/>
  <c r="M262" i="6"/>
  <c r="T261" i="6"/>
  <c r="P261" i="6"/>
  <c r="S261" i="6" s="1"/>
  <c r="N261" i="6"/>
  <c r="M261" i="6"/>
  <c r="T260" i="6"/>
  <c r="Q260" i="6"/>
  <c r="R260" i="6" s="1"/>
  <c r="N260" i="6"/>
  <c r="M260" i="6"/>
  <c r="T259" i="6"/>
  <c r="P259" i="6"/>
  <c r="S259" i="6" s="1"/>
  <c r="N259" i="6"/>
  <c r="M259" i="6"/>
  <c r="T258" i="6"/>
  <c r="Q258" i="6"/>
  <c r="R258" i="6" s="1"/>
  <c r="N258" i="6"/>
  <c r="M258" i="6"/>
  <c r="T257" i="6"/>
  <c r="Q257" i="6"/>
  <c r="R257" i="6" s="1"/>
  <c r="N257" i="6"/>
  <c r="M257" i="6"/>
  <c r="T256" i="6"/>
  <c r="P256" i="6"/>
  <c r="S256" i="6" s="1"/>
  <c r="N256" i="6"/>
  <c r="M256" i="6"/>
  <c r="T255" i="6"/>
  <c r="Q255" i="6"/>
  <c r="R255" i="6" s="1"/>
  <c r="N255" i="6"/>
  <c r="M255" i="6"/>
  <c r="T254" i="6"/>
  <c r="Q254" i="6"/>
  <c r="R254" i="6" s="1"/>
  <c r="N254" i="6"/>
  <c r="M254" i="6"/>
  <c r="T253" i="6"/>
  <c r="Q253" i="6"/>
  <c r="R253" i="6" s="1"/>
  <c r="N253" i="6"/>
  <c r="M253" i="6"/>
  <c r="T252" i="6"/>
  <c r="P252" i="6"/>
  <c r="S252" i="6" s="1"/>
  <c r="N252" i="6"/>
  <c r="M252" i="6"/>
  <c r="T251" i="6"/>
  <c r="Q251" i="6"/>
  <c r="R251" i="6" s="1"/>
  <c r="N251" i="6"/>
  <c r="M251" i="6"/>
  <c r="T250" i="6"/>
  <c r="Q250" i="6"/>
  <c r="R250" i="6" s="1"/>
  <c r="N250" i="6"/>
  <c r="M250" i="6"/>
  <c r="T249" i="6"/>
  <c r="P249" i="6"/>
  <c r="S249" i="6" s="1"/>
  <c r="N249" i="6"/>
  <c r="M249" i="6"/>
  <c r="T248" i="6"/>
  <c r="Q248" i="6"/>
  <c r="R248" i="6" s="1"/>
  <c r="N248" i="6"/>
  <c r="M248" i="6"/>
  <c r="T247" i="6"/>
  <c r="Q247" i="6"/>
  <c r="R247" i="6" s="1"/>
  <c r="N247" i="6"/>
  <c r="M247" i="6"/>
  <c r="T246" i="6"/>
  <c r="P246" i="6"/>
  <c r="S246" i="6" s="1"/>
  <c r="N246" i="6"/>
  <c r="M246" i="6"/>
  <c r="T245" i="6"/>
  <c r="Q245" i="6"/>
  <c r="R245" i="6" s="1"/>
  <c r="N245" i="6"/>
  <c r="M245" i="6"/>
  <c r="T244" i="6"/>
  <c r="P244" i="6"/>
  <c r="S244" i="6" s="1"/>
  <c r="N244" i="6"/>
  <c r="M244" i="6"/>
  <c r="T243" i="6"/>
  <c r="Q243" i="6"/>
  <c r="R243" i="6" s="1"/>
  <c r="N243" i="6"/>
  <c r="M243" i="6"/>
  <c r="T242" i="6"/>
  <c r="Q242" i="6"/>
  <c r="R242" i="6" s="1"/>
  <c r="N242" i="6"/>
  <c r="M242" i="6"/>
  <c r="T241" i="6"/>
  <c r="P241" i="6"/>
  <c r="S241" i="6" s="1"/>
  <c r="N241" i="6"/>
  <c r="M241" i="6"/>
  <c r="T240" i="6"/>
  <c r="Q240" i="6"/>
  <c r="R240" i="6" s="1"/>
  <c r="N240" i="6"/>
  <c r="M240" i="6"/>
  <c r="T239" i="6"/>
  <c r="Q239" i="6"/>
  <c r="R239" i="6" s="1"/>
  <c r="N239" i="6"/>
  <c r="M239" i="6"/>
  <c r="T238" i="6"/>
  <c r="P238" i="6"/>
  <c r="S238" i="6" s="1"/>
  <c r="N238" i="6"/>
  <c r="M238" i="6"/>
  <c r="T237" i="6"/>
  <c r="Q237" i="6"/>
  <c r="R237" i="6" s="1"/>
  <c r="N237" i="6"/>
  <c r="M237" i="6"/>
  <c r="T236" i="6"/>
  <c r="P236" i="6"/>
  <c r="S236" i="6" s="1"/>
  <c r="N236" i="6"/>
  <c r="M236" i="6"/>
  <c r="T235" i="6"/>
  <c r="Q235" i="6"/>
  <c r="R235" i="6" s="1"/>
  <c r="N235" i="6"/>
  <c r="M235" i="6"/>
  <c r="T234" i="6"/>
  <c r="Q234" i="6"/>
  <c r="R234" i="6" s="1"/>
  <c r="N234" i="6"/>
  <c r="M234" i="6"/>
  <c r="T233" i="6"/>
  <c r="P233" i="6"/>
  <c r="S233" i="6" s="1"/>
  <c r="N233" i="6"/>
  <c r="M233" i="6"/>
  <c r="T232" i="6"/>
  <c r="Q232" i="6"/>
  <c r="R232" i="6" s="1"/>
  <c r="N232" i="6"/>
  <c r="M232" i="6"/>
  <c r="T231" i="6"/>
  <c r="Q231" i="6"/>
  <c r="R231" i="6" s="1"/>
  <c r="N231" i="6"/>
  <c r="M231" i="6"/>
  <c r="T230" i="6"/>
  <c r="P230" i="6"/>
  <c r="S230" i="6" s="1"/>
  <c r="N230" i="6"/>
  <c r="M230" i="6"/>
  <c r="T229" i="6"/>
  <c r="Q229" i="6"/>
  <c r="R229" i="6" s="1"/>
  <c r="N229" i="6"/>
  <c r="M229" i="6"/>
  <c r="T228" i="6"/>
  <c r="P228" i="6"/>
  <c r="S228" i="6" s="1"/>
  <c r="N228" i="6"/>
  <c r="M228" i="6"/>
  <c r="T227" i="6"/>
  <c r="Q227" i="6"/>
  <c r="R227" i="6" s="1"/>
  <c r="N227" i="6"/>
  <c r="M227" i="6"/>
  <c r="T226" i="6"/>
  <c r="Q226" i="6"/>
  <c r="R226" i="6" s="1"/>
  <c r="N226" i="6"/>
  <c r="M226" i="6"/>
  <c r="T225" i="6"/>
  <c r="P225" i="6"/>
  <c r="S225" i="6" s="1"/>
  <c r="N225" i="6"/>
  <c r="M225" i="6"/>
  <c r="T224" i="6"/>
  <c r="Q224" i="6"/>
  <c r="R224" i="6" s="1"/>
  <c r="N224" i="6"/>
  <c r="M224" i="6"/>
  <c r="T223" i="6"/>
  <c r="Q223" i="6"/>
  <c r="R223" i="6" s="1"/>
  <c r="N223" i="6"/>
  <c r="M223" i="6"/>
  <c r="T222" i="6"/>
  <c r="Q222" i="6"/>
  <c r="R222" i="6" s="1"/>
  <c r="N222" i="6"/>
  <c r="M222" i="6"/>
  <c r="T221" i="6"/>
  <c r="Q221" i="6"/>
  <c r="R221" i="6" s="1"/>
  <c r="N221" i="6"/>
  <c r="M221" i="6"/>
  <c r="T220" i="6"/>
  <c r="P220" i="6"/>
  <c r="S220" i="6" s="1"/>
  <c r="N220" i="6"/>
  <c r="M220" i="6"/>
  <c r="T219" i="6"/>
  <c r="Q219" i="6"/>
  <c r="R219" i="6" s="1"/>
  <c r="N219" i="6"/>
  <c r="M219" i="6"/>
  <c r="T218" i="6"/>
  <c r="P218" i="6"/>
  <c r="S218" i="6" s="1"/>
  <c r="N218" i="6"/>
  <c r="M218" i="6"/>
  <c r="T217" i="6"/>
  <c r="Q217" i="6"/>
  <c r="R217" i="6" s="1"/>
  <c r="N217" i="6"/>
  <c r="M217" i="6"/>
  <c r="T216" i="6"/>
  <c r="Q216" i="6"/>
  <c r="R216" i="6" s="1"/>
  <c r="N216" i="6"/>
  <c r="M216" i="6"/>
  <c r="T215" i="6"/>
  <c r="P215" i="6"/>
  <c r="S215" i="6" s="1"/>
  <c r="N215" i="6"/>
  <c r="M215" i="6"/>
  <c r="T214" i="6"/>
  <c r="Q214" i="6"/>
  <c r="R214" i="6" s="1"/>
  <c r="N214" i="6"/>
  <c r="M214" i="6"/>
  <c r="T213" i="6"/>
  <c r="P213" i="6"/>
  <c r="S213" i="6" s="1"/>
  <c r="N213" i="6"/>
  <c r="M213" i="6"/>
  <c r="T212" i="6"/>
  <c r="Q212" i="6"/>
  <c r="R212" i="6" s="1"/>
  <c r="N212" i="6"/>
  <c r="M212" i="6"/>
  <c r="T211" i="6"/>
  <c r="P211" i="6"/>
  <c r="S211" i="6" s="1"/>
  <c r="N211" i="6"/>
  <c r="M211" i="6"/>
  <c r="T210" i="6"/>
  <c r="Q210" i="6"/>
  <c r="R210" i="6" s="1"/>
  <c r="N210" i="6"/>
  <c r="M210" i="6"/>
  <c r="T209" i="6"/>
  <c r="Q209" i="6"/>
  <c r="R209" i="6" s="1"/>
  <c r="N209" i="6"/>
  <c r="M209" i="6"/>
  <c r="T208" i="6"/>
  <c r="P208" i="6"/>
  <c r="S208" i="6" s="1"/>
  <c r="N208" i="6"/>
  <c r="M208" i="6"/>
  <c r="T207" i="6"/>
  <c r="Q207" i="6"/>
  <c r="R207" i="6" s="1"/>
  <c r="N207" i="6"/>
  <c r="M207" i="6"/>
  <c r="T206" i="6"/>
  <c r="P206" i="6"/>
  <c r="S206" i="6" s="1"/>
  <c r="N206" i="6"/>
  <c r="M206" i="6"/>
  <c r="T205" i="6"/>
  <c r="Q205" i="6"/>
  <c r="R205" i="6" s="1"/>
  <c r="N205" i="6"/>
  <c r="M205" i="6"/>
  <c r="T204" i="6"/>
  <c r="Q204" i="6"/>
  <c r="R204" i="6" s="1"/>
  <c r="N204" i="6"/>
  <c r="M204" i="6"/>
  <c r="T203" i="6"/>
  <c r="P203" i="6"/>
  <c r="S203" i="6" s="1"/>
  <c r="N203" i="6"/>
  <c r="M203" i="6"/>
  <c r="T202" i="6"/>
  <c r="Q202" i="6"/>
  <c r="R202" i="6" s="1"/>
  <c r="N202" i="6"/>
  <c r="M202" i="6"/>
  <c r="T201" i="6"/>
  <c r="P201" i="6"/>
  <c r="S201" i="6" s="1"/>
  <c r="N201" i="6"/>
  <c r="M201" i="6"/>
  <c r="T200" i="6"/>
  <c r="Q200" i="6"/>
  <c r="R200" i="6" s="1"/>
  <c r="N200" i="6"/>
  <c r="M200" i="6"/>
  <c r="T199" i="6"/>
  <c r="Q199" i="6"/>
  <c r="R199" i="6" s="1"/>
  <c r="N199" i="6"/>
  <c r="M199" i="6"/>
  <c r="T198" i="6"/>
  <c r="P198" i="6"/>
  <c r="S198" i="6" s="1"/>
  <c r="N198" i="6"/>
  <c r="M198" i="6"/>
  <c r="T197" i="6"/>
  <c r="Q197" i="6"/>
  <c r="R197" i="6" s="1"/>
  <c r="N197" i="6"/>
  <c r="M197" i="6"/>
  <c r="T196" i="6"/>
  <c r="P196" i="6"/>
  <c r="S196" i="6" s="1"/>
  <c r="N196" i="6"/>
  <c r="M196" i="6"/>
  <c r="T195" i="6"/>
  <c r="Q195" i="6"/>
  <c r="R195" i="6" s="1"/>
  <c r="N195" i="6"/>
  <c r="M195" i="6"/>
  <c r="T194" i="6"/>
  <c r="Q194" i="6"/>
  <c r="R194" i="6" s="1"/>
  <c r="N194" i="6"/>
  <c r="M194" i="6"/>
  <c r="T193" i="6"/>
  <c r="P193" i="6"/>
  <c r="S193" i="6" s="1"/>
  <c r="N193" i="6"/>
  <c r="M193" i="6"/>
  <c r="T192" i="6"/>
  <c r="Q192" i="6"/>
  <c r="R192" i="6" s="1"/>
  <c r="N192" i="6"/>
  <c r="M192" i="6"/>
  <c r="T191" i="6"/>
  <c r="P191" i="6"/>
  <c r="S191" i="6" s="1"/>
  <c r="N191" i="6"/>
  <c r="M191" i="6"/>
  <c r="T190" i="6"/>
  <c r="Q190" i="6"/>
  <c r="R190" i="6" s="1"/>
  <c r="N190" i="6"/>
  <c r="M190" i="6"/>
  <c r="T189" i="6"/>
  <c r="Q189" i="6"/>
  <c r="R189" i="6" s="1"/>
  <c r="N189" i="6"/>
  <c r="M189" i="6"/>
  <c r="T188" i="6"/>
  <c r="Q188" i="6"/>
  <c r="R188" i="6" s="1"/>
  <c r="N188" i="6"/>
  <c r="M188" i="6"/>
  <c r="T187" i="6"/>
  <c r="Q187" i="6"/>
  <c r="R187" i="6" s="1"/>
  <c r="N187" i="6"/>
  <c r="M187" i="6"/>
  <c r="T186" i="6"/>
  <c r="P186" i="6"/>
  <c r="S186" i="6" s="1"/>
  <c r="N186" i="6"/>
  <c r="M186" i="6"/>
  <c r="T185" i="6"/>
  <c r="Q185" i="6"/>
  <c r="R185" i="6" s="1"/>
  <c r="N185" i="6"/>
  <c r="M185" i="6"/>
  <c r="T184" i="6"/>
  <c r="Q184" i="6"/>
  <c r="R184" i="6" s="1"/>
  <c r="N184" i="6"/>
  <c r="M184" i="6"/>
  <c r="T183" i="6"/>
  <c r="P183" i="6"/>
  <c r="S183" i="6" s="1"/>
  <c r="N183" i="6"/>
  <c r="M183" i="6"/>
  <c r="T182" i="6"/>
  <c r="Q182" i="6"/>
  <c r="R182" i="6" s="1"/>
  <c r="N182" i="6"/>
  <c r="M182" i="6"/>
  <c r="T181" i="6"/>
  <c r="P181" i="6"/>
  <c r="S181" i="6" s="1"/>
  <c r="N181" i="6"/>
  <c r="M181" i="6"/>
  <c r="T180" i="6"/>
  <c r="P180" i="6"/>
  <c r="S180" i="6" s="1"/>
  <c r="N180" i="6"/>
  <c r="M180" i="6"/>
  <c r="T179" i="6"/>
  <c r="Q179" i="6"/>
  <c r="R179" i="6" s="1"/>
  <c r="N179" i="6"/>
  <c r="M179" i="6"/>
  <c r="T178" i="6"/>
  <c r="Q178" i="6"/>
  <c r="R178" i="6" s="1"/>
  <c r="N178" i="6"/>
  <c r="M178" i="6"/>
  <c r="T177" i="6"/>
  <c r="Q177" i="6"/>
  <c r="R177" i="6" s="1"/>
  <c r="N177" i="6"/>
  <c r="M177" i="6"/>
  <c r="T176" i="6"/>
  <c r="P176" i="6"/>
  <c r="S176" i="6" s="1"/>
  <c r="N176" i="6"/>
  <c r="M176" i="6"/>
  <c r="T175" i="6"/>
  <c r="Q175" i="6"/>
  <c r="R175" i="6" s="1"/>
  <c r="N175" i="6"/>
  <c r="M175" i="6"/>
  <c r="T174" i="6"/>
  <c r="Q174" i="6"/>
  <c r="R174" i="6" s="1"/>
  <c r="N174" i="6"/>
  <c r="M174" i="6"/>
  <c r="T173" i="6"/>
  <c r="Q173" i="6"/>
  <c r="R173" i="6" s="1"/>
  <c r="N173" i="6"/>
  <c r="M173" i="6"/>
  <c r="T172" i="6"/>
  <c r="Q172" i="6"/>
  <c r="R172" i="6" s="1"/>
  <c r="N172" i="6"/>
  <c r="M172" i="6"/>
  <c r="T171" i="6"/>
  <c r="P171" i="6"/>
  <c r="S171" i="6" s="1"/>
  <c r="N171" i="6"/>
  <c r="M171" i="6"/>
  <c r="T170" i="6"/>
  <c r="P170" i="6"/>
  <c r="S170" i="6" s="1"/>
  <c r="N170" i="6"/>
  <c r="M170" i="6"/>
  <c r="T169" i="6"/>
  <c r="Q169" i="6"/>
  <c r="R169" i="6" s="1"/>
  <c r="N169" i="6"/>
  <c r="M169" i="6"/>
  <c r="T168" i="6"/>
  <c r="Q168" i="6"/>
  <c r="R168" i="6" s="1"/>
  <c r="N168" i="6"/>
  <c r="M168" i="6"/>
  <c r="T167" i="6"/>
  <c r="Q167" i="6"/>
  <c r="R167" i="6" s="1"/>
  <c r="N167" i="6"/>
  <c r="M167" i="6"/>
  <c r="T166" i="6"/>
  <c r="Q166" i="6"/>
  <c r="R166" i="6" s="1"/>
  <c r="N166" i="6"/>
  <c r="M166" i="6"/>
  <c r="T165" i="6"/>
  <c r="Q165" i="6"/>
  <c r="R165" i="6" s="1"/>
  <c r="N165" i="6"/>
  <c r="M165" i="6"/>
  <c r="T164" i="6"/>
  <c r="N164" i="6"/>
  <c r="M164" i="6"/>
  <c r="T163" i="6"/>
  <c r="N163" i="6"/>
  <c r="M163" i="6"/>
  <c r="T162" i="6"/>
  <c r="P162" i="6"/>
  <c r="S162" i="6" s="1"/>
  <c r="N162" i="6"/>
  <c r="M162" i="6"/>
  <c r="T161" i="6"/>
  <c r="P161" i="6"/>
  <c r="S161" i="6" s="1"/>
  <c r="N161" i="6"/>
  <c r="M161" i="6"/>
  <c r="T160" i="6"/>
  <c r="Q160" i="6"/>
  <c r="R160" i="6" s="1"/>
  <c r="N160" i="6"/>
  <c r="M160" i="6"/>
  <c r="T159" i="6"/>
  <c r="P159" i="6"/>
  <c r="S159" i="6" s="1"/>
  <c r="N159" i="6"/>
  <c r="M159" i="6"/>
  <c r="T158" i="6"/>
  <c r="Q158" i="6"/>
  <c r="R158" i="6" s="1"/>
  <c r="N158" i="6"/>
  <c r="M158" i="6"/>
  <c r="T157" i="6"/>
  <c r="N157" i="6"/>
  <c r="M157" i="6"/>
  <c r="T156" i="6"/>
  <c r="P156" i="6"/>
  <c r="S156" i="6" s="1"/>
  <c r="N156" i="6"/>
  <c r="M156" i="6"/>
  <c r="T155" i="6"/>
  <c r="P155" i="6"/>
  <c r="S155" i="6" s="1"/>
  <c r="N155" i="6"/>
  <c r="M155" i="6"/>
  <c r="T154" i="6"/>
  <c r="Q154" i="6"/>
  <c r="R154" i="6" s="1"/>
  <c r="N154" i="6"/>
  <c r="M154" i="6"/>
  <c r="T153" i="6"/>
  <c r="N153" i="6"/>
  <c r="M153" i="6"/>
  <c r="T152" i="6"/>
  <c r="Q152" i="6"/>
  <c r="R152" i="6" s="1"/>
  <c r="N152" i="6"/>
  <c r="M152" i="6"/>
  <c r="T151" i="6"/>
  <c r="P151" i="6"/>
  <c r="S151" i="6" s="1"/>
  <c r="N151" i="6"/>
  <c r="M151" i="6"/>
  <c r="T150" i="6"/>
  <c r="Q150" i="6"/>
  <c r="R150" i="6" s="1"/>
  <c r="N150" i="6"/>
  <c r="M150" i="6"/>
  <c r="T149" i="6"/>
  <c r="N149" i="6"/>
  <c r="M149" i="6"/>
  <c r="T148" i="6"/>
  <c r="P148" i="6"/>
  <c r="S148" i="6" s="1"/>
  <c r="N148" i="6"/>
  <c r="M148" i="6"/>
  <c r="T147" i="6"/>
  <c r="P147" i="6"/>
  <c r="S147" i="6" s="1"/>
  <c r="N147" i="6"/>
  <c r="M147" i="6"/>
  <c r="T146" i="6"/>
  <c r="Q146" i="6"/>
  <c r="R146" i="6" s="1"/>
  <c r="N146" i="6"/>
  <c r="M146" i="6"/>
  <c r="T145" i="6"/>
  <c r="N145" i="6"/>
  <c r="M145" i="6"/>
  <c r="T144" i="6"/>
  <c r="Q144" i="6"/>
  <c r="R144" i="6" s="1"/>
  <c r="N144" i="6"/>
  <c r="M144" i="6"/>
  <c r="T143" i="6"/>
  <c r="P143" i="6"/>
  <c r="S143" i="6" s="1"/>
  <c r="N143" i="6"/>
  <c r="M143" i="6"/>
  <c r="T142" i="6"/>
  <c r="Q142" i="6"/>
  <c r="R142" i="6" s="1"/>
  <c r="N142" i="6"/>
  <c r="M142" i="6"/>
  <c r="T141" i="6"/>
  <c r="N141" i="6"/>
  <c r="M141" i="6"/>
  <c r="T140" i="6"/>
  <c r="Q140" i="6"/>
  <c r="R140" i="6" s="1"/>
  <c r="N140" i="6"/>
  <c r="M140" i="6"/>
  <c r="T139" i="6"/>
  <c r="P139" i="6"/>
  <c r="S139" i="6" s="1"/>
  <c r="N139" i="6"/>
  <c r="M139" i="6"/>
  <c r="T138" i="6"/>
  <c r="Q138" i="6"/>
  <c r="R138" i="6" s="1"/>
  <c r="N138" i="6"/>
  <c r="M138" i="6"/>
  <c r="T137" i="6"/>
  <c r="N137" i="6"/>
  <c r="M137" i="6"/>
  <c r="T136" i="6"/>
  <c r="P136" i="6"/>
  <c r="S136" i="6" s="1"/>
  <c r="N136" i="6"/>
  <c r="M136" i="6"/>
  <c r="T135" i="6"/>
  <c r="Q135" i="6"/>
  <c r="R135" i="6" s="1"/>
  <c r="N135" i="6"/>
  <c r="M135" i="6"/>
  <c r="T134" i="6"/>
  <c r="Q134" i="6"/>
  <c r="R134" i="6" s="1"/>
  <c r="N134" i="6"/>
  <c r="M134" i="6"/>
  <c r="T133" i="6"/>
  <c r="N133" i="6"/>
  <c r="M133" i="6"/>
  <c r="T132" i="6"/>
  <c r="P132" i="6"/>
  <c r="S132" i="6" s="1"/>
  <c r="N132" i="6"/>
  <c r="M132" i="6"/>
  <c r="T131" i="6"/>
  <c r="Q131" i="6"/>
  <c r="R131" i="6" s="1"/>
  <c r="N131" i="6"/>
  <c r="M131" i="6"/>
  <c r="T130" i="6"/>
  <c r="Q130" i="6"/>
  <c r="R130" i="6" s="1"/>
  <c r="N130" i="6"/>
  <c r="M130" i="6"/>
  <c r="T129" i="6"/>
  <c r="N129" i="6"/>
  <c r="M129" i="6"/>
  <c r="T128" i="6"/>
  <c r="Q128" i="6"/>
  <c r="R128" i="6" s="1"/>
  <c r="N128" i="6"/>
  <c r="M128" i="6"/>
  <c r="T127" i="6"/>
  <c r="Q127" i="6"/>
  <c r="R127" i="6" s="1"/>
  <c r="N127" i="6"/>
  <c r="M127" i="6"/>
  <c r="T126" i="6"/>
  <c r="Q126" i="6"/>
  <c r="R126" i="6" s="1"/>
  <c r="N126" i="6"/>
  <c r="M126" i="6"/>
  <c r="T125" i="6"/>
  <c r="N125" i="6"/>
  <c r="M125" i="6"/>
  <c r="T124" i="6"/>
  <c r="P124" i="6"/>
  <c r="S124" i="6" s="1"/>
  <c r="N124" i="6"/>
  <c r="M124" i="6"/>
  <c r="T122" i="6"/>
  <c r="P122" i="6"/>
  <c r="S122" i="6" s="1"/>
  <c r="N122" i="6"/>
  <c r="M122" i="6"/>
  <c r="T121" i="6"/>
  <c r="Q121" i="6"/>
  <c r="R121" i="6" s="1"/>
  <c r="N121" i="6"/>
  <c r="M121" i="6"/>
  <c r="T120" i="6"/>
  <c r="N120" i="6"/>
  <c r="M120" i="6"/>
  <c r="T119" i="6"/>
  <c r="Q119" i="6"/>
  <c r="R119" i="6" s="1"/>
  <c r="N119" i="6"/>
  <c r="M119" i="6"/>
  <c r="T118" i="6"/>
  <c r="P118" i="6"/>
  <c r="S118" i="6" s="1"/>
  <c r="N118" i="6"/>
  <c r="M118" i="6"/>
  <c r="T117" i="6"/>
  <c r="Q117" i="6"/>
  <c r="R117" i="6" s="1"/>
  <c r="N117" i="6"/>
  <c r="M117" i="6"/>
  <c r="T116" i="6"/>
  <c r="N116" i="6"/>
  <c r="M116" i="6"/>
  <c r="T115" i="6"/>
  <c r="P115" i="6"/>
  <c r="S115" i="6" s="1"/>
  <c r="N115" i="6"/>
  <c r="M115" i="6"/>
  <c r="T114" i="6"/>
  <c r="Q114" i="6"/>
  <c r="R114" i="6" s="1"/>
  <c r="N114" i="6"/>
  <c r="M114" i="6"/>
  <c r="T113" i="6"/>
  <c r="Q113" i="6"/>
  <c r="R113" i="6" s="1"/>
  <c r="N113" i="6"/>
  <c r="M113" i="6"/>
  <c r="T112" i="6"/>
  <c r="N112" i="6"/>
  <c r="M112" i="6"/>
  <c r="T111" i="6"/>
  <c r="Q111" i="6"/>
  <c r="R111" i="6" s="1"/>
  <c r="N111" i="6"/>
  <c r="M111" i="6"/>
  <c r="T110" i="6"/>
  <c r="Q110" i="6"/>
  <c r="R110" i="6" s="1"/>
  <c r="N110" i="6"/>
  <c r="M110" i="6"/>
  <c r="T109" i="6"/>
  <c r="Q109" i="6"/>
  <c r="R109" i="6" s="1"/>
  <c r="N109" i="6"/>
  <c r="M109" i="6"/>
  <c r="T108" i="6"/>
  <c r="N108" i="6"/>
  <c r="M108" i="6"/>
  <c r="T107" i="6"/>
  <c r="Q107" i="6"/>
  <c r="R107" i="6" s="1"/>
  <c r="N107" i="6"/>
  <c r="M107" i="6"/>
  <c r="T106" i="6"/>
  <c r="Q106" i="6"/>
  <c r="R106" i="6" s="1"/>
  <c r="N106" i="6"/>
  <c r="M106" i="6"/>
  <c r="T105" i="6"/>
  <c r="Q105" i="6"/>
  <c r="R105" i="6" s="1"/>
  <c r="N105" i="6"/>
  <c r="M105" i="6"/>
  <c r="T104" i="6"/>
  <c r="N104" i="6"/>
  <c r="M104" i="6"/>
  <c r="T103" i="6"/>
  <c r="Q103" i="6"/>
  <c r="R103" i="6" s="1"/>
  <c r="N103" i="6"/>
  <c r="M103" i="6"/>
  <c r="T102" i="6"/>
  <c r="Q102" i="6"/>
  <c r="R102" i="6" s="1"/>
  <c r="N102" i="6"/>
  <c r="M102" i="6"/>
  <c r="T101" i="6"/>
  <c r="Q101" i="6"/>
  <c r="R101" i="6" s="1"/>
  <c r="N101" i="6"/>
  <c r="M101" i="6"/>
  <c r="T100" i="6"/>
  <c r="N100" i="6"/>
  <c r="M100" i="6"/>
  <c r="T99" i="6"/>
  <c r="P99" i="6"/>
  <c r="S99" i="6" s="1"/>
  <c r="N99" i="6"/>
  <c r="M99" i="6"/>
  <c r="T98" i="6"/>
  <c r="Q98" i="6"/>
  <c r="R98" i="6" s="1"/>
  <c r="N98" i="6"/>
  <c r="M98" i="6"/>
  <c r="T97" i="6"/>
  <c r="Q97" i="6"/>
  <c r="R97" i="6" s="1"/>
  <c r="N97" i="6"/>
  <c r="M97" i="6"/>
  <c r="T96" i="6"/>
  <c r="N96" i="6"/>
  <c r="M96" i="6"/>
  <c r="T95" i="6"/>
  <c r="P95" i="6"/>
  <c r="S95" i="6" s="1"/>
  <c r="N95" i="6"/>
  <c r="M95" i="6"/>
  <c r="T94" i="6"/>
  <c r="Q94" i="6"/>
  <c r="R94" i="6" s="1"/>
  <c r="N94" i="6"/>
  <c r="M94" i="6"/>
  <c r="T93" i="6"/>
  <c r="Q93" i="6"/>
  <c r="R93" i="6" s="1"/>
  <c r="N93" i="6"/>
  <c r="M93" i="6"/>
  <c r="T92" i="6"/>
  <c r="N92" i="6"/>
  <c r="M92" i="6"/>
  <c r="T91" i="6"/>
  <c r="P91" i="6"/>
  <c r="S91" i="6" s="1"/>
  <c r="N91" i="6"/>
  <c r="M91" i="6"/>
  <c r="T90" i="6"/>
  <c r="P90" i="6"/>
  <c r="S90" i="6" s="1"/>
  <c r="N90" i="6"/>
  <c r="M90" i="6"/>
  <c r="T89" i="6"/>
  <c r="Q89" i="6"/>
  <c r="R89" i="6" s="1"/>
  <c r="N89" i="6"/>
  <c r="M89" i="6"/>
  <c r="T88" i="6"/>
  <c r="N88" i="6"/>
  <c r="M88" i="6"/>
  <c r="T87" i="6"/>
  <c r="P87" i="6"/>
  <c r="S87" i="6" s="1"/>
  <c r="N87" i="6"/>
  <c r="M87" i="6"/>
  <c r="T86" i="6"/>
  <c r="P86" i="6"/>
  <c r="S86" i="6" s="1"/>
  <c r="N86" i="6"/>
  <c r="M86" i="6"/>
  <c r="T85" i="6"/>
  <c r="Q85" i="6"/>
  <c r="R85" i="6" s="1"/>
  <c r="N85" i="6"/>
  <c r="M85" i="6"/>
  <c r="T84" i="6"/>
  <c r="N84" i="6"/>
  <c r="M84" i="6"/>
  <c r="T83" i="6"/>
  <c r="Q83" i="6"/>
  <c r="R83" i="6" s="1"/>
  <c r="N83" i="6"/>
  <c r="M83" i="6"/>
  <c r="T82" i="6"/>
  <c r="P82" i="6"/>
  <c r="S82" i="6" s="1"/>
  <c r="N82" i="6"/>
  <c r="M82" i="6"/>
  <c r="T81" i="6"/>
  <c r="Q81" i="6"/>
  <c r="R81" i="6" s="1"/>
  <c r="N81" i="6"/>
  <c r="M81" i="6"/>
  <c r="T80" i="6"/>
  <c r="Q80" i="6"/>
  <c r="R80" i="6" s="1"/>
  <c r="N80" i="6"/>
  <c r="M80" i="6"/>
  <c r="T79" i="6"/>
  <c r="P79" i="6"/>
  <c r="S79" i="6" s="1"/>
  <c r="N79" i="6"/>
  <c r="M79" i="6"/>
  <c r="T78" i="6"/>
  <c r="P78" i="6"/>
  <c r="S78" i="6" s="1"/>
  <c r="N78" i="6"/>
  <c r="M78" i="6"/>
  <c r="T77" i="6"/>
  <c r="Q77" i="6"/>
  <c r="R77" i="6" s="1"/>
  <c r="N77" i="6"/>
  <c r="M77" i="6"/>
  <c r="T76" i="6"/>
  <c r="Q76" i="6"/>
  <c r="R76" i="6" s="1"/>
  <c r="N76" i="6"/>
  <c r="M76" i="6"/>
  <c r="T75" i="6"/>
  <c r="Q75" i="6"/>
  <c r="R75" i="6" s="1"/>
  <c r="N75" i="6"/>
  <c r="M75" i="6"/>
  <c r="T74" i="6"/>
  <c r="P74" i="6"/>
  <c r="S74" i="6" s="1"/>
  <c r="N74" i="6"/>
  <c r="M74" i="6"/>
  <c r="T73" i="6"/>
  <c r="Q73" i="6"/>
  <c r="R73" i="6" s="1"/>
  <c r="N73" i="6"/>
  <c r="M73" i="6"/>
  <c r="T72" i="6"/>
  <c r="Q72" i="6"/>
  <c r="R72" i="6" s="1"/>
  <c r="N72" i="6"/>
  <c r="M72" i="6"/>
  <c r="T71" i="6"/>
  <c r="P71" i="6"/>
  <c r="S71" i="6" s="1"/>
  <c r="N71" i="6"/>
  <c r="M71" i="6"/>
  <c r="T70" i="6"/>
  <c r="P70" i="6"/>
  <c r="S70" i="6" s="1"/>
  <c r="N70" i="6"/>
  <c r="M70" i="6"/>
  <c r="T69" i="6"/>
  <c r="Q69" i="6"/>
  <c r="R69" i="6" s="1"/>
  <c r="N69" i="6"/>
  <c r="M69" i="6"/>
  <c r="T68" i="6"/>
  <c r="Q68" i="6"/>
  <c r="R68" i="6" s="1"/>
  <c r="N68" i="6"/>
  <c r="M68" i="6"/>
  <c r="T67" i="6"/>
  <c r="Q67" i="6"/>
  <c r="R67" i="6" s="1"/>
  <c r="N67" i="6"/>
  <c r="M67" i="6"/>
  <c r="T66" i="6"/>
  <c r="P66" i="6"/>
  <c r="S66" i="6" s="1"/>
  <c r="N66" i="6"/>
  <c r="M66" i="6"/>
  <c r="T65" i="6"/>
  <c r="Q65" i="6"/>
  <c r="R65" i="6" s="1"/>
  <c r="N65" i="6"/>
  <c r="M65" i="6"/>
  <c r="T64" i="6"/>
  <c r="Q64" i="6"/>
  <c r="R64" i="6" s="1"/>
  <c r="N64" i="6"/>
  <c r="M64" i="6"/>
  <c r="T63" i="6"/>
  <c r="P63" i="6"/>
  <c r="S63" i="6" s="1"/>
  <c r="N63" i="6"/>
  <c r="M63" i="6"/>
  <c r="T62" i="6"/>
  <c r="P62" i="6"/>
  <c r="S62" i="6" s="1"/>
  <c r="N62" i="6"/>
  <c r="M62" i="6"/>
  <c r="T61" i="6"/>
  <c r="Q61" i="6"/>
  <c r="R61" i="6" s="1"/>
  <c r="N61" i="6"/>
  <c r="M61" i="6"/>
  <c r="T60" i="6"/>
  <c r="Q60" i="6"/>
  <c r="R60" i="6" s="1"/>
  <c r="N60" i="6"/>
  <c r="M60" i="6"/>
  <c r="T59" i="6"/>
  <c r="Q59" i="6"/>
  <c r="R59" i="6" s="1"/>
  <c r="N59" i="6"/>
  <c r="M59" i="6"/>
  <c r="T58" i="6"/>
  <c r="P58" i="6"/>
  <c r="S58" i="6" s="1"/>
  <c r="N58" i="6"/>
  <c r="M58" i="6"/>
  <c r="T57" i="6"/>
  <c r="Q57" i="6"/>
  <c r="R57" i="6" s="1"/>
  <c r="N57" i="6"/>
  <c r="M57" i="6"/>
  <c r="T56" i="6"/>
  <c r="Q56" i="6"/>
  <c r="R56" i="6" s="1"/>
  <c r="N56" i="6"/>
  <c r="M56" i="6"/>
  <c r="T55" i="6"/>
  <c r="P55" i="6"/>
  <c r="S55" i="6" s="1"/>
  <c r="N55" i="6"/>
  <c r="M55" i="6"/>
  <c r="T54" i="6"/>
  <c r="P54" i="6"/>
  <c r="S54" i="6" s="1"/>
  <c r="N54" i="6"/>
  <c r="M54" i="6"/>
  <c r="T53" i="6"/>
  <c r="Q53" i="6"/>
  <c r="R53" i="6" s="1"/>
  <c r="N53" i="6"/>
  <c r="M53" i="6"/>
  <c r="T52" i="6"/>
  <c r="Q52" i="6"/>
  <c r="R52" i="6" s="1"/>
  <c r="N52" i="6"/>
  <c r="M52" i="6"/>
  <c r="T51" i="6"/>
  <c r="Q51" i="6"/>
  <c r="R51" i="6" s="1"/>
  <c r="N51" i="6"/>
  <c r="M51" i="6"/>
  <c r="T50" i="6"/>
  <c r="P50" i="6"/>
  <c r="S50" i="6" s="1"/>
  <c r="N50" i="6"/>
  <c r="M50" i="6"/>
  <c r="T49" i="6"/>
  <c r="Q49" i="6"/>
  <c r="R49" i="6" s="1"/>
  <c r="N49" i="6"/>
  <c r="M49" i="6"/>
  <c r="T48" i="6"/>
  <c r="Q48" i="6"/>
  <c r="R48" i="6" s="1"/>
  <c r="N48" i="6"/>
  <c r="M48" i="6"/>
  <c r="T47" i="6"/>
  <c r="P47" i="6"/>
  <c r="S47" i="6" s="1"/>
  <c r="N47" i="6"/>
  <c r="M47" i="6"/>
  <c r="T46" i="6"/>
  <c r="P46" i="6"/>
  <c r="S46" i="6" s="1"/>
  <c r="N46" i="6"/>
  <c r="M46" i="6"/>
  <c r="T45" i="6"/>
  <c r="Q45" i="6"/>
  <c r="R45" i="6" s="1"/>
  <c r="N45" i="6"/>
  <c r="M45" i="6"/>
  <c r="T44" i="6"/>
  <c r="Q44" i="6"/>
  <c r="R44" i="6" s="1"/>
  <c r="N44" i="6"/>
  <c r="M44" i="6"/>
  <c r="T43" i="6"/>
  <c r="Q43" i="6"/>
  <c r="R43" i="6" s="1"/>
  <c r="N43" i="6"/>
  <c r="M43" i="6"/>
  <c r="T42" i="6"/>
  <c r="P42" i="6"/>
  <c r="S42" i="6" s="1"/>
  <c r="N42" i="6"/>
  <c r="M42" i="6"/>
  <c r="T41" i="6"/>
  <c r="Q41" i="6"/>
  <c r="R41" i="6" s="1"/>
  <c r="N41" i="6"/>
  <c r="M41" i="6"/>
  <c r="T40" i="6"/>
  <c r="Q40" i="6"/>
  <c r="R40" i="6" s="1"/>
  <c r="N40" i="6"/>
  <c r="M40" i="6"/>
  <c r="T39" i="6"/>
  <c r="Q39" i="6"/>
  <c r="R39" i="6" s="1"/>
  <c r="N39" i="6"/>
  <c r="M39" i="6"/>
  <c r="T38" i="6"/>
  <c r="N38" i="6"/>
  <c r="M38" i="6"/>
  <c r="T37" i="6"/>
  <c r="P37" i="6"/>
  <c r="S37" i="6" s="1"/>
  <c r="N37" i="6"/>
  <c r="M37" i="6"/>
  <c r="T36" i="6"/>
  <c r="N36" i="6"/>
  <c r="M36" i="6"/>
  <c r="T35" i="6"/>
  <c r="Q35" i="6"/>
  <c r="R35" i="6" s="1"/>
  <c r="N35" i="6"/>
  <c r="M35" i="6"/>
  <c r="T34" i="6"/>
  <c r="N34" i="6"/>
  <c r="M34" i="6"/>
  <c r="T33" i="6"/>
  <c r="P33" i="6"/>
  <c r="S33" i="6" s="1"/>
  <c r="N33" i="6"/>
  <c r="M33" i="6"/>
  <c r="T32" i="6"/>
  <c r="N32" i="6"/>
  <c r="M32" i="6"/>
  <c r="T31" i="6"/>
  <c r="Q31" i="6"/>
  <c r="R31" i="6" s="1"/>
  <c r="N31" i="6"/>
  <c r="M31" i="6"/>
  <c r="T30" i="6"/>
  <c r="N30" i="6"/>
  <c r="M30" i="6"/>
  <c r="T29" i="6"/>
  <c r="P29" i="6"/>
  <c r="S29" i="6" s="1"/>
  <c r="N29" i="6"/>
  <c r="M29" i="6"/>
  <c r="T28" i="6"/>
  <c r="N28" i="6"/>
  <c r="M28" i="6"/>
  <c r="T27" i="6"/>
  <c r="Q27" i="6"/>
  <c r="R27" i="6" s="1"/>
  <c r="N27" i="6"/>
  <c r="M27" i="6"/>
  <c r="T26" i="6"/>
  <c r="N26" i="6"/>
  <c r="M26" i="6"/>
  <c r="T25" i="6"/>
  <c r="Q25" i="6"/>
  <c r="R25" i="6" s="1"/>
  <c r="N25" i="6"/>
  <c r="M25" i="6"/>
  <c r="T24" i="6"/>
  <c r="N24" i="6"/>
  <c r="M24" i="6"/>
  <c r="T23" i="6"/>
  <c r="Q23" i="6"/>
  <c r="R23" i="6" s="1"/>
  <c r="N23" i="6"/>
  <c r="M23" i="6"/>
  <c r="T22" i="6"/>
  <c r="N22" i="6"/>
  <c r="M22" i="6"/>
  <c r="T21" i="6"/>
  <c r="P21" i="6"/>
  <c r="S21" i="6" s="1"/>
  <c r="N21" i="6"/>
  <c r="M21" i="6"/>
  <c r="T20" i="6"/>
  <c r="N20" i="6"/>
  <c r="M20" i="6"/>
  <c r="T19" i="6"/>
  <c r="Q19" i="6"/>
  <c r="R19" i="6" s="1"/>
  <c r="N19" i="6"/>
  <c r="M19" i="6"/>
  <c r="T18" i="6"/>
  <c r="N18" i="6"/>
  <c r="M18" i="6"/>
  <c r="T17" i="6"/>
  <c r="P17" i="6"/>
  <c r="S17" i="6" s="1"/>
  <c r="N17" i="6"/>
  <c r="M17" i="6"/>
  <c r="T16" i="6"/>
  <c r="N16" i="6"/>
  <c r="M16" i="6"/>
  <c r="T15" i="6"/>
  <c r="Q15" i="6"/>
  <c r="R15" i="6" s="1"/>
  <c r="N15" i="6"/>
  <c r="M15" i="6"/>
  <c r="T14" i="6"/>
  <c r="N14" i="6"/>
  <c r="M14" i="6"/>
  <c r="AT13" i="6"/>
  <c r="AS13" i="6"/>
  <c r="AR13" i="6"/>
  <c r="T13" i="6"/>
  <c r="Q13" i="6"/>
  <c r="R13" i="6" s="1"/>
  <c r="N13" i="6"/>
  <c r="M13" i="6"/>
  <c r="AT12" i="6"/>
  <c r="AS12" i="6"/>
  <c r="AR12" i="6"/>
  <c r="T12" i="6"/>
  <c r="P12" i="6"/>
  <c r="S12" i="6" s="1"/>
  <c r="N12" i="6"/>
  <c r="M12" i="6"/>
  <c r="AT11" i="6"/>
  <c r="AS11" i="6"/>
  <c r="AR11" i="6"/>
  <c r="T11" i="6"/>
  <c r="P11" i="6"/>
  <c r="S11" i="6" s="1"/>
  <c r="N11" i="6"/>
  <c r="M11" i="6"/>
  <c r="AT10" i="6"/>
  <c r="AS10" i="6"/>
  <c r="AR10" i="6"/>
  <c r="T10" i="6"/>
  <c r="Q10" i="6"/>
  <c r="R10" i="6" s="1"/>
  <c r="N10" i="6"/>
  <c r="M10" i="6"/>
  <c r="AT9" i="6"/>
  <c r="AS9" i="6"/>
  <c r="AR9" i="6"/>
  <c r="T9" i="6"/>
  <c r="Q9" i="6"/>
  <c r="R9" i="6" s="1"/>
  <c r="N9" i="6"/>
  <c r="M9" i="6"/>
  <c r="AT8" i="6"/>
  <c r="AS8" i="6"/>
  <c r="AR8" i="6"/>
  <c r="T8" i="6"/>
  <c r="Q8" i="6"/>
  <c r="R8" i="6" s="1"/>
  <c r="N8" i="6"/>
  <c r="M8" i="6"/>
  <c r="AT7" i="6"/>
  <c r="AS7" i="6"/>
  <c r="AR7" i="6"/>
  <c r="T7" i="6"/>
  <c r="Q7" i="6"/>
  <c r="R7" i="6" s="1"/>
  <c r="N7" i="6"/>
  <c r="M7" i="6"/>
  <c r="AT6" i="6"/>
  <c r="AS6" i="6"/>
  <c r="AR6" i="6"/>
  <c r="T6" i="6"/>
  <c r="N6" i="6"/>
  <c r="M6" i="6"/>
  <c r="AT5" i="6"/>
  <c r="AS5" i="6"/>
  <c r="AR5" i="6"/>
  <c r="T5" i="6"/>
  <c r="Q5" i="6"/>
  <c r="R5" i="6" s="1"/>
  <c r="N5" i="6"/>
  <c r="M5" i="6"/>
  <c r="T4" i="6"/>
  <c r="N4" i="6"/>
  <c r="M4" i="6"/>
  <c r="AD2" i="6"/>
  <c r="AE2" i="6" s="1"/>
  <c r="J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3" i="4"/>
  <c r="R73" i="4"/>
  <c r="M73" i="4"/>
  <c r="F82" i="4" s="1"/>
  <c r="F81" i="4"/>
  <c r="K73" i="4"/>
  <c r="F80" i="4" s="1"/>
  <c r="F78" i="4"/>
  <c r="F89" i="4" s="1"/>
  <c r="F92" i="4"/>
  <c r="F94" i="4" s="1"/>
  <c r="G73" i="4"/>
  <c r="F76" i="4" s="1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X71" i="4"/>
  <c r="Z71" i="4" s="1"/>
  <c r="U330" i="6"/>
  <c r="V330" i="6" s="1"/>
  <c r="W330" i="6" s="1"/>
  <c r="X330" i="6" s="1"/>
  <c r="U376" i="6"/>
  <c r="V376" i="6" s="1"/>
  <c r="W376" i="6" s="1"/>
  <c r="X376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69" i="4"/>
  <c r="X70" i="4"/>
  <c r="Z70" i="4" s="1"/>
  <c r="O24" i="4"/>
  <c r="O55" i="4"/>
  <c r="O39" i="4"/>
  <c r="O48" i="4"/>
  <c r="O72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71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70" i="4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U78" i="6"/>
  <c r="V78" i="6" s="1"/>
  <c r="W78" i="6" s="1"/>
  <c r="X78" i="6" s="1"/>
  <c r="Q370" i="6"/>
  <c r="R370" i="6" s="1"/>
  <c r="Q211" i="6"/>
  <c r="R211" i="6" s="1"/>
  <c r="U29" i="6"/>
  <c r="V29" i="6" s="1"/>
  <c r="W29" i="6" s="1"/>
  <c r="X29" i="6" s="1"/>
  <c r="U79" i="6"/>
  <c r="V79" i="6" s="1"/>
  <c r="W79" i="6" s="1"/>
  <c r="X79" i="6" s="1"/>
  <c r="U87" i="6"/>
  <c r="V87" i="6" s="1"/>
  <c r="W87" i="6" s="1"/>
  <c r="X87" i="6" s="1"/>
  <c r="P67" i="6"/>
  <c r="S67" i="6" s="1"/>
  <c r="U67" i="6" s="1"/>
  <c r="V67" i="6" s="1"/>
  <c r="W67" i="6" s="1"/>
  <c r="X67" i="6" s="1"/>
  <c r="P190" i="6"/>
  <c r="S190" i="6" s="1"/>
  <c r="U190" i="6" s="1"/>
  <c r="V190" i="6" s="1"/>
  <c r="W190" i="6" s="1"/>
  <c r="X190" i="6" s="1"/>
  <c r="U225" i="6"/>
  <c r="V225" i="6" s="1"/>
  <c r="W225" i="6" s="1"/>
  <c r="X225" i="6" s="1"/>
  <c r="X23" i="4"/>
  <c r="Z23" i="4" s="1"/>
  <c r="X55" i="4"/>
  <c r="Z55" i="4" s="1"/>
  <c r="X72" i="4"/>
  <c r="Z72" i="4" s="1"/>
  <c r="V73" i="4"/>
  <c r="J73" i="4"/>
  <c r="F79" i="4" s="1"/>
  <c r="F84" i="4" s="1"/>
  <c r="X5" i="4"/>
  <c r="Z5" i="4" s="1"/>
  <c r="X24" i="4"/>
  <c r="Z24" i="4" s="1"/>
  <c r="X33" i="4"/>
  <c r="Z33" i="4" s="1"/>
  <c r="X37" i="4"/>
  <c r="Z37" i="4" s="1"/>
  <c r="X56" i="4"/>
  <c r="Z56" i="4" s="1"/>
  <c r="X69" i="4"/>
  <c r="Z69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3" i="4"/>
  <c r="X12" i="4"/>
  <c r="Z12" i="4" s="1"/>
  <c r="X22" i="4"/>
  <c r="Z22" i="4" s="1"/>
  <c r="X44" i="4"/>
  <c r="Z44" i="4" s="1"/>
  <c r="X54" i="4"/>
  <c r="Z54" i="4" s="1"/>
  <c r="X4" i="4"/>
  <c r="Z4" i="4" s="1"/>
  <c r="Q37" i="6"/>
  <c r="R37" i="6" s="1"/>
  <c r="P282" i="6"/>
  <c r="S282" i="6" s="1"/>
  <c r="U282" i="6" s="1"/>
  <c r="V282" i="6" s="1"/>
  <c r="W282" i="6" s="1"/>
  <c r="X282" i="6" s="1"/>
  <c r="P401" i="6"/>
  <c r="S401" i="6" s="1"/>
  <c r="U401" i="6" s="1"/>
  <c r="V401" i="6" s="1"/>
  <c r="W401" i="6" s="1"/>
  <c r="X401" i="6" s="1"/>
  <c r="P318" i="6"/>
  <c r="S318" i="6" s="1"/>
  <c r="U318" i="6" s="1"/>
  <c r="V318" i="6" s="1"/>
  <c r="W318" i="6" s="1"/>
  <c r="X318" i="6" s="1"/>
  <c r="U356" i="6"/>
  <c r="V356" i="6" s="1"/>
  <c r="W356" i="6" s="1"/>
  <c r="X356" i="6" s="1"/>
  <c r="P166" i="6"/>
  <c r="S166" i="6" s="1"/>
  <c r="U166" i="6" s="1"/>
  <c r="V166" i="6" s="1"/>
  <c r="W166" i="6" s="1"/>
  <c r="X166" i="6" s="1"/>
  <c r="P178" i="6"/>
  <c r="S178" i="6" s="1"/>
  <c r="U178" i="6" s="1"/>
  <c r="V178" i="6" s="1"/>
  <c r="W178" i="6" s="1"/>
  <c r="X178" i="6" s="1"/>
  <c r="P271" i="6"/>
  <c r="S271" i="6" s="1"/>
  <c r="U271" i="6" s="1"/>
  <c r="V271" i="6" s="1"/>
  <c r="W271" i="6" s="1"/>
  <c r="X271" i="6" s="1"/>
  <c r="U279" i="6"/>
  <c r="V279" i="6" s="1"/>
  <c r="W279" i="6" s="1"/>
  <c r="X279" i="6" s="1"/>
  <c r="Q376" i="6"/>
  <c r="R376" i="6" s="1"/>
  <c r="U295" i="6"/>
  <c r="V295" i="6" s="1"/>
  <c r="W295" i="6" s="1"/>
  <c r="X295" i="6" s="1"/>
  <c r="Q246" i="6"/>
  <c r="R246" i="6" s="1"/>
  <c r="P10" i="6"/>
  <c r="S10" i="6" s="1"/>
  <c r="U10" i="6" s="1"/>
  <c r="V10" i="6" s="1"/>
  <c r="W10" i="6" s="1"/>
  <c r="X10" i="6" s="1"/>
  <c r="Q33" i="6"/>
  <c r="R33" i="6" s="1"/>
  <c r="U37" i="6"/>
  <c r="V37" i="6" s="1"/>
  <c r="W37" i="6" s="1"/>
  <c r="X37" i="6" s="1"/>
  <c r="P184" i="6"/>
  <c r="S184" i="6" s="1"/>
  <c r="U184" i="6" s="1"/>
  <c r="V184" i="6" s="1"/>
  <c r="W184" i="6" s="1"/>
  <c r="X184" i="6" s="1"/>
  <c r="Q201" i="6"/>
  <c r="R201" i="6" s="1"/>
  <c r="P257" i="6"/>
  <c r="S257" i="6" s="1"/>
  <c r="U257" i="6" s="1"/>
  <c r="V257" i="6" s="1"/>
  <c r="W257" i="6" s="1"/>
  <c r="X257" i="6" s="1"/>
  <c r="Q294" i="6"/>
  <c r="R294" i="6" s="1"/>
  <c r="P351" i="6"/>
  <c r="S351" i="6" s="1"/>
  <c r="U351" i="6" s="1"/>
  <c r="V351" i="6" s="1"/>
  <c r="W351" i="6" s="1"/>
  <c r="X351" i="6" s="1"/>
  <c r="Q386" i="6"/>
  <c r="R386" i="6" s="1"/>
  <c r="U171" i="6"/>
  <c r="V171" i="6" s="1"/>
  <c r="W171" i="6" s="1"/>
  <c r="X171" i="6" s="1"/>
  <c r="P188" i="6"/>
  <c r="S188" i="6" s="1"/>
  <c r="U188" i="6" s="1"/>
  <c r="V188" i="6" s="1"/>
  <c r="W188" i="6" s="1"/>
  <c r="X188" i="6" s="1"/>
  <c r="U211" i="6"/>
  <c r="V211" i="6" s="1"/>
  <c r="W211" i="6" s="1"/>
  <c r="X211" i="6" s="1"/>
  <c r="Q236" i="6"/>
  <c r="R236" i="6" s="1"/>
  <c r="P265" i="6"/>
  <c r="S265" i="6" s="1"/>
  <c r="U265" i="6" s="1"/>
  <c r="V265" i="6" s="1"/>
  <c r="W265" i="6" s="1"/>
  <c r="X265" i="6" s="1"/>
  <c r="P369" i="6"/>
  <c r="S369" i="6" s="1"/>
  <c r="U369" i="6" s="1"/>
  <c r="V369" i="6" s="1"/>
  <c r="W369" i="6" s="1"/>
  <c r="X369" i="6" s="1"/>
  <c r="U404" i="6"/>
  <c r="V404" i="6" s="1"/>
  <c r="W404" i="6" s="1"/>
  <c r="X404" i="6" s="1"/>
  <c r="Q99" i="6"/>
  <c r="R99" i="6" s="1"/>
  <c r="Q181" i="6"/>
  <c r="R181" i="6" s="1"/>
  <c r="P248" i="6"/>
  <c r="S248" i="6" s="1"/>
  <c r="U248" i="6" s="1"/>
  <c r="V248" i="6" s="1"/>
  <c r="W248" i="6" s="1"/>
  <c r="X248" i="6" s="1"/>
  <c r="Q334" i="6"/>
  <c r="R334" i="6" s="1"/>
  <c r="Q148" i="6"/>
  <c r="R148" i="6" s="1"/>
  <c r="P235" i="6"/>
  <c r="S235" i="6" s="1"/>
  <c r="U235" i="6" s="1"/>
  <c r="V235" i="6" s="1"/>
  <c r="W235" i="6" s="1"/>
  <c r="X235" i="6" s="1"/>
  <c r="U42" i="6"/>
  <c r="V42" i="6" s="1"/>
  <c r="W42" i="6" s="1"/>
  <c r="X42" i="6" s="1"/>
  <c r="U46" i="6"/>
  <c r="V46" i="6" s="1"/>
  <c r="W46" i="6" s="1"/>
  <c r="X46" i="6" s="1"/>
  <c r="Q206" i="6"/>
  <c r="R206" i="6" s="1"/>
  <c r="Q311" i="6"/>
  <c r="R311" i="6" s="1"/>
  <c r="U319" i="6"/>
  <c r="V319" i="6" s="1"/>
  <c r="W319" i="6" s="1"/>
  <c r="X319" i="6" s="1"/>
  <c r="P9" i="6"/>
  <c r="S9" i="6" s="1"/>
  <c r="U9" i="6" s="1"/>
  <c r="V9" i="6" s="1"/>
  <c r="W9" i="6" s="1"/>
  <c r="X9" i="6" s="1"/>
  <c r="Q191" i="6"/>
  <c r="R191" i="6" s="1"/>
  <c r="P232" i="6"/>
  <c r="S232" i="6" s="1"/>
  <c r="U232" i="6" s="1"/>
  <c r="V232" i="6" s="1"/>
  <c r="W232" i="6" s="1"/>
  <c r="X232" i="6" s="1"/>
  <c r="U191" i="6"/>
  <c r="V191" i="6" s="1"/>
  <c r="W191" i="6" s="1"/>
  <c r="X191" i="6" s="1"/>
  <c r="P204" i="6"/>
  <c r="S204" i="6" s="1"/>
  <c r="U204" i="6" s="1"/>
  <c r="V204" i="6" s="1"/>
  <c r="W204" i="6" s="1"/>
  <c r="X204" i="6" s="1"/>
  <c r="P217" i="6"/>
  <c r="S217" i="6" s="1"/>
  <c r="U217" i="6" s="1"/>
  <c r="V217" i="6" s="1"/>
  <c r="W217" i="6" s="1"/>
  <c r="X217" i="6" s="1"/>
  <c r="Q261" i="6"/>
  <c r="R261" i="6" s="1"/>
  <c r="P278" i="6"/>
  <c r="S278" i="6" s="1"/>
  <c r="U278" i="6" s="1"/>
  <c r="V278" i="6" s="1"/>
  <c r="W278" i="6" s="1"/>
  <c r="X278" i="6" s="1"/>
  <c r="P301" i="6"/>
  <c r="S301" i="6" s="1"/>
  <c r="U301" i="6" s="1"/>
  <c r="V301" i="6" s="1"/>
  <c r="W301" i="6" s="1"/>
  <c r="X301" i="6" s="1"/>
  <c r="Q343" i="6"/>
  <c r="R343" i="6" s="1"/>
  <c r="Q360" i="6"/>
  <c r="R360" i="6" s="1"/>
  <c r="P390" i="6"/>
  <c r="S390" i="6" s="1"/>
  <c r="U390" i="6" s="1"/>
  <c r="V390" i="6" s="1"/>
  <c r="W390" i="6" s="1"/>
  <c r="X390" i="6" s="1"/>
  <c r="P75" i="6"/>
  <c r="S75" i="6" s="1"/>
  <c r="U75" i="6" s="1"/>
  <c r="V75" i="6" s="1"/>
  <c r="W75" i="6" s="1"/>
  <c r="X75" i="6" s="1"/>
  <c r="Q122" i="6"/>
  <c r="R122" i="6" s="1"/>
  <c r="P152" i="6"/>
  <c r="S152" i="6" s="1"/>
  <c r="U152" i="6" s="1"/>
  <c r="V152" i="6" s="1"/>
  <c r="W152" i="6" s="1"/>
  <c r="X152" i="6" s="1"/>
  <c r="P169" i="6"/>
  <c r="S169" i="6" s="1"/>
  <c r="U169" i="6" s="1"/>
  <c r="V169" i="6" s="1"/>
  <c r="W169" i="6" s="1"/>
  <c r="X169" i="6" s="1"/>
  <c r="Q21" i="6"/>
  <c r="R21" i="6" s="1"/>
  <c r="P83" i="6"/>
  <c r="S83" i="6" s="1"/>
  <c r="U83" i="6" s="1"/>
  <c r="V83" i="6" s="1"/>
  <c r="W83" i="6" s="1"/>
  <c r="X83" i="6" s="1"/>
  <c r="P135" i="6"/>
  <c r="S135" i="6" s="1"/>
  <c r="U135" i="6" s="1"/>
  <c r="V135" i="6" s="1"/>
  <c r="W135" i="6" s="1"/>
  <c r="X135" i="6" s="1"/>
  <c r="Q156" i="6"/>
  <c r="R156" i="6" s="1"/>
  <c r="U54" i="6"/>
  <c r="V54" i="6" s="1"/>
  <c r="W54" i="6" s="1"/>
  <c r="X54" i="6" s="1"/>
  <c r="U62" i="6"/>
  <c r="V62" i="6" s="1"/>
  <c r="W62" i="6" s="1"/>
  <c r="X62" i="6" s="1"/>
  <c r="Q91" i="6"/>
  <c r="R91" i="6" s="1"/>
  <c r="U139" i="6"/>
  <c r="V139" i="6" s="1"/>
  <c r="W139" i="6" s="1"/>
  <c r="X139" i="6" s="1"/>
  <c r="U162" i="6"/>
  <c r="V162" i="6" s="1"/>
  <c r="W162" i="6" s="1"/>
  <c r="X162" i="6" s="1"/>
  <c r="P173" i="6"/>
  <c r="S173" i="6" s="1"/>
  <c r="U173" i="6" s="1"/>
  <c r="V173" i="6" s="1"/>
  <c r="W173" i="6" s="1"/>
  <c r="X173" i="6" s="1"/>
  <c r="P210" i="6"/>
  <c r="S210" i="6" s="1"/>
  <c r="U210" i="6" s="1"/>
  <c r="V210" i="6" s="1"/>
  <c r="W210" i="6" s="1"/>
  <c r="X210" i="6" s="1"/>
  <c r="Q256" i="6"/>
  <c r="R256" i="6" s="1"/>
  <c r="U294" i="6"/>
  <c r="V294" i="6" s="1"/>
  <c r="W294" i="6" s="1"/>
  <c r="X294" i="6" s="1"/>
  <c r="U315" i="6"/>
  <c r="V315" i="6" s="1"/>
  <c r="W315" i="6" s="1"/>
  <c r="X315" i="6" s="1"/>
  <c r="Q330" i="6"/>
  <c r="R330" i="6" s="1"/>
  <c r="P357" i="6"/>
  <c r="S357" i="6" s="1"/>
  <c r="U357" i="6" s="1"/>
  <c r="V357" i="6" s="1"/>
  <c r="W357" i="6" s="1"/>
  <c r="X357" i="6" s="1"/>
  <c r="P362" i="6"/>
  <c r="S362" i="6" s="1"/>
  <c r="U362" i="6" s="1"/>
  <c r="V362" i="6" s="1"/>
  <c r="W362" i="6" s="1"/>
  <c r="X362" i="6" s="1"/>
  <c r="Q404" i="6"/>
  <c r="R404" i="6" s="1"/>
  <c r="U70" i="6"/>
  <c r="V70" i="6" s="1"/>
  <c r="W70" i="6" s="1"/>
  <c r="X70" i="6" s="1"/>
  <c r="P172" i="6"/>
  <c r="S172" i="6" s="1"/>
  <c r="U172" i="6" s="1"/>
  <c r="V172" i="6" s="1"/>
  <c r="W172" i="6" s="1"/>
  <c r="X172" i="6" s="1"/>
  <c r="Q220" i="6"/>
  <c r="R220" i="6" s="1"/>
  <c r="P255" i="6"/>
  <c r="S255" i="6" s="1"/>
  <c r="U255" i="6" s="1"/>
  <c r="V255" i="6" s="1"/>
  <c r="W255" i="6" s="1"/>
  <c r="X255" i="6" s="1"/>
  <c r="U266" i="6"/>
  <c r="V266" i="6" s="1"/>
  <c r="W266" i="6" s="1"/>
  <c r="X266" i="6" s="1"/>
  <c r="U283" i="6"/>
  <c r="V283" i="6" s="1"/>
  <c r="W283" i="6" s="1"/>
  <c r="X283" i="6" s="1"/>
  <c r="Q319" i="6"/>
  <c r="R319" i="6" s="1"/>
  <c r="P361" i="6"/>
  <c r="S361" i="6" s="1"/>
  <c r="U361" i="6" s="1"/>
  <c r="V361" i="6" s="1"/>
  <c r="W361" i="6" s="1"/>
  <c r="X361" i="6" s="1"/>
  <c r="Q12" i="6"/>
  <c r="R12" i="6" s="1"/>
  <c r="P51" i="6"/>
  <c r="S51" i="6" s="1"/>
  <c r="U51" i="6" s="1"/>
  <c r="V51" i="6" s="1"/>
  <c r="W51" i="6" s="1"/>
  <c r="X51" i="6" s="1"/>
  <c r="Q136" i="6"/>
  <c r="R136" i="6" s="1"/>
  <c r="Q161" i="6"/>
  <c r="R161" i="6" s="1"/>
  <c r="P185" i="6"/>
  <c r="S185" i="6" s="1"/>
  <c r="U185" i="6" s="1"/>
  <c r="V185" i="6" s="1"/>
  <c r="W185" i="6" s="1"/>
  <c r="X185" i="6" s="1"/>
  <c r="P226" i="6"/>
  <c r="S226" i="6" s="1"/>
  <c r="U226" i="6" s="1"/>
  <c r="V226" i="6" s="1"/>
  <c r="W226" i="6" s="1"/>
  <c r="X226" i="6" s="1"/>
  <c r="Q241" i="6"/>
  <c r="R241" i="6" s="1"/>
  <c r="Q266" i="6"/>
  <c r="R266" i="6" s="1"/>
  <c r="Q283" i="6"/>
  <c r="R283" i="6" s="1"/>
  <c r="U287" i="6"/>
  <c r="V287" i="6" s="1"/>
  <c r="W287" i="6" s="1"/>
  <c r="X287" i="6" s="1"/>
  <c r="P314" i="6"/>
  <c r="S314" i="6" s="1"/>
  <c r="U314" i="6" s="1"/>
  <c r="V314" i="6" s="1"/>
  <c r="W314" i="6" s="1"/>
  <c r="X314" i="6" s="1"/>
  <c r="U327" i="6"/>
  <c r="V327" i="6" s="1"/>
  <c r="W327" i="6" s="1"/>
  <c r="X327" i="6" s="1"/>
  <c r="P119" i="6"/>
  <c r="S119" i="6" s="1"/>
  <c r="U119" i="6" s="1"/>
  <c r="V119" i="6" s="1"/>
  <c r="W119" i="6" s="1"/>
  <c r="X119" i="6" s="1"/>
  <c r="Q143" i="6"/>
  <c r="R143" i="6" s="1"/>
  <c r="Q180" i="6"/>
  <c r="R180" i="6" s="1"/>
  <c r="Q196" i="6"/>
  <c r="R196" i="6" s="1"/>
  <c r="P205" i="6"/>
  <c r="S205" i="6" s="1"/>
  <c r="U205" i="6" s="1"/>
  <c r="V205" i="6" s="1"/>
  <c r="W205" i="6" s="1"/>
  <c r="X205" i="6" s="1"/>
  <c r="P216" i="6"/>
  <c r="S216" i="6" s="1"/>
  <c r="U216" i="6" s="1"/>
  <c r="V216" i="6" s="1"/>
  <c r="W216" i="6" s="1"/>
  <c r="X216" i="6" s="1"/>
  <c r="P221" i="6"/>
  <c r="S221" i="6" s="1"/>
  <c r="U221" i="6" s="1"/>
  <c r="V221" i="6" s="1"/>
  <c r="W221" i="6" s="1"/>
  <c r="X221" i="6" s="1"/>
  <c r="P250" i="6"/>
  <c r="S250" i="6" s="1"/>
  <c r="U250" i="6" s="1"/>
  <c r="V250" i="6" s="1"/>
  <c r="W250" i="6" s="1"/>
  <c r="X250" i="6" s="1"/>
  <c r="Q267" i="6"/>
  <c r="R267" i="6" s="1"/>
  <c r="Q307" i="6"/>
  <c r="R307" i="6" s="1"/>
  <c r="P355" i="6"/>
  <c r="S355" i="6" s="1"/>
  <c r="U355" i="6" s="1"/>
  <c r="V355" i="6" s="1"/>
  <c r="W355" i="6" s="1"/>
  <c r="X355" i="6" s="1"/>
  <c r="P358" i="6"/>
  <c r="S358" i="6" s="1"/>
  <c r="U358" i="6" s="1"/>
  <c r="V358" i="6" s="1"/>
  <c r="W358" i="6" s="1"/>
  <c r="X358" i="6" s="1"/>
  <c r="P365" i="6"/>
  <c r="S365" i="6" s="1"/>
  <c r="U365" i="6" s="1"/>
  <c r="V365" i="6" s="1"/>
  <c r="W365" i="6" s="1"/>
  <c r="X365" i="6" s="1"/>
  <c r="P384" i="6"/>
  <c r="S384" i="6" s="1"/>
  <c r="U384" i="6" s="1"/>
  <c r="V384" i="6" s="1"/>
  <c r="W384" i="6" s="1"/>
  <c r="X384" i="6" s="1"/>
  <c r="P59" i="6"/>
  <c r="S59" i="6" s="1"/>
  <c r="U59" i="6" s="1"/>
  <c r="V59" i="6" s="1"/>
  <c r="W59" i="6" s="1"/>
  <c r="X59" i="6" s="1"/>
  <c r="P175" i="6"/>
  <c r="S175" i="6" s="1"/>
  <c r="U175" i="6" s="1"/>
  <c r="V175" i="6" s="1"/>
  <c r="W175" i="6" s="1"/>
  <c r="X175" i="6" s="1"/>
  <c r="P223" i="6"/>
  <c r="S223" i="6" s="1"/>
  <c r="U223" i="6" s="1"/>
  <c r="V223" i="6" s="1"/>
  <c r="W223" i="6" s="1"/>
  <c r="X223" i="6" s="1"/>
  <c r="Q186" i="6"/>
  <c r="R186" i="6" s="1"/>
  <c r="P227" i="6"/>
  <c r="S227" i="6" s="1"/>
  <c r="U227" i="6" s="1"/>
  <c r="V227" i="6" s="1"/>
  <c r="W227" i="6" s="1"/>
  <c r="X227" i="6" s="1"/>
  <c r="P240" i="6"/>
  <c r="S240" i="6" s="1"/>
  <c r="U240" i="6" s="1"/>
  <c r="V240" i="6" s="1"/>
  <c r="W240" i="6" s="1"/>
  <c r="X240" i="6" s="1"/>
  <c r="P326" i="6"/>
  <c r="S326" i="6" s="1"/>
  <c r="U326" i="6" s="1"/>
  <c r="V326" i="6" s="1"/>
  <c r="W326" i="6" s="1"/>
  <c r="X326" i="6" s="1"/>
  <c r="P341" i="6"/>
  <c r="S341" i="6" s="1"/>
  <c r="U341" i="6" s="1"/>
  <c r="V341" i="6" s="1"/>
  <c r="W341" i="6" s="1"/>
  <c r="X341" i="6" s="1"/>
  <c r="P400" i="6"/>
  <c r="S400" i="6" s="1"/>
  <c r="U400" i="6" s="1"/>
  <c r="V400" i="6" s="1"/>
  <c r="W400" i="6" s="1"/>
  <c r="X400" i="6" s="1"/>
  <c r="P310" i="6"/>
  <c r="S310" i="6" s="1"/>
  <c r="U310" i="6" s="1"/>
  <c r="V310" i="6" s="1"/>
  <c r="W310" i="6" s="1"/>
  <c r="X310" i="6" s="1"/>
  <c r="U193" i="6"/>
  <c r="V193" i="6" s="1"/>
  <c r="W193" i="6" s="1"/>
  <c r="X193" i="6" s="1"/>
  <c r="U306" i="6"/>
  <c r="V306" i="6" s="1"/>
  <c r="W306" i="6" s="1"/>
  <c r="X306" i="6" s="1"/>
  <c r="U322" i="6"/>
  <c r="V322" i="6" s="1"/>
  <c r="W322" i="6" s="1"/>
  <c r="X322" i="6" s="1"/>
  <c r="U233" i="6"/>
  <c r="V233" i="6" s="1"/>
  <c r="W233" i="6" s="1"/>
  <c r="X233" i="6" s="1"/>
  <c r="U291" i="6"/>
  <c r="V291" i="6" s="1"/>
  <c r="W291" i="6" s="1"/>
  <c r="X291" i="6" s="1"/>
  <c r="U347" i="6"/>
  <c r="V347" i="6" s="1"/>
  <c r="W347" i="6" s="1"/>
  <c r="X347" i="6" s="1"/>
  <c r="U115" i="6"/>
  <c r="V115" i="6" s="1"/>
  <c r="W115" i="6" s="1"/>
  <c r="X115" i="6" s="1"/>
  <c r="U47" i="6"/>
  <c r="V47" i="6" s="1"/>
  <c r="W47" i="6" s="1"/>
  <c r="X47" i="6" s="1"/>
  <c r="U55" i="6"/>
  <c r="V55" i="6" s="1"/>
  <c r="W55" i="6" s="1"/>
  <c r="X55" i="6" s="1"/>
  <c r="U86" i="6"/>
  <c r="V86" i="6" s="1"/>
  <c r="W86" i="6" s="1"/>
  <c r="X86" i="6" s="1"/>
  <c r="U124" i="6"/>
  <c r="V124" i="6" s="1"/>
  <c r="W124" i="6" s="1"/>
  <c r="X124" i="6" s="1"/>
  <c r="U275" i="6"/>
  <c r="V275" i="6" s="1"/>
  <c r="W275" i="6" s="1"/>
  <c r="X275" i="6" s="1"/>
  <c r="U338" i="6"/>
  <c r="V338" i="6" s="1"/>
  <c r="W338" i="6" s="1"/>
  <c r="X338" i="6" s="1"/>
  <c r="U343" i="6"/>
  <c r="V343" i="6" s="1"/>
  <c r="W343" i="6" s="1"/>
  <c r="X343" i="6" s="1"/>
  <c r="M2" i="6"/>
  <c r="K2" i="6" s="1"/>
  <c r="P25" i="6"/>
  <c r="S25" i="6" s="1"/>
  <c r="U25" i="6" s="1"/>
  <c r="V25" i="6" s="1"/>
  <c r="W25" i="6" s="1"/>
  <c r="X25" i="6" s="1"/>
  <c r="Q47" i="6"/>
  <c r="R47" i="6" s="1"/>
  <c r="U66" i="6"/>
  <c r="V66" i="6" s="1"/>
  <c r="W66" i="6" s="1"/>
  <c r="X66" i="6" s="1"/>
  <c r="Q79" i="6"/>
  <c r="R79" i="6" s="1"/>
  <c r="P94" i="6"/>
  <c r="S94" i="6" s="1"/>
  <c r="U94" i="6" s="1"/>
  <c r="V94" i="6" s="1"/>
  <c r="W94" i="6" s="1"/>
  <c r="X94" i="6" s="1"/>
  <c r="P103" i="6"/>
  <c r="S103" i="6" s="1"/>
  <c r="U103" i="6" s="1"/>
  <c r="V103" i="6" s="1"/>
  <c r="W103" i="6" s="1"/>
  <c r="X103" i="6" s="1"/>
  <c r="P114" i="6"/>
  <c r="S114" i="6" s="1"/>
  <c r="U114" i="6" s="1"/>
  <c r="V114" i="6" s="1"/>
  <c r="W114" i="6" s="1"/>
  <c r="X114" i="6" s="1"/>
  <c r="U155" i="6"/>
  <c r="V155" i="6" s="1"/>
  <c r="W155" i="6" s="1"/>
  <c r="X155" i="6" s="1"/>
  <c r="Q162" i="6"/>
  <c r="R162" i="6" s="1"/>
  <c r="P195" i="6"/>
  <c r="S195" i="6" s="1"/>
  <c r="U195" i="6" s="1"/>
  <c r="V195" i="6" s="1"/>
  <c r="W195" i="6" s="1"/>
  <c r="X195" i="6" s="1"/>
  <c r="Q225" i="6"/>
  <c r="R225" i="6" s="1"/>
  <c r="Q230" i="6"/>
  <c r="R230" i="6" s="1"/>
  <c r="P242" i="6"/>
  <c r="S242" i="6" s="1"/>
  <c r="U242" i="6" s="1"/>
  <c r="V242" i="6" s="1"/>
  <c r="W242" i="6" s="1"/>
  <c r="X242" i="6" s="1"/>
  <c r="U249" i="6"/>
  <c r="V249" i="6" s="1"/>
  <c r="W249" i="6" s="1"/>
  <c r="X249" i="6" s="1"/>
  <c r="Q252" i="6"/>
  <c r="R252" i="6" s="1"/>
  <c r="P263" i="6"/>
  <c r="S263" i="6" s="1"/>
  <c r="U263" i="6" s="1"/>
  <c r="V263" i="6" s="1"/>
  <c r="W263" i="6" s="1"/>
  <c r="X263" i="6" s="1"/>
  <c r="Q275" i="6"/>
  <c r="R275" i="6" s="1"/>
  <c r="P293" i="6"/>
  <c r="S293" i="6" s="1"/>
  <c r="U293" i="6" s="1"/>
  <c r="V293" i="6" s="1"/>
  <c r="W293" i="6" s="1"/>
  <c r="X293" i="6" s="1"/>
  <c r="Q338" i="6"/>
  <c r="R338" i="6" s="1"/>
  <c r="P381" i="6"/>
  <c r="S381" i="6" s="1"/>
  <c r="U381" i="6" s="1"/>
  <c r="V381" i="6" s="1"/>
  <c r="W381" i="6" s="1"/>
  <c r="X381" i="6" s="1"/>
  <c r="P397" i="6"/>
  <c r="S397" i="6" s="1"/>
  <c r="U397" i="6" s="1"/>
  <c r="V397" i="6" s="1"/>
  <c r="W397" i="6" s="1"/>
  <c r="X397" i="6" s="1"/>
  <c r="P411" i="6"/>
  <c r="S411" i="6" s="1"/>
  <c r="U411" i="6" s="1"/>
  <c r="V411" i="6" s="1"/>
  <c r="W411" i="6" s="1"/>
  <c r="X411" i="6" s="1"/>
  <c r="U413" i="6"/>
  <c r="V413" i="6" s="1"/>
  <c r="W413" i="6" s="1"/>
  <c r="X413" i="6" s="1"/>
  <c r="Q29" i="6"/>
  <c r="R29" i="6" s="1"/>
  <c r="Q55" i="6"/>
  <c r="R55" i="6" s="1"/>
  <c r="U74" i="6"/>
  <c r="V74" i="6" s="1"/>
  <c r="W74" i="6" s="1"/>
  <c r="X74" i="6" s="1"/>
  <c r="Q87" i="6"/>
  <c r="R87" i="6" s="1"/>
  <c r="Q118" i="6"/>
  <c r="R118" i="6" s="1"/>
  <c r="P128" i="6"/>
  <c r="S128" i="6" s="1"/>
  <c r="U128" i="6" s="1"/>
  <c r="V128" i="6" s="1"/>
  <c r="W128" i="6" s="1"/>
  <c r="X128" i="6" s="1"/>
  <c r="U148" i="6"/>
  <c r="V148" i="6" s="1"/>
  <c r="W148" i="6" s="1"/>
  <c r="X148" i="6" s="1"/>
  <c r="Q159" i="6"/>
  <c r="R159" i="6" s="1"/>
  <c r="U161" i="6"/>
  <c r="V161" i="6" s="1"/>
  <c r="W161" i="6" s="1"/>
  <c r="X161" i="6" s="1"/>
  <c r="Q171" i="6"/>
  <c r="R171" i="6" s="1"/>
  <c r="P174" i="6"/>
  <c r="S174" i="6" s="1"/>
  <c r="U174" i="6" s="1"/>
  <c r="V174" i="6" s="1"/>
  <c r="W174" i="6" s="1"/>
  <c r="X174" i="6" s="1"/>
  <c r="P179" i="6"/>
  <c r="S179" i="6" s="1"/>
  <c r="U179" i="6" s="1"/>
  <c r="V179" i="6" s="1"/>
  <c r="W179" i="6" s="1"/>
  <c r="X179" i="6" s="1"/>
  <c r="P189" i="6"/>
  <c r="S189" i="6" s="1"/>
  <c r="U189" i="6" s="1"/>
  <c r="V189" i="6" s="1"/>
  <c r="W189" i="6" s="1"/>
  <c r="X189" i="6" s="1"/>
  <c r="P194" i="6"/>
  <c r="S194" i="6" s="1"/>
  <c r="U194" i="6" s="1"/>
  <c r="V194" i="6" s="1"/>
  <c r="W194" i="6" s="1"/>
  <c r="X194" i="6" s="1"/>
  <c r="P207" i="6"/>
  <c r="S207" i="6" s="1"/>
  <c r="U207" i="6" s="1"/>
  <c r="V207" i="6" s="1"/>
  <c r="W207" i="6" s="1"/>
  <c r="X207" i="6" s="1"/>
  <c r="P222" i="6"/>
  <c r="S222" i="6" s="1"/>
  <c r="U222" i="6" s="1"/>
  <c r="V222" i="6" s="1"/>
  <c r="W222" i="6" s="1"/>
  <c r="X222" i="6" s="1"/>
  <c r="P234" i="6"/>
  <c r="S234" i="6" s="1"/>
  <c r="U234" i="6" s="1"/>
  <c r="V234" i="6" s="1"/>
  <c r="W234" i="6" s="1"/>
  <c r="X234" i="6" s="1"/>
  <c r="U241" i="6"/>
  <c r="V241" i="6" s="1"/>
  <c r="W241" i="6" s="1"/>
  <c r="X241" i="6" s="1"/>
  <c r="P251" i="6"/>
  <c r="S251" i="6" s="1"/>
  <c r="U251" i="6" s="1"/>
  <c r="V251" i="6" s="1"/>
  <c r="W251" i="6" s="1"/>
  <c r="X251" i="6" s="1"/>
  <c r="P258" i="6"/>
  <c r="S258" i="6" s="1"/>
  <c r="U258" i="6" s="1"/>
  <c r="V258" i="6" s="1"/>
  <c r="W258" i="6" s="1"/>
  <c r="X258" i="6" s="1"/>
  <c r="Q279" i="6"/>
  <c r="R279" i="6" s="1"/>
  <c r="P290" i="6"/>
  <c r="S290" i="6" s="1"/>
  <c r="U290" i="6" s="1"/>
  <c r="V290" i="6" s="1"/>
  <c r="W290" i="6" s="1"/>
  <c r="X290" i="6" s="1"/>
  <c r="U299" i="6"/>
  <c r="V299" i="6" s="1"/>
  <c r="W299" i="6" s="1"/>
  <c r="X299" i="6" s="1"/>
  <c r="Q315" i="6"/>
  <c r="R315" i="6" s="1"/>
  <c r="Q322" i="6"/>
  <c r="R322" i="6" s="1"/>
  <c r="U331" i="6"/>
  <c r="V331" i="6" s="1"/>
  <c r="W331" i="6" s="1"/>
  <c r="X331" i="6" s="1"/>
  <c r="U342" i="6"/>
  <c r="V342" i="6" s="1"/>
  <c r="W342" i="6" s="1"/>
  <c r="X342" i="6" s="1"/>
  <c r="P349" i="6"/>
  <c r="S349" i="6" s="1"/>
  <c r="U349" i="6" s="1"/>
  <c r="V349" i="6" s="1"/>
  <c r="W349" i="6" s="1"/>
  <c r="X349" i="6" s="1"/>
  <c r="P378" i="6"/>
  <c r="S378" i="6" s="1"/>
  <c r="U378" i="6" s="1"/>
  <c r="V378" i="6" s="1"/>
  <c r="W378" i="6" s="1"/>
  <c r="X378" i="6" s="1"/>
  <c r="P394" i="6"/>
  <c r="S394" i="6" s="1"/>
  <c r="U394" i="6" s="1"/>
  <c r="V394" i="6" s="1"/>
  <c r="W394" i="6" s="1"/>
  <c r="X394" i="6" s="1"/>
  <c r="P408" i="6"/>
  <c r="S408" i="6" s="1"/>
  <c r="U408" i="6" s="1"/>
  <c r="V408" i="6" s="1"/>
  <c r="W408" i="6" s="1"/>
  <c r="X408" i="6" s="1"/>
  <c r="U63" i="6"/>
  <c r="V63" i="6" s="1"/>
  <c r="W63" i="6" s="1"/>
  <c r="X63" i="6" s="1"/>
  <c r="U201" i="6"/>
  <c r="V201" i="6" s="1"/>
  <c r="W201" i="6" s="1"/>
  <c r="X201" i="6" s="1"/>
  <c r="U274" i="6"/>
  <c r="V274" i="6" s="1"/>
  <c r="W274" i="6" s="1"/>
  <c r="X274" i="6" s="1"/>
  <c r="U303" i="6"/>
  <c r="V303" i="6" s="1"/>
  <c r="W303" i="6" s="1"/>
  <c r="X303" i="6" s="1"/>
  <c r="U307" i="6"/>
  <c r="V307" i="6" s="1"/>
  <c r="W307" i="6" s="1"/>
  <c r="X307" i="6" s="1"/>
  <c r="U335" i="6"/>
  <c r="V335" i="6" s="1"/>
  <c r="W335" i="6" s="1"/>
  <c r="X335" i="6" s="1"/>
  <c r="U50" i="6"/>
  <c r="V50" i="6" s="1"/>
  <c r="W50" i="6" s="1"/>
  <c r="X50" i="6" s="1"/>
  <c r="Q63" i="6"/>
  <c r="R63" i="6" s="1"/>
  <c r="U82" i="6"/>
  <c r="V82" i="6" s="1"/>
  <c r="W82" i="6" s="1"/>
  <c r="X82" i="6" s="1"/>
  <c r="Q132" i="6"/>
  <c r="R132" i="6" s="1"/>
  <c r="P168" i="6"/>
  <c r="S168" i="6" s="1"/>
  <c r="U168" i="6" s="1"/>
  <c r="V168" i="6" s="1"/>
  <c r="W168" i="6" s="1"/>
  <c r="X168" i="6" s="1"/>
  <c r="Q176" i="6"/>
  <c r="R176" i="6" s="1"/>
  <c r="U183" i="6"/>
  <c r="V183" i="6" s="1"/>
  <c r="W183" i="6" s="1"/>
  <c r="X183" i="6" s="1"/>
  <c r="U203" i="6"/>
  <c r="V203" i="6" s="1"/>
  <c r="W203" i="6" s="1"/>
  <c r="X203" i="6" s="1"/>
  <c r="U264" i="6"/>
  <c r="V264" i="6" s="1"/>
  <c r="W264" i="6" s="1"/>
  <c r="X264" i="6" s="1"/>
  <c r="U339" i="6"/>
  <c r="V339" i="6" s="1"/>
  <c r="W339" i="6" s="1"/>
  <c r="X339" i="6" s="1"/>
  <c r="U382" i="6"/>
  <c r="V382" i="6" s="1"/>
  <c r="W382" i="6" s="1"/>
  <c r="X382" i="6" s="1"/>
  <c r="U17" i="6"/>
  <c r="V17" i="6" s="1"/>
  <c r="W17" i="6" s="1"/>
  <c r="X17" i="6" s="1"/>
  <c r="U71" i="6"/>
  <c r="V71" i="6" s="1"/>
  <c r="W71" i="6" s="1"/>
  <c r="X71" i="6" s="1"/>
  <c r="U95" i="6"/>
  <c r="V95" i="6" s="1"/>
  <c r="W95" i="6" s="1"/>
  <c r="X95" i="6" s="1"/>
  <c r="U215" i="6"/>
  <c r="V215" i="6" s="1"/>
  <c r="W215" i="6" s="1"/>
  <c r="X215" i="6" s="1"/>
  <c r="U298" i="6"/>
  <c r="V298" i="6" s="1"/>
  <c r="W298" i="6" s="1"/>
  <c r="X298" i="6" s="1"/>
  <c r="Q17" i="6"/>
  <c r="R17" i="6" s="1"/>
  <c r="U21" i="6"/>
  <c r="V21" i="6" s="1"/>
  <c r="W21" i="6" s="1"/>
  <c r="X21" i="6" s="1"/>
  <c r="P39" i="6"/>
  <c r="S39" i="6" s="1"/>
  <c r="U39" i="6" s="1"/>
  <c r="V39" i="6" s="1"/>
  <c r="W39" i="6" s="1"/>
  <c r="X39" i="6" s="1"/>
  <c r="U58" i="6"/>
  <c r="V58" i="6" s="1"/>
  <c r="W58" i="6" s="1"/>
  <c r="X58" i="6" s="1"/>
  <c r="Q71" i="6"/>
  <c r="R71" i="6" s="1"/>
  <c r="U90" i="6"/>
  <c r="V90" i="6" s="1"/>
  <c r="W90" i="6" s="1"/>
  <c r="X90" i="6" s="1"/>
  <c r="Q95" i="6"/>
  <c r="R95" i="6" s="1"/>
  <c r="P106" i="6"/>
  <c r="S106" i="6" s="1"/>
  <c r="U106" i="6" s="1"/>
  <c r="V106" i="6" s="1"/>
  <c r="W106" i="6" s="1"/>
  <c r="X106" i="6" s="1"/>
  <c r="U136" i="6"/>
  <c r="V136" i="6" s="1"/>
  <c r="W136" i="6" s="1"/>
  <c r="X136" i="6" s="1"/>
  <c r="U147" i="6"/>
  <c r="V147" i="6" s="1"/>
  <c r="W147" i="6" s="1"/>
  <c r="X147" i="6" s="1"/>
  <c r="P200" i="6"/>
  <c r="S200" i="6" s="1"/>
  <c r="U200" i="6" s="1"/>
  <c r="V200" i="6" s="1"/>
  <c r="W200" i="6" s="1"/>
  <c r="X200" i="6" s="1"/>
  <c r="U206" i="6"/>
  <c r="V206" i="6" s="1"/>
  <c r="W206" i="6" s="1"/>
  <c r="X206" i="6" s="1"/>
  <c r="Q215" i="6"/>
  <c r="R215" i="6" s="1"/>
  <c r="P243" i="6"/>
  <c r="S243" i="6" s="1"/>
  <c r="U243" i="6" s="1"/>
  <c r="V243" i="6" s="1"/>
  <c r="W243" i="6" s="1"/>
  <c r="X243" i="6" s="1"/>
  <c r="U256" i="6"/>
  <c r="V256" i="6" s="1"/>
  <c r="W256" i="6" s="1"/>
  <c r="X256" i="6" s="1"/>
  <c r="Q298" i="6"/>
  <c r="R298" i="6" s="1"/>
  <c r="U311" i="6"/>
  <c r="V311" i="6" s="1"/>
  <c r="W311" i="6" s="1"/>
  <c r="X311" i="6" s="1"/>
  <c r="U323" i="6"/>
  <c r="V323" i="6" s="1"/>
  <c r="W323" i="6" s="1"/>
  <c r="X323" i="6" s="1"/>
  <c r="U350" i="6"/>
  <c r="V350" i="6" s="1"/>
  <c r="W350" i="6" s="1"/>
  <c r="X350" i="6" s="1"/>
  <c r="U360" i="6"/>
  <c r="V360" i="6" s="1"/>
  <c r="W360" i="6" s="1"/>
  <c r="X360" i="6" s="1"/>
  <c r="P19" i="6"/>
  <c r="S19" i="6" s="1"/>
  <c r="U19" i="6" s="1"/>
  <c r="V19" i="6" s="1"/>
  <c r="W19" i="6" s="1"/>
  <c r="X19" i="6" s="1"/>
  <c r="P27" i="6"/>
  <c r="S27" i="6" s="1"/>
  <c r="U27" i="6" s="1"/>
  <c r="V27" i="6" s="1"/>
  <c r="W27" i="6" s="1"/>
  <c r="X27" i="6" s="1"/>
  <c r="P35" i="6"/>
  <c r="S35" i="6" s="1"/>
  <c r="U35" i="6" s="1"/>
  <c r="V35" i="6" s="1"/>
  <c r="W35" i="6" s="1"/>
  <c r="X35" i="6" s="1"/>
  <c r="Q50" i="6"/>
  <c r="R50" i="6" s="1"/>
  <c r="Q58" i="6"/>
  <c r="R58" i="6" s="1"/>
  <c r="Q66" i="6"/>
  <c r="R66" i="6" s="1"/>
  <c r="Q74" i="6"/>
  <c r="R74" i="6" s="1"/>
  <c r="Q82" i="6"/>
  <c r="R82" i="6" s="1"/>
  <c r="Q90" i="6"/>
  <c r="R90" i="6" s="1"/>
  <c r="P98" i="6"/>
  <c r="S98" i="6" s="1"/>
  <c r="U98" i="6" s="1"/>
  <c r="V98" i="6" s="1"/>
  <c r="W98" i="6" s="1"/>
  <c r="X98" i="6" s="1"/>
  <c r="Q147" i="6"/>
  <c r="R147" i="6" s="1"/>
  <c r="P127" i="6"/>
  <c r="S127" i="6" s="1"/>
  <c r="U127" i="6" s="1"/>
  <c r="V127" i="6" s="1"/>
  <c r="W127" i="6" s="1"/>
  <c r="X127" i="6" s="1"/>
  <c r="U12" i="6"/>
  <c r="V12" i="6" s="1"/>
  <c r="W12" i="6" s="1"/>
  <c r="X12" i="6" s="1"/>
  <c r="Q42" i="6"/>
  <c r="R42" i="6" s="1"/>
  <c r="U132" i="6"/>
  <c r="V132" i="6" s="1"/>
  <c r="W132" i="6" s="1"/>
  <c r="X132" i="6" s="1"/>
  <c r="Q151" i="6"/>
  <c r="R151" i="6" s="1"/>
  <c r="Q170" i="6"/>
  <c r="R170" i="6" s="1"/>
  <c r="P7" i="6"/>
  <c r="S7" i="6" s="1"/>
  <c r="U7" i="6" s="1"/>
  <c r="V7" i="6" s="1"/>
  <c r="W7" i="6" s="1"/>
  <c r="X7" i="6" s="1"/>
  <c r="P15" i="6"/>
  <c r="S15" i="6" s="1"/>
  <c r="U15" i="6" s="1"/>
  <c r="V15" i="6" s="1"/>
  <c r="W15" i="6" s="1"/>
  <c r="X15" i="6" s="1"/>
  <c r="P23" i="6"/>
  <c r="S23" i="6" s="1"/>
  <c r="U23" i="6" s="1"/>
  <c r="V23" i="6" s="1"/>
  <c r="W23" i="6" s="1"/>
  <c r="X23" i="6" s="1"/>
  <c r="P31" i="6"/>
  <c r="S31" i="6" s="1"/>
  <c r="U31" i="6" s="1"/>
  <c r="V31" i="6" s="1"/>
  <c r="W31" i="6" s="1"/>
  <c r="X31" i="6" s="1"/>
  <c r="P102" i="6"/>
  <c r="S102" i="6" s="1"/>
  <c r="U102" i="6" s="1"/>
  <c r="V102" i="6" s="1"/>
  <c r="W102" i="6" s="1"/>
  <c r="X102" i="6" s="1"/>
  <c r="P110" i="6"/>
  <c r="S110" i="6" s="1"/>
  <c r="U110" i="6" s="1"/>
  <c r="V110" i="6" s="1"/>
  <c r="W110" i="6" s="1"/>
  <c r="X110" i="6" s="1"/>
  <c r="Q124" i="6"/>
  <c r="R124" i="6" s="1"/>
  <c r="Q139" i="6"/>
  <c r="R139" i="6" s="1"/>
  <c r="Q155" i="6"/>
  <c r="R155" i="6" s="1"/>
  <c r="P164" i="6"/>
  <c r="S164" i="6" s="1"/>
  <c r="U164" i="6" s="1"/>
  <c r="V164" i="6" s="1"/>
  <c r="W164" i="6" s="1"/>
  <c r="X164" i="6" s="1"/>
  <c r="Q164" i="6"/>
  <c r="R164" i="6" s="1"/>
  <c r="U11" i="6"/>
  <c r="V11" i="6" s="1"/>
  <c r="W11" i="6" s="1"/>
  <c r="X11" i="6" s="1"/>
  <c r="Q46" i="6"/>
  <c r="R46" i="6" s="1"/>
  <c r="Q54" i="6"/>
  <c r="R54" i="6" s="1"/>
  <c r="Q62" i="6"/>
  <c r="R62" i="6" s="1"/>
  <c r="Q70" i="6"/>
  <c r="R70" i="6" s="1"/>
  <c r="Q78" i="6"/>
  <c r="R78" i="6" s="1"/>
  <c r="Q86" i="6"/>
  <c r="R86" i="6" s="1"/>
  <c r="U91" i="6"/>
  <c r="V91" i="6" s="1"/>
  <c r="W91" i="6" s="1"/>
  <c r="X91" i="6" s="1"/>
  <c r="Q115" i="6"/>
  <c r="R115" i="6" s="1"/>
  <c r="P131" i="6"/>
  <c r="S131" i="6" s="1"/>
  <c r="U131" i="6" s="1"/>
  <c r="V131" i="6" s="1"/>
  <c r="W131" i="6" s="1"/>
  <c r="X131" i="6" s="1"/>
  <c r="Q11" i="6"/>
  <c r="R11" i="6" s="1"/>
  <c r="U33" i="6"/>
  <c r="V33" i="6" s="1"/>
  <c r="W33" i="6" s="1"/>
  <c r="X33" i="6" s="1"/>
  <c r="U99" i="6"/>
  <c r="V99" i="6" s="1"/>
  <c r="W99" i="6" s="1"/>
  <c r="X99" i="6" s="1"/>
  <c r="U122" i="6"/>
  <c r="V122" i="6" s="1"/>
  <c r="W122" i="6" s="1"/>
  <c r="X122" i="6" s="1"/>
  <c r="Q183" i="6"/>
  <c r="R183" i="6" s="1"/>
  <c r="Q193" i="6"/>
  <c r="R193" i="6" s="1"/>
  <c r="Q198" i="6"/>
  <c r="R198" i="6" s="1"/>
  <c r="Q203" i="6"/>
  <c r="R203" i="6" s="1"/>
  <c r="Q208" i="6"/>
  <c r="R208" i="6" s="1"/>
  <c r="Q213" i="6"/>
  <c r="R213" i="6" s="1"/>
  <c r="Q218" i="6"/>
  <c r="R218" i="6" s="1"/>
  <c r="Q228" i="6"/>
  <c r="R228" i="6" s="1"/>
  <c r="Q233" i="6"/>
  <c r="R233" i="6" s="1"/>
  <c r="Q238" i="6"/>
  <c r="R238" i="6" s="1"/>
  <c r="Q244" i="6"/>
  <c r="R244" i="6" s="1"/>
  <c r="Q249" i="6"/>
  <c r="R249" i="6" s="1"/>
  <c r="Q259" i="6"/>
  <c r="R259" i="6" s="1"/>
  <c r="Q264" i="6"/>
  <c r="R264" i="6" s="1"/>
  <c r="Q269" i="6"/>
  <c r="R269" i="6" s="1"/>
  <c r="Q274" i="6"/>
  <c r="R274" i="6" s="1"/>
  <c r="Q306" i="6"/>
  <c r="R306" i="6" s="1"/>
  <c r="P329" i="6"/>
  <c r="S329" i="6" s="1"/>
  <c r="U329" i="6" s="1"/>
  <c r="V329" i="6" s="1"/>
  <c r="W329" i="6" s="1"/>
  <c r="X329" i="6" s="1"/>
  <c r="Q342" i="6"/>
  <c r="R342" i="6" s="1"/>
  <c r="P346" i="6"/>
  <c r="S346" i="6" s="1"/>
  <c r="U346" i="6" s="1"/>
  <c r="V346" i="6" s="1"/>
  <c r="W346" i="6" s="1"/>
  <c r="X346" i="6" s="1"/>
  <c r="Q350" i="6"/>
  <c r="R350" i="6" s="1"/>
  <c r="Q356" i="6"/>
  <c r="R356" i="6" s="1"/>
  <c r="P364" i="6"/>
  <c r="S364" i="6" s="1"/>
  <c r="U364" i="6" s="1"/>
  <c r="V364" i="6" s="1"/>
  <c r="W364" i="6" s="1"/>
  <c r="X364" i="6" s="1"/>
  <c r="P366" i="6"/>
  <c r="S366" i="6" s="1"/>
  <c r="U366" i="6" s="1"/>
  <c r="V366" i="6" s="1"/>
  <c r="W366" i="6" s="1"/>
  <c r="X366" i="6" s="1"/>
  <c r="P372" i="6"/>
  <c r="S372" i="6" s="1"/>
  <c r="U372" i="6" s="1"/>
  <c r="V372" i="6" s="1"/>
  <c r="W372" i="6" s="1"/>
  <c r="X372" i="6" s="1"/>
  <c r="Q382" i="6"/>
  <c r="R382" i="6" s="1"/>
  <c r="P385" i="6"/>
  <c r="S385" i="6" s="1"/>
  <c r="U385" i="6" s="1"/>
  <c r="V385" i="6" s="1"/>
  <c r="W385" i="6" s="1"/>
  <c r="X385" i="6" s="1"/>
  <c r="Q388" i="6"/>
  <c r="R388" i="6" s="1"/>
  <c r="P405" i="6"/>
  <c r="S405" i="6" s="1"/>
  <c r="U405" i="6" s="1"/>
  <c r="V405" i="6" s="1"/>
  <c r="W405" i="6" s="1"/>
  <c r="X405" i="6" s="1"/>
  <c r="P412" i="6"/>
  <c r="S412" i="6" s="1"/>
  <c r="U412" i="6" s="1"/>
  <c r="V412" i="6" s="1"/>
  <c r="W412" i="6" s="1"/>
  <c r="X412" i="6" s="1"/>
  <c r="Q413" i="6"/>
  <c r="R413" i="6" s="1"/>
  <c r="P160" i="6"/>
  <c r="S160" i="6" s="1"/>
  <c r="U160" i="6" s="1"/>
  <c r="V160" i="6" s="1"/>
  <c r="W160" i="6" s="1"/>
  <c r="X160" i="6" s="1"/>
  <c r="P167" i="6"/>
  <c r="S167" i="6" s="1"/>
  <c r="U167" i="6" s="1"/>
  <c r="V167" i="6" s="1"/>
  <c r="W167" i="6" s="1"/>
  <c r="X167" i="6" s="1"/>
  <c r="P177" i="6"/>
  <c r="S177" i="6" s="1"/>
  <c r="U177" i="6" s="1"/>
  <c r="V177" i="6" s="1"/>
  <c r="W177" i="6" s="1"/>
  <c r="X177" i="6" s="1"/>
  <c r="P182" i="6"/>
  <c r="S182" i="6" s="1"/>
  <c r="U182" i="6" s="1"/>
  <c r="V182" i="6" s="1"/>
  <c r="W182" i="6" s="1"/>
  <c r="X182" i="6" s="1"/>
  <c r="P187" i="6"/>
  <c r="S187" i="6" s="1"/>
  <c r="U187" i="6" s="1"/>
  <c r="V187" i="6" s="1"/>
  <c r="W187" i="6" s="1"/>
  <c r="X187" i="6" s="1"/>
  <c r="P192" i="6"/>
  <c r="S192" i="6" s="1"/>
  <c r="U192" i="6" s="1"/>
  <c r="V192" i="6" s="1"/>
  <c r="W192" i="6" s="1"/>
  <c r="X192" i="6" s="1"/>
  <c r="P197" i="6"/>
  <c r="S197" i="6" s="1"/>
  <c r="U197" i="6" s="1"/>
  <c r="V197" i="6" s="1"/>
  <c r="W197" i="6" s="1"/>
  <c r="X197" i="6" s="1"/>
  <c r="U198" i="6"/>
  <c r="V198" i="6" s="1"/>
  <c r="W198" i="6" s="1"/>
  <c r="X198" i="6" s="1"/>
  <c r="P202" i="6"/>
  <c r="S202" i="6" s="1"/>
  <c r="U202" i="6" s="1"/>
  <c r="V202" i="6" s="1"/>
  <c r="W202" i="6" s="1"/>
  <c r="X202" i="6" s="1"/>
  <c r="U208" i="6"/>
  <c r="V208" i="6" s="1"/>
  <c r="W208" i="6" s="1"/>
  <c r="X208" i="6" s="1"/>
  <c r="P212" i="6"/>
  <c r="S212" i="6" s="1"/>
  <c r="U212" i="6" s="1"/>
  <c r="V212" i="6" s="1"/>
  <c r="W212" i="6" s="1"/>
  <c r="X212" i="6" s="1"/>
  <c r="U213" i="6"/>
  <c r="V213" i="6" s="1"/>
  <c r="W213" i="6" s="1"/>
  <c r="X213" i="6" s="1"/>
  <c r="U218" i="6"/>
  <c r="V218" i="6" s="1"/>
  <c r="W218" i="6" s="1"/>
  <c r="X218" i="6" s="1"/>
  <c r="U228" i="6"/>
  <c r="V228" i="6" s="1"/>
  <c r="W228" i="6" s="1"/>
  <c r="X228" i="6" s="1"/>
  <c r="P231" i="6"/>
  <c r="S231" i="6" s="1"/>
  <c r="U231" i="6" s="1"/>
  <c r="V231" i="6" s="1"/>
  <c r="W231" i="6" s="1"/>
  <c r="X231" i="6" s="1"/>
  <c r="P237" i="6"/>
  <c r="S237" i="6" s="1"/>
  <c r="U237" i="6" s="1"/>
  <c r="V237" i="6" s="1"/>
  <c r="W237" i="6" s="1"/>
  <c r="X237" i="6" s="1"/>
  <c r="U238" i="6"/>
  <c r="V238" i="6" s="1"/>
  <c r="W238" i="6" s="1"/>
  <c r="X238" i="6" s="1"/>
  <c r="U244" i="6"/>
  <c r="V244" i="6" s="1"/>
  <c r="W244" i="6" s="1"/>
  <c r="X244" i="6" s="1"/>
  <c r="P247" i="6"/>
  <c r="S247" i="6" s="1"/>
  <c r="U247" i="6" s="1"/>
  <c r="V247" i="6" s="1"/>
  <c r="W247" i="6" s="1"/>
  <c r="X247" i="6" s="1"/>
  <c r="P253" i="6"/>
  <c r="S253" i="6" s="1"/>
  <c r="U253" i="6" s="1"/>
  <c r="V253" i="6" s="1"/>
  <c r="W253" i="6" s="1"/>
  <c r="X253" i="6" s="1"/>
  <c r="U259" i="6"/>
  <c r="V259" i="6" s="1"/>
  <c r="W259" i="6" s="1"/>
  <c r="X259" i="6" s="1"/>
  <c r="P262" i="6"/>
  <c r="S262" i="6" s="1"/>
  <c r="U262" i="6" s="1"/>
  <c r="V262" i="6" s="1"/>
  <c r="W262" i="6" s="1"/>
  <c r="X262" i="6" s="1"/>
  <c r="P268" i="6"/>
  <c r="S268" i="6" s="1"/>
  <c r="U268" i="6" s="1"/>
  <c r="V268" i="6" s="1"/>
  <c r="W268" i="6" s="1"/>
  <c r="X268" i="6" s="1"/>
  <c r="U269" i="6"/>
  <c r="V269" i="6" s="1"/>
  <c r="W269" i="6" s="1"/>
  <c r="X269" i="6" s="1"/>
  <c r="P273" i="6"/>
  <c r="S273" i="6" s="1"/>
  <c r="U273" i="6" s="1"/>
  <c r="V273" i="6" s="1"/>
  <c r="W273" i="6" s="1"/>
  <c r="X273" i="6" s="1"/>
  <c r="P277" i="6"/>
  <c r="S277" i="6" s="1"/>
  <c r="U277" i="6" s="1"/>
  <c r="V277" i="6" s="1"/>
  <c r="W277" i="6" s="1"/>
  <c r="X277" i="6" s="1"/>
  <c r="P286" i="6"/>
  <c r="S286" i="6" s="1"/>
  <c r="U286" i="6" s="1"/>
  <c r="V286" i="6" s="1"/>
  <c r="W286" i="6" s="1"/>
  <c r="X286" i="6" s="1"/>
  <c r="P289" i="6"/>
  <c r="S289" i="6" s="1"/>
  <c r="U289" i="6" s="1"/>
  <c r="V289" i="6" s="1"/>
  <c r="W289" i="6" s="1"/>
  <c r="X289" i="6" s="1"/>
  <c r="P302" i="6"/>
  <c r="S302" i="6" s="1"/>
  <c r="U302" i="6" s="1"/>
  <c r="V302" i="6" s="1"/>
  <c r="W302" i="6" s="1"/>
  <c r="X302" i="6" s="1"/>
  <c r="P305" i="6"/>
  <c r="S305" i="6" s="1"/>
  <c r="U305" i="6" s="1"/>
  <c r="V305" i="6" s="1"/>
  <c r="W305" i="6" s="1"/>
  <c r="X305" i="6" s="1"/>
  <c r="P309" i="6"/>
  <c r="S309" i="6" s="1"/>
  <c r="U309" i="6" s="1"/>
  <c r="V309" i="6" s="1"/>
  <c r="W309" i="6" s="1"/>
  <c r="X309" i="6" s="1"/>
  <c r="P313" i="6"/>
  <c r="S313" i="6" s="1"/>
  <c r="U313" i="6" s="1"/>
  <c r="V313" i="6" s="1"/>
  <c r="W313" i="6" s="1"/>
  <c r="X313" i="6" s="1"/>
  <c r="P325" i="6"/>
  <c r="S325" i="6" s="1"/>
  <c r="U325" i="6" s="1"/>
  <c r="V325" i="6" s="1"/>
  <c r="W325" i="6" s="1"/>
  <c r="X325" i="6" s="1"/>
  <c r="Q299" i="6"/>
  <c r="R299" i="6" s="1"/>
  <c r="Q335" i="6"/>
  <c r="R335" i="6" s="1"/>
  <c r="P345" i="6"/>
  <c r="S345" i="6" s="1"/>
  <c r="U345" i="6" s="1"/>
  <c r="V345" i="6" s="1"/>
  <c r="W345" i="6" s="1"/>
  <c r="X345" i="6" s="1"/>
  <c r="P353" i="6"/>
  <c r="S353" i="6" s="1"/>
  <c r="U353" i="6" s="1"/>
  <c r="V353" i="6" s="1"/>
  <c r="W353" i="6" s="1"/>
  <c r="X353" i="6" s="1"/>
  <c r="P354" i="6"/>
  <c r="S354" i="6" s="1"/>
  <c r="U354" i="6" s="1"/>
  <c r="V354" i="6" s="1"/>
  <c r="W354" i="6" s="1"/>
  <c r="X354" i="6" s="1"/>
  <c r="P368" i="6"/>
  <c r="S368" i="6" s="1"/>
  <c r="U368" i="6" s="1"/>
  <c r="V368" i="6" s="1"/>
  <c r="W368" i="6" s="1"/>
  <c r="X368" i="6" s="1"/>
  <c r="P380" i="6"/>
  <c r="S380" i="6" s="1"/>
  <c r="U380" i="6" s="1"/>
  <c r="V380" i="6" s="1"/>
  <c r="W380" i="6" s="1"/>
  <c r="X380" i="6" s="1"/>
  <c r="P399" i="6"/>
  <c r="S399" i="6" s="1"/>
  <c r="U399" i="6" s="1"/>
  <c r="V399" i="6" s="1"/>
  <c r="W399" i="6" s="1"/>
  <c r="X399" i="6" s="1"/>
  <c r="P403" i="6"/>
  <c r="S403" i="6" s="1"/>
  <c r="U403" i="6" s="1"/>
  <c r="V403" i="6" s="1"/>
  <c r="W403" i="6" s="1"/>
  <c r="X403" i="6" s="1"/>
  <c r="P407" i="6"/>
  <c r="S407" i="6" s="1"/>
  <c r="U407" i="6" s="1"/>
  <c r="V407" i="6" s="1"/>
  <c r="W407" i="6" s="1"/>
  <c r="X407" i="6" s="1"/>
  <c r="P337" i="6"/>
  <c r="S337" i="6" s="1"/>
  <c r="U337" i="6" s="1"/>
  <c r="V337" i="6" s="1"/>
  <c r="W337" i="6" s="1"/>
  <c r="X337" i="6" s="1"/>
  <c r="P359" i="6"/>
  <c r="S359" i="6" s="1"/>
  <c r="U359" i="6" s="1"/>
  <c r="V359" i="6" s="1"/>
  <c r="W359" i="6" s="1"/>
  <c r="X359" i="6" s="1"/>
  <c r="P374" i="6"/>
  <c r="S374" i="6" s="1"/>
  <c r="U374" i="6" s="1"/>
  <c r="V374" i="6" s="1"/>
  <c r="W374" i="6" s="1"/>
  <c r="X374" i="6" s="1"/>
  <c r="P392" i="6"/>
  <c r="S392" i="6" s="1"/>
  <c r="U392" i="6" s="1"/>
  <c r="V392" i="6" s="1"/>
  <c r="W392" i="6" s="1"/>
  <c r="X392" i="6" s="1"/>
  <c r="P393" i="6"/>
  <c r="S393" i="6" s="1"/>
  <c r="U393" i="6" s="1"/>
  <c r="V393" i="6" s="1"/>
  <c r="W393" i="6" s="1"/>
  <c r="X393" i="6" s="1"/>
  <c r="P396" i="6"/>
  <c r="S396" i="6" s="1"/>
  <c r="U396" i="6" s="1"/>
  <c r="V396" i="6" s="1"/>
  <c r="W396" i="6" s="1"/>
  <c r="X396" i="6" s="1"/>
  <c r="Q410" i="6"/>
  <c r="R410" i="6" s="1"/>
  <c r="P410" i="6"/>
  <c r="S410" i="6" s="1"/>
  <c r="U410" i="6" s="1"/>
  <c r="V410" i="6" s="1"/>
  <c r="W410" i="6" s="1"/>
  <c r="X410" i="6" s="1"/>
  <c r="U156" i="6"/>
  <c r="V156" i="6" s="1"/>
  <c r="W156" i="6" s="1"/>
  <c r="X156" i="6" s="1"/>
  <c r="U159" i="6"/>
  <c r="V159" i="6" s="1"/>
  <c r="W159" i="6" s="1"/>
  <c r="X159" i="6" s="1"/>
  <c r="U176" i="6"/>
  <c r="V176" i="6" s="1"/>
  <c r="W176" i="6" s="1"/>
  <c r="X176" i="6" s="1"/>
  <c r="U181" i="6"/>
  <c r="V181" i="6" s="1"/>
  <c r="W181" i="6" s="1"/>
  <c r="X181" i="6" s="1"/>
  <c r="U186" i="6"/>
  <c r="V186" i="6" s="1"/>
  <c r="W186" i="6" s="1"/>
  <c r="X186" i="6" s="1"/>
  <c r="U196" i="6"/>
  <c r="V196" i="6" s="1"/>
  <c r="W196" i="6" s="1"/>
  <c r="X196" i="6" s="1"/>
  <c r="P199" i="6"/>
  <c r="S199" i="6" s="1"/>
  <c r="U199" i="6" s="1"/>
  <c r="V199" i="6" s="1"/>
  <c r="W199" i="6" s="1"/>
  <c r="X199" i="6" s="1"/>
  <c r="P209" i="6"/>
  <c r="S209" i="6" s="1"/>
  <c r="U209" i="6" s="1"/>
  <c r="V209" i="6" s="1"/>
  <c r="W209" i="6" s="1"/>
  <c r="X209" i="6" s="1"/>
  <c r="P214" i="6"/>
  <c r="S214" i="6" s="1"/>
  <c r="U214" i="6" s="1"/>
  <c r="V214" i="6" s="1"/>
  <c r="W214" i="6" s="1"/>
  <c r="X214" i="6" s="1"/>
  <c r="P219" i="6"/>
  <c r="S219" i="6" s="1"/>
  <c r="U219" i="6" s="1"/>
  <c r="V219" i="6" s="1"/>
  <c r="W219" i="6" s="1"/>
  <c r="X219" i="6" s="1"/>
  <c r="P224" i="6"/>
  <c r="S224" i="6" s="1"/>
  <c r="U224" i="6" s="1"/>
  <c r="V224" i="6" s="1"/>
  <c r="W224" i="6" s="1"/>
  <c r="X224" i="6" s="1"/>
  <c r="P229" i="6"/>
  <c r="S229" i="6" s="1"/>
  <c r="U229" i="6" s="1"/>
  <c r="V229" i="6" s="1"/>
  <c r="W229" i="6" s="1"/>
  <c r="X229" i="6" s="1"/>
  <c r="U230" i="6"/>
  <c r="V230" i="6" s="1"/>
  <c r="W230" i="6" s="1"/>
  <c r="X230" i="6" s="1"/>
  <c r="U236" i="6"/>
  <c r="V236" i="6" s="1"/>
  <c r="W236" i="6" s="1"/>
  <c r="X236" i="6" s="1"/>
  <c r="P239" i="6"/>
  <c r="S239" i="6" s="1"/>
  <c r="U239" i="6" s="1"/>
  <c r="V239" i="6" s="1"/>
  <c r="W239" i="6" s="1"/>
  <c r="X239" i="6" s="1"/>
  <c r="P245" i="6"/>
  <c r="S245" i="6" s="1"/>
  <c r="U245" i="6" s="1"/>
  <c r="V245" i="6" s="1"/>
  <c r="W245" i="6" s="1"/>
  <c r="X245" i="6" s="1"/>
  <c r="U246" i="6"/>
  <c r="V246" i="6" s="1"/>
  <c r="W246" i="6" s="1"/>
  <c r="X246" i="6" s="1"/>
  <c r="U252" i="6"/>
  <c r="V252" i="6" s="1"/>
  <c r="W252" i="6" s="1"/>
  <c r="X252" i="6" s="1"/>
  <c r="P254" i="6"/>
  <c r="S254" i="6" s="1"/>
  <c r="U254" i="6" s="1"/>
  <c r="V254" i="6" s="1"/>
  <c r="W254" i="6" s="1"/>
  <c r="X254" i="6" s="1"/>
  <c r="P260" i="6"/>
  <c r="S260" i="6" s="1"/>
  <c r="U260" i="6" s="1"/>
  <c r="V260" i="6" s="1"/>
  <c r="W260" i="6" s="1"/>
  <c r="X260" i="6" s="1"/>
  <c r="U261" i="6"/>
  <c r="V261" i="6" s="1"/>
  <c r="W261" i="6" s="1"/>
  <c r="X261" i="6" s="1"/>
  <c r="U267" i="6"/>
  <c r="V267" i="6" s="1"/>
  <c r="W267" i="6" s="1"/>
  <c r="X267" i="6" s="1"/>
  <c r="P270" i="6"/>
  <c r="S270" i="6" s="1"/>
  <c r="U270" i="6" s="1"/>
  <c r="V270" i="6" s="1"/>
  <c r="W270" i="6" s="1"/>
  <c r="X270" i="6" s="1"/>
  <c r="Q291" i="6"/>
  <c r="R291" i="6" s="1"/>
  <c r="Q295" i="6"/>
  <c r="R295" i="6" s="1"/>
  <c r="Q327" i="6"/>
  <c r="R327" i="6" s="1"/>
  <c r="Q331" i="6"/>
  <c r="R331" i="6" s="1"/>
  <c r="U334" i="6"/>
  <c r="V334" i="6" s="1"/>
  <c r="W334" i="6" s="1"/>
  <c r="X334" i="6" s="1"/>
  <c r="Q402" i="6"/>
  <c r="R402" i="6" s="1"/>
  <c r="P402" i="6"/>
  <c r="S402" i="6" s="1"/>
  <c r="U402" i="6" s="1"/>
  <c r="V402" i="6" s="1"/>
  <c r="W402" i="6" s="1"/>
  <c r="X402" i="6" s="1"/>
  <c r="U220" i="6"/>
  <c r="V220" i="6" s="1"/>
  <c r="W220" i="6" s="1"/>
  <c r="X220" i="6" s="1"/>
  <c r="Q395" i="6"/>
  <c r="R395" i="6" s="1"/>
  <c r="P395" i="6"/>
  <c r="S395" i="6" s="1"/>
  <c r="U395" i="6" s="1"/>
  <c r="V395" i="6" s="1"/>
  <c r="W395" i="6" s="1"/>
  <c r="X395" i="6" s="1"/>
  <c r="U170" i="6"/>
  <c r="V170" i="6" s="1"/>
  <c r="W170" i="6" s="1"/>
  <c r="X170" i="6" s="1"/>
  <c r="U180" i="6"/>
  <c r="V180" i="6" s="1"/>
  <c r="W180" i="6" s="1"/>
  <c r="X180" i="6" s="1"/>
  <c r="Q287" i="6"/>
  <c r="R287" i="6" s="1"/>
  <c r="Q303" i="6"/>
  <c r="R303" i="6" s="1"/>
  <c r="Q323" i="6"/>
  <c r="R323" i="6" s="1"/>
  <c r="Q339" i="6"/>
  <c r="R339" i="6" s="1"/>
  <c r="Q347" i="6"/>
  <c r="R347" i="6" s="1"/>
  <c r="U388" i="6"/>
  <c r="V388" i="6" s="1"/>
  <c r="W388" i="6" s="1"/>
  <c r="X388" i="6" s="1"/>
  <c r="P409" i="6"/>
  <c r="S409" i="6" s="1"/>
  <c r="U409" i="6" s="1"/>
  <c r="V409" i="6" s="1"/>
  <c r="W409" i="6" s="1"/>
  <c r="X409" i="6" s="1"/>
  <c r="R4" i="6"/>
  <c r="P116" i="6"/>
  <c r="S116" i="6" s="1"/>
  <c r="U116" i="6" s="1"/>
  <c r="V116" i="6" s="1"/>
  <c r="W116" i="6" s="1"/>
  <c r="X116" i="6" s="1"/>
  <c r="Q116" i="6"/>
  <c r="R116" i="6" s="1"/>
  <c r="P149" i="6"/>
  <c r="S149" i="6" s="1"/>
  <c r="U149" i="6" s="1"/>
  <c r="V149" i="6" s="1"/>
  <c r="W149" i="6" s="1"/>
  <c r="X149" i="6" s="1"/>
  <c r="Q149" i="6"/>
  <c r="R149" i="6" s="1"/>
  <c r="Q304" i="6"/>
  <c r="R304" i="6" s="1"/>
  <c r="P304" i="6"/>
  <c r="S304" i="6" s="1"/>
  <c r="U304" i="6" s="1"/>
  <c r="V304" i="6" s="1"/>
  <c r="W304" i="6" s="1"/>
  <c r="X304" i="6" s="1"/>
  <c r="Q340" i="6"/>
  <c r="R340" i="6" s="1"/>
  <c r="P340" i="6"/>
  <c r="S340" i="6" s="1"/>
  <c r="U340" i="6" s="1"/>
  <c r="V340" i="6" s="1"/>
  <c r="W340" i="6" s="1"/>
  <c r="X340" i="6" s="1"/>
  <c r="P107" i="6"/>
  <c r="S107" i="6" s="1"/>
  <c r="U107" i="6" s="1"/>
  <c r="V107" i="6" s="1"/>
  <c r="W107" i="6" s="1"/>
  <c r="X107" i="6" s="1"/>
  <c r="P120" i="6"/>
  <c r="S120" i="6" s="1"/>
  <c r="U120" i="6" s="1"/>
  <c r="V120" i="6" s="1"/>
  <c r="W120" i="6" s="1"/>
  <c r="X120" i="6" s="1"/>
  <c r="Q120" i="6"/>
  <c r="R120" i="6" s="1"/>
  <c r="P140" i="6"/>
  <c r="S140" i="6" s="1"/>
  <c r="U140" i="6" s="1"/>
  <c r="V140" i="6" s="1"/>
  <c r="W140" i="6" s="1"/>
  <c r="X140" i="6" s="1"/>
  <c r="P153" i="6"/>
  <c r="S153" i="6" s="1"/>
  <c r="U153" i="6" s="1"/>
  <c r="V153" i="6" s="1"/>
  <c r="W153" i="6" s="1"/>
  <c r="X153" i="6" s="1"/>
  <c r="Q153" i="6"/>
  <c r="R153" i="6" s="1"/>
  <c r="Q379" i="6"/>
  <c r="R379" i="6" s="1"/>
  <c r="P379" i="6"/>
  <c r="S379" i="6" s="1"/>
  <c r="U379" i="6" s="1"/>
  <c r="V379" i="6" s="1"/>
  <c r="W379" i="6" s="1"/>
  <c r="X379" i="6" s="1"/>
  <c r="N2" i="6"/>
  <c r="Q84" i="6"/>
  <c r="R84" i="6" s="1"/>
  <c r="P84" i="6"/>
  <c r="S84" i="6" s="1"/>
  <c r="U84" i="6" s="1"/>
  <c r="V84" i="6" s="1"/>
  <c r="W84" i="6" s="1"/>
  <c r="X84" i="6" s="1"/>
  <c r="P88" i="6"/>
  <c r="S88" i="6" s="1"/>
  <c r="U88" i="6" s="1"/>
  <c r="V88" i="6" s="1"/>
  <c r="W88" i="6" s="1"/>
  <c r="X88" i="6" s="1"/>
  <c r="Q88" i="6"/>
  <c r="R88" i="6" s="1"/>
  <c r="P92" i="6"/>
  <c r="S92" i="6" s="1"/>
  <c r="U92" i="6" s="1"/>
  <c r="V92" i="6" s="1"/>
  <c r="W92" i="6" s="1"/>
  <c r="X92" i="6" s="1"/>
  <c r="Q92" i="6"/>
  <c r="R92" i="6" s="1"/>
  <c r="P111" i="6"/>
  <c r="S111" i="6" s="1"/>
  <c r="U111" i="6" s="1"/>
  <c r="V111" i="6" s="1"/>
  <c r="W111" i="6" s="1"/>
  <c r="X111" i="6" s="1"/>
  <c r="P125" i="6"/>
  <c r="S125" i="6" s="1"/>
  <c r="U125" i="6" s="1"/>
  <c r="V125" i="6" s="1"/>
  <c r="W125" i="6" s="1"/>
  <c r="X125" i="6" s="1"/>
  <c r="Q125" i="6"/>
  <c r="R125" i="6" s="1"/>
  <c r="P144" i="6"/>
  <c r="S144" i="6" s="1"/>
  <c r="U144" i="6" s="1"/>
  <c r="V144" i="6" s="1"/>
  <c r="W144" i="6" s="1"/>
  <c r="X144" i="6" s="1"/>
  <c r="P157" i="6"/>
  <c r="S157" i="6" s="1"/>
  <c r="U157" i="6" s="1"/>
  <c r="V157" i="6" s="1"/>
  <c r="W157" i="6" s="1"/>
  <c r="X157" i="6" s="1"/>
  <c r="Q157" i="6"/>
  <c r="R157" i="6" s="1"/>
  <c r="P285" i="6"/>
  <c r="S285" i="6" s="1"/>
  <c r="U285" i="6" s="1"/>
  <c r="V285" i="6" s="1"/>
  <c r="W285" i="6" s="1"/>
  <c r="X285" i="6" s="1"/>
  <c r="Q288" i="6"/>
  <c r="R288" i="6" s="1"/>
  <c r="P288" i="6"/>
  <c r="S288" i="6" s="1"/>
  <c r="U288" i="6" s="1"/>
  <c r="V288" i="6" s="1"/>
  <c r="W288" i="6" s="1"/>
  <c r="X288" i="6" s="1"/>
  <c r="P321" i="6"/>
  <c r="S321" i="6" s="1"/>
  <c r="U321" i="6" s="1"/>
  <c r="V321" i="6" s="1"/>
  <c r="W321" i="6" s="1"/>
  <c r="X321" i="6" s="1"/>
  <c r="Q324" i="6"/>
  <c r="R324" i="6" s="1"/>
  <c r="P324" i="6"/>
  <c r="S324" i="6" s="1"/>
  <c r="U324" i="6" s="1"/>
  <c r="V324" i="6" s="1"/>
  <c r="W324" i="6" s="1"/>
  <c r="X324" i="6" s="1"/>
  <c r="P44" i="6"/>
  <c r="S44" i="6" s="1"/>
  <c r="U44" i="6" s="1"/>
  <c r="V44" i="6" s="1"/>
  <c r="W44" i="6" s="1"/>
  <c r="X44" i="6" s="1"/>
  <c r="P52" i="6"/>
  <c r="S52" i="6" s="1"/>
  <c r="U52" i="6" s="1"/>
  <c r="V52" i="6" s="1"/>
  <c r="W52" i="6" s="1"/>
  <c r="X52" i="6" s="1"/>
  <c r="P60" i="6"/>
  <c r="S60" i="6" s="1"/>
  <c r="U60" i="6" s="1"/>
  <c r="V60" i="6" s="1"/>
  <c r="W60" i="6" s="1"/>
  <c r="X60" i="6" s="1"/>
  <c r="P68" i="6"/>
  <c r="S68" i="6" s="1"/>
  <c r="U68" i="6" s="1"/>
  <c r="V68" i="6" s="1"/>
  <c r="W68" i="6" s="1"/>
  <c r="X68" i="6" s="1"/>
  <c r="P76" i="6"/>
  <c r="S76" i="6" s="1"/>
  <c r="U76" i="6" s="1"/>
  <c r="V76" i="6" s="1"/>
  <c r="W76" i="6" s="1"/>
  <c r="X76" i="6" s="1"/>
  <c r="Q96" i="6"/>
  <c r="R96" i="6" s="1"/>
  <c r="P96" i="6"/>
  <c r="S96" i="6" s="1"/>
  <c r="U96" i="6" s="1"/>
  <c r="V96" i="6" s="1"/>
  <c r="W96" i="6" s="1"/>
  <c r="X96" i="6" s="1"/>
  <c r="P129" i="6"/>
  <c r="S129" i="6" s="1"/>
  <c r="U129" i="6" s="1"/>
  <c r="V129" i="6" s="1"/>
  <c r="W129" i="6" s="1"/>
  <c r="X129" i="6" s="1"/>
  <c r="Q129" i="6"/>
  <c r="R129" i="6" s="1"/>
  <c r="Q300" i="6"/>
  <c r="R300" i="6" s="1"/>
  <c r="P300" i="6"/>
  <c r="S300" i="6" s="1"/>
  <c r="U300" i="6" s="1"/>
  <c r="V300" i="6" s="1"/>
  <c r="W300" i="6" s="1"/>
  <c r="X300" i="6" s="1"/>
  <c r="Q336" i="6"/>
  <c r="R336" i="6" s="1"/>
  <c r="P336" i="6"/>
  <c r="S336" i="6" s="1"/>
  <c r="U336" i="6" s="1"/>
  <c r="V336" i="6" s="1"/>
  <c r="W336" i="6" s="1"/>
  <c r="X336" i="6" s="1"/>
  <c r="Q344" i="6"/>
  <c r="R344" i="6" s="1"/>
  <c r="P344" i="6"/>
  <c r="S344" i="6" s="1"/>
  <c r="U344" i="6" s="1"/>
  <c r="V344" i="6" s="1"/>
  <c r="W344" i="6" s="1"/>
  <c r="X344" i="6" s="1"/>
  <c r="P8" i="6"/>
  <c r="S8" i="6" s="1"/>
  <c r="U8" i="6" s="1"/>
  <c r="V8" i="6" s="1"/>
  <c r="W8" i="6" s="1"/>
  <c r="X8" i="6" s="1"/>
  <c r="P43" i="6"/>
  <c r="S43" i="6" s="1"/>
  <c r="U43" i="6" s="1"/>
  <c r="V43" i="6" s="1"/>
  <c r="W43" i="6" s="1"/>
  <c r="X43" i="6" s="1"/>
  <c r="P100" i="6"/>
  <c r="S100" i="6" s="1"/>
  <c r="U100" i="6" s="1"/>
  <c r="V100" i="6" s="1"/>
  <c r="W100" i="6" s="1"/>
  <c r="X100" i="6" s="1"/>
  <c r="Q100" i="6"/>
  <c r="R100" i="6" s="1"/>
  <c r="P133" i="6"/>
  <c r="S133" i="6" s="1"/>
  <c r="U133" i="6" s="1"/>
  <c r="V133" i="6" s="1"/>
  <c r="W133" i="6" s="1"/>
  <c r="X133" i="6" s="1"/>
  <c r="Q133" i="6"/>
  <c r="R133" i="6" s="1"/>
  <c r="Q272" i="6"/>
  <c r="R272" i="6" s="1"/>
  <c r="P272" i="6"/>
  <c r="S272" i="6" s="1"/>
  <c r="U272" i="6" s="1"/>
  <c r="V272" i="6" s="1"/>
  <c r="W272" i="6" s="1"/>
  <c r="X272" i="6" s="1"/>
  <c r="T2" i="6"/>
  <c r="T1" i="6" s="1"/>
  <c r="Q6" i="6"/>
  <c r="R6" i="6" s="1"/>
  <c r="P6" i="6"/>
  <c r="S6" i="6" s="1"/>
  <c r="U6" i="6" s="1"/>
  <c r="V6" i="6" s="1"/>
  <c r="W6" i="6" s="1"/>
  <c r="X6" i="6" s="1"/>
  <c r="P104" i="6"/>
  <c r="S104" i="6" s="1"/>
  <c r="U104" i="6" s="1"/>
  <c r="V104" i="6" s="1"/>
  <c r="W104" i="6" s="1"/>
  <c r="X104" i="6" s="1"/>
  <c r="Q104" i="6"/>
  <c r="R104" i="6" s="1"/>
  <c r="P137" i="6"/>
  <c r="S137" i="6" s="1"/>
  <c r="U137" i="6" s="1"/>
  <c r="V137" i="6" s="1"/>
  <c r="W137" i="6" s="1"/>
  <c r="X137" i="6" s="1"/>
  <c r="Q137" i="6"/>
  <c r="R137" i="6" s="1"/>
  <c r="U143" i="6"/>
  <c r="V143" i="6" s="1"/>
  <c r="W143" i="6" s="1"/>
  <c r="X143" i="6" s="1"/>
  <c r="Q284" i="6"/>
  <c r="R284" i="6" s="1"/>
  <c r="P284" i="6"/>
  <c r="S284" i="6" s="1"/>
  <c r="U284" i="6" s="1"/>
  <c r="V284" i="6" s="1"/>
  <c r="W284" i="6" s="1"/>
  <c r="X284" i="6" s="1"/>
  <c r="Q320" i="6"/>
  <c r="R320" i="6" s="1"/>
  <c r="P320" i="6"/>
  <c r="S320" i="6" s="1"/>
  <c r="U320" i="6" s="1"/>
  <c r="V320" i="6" s="1"/>
  <c r="W320" i="6" s="1"/>
  <c r="X320" i="6" s="1"/>
  <c r="P389" i="6"/>
  <c r="S389" i="6" s="1"/>
  <c r="U389" i="6" s="1"/>
  <c r="V389" i="6" s="1"/>
  <c r="W389" i="6" s="1"/>
  <c r="X389" i="6" s="1"/>
  <c r="P108" i="6"/>
  <c r="S108" i="6" s="1"/>
  <c r="U108" i="6" s="1"/>
  <c r="V108" i="6" s="1"/>
  <c r="W108" i="6" s="1"/>
  <c r="X108" i="6" s="1"/>
  <c r="Q108" i="6"/>
  <c r="R108" i="6" s="1"/>
  <c r="P141" i="6"/>
  <c r="S141" i="6" s="1"/>
  <c r="U141" i="6" s="1"/>
  <c r="V141" i="6" s="1"/>
  <c r="W141" i="6" s="1"/>
  <c r="X141" i="6" s="1"/>
  <c r="Q141" i="6"/>
  <c r="R141" i="6" s="1"/>
  <c r="P163" i="6"/>
  <c r="S163" i="6" s="1"/>
  <c r="U163" i="6" s="1"/>
  <c r="V163" i="6" s="1"/>
  <c r="W163" i="6" s="1"/>
  <c r="X163" i="6" s="1"/>
  <c r="Q163" i="6"/>
  <c r="R163" i="6" s="1"/>
  <c r="Q14" i="6"/>
  <c r="R14" i="6" s="1"/>
  <c r="P14" i="6"/>
  <c r="S14" i="6" s="1"/>
  <c r="U14" i="6" s="1"/>
  <c r="V14" i="6" s="1"/>
  <c r="W14" i="6" s="1"/>
  <c r="X14" i="6" s="1"/>
  <c r="Q16" i="6"/>
  <c r="R16" i="6" s="1"/>
  <c r="P16" i="6"/>
  <c r="S16" i="6" s="1"/>
  <c r="U16" i="6" s="1"/>
  <c r="V16" i="6" s="1"/>
  <c r="W16" i="6" s="1"/>
  <c r="X16" i="6" s="1"/>
  <c r="Q18" i="6"/>
  <c r="R18" i="6" s="1"/>
  <c r="P18" i="6"/>
  <c r="S18" i="6" s="1"/>
  <c r="U18" i="6" s="1"/>
  <c r="V18" i="6" s="1"/>
  <c r="W18" i="6" s="1"/>
  <c r="X18" i="6" s="1"/>
  <c r="Q20" i="6"/>
  <c r="R20" i="6" s="1"/>
  <c r="P20" i="6"/>
  <c r="S20" i="6" s="1"/>
  <c r="U20" i="6" s="1"/>
  <c r="V20" i="6" s="1"/>
  <c r="W20" i="6" s="1"/>
  <c r="X20" i="6" s="1"/>
  <c r="Q22" i="6"/>
  <c r="R22" i="6" s="1"/>
  <c r="P22" i="6"/>
  <c r="S22" i="6" s="1"/>
  <c r="U22" i="6" s="1"/>
  <c r="V22" i="6" s="1"/>
  <c r="W22" i="6" s="1"/>
  <c r="X22" i="6" s="1"/>
  <c r="Q24" i="6"/>
  <c r="R24" i="6" s="1"/>
  <c r="P24" i="6"/>
  <c r="S24" i="6" s="1"/>
  <c r="U24" i="6" s="1"/>
  <c r="V24" i="6" s="1"/>
  <c r="W24" i="6" s="1"/>
  <c r="X24" i="6" s="1"/>
  <c r="Q26" i="6"/>
  <c r="R26" i="6" s="1"/>
  <c r="P26" i="6"/>
  <c r="S26" i="6" s="1"/>
  <c r="U26" i="6" s="1"/>
  <c r="V26" i="6" s="1"/>
  <c r="W26" i="6" s="1"/>
  <c r="X26" i="6" s="1"/>
  <c r="Q28" i="6"/>
  <c r="R28" i="6" s="1"/>
  <c r="P28" i="6"/>
  <c r="S28" i="6" s="1"/>
  <c r="U28" i="6" s="1"/>
  <c r="V28" i="6" s="1"/>
  <c r="W28" i="6" s="1"/>
  <c r="X28" i="6" s="1"/>
  <c r="Q30" i="6"/>
  <c r="R30" i="6" s="1"/>
  <c r="P30" i="6"/>
  <c r="S30" i="6" s="1"/>
  <c r="U30" i="6" s="1"/>
  <c r="V30" i="6" s="1"/>
  <c r="W30" i="6" s="1"/>
  <c r="X30" i="6" s="1"/>
  <c r="Q32" i="6"/>
  <c r="R32" i="6" s="1"/>
  <c r="P32" i="6"/>
  <c r="S32" i="6" s="1"/>
  <c r="U32" i="6" s="1"/>
  <c r="V32" i="6" s="1"/>
  <c r="W32" i="6" s="1"/>
  <c r="X32" i="6" s="1"/>
  <c r="Q34" i="6"/>
  <c r="R34" i="6" s="1"/>
  <c r="P34" i="6"/>
  <c r="S34" i="6" s="1"/>
  <c r="U34" i="6" s="1"/>
  <c r="V34" i="6" s="1"/>
  <c r="W34" i="6" s="1"/>
  <c r="X34" i="6" s="1"/>
  <c r="Q36" i="6"/>
  <c r="R36" i="6" s="1"/>
  <c r="P36" i="6"/>
  <c r="S36" i="6" s="1"/>
  <c r="U36" i="6" s="1"/>
  <c r="V36" i="6" s="1"/>
  <c r="W36" i="6" s="1"/>
  <c r="X36" i="6" s="1"/>
  <c r="Q38" i="6"/>
  <c r="R38" i="6" s="1"/>
  <c r="P38" i="6"/>
  <c r="S38" i="6" s="1"/>
  <c r="U38" i="6" s="1"/>
  <c r="V38" i="6" s="1"/>
  <c r="W38" i="6" s="1"/>
  <c r="X38" i="6" s="1"/>
  <c r="P40" i="6"/>
  <c r="S40" i="6" s="1"/>
  <c r="U40" i="6" s="1"/>
  <c r="V40" i="6" s="1"/>
  <c r="W40" i="6" s="1"/>
  <c r="X40" i="6" s="1"/>
  <c r="P48" i="6"/>
  <c r="S48" i="6" s="1"/>
  <c r="U48" i="6" s="1"/>
  <c r="V48" i="6" s="1"/>
  <c r="W48" i="6" s="1"/>
  <c r="X48" i="6" s="1"/>
  <c r="P56" i="6"/>
  <c r="S56" i="6" s="1"/>
  <c r="U56" i="6" s="1"/>
  <c r="V56" i="6" s="1"/>
  <c r="W56" i="6" s="1"/>
  <c r="X56" i="6" s="1"/>
  <c r="P64" i="6"/>
  <c r="S64" i="6" s="1"/>
  <c r="U64" i="6" s="1"/>
  <c r="V64" i="6" s="1"/>
  <c r="W64" i="6" s="1"/>
  <c r="X64" i="6" s="1"/>
  <c r="P72" i="6"/>
  <c r="S72" i="6" s="1"/>
  <c r="U72" i="6" s="1"/>
  <c r="V72" i="6" s="1"/>
  <c r="W72" i="6" s="1"/>
  <c r="X72" i="6" s="1"/>
  <c r="P80" i="6"/>
  <c r="S80" i="6" s="1"/>
  <c r="U80" i="6" s="1"/>
  <c r="V80" i="6" s="1"/>
  <c r="W80" i="6" s="1"/>
  <c r="X80" i="6" s="1"/>
  <c r="Q112" i="6"/>
  <c r="R112" i="6" s="1"/>
  <c r="P112" i="6"/>
  <c r="S112" i="6" s="1"/>
  <c r="U112" i="6" s="1"/>
  <c r="V112" i="6" s="1"/>
  <c r="W112" i="6" s="1"/>
  <c r="X112" i="6" s="1"/>
  <c r="U118" i="6"/>
  <c r="V118" i="6" s="1"/>
  <c r="W118" i="6" s="1"/>
  <c r="X118" i="6" s="1"/>
  <c r="P145" i="6"/>
  <c r="S145" i="6" s="1"/>
  <c r="U145" i="6" s="1"/>
  <c r="V145" i="6" s="1"/>
  <c r="W145" i="6" s="1"/>
  <c r="X145" i="6" s="1"/>
  <c r="Q145" i="6"/>
  <c r="R145" i="6" s="1"/>
  <c r="U151" i="6"/>
  <c r="V151" i="6" s="1"/>
  <c r="W151" i="6" s="1"/>
  <c r="X151" i="6" s="1"/>
  <c r="Q280" i="6"/>
  <c r="R280" i="6" s="1"/>
  <c r="P280" i="6"/>
  <c r="S280" i="6" s="1"/>
  <c r="U280" i="6" s="1"/>
  <c r="V280" i="6" s="1"/>
  <c r="W280" i="6" s="1"/>
  <c r="X280" i="6" s="1"/>
  <c r="P281" i="6"/>
  <c r="S281" i="6" s="1"/>
  <c r="U281" i="6" s="1"/>
  <c r="V281" i="6" s="1"/>
  <c r="W281" i="6" s="1"/>
  <c r="X281" i="6" s="1"/>
  <c r="Q296" i="6"/>
  <c r="R296" i="6" s="1"/>
  <c r="P296" i="6"/>
  <c r="S296" i="6" s="1"/>
  <c r="U296" i="6" s="1"/>
  <c r="V296" i="6" s="1"/>
  <c r="W296" i="6" s="1"/>
  <c r="X296" i="6" s="1"/>
  <c r="P297" i="6"/>
  <c r="S297" i="6" s="1"/>
  <c r="U297" i="6" s="1"/>
  <c r="V297" i="6" s="1"/>
  <c r="W297" i="6" s="1"/>
  <c r="X297" i="6" s="1"/>
  <c r="Q316" i="6"/>
  <c r="R316" i="6" s="1"/>
  <c r="P316" i="6"/>
  <c r="S316" i="6" s="1"/>
  <c r="U316" i="6" s="1"/>
  <c r="V316" i="6" s="1"/>
  <c r="W316" i="6" s="1"/>
  <c r="X316" i="6" s="1"/>
  <c r="P317" i="6"/>
  <c r="S317" i="6" s="1"/>
  <c r="U317" i="6" s="1"/>
  <c r="V317" i="6" s="1"/>
  <c r="W317" i="6" s="1"/>
  <c r="X317" i="6" s="1"/>
  <c r="Q332" i="6"/>
  <c r="R332" i="6" s="1"/>
  <c r="P332" i="6"/>
  <c r="S332" i="6" s="1"/>
  <c r="U332" i="6" s="1"/>
  <c r="V332" i="6" s="1"/>
  <c r="W332" i="6" s="1"/>
  <c r="X332" i="6" s="1"/>
  <c r="P333" i="6"/>
  <c r="S333" i="6" s="1"/>
  <c r="U333" i="6" s="1"/>
  <c r="V333" i="6" s="1"/>
  <c r="W333" i="6" s="1"/>
  <c r="X333" i="6" s="1"/>
  <c r="P373" i="6"/>
  <c r="S373" i="6" s="1"/>
  <c r="U373" i="6" s="1"/>
  <c r="V373" i="6" s="1"/>
  <c r="W373" i="6" s="1"/>
  <c r="X373" i="6" s="1"/>
  <c r="P5" i="6"/>
  <c r="S5" i="6" s="1"/>
  <c r="U5" i="6" s="1"/>
  <c r="V5" i="6" s="1"/>
  <c r="W5" i="6" s="1"/>
  <c r="X5" i="6" s="1"/>
  <c r="P13" i="6"/>
  <c r="S13" i="6" s="1"/>
  <c r="U13" i="6" s="1"/>
  <c r="V13" i="6" s="1"/>
  <c r="W13" i="6" s="1"/>
  <c r="X13" i="6" s="1"/>
  <c r="P41" i="6"/>
  <c r="S41" i="6" s="1"/>
  <c r="U41" i="6" s="1"/>
  <c r="V41" i="6" s="1"/>
  <c r="W41" i="6" s="1"/>
  <c r="X41" i="6" s="1"/>
  <c r="P45" i="6"/>
  <c r="S45" i="6" s="1"/>
  <c r="U45" i="6" s="1"/>
  <c r="V45" i="6" s="1"/>
  <c r="W45" i="6" s="1"/>
  <c r="X45" i="6" s="1"/>
  <c r="P49" i="6"/>
  <c r="S49" i="6" s="1"/>
  <c r="U49" i="6" s="1"/>
  <c r="V49" i="6" s="1"/>
  <c r="W49" i="6" s="1"/>
  <c r="X49" i="6" s="1"/>
  <c r="P53" i="6"/>
  <c r="S53" i="6" s="1"/>
  <c r="U53" i="6" s="1"/>
  <c r="V53" i="6" s="1"/>
  <c r="W53" i="6" s="1"/>
  <c r="X53" i="6" s="1"/>
  <c r="P57" i="6"/>
  <c r="S57" i="6" s="1"/>
  <c r="U57" i="6" s="1"/>
  <c r="V57" i="6" s="1"/>
  <c r="W57" i="6" s="1"/>
  <c r="X57" i="6" s="1"/>
  <c r="P61" i="6"/>
  <c r="S61" i="6" s="1"/>
  <c r="U61" i="6" s="1"/>
  <c r="V61" i="6" s="1"/>
  <c r="W61" i="6" s="1"/>
  <c r="X61" i="6" s="1"/>
  <c r="P65" i="6"/>
  <c r="S65" i="6" s="1"/>
  <c r="U65" i="6" s="1"/>
  <c r="V65" i="6" s="1"/>
  <c r="W65" i="6" s="1"/>
  <c r="X65" i="6" s="1"/>
  <c r="P69" i="6"/>
  <c r="S69" i="6" s="1"/>
  <c r="U69" i="6" s="1"/>
  <c r="V69" i="6" s="1"/>
  <c r="W69" i="6" s="1"/>
  <c r="X69" i="6" s="1"/>
  <c r="P73" i="6"/>
  <c r="S73" i="6" s="1"/>
  <c r="U73" i="6" s="1"/>
  <c r="V73" i="6" s="1"/>
  <c r="W73" i="6" s="1"/>
  <c r="X73" i="6" s="1"/>
  <c r="P77" i="6"/>
  <c r="S77" i="6" s="1"/>
  <c r="U77" i="6" s="1"/>
  <c r="V77" i="6" s="1"/>
  <c r="W77" i="6" s="1"/>
  <c r="X77" i="6" s="1"/>
  <c r="P81" i="6"/>
  <c r="S81" i="6" s="1"/>
  <c r="U81" i="6" s="1"/>
  <c r="V81" i="6" s="1"/>
  <c r="W81" i="6" s="1"/>
  <c r="X81" i="6" s="1"/>
  <c r="P85" i="6"/>
  <c r="S85" i="6" s="1"/>
  <c r="U85" i="6" s="1"/>
  <c r="V85" i="6" s="1"/>
  <c r="W85" i="6" s="1"/>
  <c r="X85" i="6" s="1"/>
  <c r="P89" i="6"/>
  <c r="S89" i="6" s="1"/>
  <c r="U89" i="6" s="1"/>
  <c r="V89" i="6" s="1"/>
  <c r="W89" i="6" s="1"/>
  <c r="X89" i="6" s="1"/>
  <c r="P93" i="6"/>
  <c r="S93" i="6" s="1"/>
  <c r="U93" i="6" s="1"/>
  <c r="V93" i="6" s="1"/>
  <c r="W93" i="6" s="1"/>
  <c r="X93" i="6" s="1"/>
  <c r="P97" i="6"/>
  <c r="S97" i="6" s="1"/>
  <c r="U97" i="6" s="1"/>
  <c r="V97" i="6" s="1"/>
  <c r="W97" i="6" s="1"/>
  <c r="X97" i="6" s="1"/>
  <c r="P101" i="6"/>
  <c r="S101" i="6" s="1"/>
  <c r="U101" i="6" s="1"/>
  <c r="V101" i="6" s="1"/>
  <c r="W101" i="6" s="1"/>
  <c r="X101" i="6" s="1"/>
  <c r="P105" i="6"/>
  <c r="S105" i="6" s="1"/>
  <c r="U105" i="6" s="1"/>
  <c r="V105" i="6" s="1"/>
  <c r="W105" i="6" s="1"/>
  <c r="X105" i="6" s="1"/>
  <c r="P109" i="6"/>
  <c r="S109" i="6" s="1"/>
  <c r="U109" i="6" s="1"/>
  <c r="V109" i="6" s="1"/>
  <c r="W109" i="6" s="1"/>
  <c r="X109" i="6" s="1"/>
  <c r="P113" i="6"/>
  <c r="S113" i="6" s="1"/>
  <c r="U113" i="6" s="1"/>
  <c r="V113" i="6" s="1"/>
  <c r="W113" i="6" s="1"/>
  <c r="X113" i="6" s="1"/>
  <c r="P117" i="6"/>
  <c r="S117" i="6" s="1"/>
  <c r="U117" i="6" s="1"/>
  <c r="V117" i="6" s="1"/>
  <c r="W117" i="6" s="1"/>
  <c r="X117" i="6" s="1"/>
  <c r="P121" i="6"/>
  <c r="S121" i="6" s="1"/>
  <c r="U121" i="6" s="1"/>
  <c r="V121" i="6" s="1"/>
  <c r="W121" i="6" s="1"/>
  <c r="X121" i="6" s="1"/>
  <c r="P126" i="6"/>
  <c r="S126" i="6" s="1"/>
  <c r="U126" i="6" s="1"/>
  <c r="V126" i="6" s="1"/>
  <c r="W126" i="6" s="1"/>
  <c r="X126" i="6" s="1"/>
  <c r="P130" i="6"/>
  <c r="S130" i="6" s="1"/>
  <c r="U130" i="6" s="1"/>
  <c r="V130" i="6" s="1"/>
  <c r="W130" i="6" s="1"/>
  <c r="X130" i="6" s="1"/>
  <c r="P134" i="6"/>
  <c r="S134" i="6" s="1"/>
  <c r="U134" i="6" s="1"/>
  <c r="V134" i="6" s="1"/>
  <c r="W134" i="6" s="1"/>
  <c r="X134" i="6" s="1"/>
  <c r="P138" i="6"/>
  <c r="S138" i="6" s="1"/>
  <c r="U138" i="6" s="1"/>
  <c r="V138" i="6" s="1"/>
  <c r="W138" i="6" s="1"/>
  <c r="X138" i="6" s="1"/>
  <c r="P142" i="6"/>
  <c r="S142" i="6" s="1"/>
  <c r="U142" i="6" s="1"/>
  <c r="V142" i="6" s="1"/>
  <c r="W142" i="6" s="1"/>
  <c r="X142" i="6" s="1"/>
  <c r="P146" i="6"/>
  <c r="S146" i="6" s="1"/>
  <c r="U146" i="6" s="1"/>
  <c r="V146" i="6" s="1"/>
  <c r="W146" i="6" s="1"/>
  <c r="X146" i="6" s="1"/>
  <c r="P150" i="6"/>
  <c r="S150" i="6" s="1"/>
  <c r="U150" i="6" s="1"/>
  <c r="V150" i="6" s="1"/>
  <c r="W150" i="6" s="1"/>
  <c r="X150" i="6" s="1"/>
  <c r="P154" i="6"/>
  <c r="S154" i="6" s="1"/>
  <c r="U154" i="6" s="1"/>
  <c r="V154" i="6" s="1"/>
  <c r="W154" i="6" s="1"/>
  <c r="X154" i="6" s="1"/>
  <c r="P158" i="6"/>
  <c r="S158" i="6" s="1"/>
  <c r="U158" i="6" s="1"/>
  <c r="V158" i="6" s="1"/>
  <c r="W158" i="6" s="1"/>
  <c r="X158" i="6" s="1"/>
  <c r="P165" i="6"/>
  <c r="S165" i="6" s="1"/>
  <c r="U165" i="6" s="1"/>
  <c r="V165" i="6" s="1"/>
  <c r="W165" i="6" s="1"/>
  <c r="X165" i="6" s="1"/>
  <c r="Q371" i="6"/>
  <c r="R371" i="6" s="1"/>
  <c r="P371" i="6"/>
  <c r="S371" i="6" s="1"/>
  <c r="U371" i="6" s="1"/>
  <c r="V371" i="6" s="1"/>
  <c r="W371" i="6" s="1"/>
  <c r="X371" i="6" s="1"/>
  <c r="Q406" i="6"/>
  <c r="R406" i="6" s="1"/>
  <c r="P406" i="6"/>
  <c r="S406" i="6" s="1"/>
  <c r="U406" i="6" s="1"/>
  <c r="V406" i="6" s="1"/>
  <c r="W406" i="6" s="1"/>
  <c r="X406" i="6" s="1"/>
  <c r="Q387" i="6"/>
  <c r="R387" i="6" s="1"/>
  <c r="P387" i="6"/>
  <c r="S387" i="6" s="1"/>
  <c r="U387" i="6" s="1"/>
  <c r="V387" i="6" s="1"/>
  <c r="W387" i="6" s="1"/>
  <c r="X387" i="6" s="1"/>
  <c r="Q276" i="6"/>
  <c r="R276" i="6" s="1"/>
  <c r="P276" i="6"/>
  <c r="S276" i="6" s="1"/>
  <c r="U276" i="6" s="1"/>
  <c r="V276" i="6" s="1"/>
  <c r="W276" i="6" s="1"/>
  <c r="X276" i="6" s="1"/>
  <c r="Q292" i="6"/>
  <c r="R292" i="6" s="1"/>
  <c r="P292" i="6"/>
  <c r="S292" i="6" s="1"/>
  <c r="U292" i="6" s="1"/>
  <c r="V292" i="6" s="1"/>
  <c r="W292" i="6" s="1"/>
  <c r="X292" i="6" s="1"/>
  <c r="Q308" i="6"/>
  <c r="R308" i="6" s="1"/>
  <c r="P308" i="6"/>
  <c r="S308" i="6" s="1"/>
  <c r="U308" i="6" s="1"/>
  <c r="V308" i="6" s="1"/>
  <c r="W308" i="6" s="1"/>
  <c r="X308" i="6" s="1"/>
  <c r="Q312" i="6"/>
  <c r="R312" i="6" s="1"/>
  <c r="P312" i="6"/>
  <c r="S312" i="6" s="1"/>
  <c r="U312" i="6" s="1"/>
  <c r="V312" i="6" s="1"/>
  <c r="W312" i="6" s="1"/>
  <c r="X312" i="6" s="1"/>
  <c r="Q328" i="6"/>
  <c r="R328" i="6" s="1"/>
  <c r="P328" i="6"/>
  <c r="S328" i="6" s="1"/>
  <c r="U328" i="6" s="1"/>
  <c r="V328" i="6" s="1"/>
  <c r="W328" i="6" s="1"/>
  <c r="X328" i="6" s="1"/>
  <c r="Q348" i="6"/>
  <c r="R348" i="6" s="1"/>
  <c r="P348" i="6"/>
  <c r="S348" i="6" s="1"/>
  <c r="U348" i="6" s="1"/>
  <c r="V348" i="6" s="1"/>
  <c r="W348" i="6" s="1"/>
  <c r="X348" i="6" s="1"/>
  <c r="Q352" i="6"/>
  <c r="R352" i="6" s="1"/>
  <c r="P352" i="6"/>
  <c r="S352" i="6" s="1"/>
  <c r="U352" i="6" s="1"/>
  <c r="V352" i="6" s="1"/>
  <c r="W352" i="6" s="1"/>
  <c r="X352" i="6" s="1"/>
  <c r="Q398" i="6"/>
  <c r="R398" i="6" s="1"/>
  <c r="P398" i="6"/>
  <c r="S398" i="6" s="1"/>
  <c r="U398" i="6" s="1"/>
  <c r="V398" i="6" s="1"/>
  <c r="W398" i="6" s="1"/>
  <c r="X398" i="6" s="1"/>
  <c r="Q375" i="6"/>
  <c r="R375" i="6" s="1"/>
  <c r="P375" i="6"/>
  <c r="S375" i="6" s="1"/>
  <c r="U375" i="6" s="1"/>
  <c r="V375" i="6" s="1"/>
  <c r="W375" i="6" s="1"/>
  <c r="X375" i="6" s="1"/>
  <c r="P377" i="6"/>
  <c r="S377" i="6" s="1"/>
  <c r="U377" i="6" s="1"/>
  <c r="V377" i="6" s="1"/>
  <c r="W377" i="6" s="1"/>
  <c r="X377" i="6" s="1"/>
  <c r="Q391" i="6"/>
  <c r="R391" i="6" s="1"/>
  <c r="P391" i="6"/>
  <c r="S391" i="6" s="1"/>
  <c r="U391" i="6" s="1"/>
  <c r="V391" i="6" s="1"/>
  <c r="W391" i="6" s="1"/>
  <c r="X391" i="6" s="1"/>
  <c r="Q363" i="6"/>
  <c r="R363" i="6" s="1"/>
  <c r="P363" i="6"/>
  <c r="S363" i="6" s="1"/>
  <c r="U363" i="6" s="1"/>
  <c r="V363" i="6" s="1"/>
  <c r="W363" i="6" s="1"/>
  <c r="X363" i="6" s="1"/>
  <c r="U370" i="6"/>
  <c r="V370" i="6" s="1"/>
  <c r="W370" i="6" s="1"/>
  <c r="X370" i="6" s="1"/>
  <c r="U386" i="6"/>
  <c r="V386" i="6" s="1"/>
  <c r="W386" i="6" s="1"/>
  <c r="X386" i="6" s="1"/>
  <c r="Q367" i="6"/>
  <c r="R367" i="6" s="1"/>
  <c r="P367" i="6"/>
  <c r="S367" i="6" s="1"/>
  <c r="U367" i="6" s="1"/>
  <c r="V367" i="6" s="1"/>
  <c r="W367" i="6" s="1"/>
  <c r="X367" i="6" s="1"/>
  <c r="Q383" i="6"/>
  <c r="R383" i="6" s="1"/>
  <c r="P383" i="6"/>
  <c r="S383" i="6" s="1"/>
  <c r="U383" i="6" s="1"/>
  <c r="V383" i="6" s="1"/>
  <c r="W383" i="6" s="1"/>
  <c r="X383" i="6" s="1"/>
  <c r="P73" i="4" l="1"/>
  <c r="F85" i="4" s="1"/>
  <c r="F86" i="4" s="1"/>
  <c r="Q35" i="4"/>
  <c r="AG35" i="4" s="1"/>
  <c r="Q43" i="4"/>
  <c r="AG43" i="4" s="1"/>
  <c r="Q4" i="4"/>
  <c r="AG4" i="4" s="1"/>
  <c r="Q25" i="4"/>
  <c r="AG25" i="4" s="1"/>
  <c r="Q71" i="4"/>
  <c r="AG71" i="4" s="1"/>
  <c r="Q72" i="4"/>
  <c r="AG72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70" i="4"/>
  <c r="AG70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69" i="4"/>
  <c r="AG69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3" i="4"/>
  <c r="Z73" i="4"/>
  <c r="X73" i="4"/>
  <c r="M1" i="6"/>
  <c r="S4" i="6"/>
  <c r="P2" i="6"/>
  <c r="O2" i="6" s="1"/>
  <c r="L2" i="6"/>
  <c r="AH2" i="6" s="1"/>
  <c r="R2" i="6"/>
  <c r="Q2" i="6"/>
  <c r="AG73" i="4" l="1"/>
  <c r="Q73" i="4"/>
  <c r="G86" i="4" s="1"/>
  <c r="U4" i="6"/>
  <c r="S2" i="6"/>
  <c r="F88" i="4" s="1"/>
  <c r="R1" i="6"/>
  <c r="AI2" i="6"/>
  <c r="AJ2" i="6" s="1"/>
  <c r="S1" i="6" l="1"/>
  <c r="F90" i="4"/>
  <c r="V4" i="6"/>
  <c r="W4" i="6" s="1"/>
  <c r="X4" i="6" s="1"/>
  <c r="U2" i="6"/>
  <c r="V2" i="6" s="1"/>
  <c r="X2" i="6" l="1"/>
  <c r="W2" i="6"/>
  <c r="X1" i="6" l="1"/>
  <c r="U1" i="6" s="1"/>
  <c r="AJ1" i="6" l="1"/>
  <c r="AK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<sst xmlns="http://schemas.openxmlformats.org/spreadsheetml/2006/main" count="9417" uniqueCount="834">
  <si>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</si>
  <si>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</si>
  <si>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</si>
  <si>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</si>
  <si>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</si>
  <si>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</si>
  <si>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</si>
  <si>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</si>
  <si>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</si>
  <si>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</si>
  <si>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</si>
  <si>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</si>
  <si>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</si>
  <si>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</si>
  <si>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</si>
  <si>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</si>
  <si>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</si>
  <si>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</si>
  <si>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</si>
  <si>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</si>
  <si>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</si>
  <si>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</si>
  <si>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</si>
  <si>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</si>
  <si>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</si>
  <si>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</si>
  <si>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</si>
  <si>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</si>
  <si>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</si>
  <si>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</si>
  <si>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</si>
  <si>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</si>
  <si>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</si>
  <si>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</si>
  <si>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</si>
  <si>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</si>
  <si>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</si>
  <si>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</si>
  <si>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</si>
  <si>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</si>
  <si>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</si>
  <si>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</si>
  <si>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</si>
  <si>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</si>
  <si>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</si>
  <si>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</si>
  <si>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</si>
  <si>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</si>
  <si>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</si>
  <si>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</si>
  <si>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</si>
  <si>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</si>
  <si>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</si>
  <si>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</si>
  <si>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</si>
  <si>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</si>
  <si>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</si>
  <si>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</si>
  <si>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</si>
  <si>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</si>
  <si>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</si>
  <si>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</si>
  <si>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</si>
  <si>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</si>
  <si>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</si>
  <si>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</si>
  <si>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</si>
  <si>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</si>
  <si>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</si>
  <si>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</si>
  <si>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</si>
  <si>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</si>
  <si>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</si>
  <si>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</si>
  <si>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</si>
  <si>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</si>
  <si>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</si>
  <si>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</si>
  <si>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</si>
  <si>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</si>
  <si>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</si>
  <si>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</si>
  <si>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</si>
  <si>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</si>
  <si>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</si>
  <si>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</si>
  <si>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</si>
  <si>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</si>
  <si>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</si>
  <si>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</si>
  <si>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</si>
  <si>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</si>
  <si>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</si>
  <si>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</si>
  <si>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</si>
  <si>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</si>
  <si>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</si>
  <si>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</si>
  <si>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</si>
  <si>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</si>
  <si>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</si>
  <si>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</si>
  <si>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</si>
  <si>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</si>
  <si>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</si>
  <si>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</si>
  <si>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</si>
  <si>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</si>
  <si>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</si>
  <si>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</si>
  <si>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</si>
  <si>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</si>
  <si>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</si>
  <si>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</si>
  <si>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</si>
  <si>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</si>
  <si>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</si>
  <si>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</si>
  <si>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</si>
  <si>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</si>
  <si>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</si>
  <si>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</si>
  <si>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</si>
  <si>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</si>
  <si>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</si>
  <si>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</si>
  <si>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</si>
  <si>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</si>
  <si>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</si>
  <si>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</si>
  <si>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</si>
  <si>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</si>
  <si>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</si>
  <si>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</si>
  <si>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</si>
  <si>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</si>
  <si>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</si>
  <si>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</si>
  <si>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</si>
  <si>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</si>
  <si>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</si>
  <si>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</si>
  <si>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</si>
  <si>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</si>
  <si>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</si>
  <si>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</si>
  <si>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</si>
  <si>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</si>
  <si>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</si>
  <si>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</si>
  <si>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</si>
  <si>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</si>
  <si>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</si>
  <si>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</si>
  <si>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</si>
  <si>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</si>
  <si>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</si>
  <si>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</si>
  <si>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</si>
  <si>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</si>
  <si>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</si>
  <si>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</si>
  <si>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</si>
  <si>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</si>
  <si>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</si>
  <si>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</si>
  <si>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</si>
  <si>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</si>
  <si>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</si>
  <si>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</si>
  <si>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</si>
  <si>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</si>
  <si>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</si>
  <si>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</si>
  <si>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</si>
  <si>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</si>
  <si>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</si>
  <si>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</si>
  <si>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</si>
  <si>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</si>
  <si>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</si>
  <si>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</si>
  <si>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</si>
  <si>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</si>
  <si>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</si>
  <si>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</si>
  <si>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</si>
  <si>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</si>
  <si>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</si>
  <si>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</si>
  <si>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</si>
  <si>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</si>
  <si>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</si>
  <si>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</si>
  <si>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</si>
  <si>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</si>
  <si>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</si>
  <si>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</si>
  <si>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</si>
  <si>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</si>
  <si>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</si>
  <si>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</si>
  <si>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</si>
  <si>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</si>
  <si>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</si>
  <si>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</si>
  <si>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</si>
  <si>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</si>
  <si>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</si>
  <si>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</si>
  <si>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</si>
  <si>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</si>
  <si>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</si>
  <si>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</si>
  <si>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</si>
  <si>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</si>
  <si>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</si>
  <si>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</si>
  <si>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</si>
  <si>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</si>
  <si>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</si>
  <si>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</si>
  <si>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</si>
  <si>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</si>
  <si>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</si>
  <si>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</si>
  <si>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</si>
  <si>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</si>
  <si>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</si>
  <si>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</si>
  <si>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</si>
  <si>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</si>
  <si>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</si>
  <si>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</si>
  <si>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</si>
  <si>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</si>
  <si>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</si>
  <si>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</si>
  <si>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</si>
  <si>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</si>
  <si>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</si>
  <si>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</si>
  <si>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</si>
  <si>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</si>
  <si>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</si>
  <si>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</si>
  <si>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</si>
  <si>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</si>
  <si>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</si>
  <si>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</si>
  <si>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</si>
  <si>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</si>
  <si>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</si>
  <si>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</si>
  <si>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</si>
  <si>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</si>
  <si>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</si>
  <si>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</si>
  <si>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</si>
  <si>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</si>
  <si>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</si>
  <si>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</si>
  <si>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</si>
  <si>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</si>
  <si>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</si>
  <si>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</si>
  <si>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</si>
  <si>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</si>
  <si>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</si>
  <si>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</si>
  <si>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</si>
  <si>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</si>
  <si>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</si>
  <si>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</si>
  <si>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</si>
  <si>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</si>
  <si>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</si>
  <si>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</si>
  <si>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</si>
  <si>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</si>
  <si>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</si>
  <si>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</si>
  <si>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</si>
  <si>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</si>
  <si>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</si>
  <si>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</si>
  <si>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</si>
  <si>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</si>
  <si>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</si>
  <si>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</si>
  <si>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</si>
  <si>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</si>
  <si>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</si>
  <si>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</si>
  <si>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</si>
  <si>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</si>
  <si>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</si>
  <si>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</si>
  <si>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</si>
  <si>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</si>
  <si>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</si>
  <si>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</si>
  <si>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</si>
  <si>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</si>
  <si>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</si>
  <si>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</si>
  <si>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</si>
  <si>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</si>
  <si>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</si>
  <si>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</si>
  <si>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</si>
  <si>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</si>
  <si>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</si>
  <si>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</si>
  <si>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</si>
  <si>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</si>
  <si>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</si>
  <si>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</si>
  <si>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</si>
  <si>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</si>
  <si>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</si>
  <si>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</si>
  <si>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</si>
  <si>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</si>
  <si>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</si>
  <si>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</si>
  <si>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</si>
  <si>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</si>
  <si>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</si>
  <si>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</si>
  <si>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</si>
  <si>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</si>
  <si>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</si>
  <si>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</si>
  <si>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</si>
  <si>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</si>
  <si>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</si>
  <si>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</si>
  <si>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</si>
  <si>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</si>
  <si>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</si>
  <si>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</si>
  <si>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</si>
  <si>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</si>
  <si>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</si>
  <si>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</si>
  <si>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</si>
  <si>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</si>
  <si>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</si>
  <si>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</si>
  <si>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</si>
  <si>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</si>
  <si>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</si>
  <si>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</si>
  <si>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</si>
  <si>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</si>
  <si>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</si>
  <si>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</si>
  <si>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</si>
  <si>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</si>
  <si>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</si>
  <si>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</si>
  <si>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</si>
  <si>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</si>
  <si>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</si>
  <si>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</si>
  <si>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</si>
  <si>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</si>
  <si>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</si>
  <si>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</si>
  <si>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</si>
  <si>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</si>
  <si>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</si>
  <si>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</si>
  <si>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</si>
  <si>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</si>
  <si>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</si>
  <si>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</si>
  <si>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</si>
  <si>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</si>
  <si>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</si>
  <si>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</si>
  <si>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</si>
  <si>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</si>
  <si>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</si>
  <si>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</si>
  <si>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</si>
  <si>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</si>
  <si>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</si>
  <si>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</si>
  <si>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</si>
  <si>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</si>
  <si>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</si>
  <si>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</si>
  <si>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</si>
  <si>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</si>
  <si>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</si>
  <si>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</si>
  <si>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</si>
  <si>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</si>
  <si>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</si>
  <si>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</si>
  <si>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</si>
  <si>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</si>
  <si>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</si>
  <si>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</si>
  <si>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</si>
  <si>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</si>
  <si>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</si>
  <si>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</si>
  <si>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</si>
  <si>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</si>
  <si>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</si>
  <si>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</si>
  <si>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</si>
  <si>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</si>
  <si>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</si>
  <si>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</si>
  <si>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</si>
  <si>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</si>
  <si>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</si>
  <si>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</si>
  <si>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</si>
  <si>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</si>
  <si>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</si>
  <si>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</si>
  <si>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</si>
  <si>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</si>
  <si>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</si>
  <si>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</si>
  <si>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</si>
  <si>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</si>
  <si>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</si>
  <si>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</si>
  <si>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</si>
  <si>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</si>
  <si>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</si>
  <si>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</si>
  <si>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</si>
  <si>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</si>
  <si>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</si>
  <si>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</si>
  <si>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</si>
  <si>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</si>
  <si>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</si>
  <si>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</si>
  <si>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</si>
  <si>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</si>
  <si>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</si>
  <si>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</si>
  <si>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</si>
  <si>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</si>
  <si>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</si>
  <si>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</si>
  <si>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</si>
  <si>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</si>
  <si>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</si>
  <si>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</si>
  <si>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</si>
  <si>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</si>
  <si>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</si>
  <si>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</si>
  <si>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</si>
  <si>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</si>
  <si>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</si>
  <si>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</si>
  <si>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</si>
  <si>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</si>
  <si>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</si>
  <si>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</si>
  <si>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</si>
  <si>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</si>
  <si>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</si>
  <si>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</si>
  <si>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</si>
  <si>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</si>
  <si>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</si>
  <si>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</si>
  <si>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</si>
  <si>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</si>
  <si>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</si>
  <si>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</si>
  <si>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</si>
  <si>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</si>
  <si>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</si>
  <si>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</si>
  <si>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</si>
  <si>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</si>
  <si>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</si>
  <si>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</si>
  <si>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</si>
  <si>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</si>
  <si>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</si>
  <si>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</si>
  <si>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</si>
  <si>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</si>
  <si>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</si>
  <si>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</si>
  <si>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</si>
  <si>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</si>
  <si>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</si>
  <si>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</si>
  <si>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</si>
  <si>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</si>
  <si>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</si>
  <si>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</si>
  <si>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</si>
  <si>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</si>
  <si>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</si>
  <si>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</si>
  <si>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</si>
  <si>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</si>
  <si>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</si>
  <si>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</si>
  <si>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</si>
  <si>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</si>
  <si>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</si>
  <si>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</si>
  <si>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</si>
  <si>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</si>
  <si>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</si>
  <si>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</si>
  <si>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</si>
  <si>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</si>
  <si>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</si>
  <si>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</si>
  <si>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</si>
  <si>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</si>
  <si>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</si>
  <si>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</si>
  <si>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</si>
  <si>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</si>
  <si>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</si>
  <si>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</si>
  <si>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</si>
  <si>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</si>
  <si>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</si>
  <si>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</si>
  <si>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</si>
  <si>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</si>
  <si>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</si>
  <si>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</si>
  <si>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</si>
  <si>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</si>
  <si>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</si>
  <si>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</si>
  <si>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</si>
  <si>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</si>
  <si>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</si>
  <si>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</si>
  <si>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</si>
  <si>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</si>
  <si>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</si>
  <si>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</si>
  <si>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</si>
  <si>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</si>
  <si>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</si>
  <si>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</si>
  <si>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</si>
  <si>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</si>
  <si>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</si>
  <si>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</si>
  <si>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</si>
  <si>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</si>
  <si>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</si>
  <si>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</si>
  <si>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</si>
  <si>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</si>
  <si>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</si>
  <si>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</si>
  <si>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</si>
  <si>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</si>
  <si>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</si>
  <si>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</si>
  <si>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</si>
  <si>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</si>
  <si>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</si>
  <si>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</si>
  <si>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</si>
  <si>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</si>
  <si>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</si>
  <si>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</si>
  <si>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</si>
  <si>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</si>
  <si>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</si>
  <si>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</si>
  <si>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</si>
  <si>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</si>
  <si>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</si>
  <si>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</si>
  <si>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</si>
  <si>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</si>
  <si>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</si>
  <si>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</si>
  <si>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</si>
  <si>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</si>
  <si>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</si>
  <si>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</si>
  <si>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</si>
  <si>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</si>
  <si>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</si>
  <si>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</si>
  <si>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</si>
  <si>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</si>
  <si>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</si>
  <si>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</si>
  <si>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</si>
  <si>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</si>
  <si>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</si>
  <si>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</si>
  <si>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</si>
  <si>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</si>
  <si>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</si>
  <si>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</si>
  <si>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</si>
  <si>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</si>
  <si>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</si>
  <si>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</si>
  <si>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</si>
  <si>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</si>
  <si>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</si>
  <si>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</si>
  <si>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</si>
  <si>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</si>
  <si>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</si>
  <si>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</si>
  <si>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</si>
  <si>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</si>
  <si>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</si>
  <si>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</si>
  <si>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</si>
  <si>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</si>
  <si>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</si>
  <si>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</si>
  <si>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</si>
  <si>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</si>
  <si>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</si>
  <si>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</si>
  <si>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</si>
  <si>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</si>
  <si>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</si>
  <si>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</si>
  <si>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</si>
  <si>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</si>
  <si>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</si>
  <si>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</si>
  <si>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</si>
  <si>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</si>
  <si>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</si>
  <si>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</si>
  <si>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</si>
  <si>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</si>
  <si>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</si>
  <si>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</si>
  <si>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</si>
  <si>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</si>
  <si>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</si>
  <si>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</si>
  <si>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</si>
  <si>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</si>
  <si>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</si>
  <si>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</si>
  <si>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</si>
  <si>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</si>
  <si>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</si>
  <si>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</si>
  <si>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</si>
  <si>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</si>
  <si>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</si>
  <si>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</si>
  <si>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</si>
  <si>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</si>
  <si>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</si>
  <si>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</si>
  <si>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</si>
  <si>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</si>
  <si>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</si>
  <si>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</si>
  <si>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</si>
  <si>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</si>
  <si>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</si>
  <si>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</si>
  <si>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</si>
  <si>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</si>
  <si>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</si>
  <si>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</si>
  <si>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</si>
  <si>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</si>
  <si>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</si>
  <si>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</si>
  <si>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</si>
  <si>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</si>
  <si>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</si>
  <si>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</si>
  <si>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</si>
  <si>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</si>
  <si>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</si>
  <si>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</si>
  <si>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</si>
  <si>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</si>
  <si>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</si>
  <si>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</si>
  <si>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</si>
  <si>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</si>
  <si>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</si>
  <si>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</si>
  <si>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</si>
  <si>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64543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</si>
  <si>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</si>
  <si>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</si>
  <si>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</si>
  <si>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</si>
  <si>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</si>
  <si>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</si>
  <si>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</si>
  <si>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</si>
  <si>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</si>
  <si>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</si>
  <si>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</si>
  <si>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</si>
  <si>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</si>
  <si>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</si>
  <si>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</si>
  <si>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</si>
  <si>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</si>
  <si>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</si>
  <si>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</si>
  <si>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</si>
  <si>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</si>
  <si>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</si>
  <si>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</si>
  <si>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</si>
  <si>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</si>
  <si>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</si>
  <si>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</si>
  <si>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</si>
  <si>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</si>
  <si>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</si>
  <si>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</si>
  <si>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</si>
  <si>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</si>
  <si>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</si>
  <si>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</si>
  <si>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</si>
  <si>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</si>
  <si>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</si>
  <si>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</si>
  <si>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</si>
  <si>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</si>
  <si>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</si>
  <si>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</si>
  <si>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</si>
  <si>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</si>
  <si>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</si>
  <si>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</si>
  <si>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</si>
  <si>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</si>
  <si>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</si>
  <si>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</si>
  <si>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</si>
  <si>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</si>
  <si>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</si>
  <si>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</si>
  <si>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</si>
  <si>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</si>
  <si>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</si>
  <si>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</si>
  <si>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</si>
  <si>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</si>
  <si>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</si>
  <si>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</si>
  <si>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</si>
  <si>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</si>
  <si>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</si>
  <si>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</si>
  <si>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</si>
  <si>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</si>
  <si>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</si>
  <si>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</si>
  <si>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</si>
  <si>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</si>
  <si>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</si>
  <si>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</si>
  <si>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</si>
  <si>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</si>
  <si>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</si>
  <si>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</si>
  <si>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</si>
  <si>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</si>
  <si>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</si>
  <si>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</si>
  <si>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</si>
  <si>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</si>
  <si>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</si>
  <si>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</si>
  <si>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</si>
  <si>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</si>
  <si>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</si>
  <si>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</si>
  <si>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</si>
  <si>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</si>
  <si>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</si>
  <si>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</si>
  <si>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</si>
  <si>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</si>
  <si>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</si>
  <si>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</si>
  <si>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</si>
  <si>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</si>
  <si>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</si>
  <si>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</si>
  <si>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</si>
  <si>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[64508] LARMA DSK</t>
  </si>
  <si>
    <t>[64594] AKHOLI DSK</t>
  </si>
  <si>
    <t>[64600] BHAMBHHOR DSK</t>
  </si>
  <si>
    <t>[20123] SAKRAULI DSK</t>
  </si>
  <si>
    <t>[60611] AKHOLI DSK</t>
  </si>
  <si>
    <t>[64542] KUCHHALA DSK</t>
  </si>
  <si>
    <t>BECHU PASSI</t>
  </si>
  <si>
    <t>SAKRAULI DSK</t>
  </si>
  <si>
    <t>9572267883</t>
  </si>
  <si>
    <t>2696000100200761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</si>
  <si>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</si>
  <si>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</si>
  <si>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</si>
  <si>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</si>
  <si>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</si>
  <si>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</si>
  <si>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</si>
  <si>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[20111] SUHWAL</t>
  </si>
  <si>
    <t>[20116] ARANG DSK</t>
  </si>
  <si>
    <t>20116</t>
  </si>
  <si>
    <t>ID</t>
  </si>
  <si>
    <t>Release1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</si>
</sst>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75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/>
    <xf numFmtId="14" fontId="0" fillId="22" borderId="2" xfId="0" applyNumberFormat="1" applyFill="1" applyBorder="1"/>
    <xf numFmtId="0" fontId="0" fillId="22" borderId="2" xfId="0" applyFill="1" applyBorder="1" applyAlignment="1">
      <alignment horizontal="center"/>
    </xf>
    <xf numFmtId="0" fontId="0" fillId="22" borderId="2" xfId="0" applyFill="1" applyBorder="1"/>
    <xf numFmtId="0" fontId="0" fillId="22" borderId="2" xfId="0" applyFill="1" applyBorder="1" applyAlignment="1">
      <alignment horizontal="center" vertical="center"/>
    </xf>
    <xf numFmtId="164" fontId="0" fillId="22" borderId="2" xfId="0" applyNumberFormat="1" applyFill="1" applyBorder="1" applyAlignment="1">
      <alignment horizontal="center" vertical="center"/>
    </xf>
    <xf numFmtId="43" fontId="0" fillId="22" borderId="2" xfId="2" applyFont="1" applyFill="1" applyBorder="1"/>
    <xf numFmtId="165" fontId="0" fillId="22" borderId="2" xfId="2" applyNumberFormat="1" applyFont="1" applyFill="1" applyBorder="1"/>
    <xf numFmtId="43" fontId="0" fillId="22" borderId="2" xfId="0" applyNumberFormat="1" applyFill="1" applyBorder="1"/>
    <xf numFmtId="165" fontId="0" fillId="22" borderId="2" xfId="0" applyNumberFormat="1" applyFill="1" applyBorder="1" applyAlignment="1">
      <alignment horizontal="center"/>
    </xf>
    <xf numFmtId="1" fontId="0" fillId="22" borderId="2" xfId="0" applyNumberFormat="1" applyFill="1" applyBorder="1" applyAlignment="1">
      <alignment horizontal="center"/>
    </xf>
    <xf numFmtId="43" fontId="0" fillId="22" borderId="2" xfId="0" applyNumberForma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7" borderId="4" xfId="0" applyFill="1" applyBorder="1"/>
    <xf numFmtId="0" fontId="0" fillId="7" borderId="20" xfId="0" applyFill="1" applyBorder="1"/>
    <xf numFmtId="14" fontId="0" fillId="22" borderId="2" xfId="0" applyNumberFormat="1" applyFill="1" applyBorder="1" applyAlignment="1">
      <alignment horizontal="center" vertical="center"/>
    </xf>
    <xf numFmtId="0" fontId="0" fillId="22" borderId="2" xfId="0" applyFill="1" applyBorder="1" applyAlignment="1">
      <alignment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B3:X944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7.46003159722" createdVersion="8" refreshedVersion="8" minRefreshableVersion="3" recordCount="1268" xr:uid="{8C900EE4-FEA4-4D10-BDFA-9D20740FF3AB}">
  <cacheSource type="worksheet">
    <worksheetSource ref="B3:X1271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1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60526] CHANDESH DSK"/>
        <s v="[60553] PARASIYA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  <s v="[60603] ASHAPADRI DSK" u="1"/>
      </sharedItems>
    </cacheField>
    <cacheField name="Old Code" numFmtId="0">
      <sharedItems count="71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1"/>
        <s v="20122"/>
        <s v="20123"/>
        <s v="60526"/>
        <s v="60553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  <s v="60603" u="1"/>
      </sharedItems>
    </cacheField>
    <cacheField name="Dcs Code" numFmtId="0">
      <sharedItems containsSemiMixedTypes="0" containsString="0" containsNumber="1" containsInteger="1" minValue="10620002" maxValue="10620123" count="71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072"/>
        <n v="10620050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  <n v="10620097" u="1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8220"/>
    </cacheField>
    <cacheField name="Fat" numFmtId="0">
      <sharedItems containsSemiMixedTypes="0" containsString="0" containsNumber="1" minValue="3" maxValue="8.8000000000000007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3" maxValue="312.36"/>
    </cacheField>
    <cacheField name="Kg snf" numFmtId="164">
      <sharedItems containsSemiMixedTypes="0" containsString="0" containsNumber="1" minValue="0.08" maxValue="657.6"/>
    </cacheField>
    <cacheField name="Rate/Kg" numFmtId="43">
      <sharedItems containsSemiMixedTypes="0" containsString="0" containsNumber="1" minValue="33.001056000000005" maxValue="73.48"/>
    </cacheField>
    <cacheField name="Amount" numFmtId="165">
      <sharedItems containsSemiMixedTypes="0" containsString="0" containsNumber="1" minValue="34.751112000000006" maxValue="313076.06064000004"/>
    </cacheField>
    <cacheField name="FAT Rate" numFmtId="43">
      <sharedItems containsSemiMixedTypes="0" containsString="0" containsNumber="1" minValue="396.01008000000007" maxValue="496.48648648648646"/>
    </cacheField>
    <cacheField name="SNF Rate" numFmtId="43">
      <sharedItems containsSemiMixedTypes="0" containsString="0" containsNumber="1" minValue="264.00672000000003" maxValue="330.99099099099095"/>
    </cacheField>
    <cacheField name="Comm @ 1.75%" numFmtId="165">
      <sharedItems containsSemiMixedTypes="0" containsString="0" containsNumber="1" minValue="0.60814446000000022" maxValue="5478.8310612000014"/>
    </cacheField>
    <cacheField name="OH @ 3.75/kg" numFmtId="1">
      <sharedItems containsSemiMixedTypes="0" containsString="0" containsNumber="1" minValue="3.75" maxValue="30825"/>
    </cacheField>
    <cacheField name="Total Cost" numFmtId="165">
      <sharedItems containsSemiMixedTypes="0" containsString="0" containsNumber="1" minValue="39.109256460000005" maxValue="349379.89170120005"/>
    </cacheField>
    <cacheField name="Cost/Kg" numFmtId="43">
      <sharedItems containsSemiMixedTypes="0" containsString="0" containsNumber="1" minValue="37.32857448" maxValue="78.515900000000002"/>
    </cacheField>
    <cacheField name="FAT Rate2" numFmtId="43">
      <sharedItems containsSemiMixedTypes="0" containsString="0" containsNumber="1" minValue="437.03116549090913" maxValue="530.51283783783776"/>
    </cacheField>
    <cacheField name="SNF Rate2" numFmtId="43">
      <sharedItems containsSemiMixedTypes="0" containsString="0" containsNumber="1" minValue="291.35411032727274" maxValue="353.675225225225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s v="22/05/2026"/>
    <s v="M"/>
    <s v="[1062] RAMGADH"/>
    <s v="[8405] RAMGADH"/>
    <x v="0"/>
    <x v="0"/>
    <x v="0"/>
    <s v="B"/>
    <n v="19"/>
    <n v="8.5"/>
    <n v="9"/>
    <n v="1.615"/>
    <n v="1.71"/>
    <n v="70.975000000000009"/>
    <n v="1348.5250000000001"/>
    <n v="489.48275862068965"/>
    <n v="326.32183908045977"/>
    <n v="23.599187500000003"/>
    <n v="71.25"/>
    <n v="1443.3741875000001"/>
    <n v="75.967062499999997"/>
    <n v="523.91077586206893"/>
    <n v="349.27385057471264"/>
  </r>
  <r>
    <s v="22/05/2026"/>
    <s v="M"/>
    <s v="[1062] RAMGADH"/>
    <s v="[8405] RAMGADH"/>
    <x v="0"/>
    <x v="0"/>
    <x v="0"/>
    <s v="C"/>
    <n v="14"/>
    <n v="3.1"/>
    <n v="8"/>
    <n v="0.434"/>
    <n v="1.1200000000000001"/>
    <n v="33.397056000000006"/>
    <n v="467.55878400000006"/>
    <n v="396.01252173913048"/>
    <n v="264.008347826087"/>
    <n v="8.1822787200000011"/>
    <n v="52.5"/>
    <n v="528.24106272000006"/>
    <n v="37.731504480000005"/>
    <n v="447.40914403162054"/>
    <n v="298.27276268774705"/>
  </r>
  <r>
    <s v="23/05/2026"/>
    <s v="M"/>
    <s v="[1062] RAMGADH"/>
    <s v="[8405] RAMGADH"/>
    <x v="0"/>
    <x v="0"/>
    <x v="0"/>
    <s v="C"/>
    <n v="27"/>
    <n v="4.9000000000000004"/>
    <n v="8.1999999999999993"/>
    <n v="1.3230000000000002"/>
    <n v="2.214"/>
    <n v="41.053082400000001"/>
    <n v="1108.4332248000001"/>
    <n v="396.01044115755633"/>
    <n v="264.0069607717042"/>
    <n v="19.397581434000003"/>
    <n v="101.25"/>
    <n v="1229.080806234"/>
    <n v="45.521511341999997"/>
    <n v="439.11425731832799"/>
    <n v="292.74283821221866"/>
  </r>
  <r>
    <s v="24/05/2026"/>
    <s v="M"/>
    <s v="[1062] RAMGADH"/>
    <s v="[8405] RAMGADH"/>
    <x v="0"/>
    <x v="0"/>
    <x v="0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24/05/2026"/>
    <s v="E"/>
    <s v="[1062] RAMGADH"/>
    <s v="[8405] RAMGADH"/>
    <x v="0"/>
    <x v="0"/>
    <x v="0"/>
    <s v="C"/>
    <n v="12"/>
    <n v="3.8"/>
    <n v="8.1999999999999993"/>
    <n v="0.45599999999999996"/>
    <n v="0.98399999999999987"/>
    <n v="36.697082399999999"/>
    <n v="440.36498879999999"/>
    <n v="396.01168057553957"/>
    <n v="264.0077870503597"/>
    <n v="7.7063873040000006"/>
    <n v="45"/>
    <n v="493.07137610400002"/>
    <n v="41.089281342"/>
    <n v="443.40951088489209"/>
    <n v="295.60634058992804"/>
  </r>
  <r>
    <s v="25/05/2026"/>
    <s v="M"/>
    <s v="[1062] RAMGADH"/>
    <s v="[8405] RAMGADH"/>
    <x v="0"/>
    <x v="0"/>
    <x v="0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5/05/2026"/>
    <s v="E"/>
    <s v="[1062] RAMGADH"/>
    <s v="[8405] RAMGADH"/>
    <x v="0"/>
    <x v="0"/>
    <x v="0"/>
    <s v="C"/>
    <n v="18"/>
    <n v="3.8"/>
    <n v="8.1999999999999993"/>
    <n v="0.68399999999999994"/>
    <n v="1.476"/>
    <n v="36.697082399999999"/>
    <n v="660.54748319999999"/>
    <n v="396.01168057553957"/>
    <n v="264.0077870503597"/>
    <n v="11.559580956000001"/>
    <n v="67.5"/>
    <n v="739.60706415599998"/>
    <n v="41.089281342"/>
    <n v="443.40951088489209"/>
    <n v="295.60634058992804"/>
  </r>
  <r>
    <s v="26/05/2026"/>
    <s v="M"/>
    <s v="[1062] RAMGADH"/>
    <s v="[8405] RAMGADH"/>
    <x v="0"/>
    <x v="0"/>
    <x v="0"/>
    <s v="C"/>
    <n v="18"/>
    <n v="4.5"/>
    <n v="8.3000000000000007"/>
    <n v="0.81"/>
    <n v="1.494"/>
    <n v="41.840153700000002"/>
    <n v="753.12276659999998"/>
    <n v="417.01149867109638"/>
    <n v="278.00766578073092"/>
    <n v="13.179648415500001"/>
    <n v="67.5"/>
    <n v="833.80241501549995"/>
    <n v="46.322356389749999"/>
    <n v="461.68461518023258"/>
    <n v="307.78974345348837"/>
  </r>
  <r>
    <s v="22/05/2026"/>
    <s v="M"/>
    <s v="[1062] RAMGADH"/>
    <s v="[8404] CHANDESH"/>
    <x v="1"/>
    <x v="1"/>
    <x v="1"/>
    <s v="B"/>
    <n v="36"/>
    <n v="6.3"/>
    <n v="8.8000000000000007"/>
    <n v="2.2679999999999998"/>
    <n v="3.1680000000000001"/>
    <n v="52.078949999999999"/>
    <n v="1874.8422"/>
    <n v="428.04616438356163"/>
    <n v="285.36410958904111"/>
    <n v="32.809738500000002"/>
    <n v="135"/>
    <n v="2042.6519385000001"/>
    <n v="56.740331625000003"/>
    <n v="466.35889006849317"/>
    <n v="310.90592671232878"/>
  </r>
  <r>
    <s v="22/05/2026"/>
    <s v="E"/>
    <s v="[1062] RAMGADH"/>
    <s v="[8404] CHANDESH"/>
    <x v="1"/>
    <x v="1"/>
    <x v="1"/>
    <s v="B"/>
    <n v="42"/>
    <n v="5.7"/>
    <n v="8.6"/>
    <n v="2.3940000000000001"/>
    <n v="3.6120000000000001"/>
    <n v="46.643099999999997"/>
    <n v="1959.0101999999999"/>
    <n v="407.95714285714286"/>
    <n v="271.97142857142859"/>
    <n v="34.282678500000003"/>
    <n v="157.5"/>
    <n v="2150.7928784999999"/>
    <n v="51.209354249999997"/>
    <n v="447.89522667638482"/>
    <n v="298.59681778425653"/>
  </r>
  <r>
    <s v="23/05/2026"/>
    <s v="M"/>
    <s v="[1062] RAMGADH"/>
    <s v="[8404] CHANDESH"/>
    <x v="1"/>
    <x v="1"/>
    <x v="1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23/05/2026"/>
    <s v="E"/>
    <s v="[1062] RAMGADH"/>
    <s v="[8404] CHANDESH"/>
    <x v="1"/>
    <x v="1"/>
    <x v="1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s v="23/05/2026"/>
    <s v="E"/>
    <s v="[1062] RAMGADH"/>
    <s v="[8404] CHANDESH"/>
    <x v="1"/>
    <x v="1"/>
    <x v="1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24/05/2026"/>
    <s v="M"/>
    <s v="[1062] RAMGADH"/>
    <s v="[8404] CHANDESH"/>
    <x v="1"/>
    <x v="1"/>
    <x v="1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24/05/2026"/>
    <s v="E"/>
    <s v="[1062] RAMGADH"/>
    <s v="[8404] CHANDESH"/>
    <x v="1"/>
    <x v="1"/>
    <x v="1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24/05/2026"/>
    <s v="E"/>
    <s v="[1062] RAMGADH"/>
    <s v="[8404] CHANDESH"/>
    <x v="1"/>
    <x v="1"/>
    <x v="1"/>
    <s v="C"/>
    <n v="27"/>
    <n v="4"/>
    <n v="8"/>
    <n v="1.08"/>
    <n v="2.16"/>
    <n v="36.961055999999999"/>
    <n v="997.94851199999994"/>
    <n v="396.01131428571426"/>
    <n v="264.00754285714282"/>
    <n v="17.464098960000001"/>
    <n v="101.25"/>
    <n v="1116.6626109599999"/>
    <n v="41.35787448"/>
    <n v="443.12008371428567"/>
    <n v="295.41338914285711"/>
  </r>
  <r>
    <s v="25/05/2026"/>
    <s v="M"/>
    <s v="[1062] RAMGADH"/>
    <s v="[8404] CHANDESH"/>
    <x v="1"/>
    <x v="1"/>
    <x v="1"/>
    <s v="B"/>
    <n v="34"/>
    <n v="6.2"/>
    <n v="8.4"/>
    <n v="2.1080000000000001"/>
    <n v="2.8560000000000003"/>
    <n v="50.216900000000003"/>
    <n v="1707.3746000000001"/>
    <n v="425.56694915254241"/>
    <n v="283.71129943502825"/>
    <n v="29.879055500000003"/>
    <n v="127.5"/>
    <n v="1864.7536555000001"/>
    <n v="54.845695750000004"/>
    <n v="464.79403177966105"/>
    <n v="309.86268785310739"/>
  </r>
  <r>
    <s v="25/05/2026"/>
    <s v="M"/>
    <s v="[1062] RAMGADH"/>
    <s v="[8404] CHANDESH"/>
    <x v="1"/>
    <x v="1"/>
    <x v="1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5/05/2026"/>
    <s v="E"/>
    <s v="[1062] RAMGADH"/>
    <s v="[8404] CHANDESH"/>
    <x v="1"/>
    <x v="1"/>
    <x v="1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25/05/2026"/>
    <s v="E"/>
    <s v="[1062] RAMGADH"/>
    <s v="[8404] CHANDESH"/>
    <x v="1"/>
    <x v="1"/>
    <x v="1"/>
    <s v="C"/>
    <n v="63"/>
    <n v="3.2"/>
    <n v="8.1"/>
    <n v="2.016"/>
    <n v="5.1029999999999998"/>
    <n v="34.057069200000001"/>
    <n v="2145.5953595999999"/>
    <n v="396.01243255813955"/>
    <n v="264.00828837209303"/>
    <n v="37.547918793000001"/>
    <n v="236.25"/>
    <n v="2419.3932783929999"/>
    <n v="38.403067911000001"/>
    <n v="446.5473012906977"/>
    <n v="297.69820086046514"/>
  </r>
  <r>
    <s v="26/05/2026"/>
    <s v="M"/>
    <s v="[1062] RAMGADH"/>
    <s v="[8404] CHANDESH"/>
    <x v="1"/>
    <x v="1"/>
    <x v="1"/>
    <s v="B"/>
    <n v="37"/>
    <n v="6.2"/>
    <n v="8.8000000000000007"/>
    <n v="2.294"/>
    <n v="3.2560000000000002"/>
    <n v="51.252300000000005"/>
    <n v="1896.3351000000002"/>
    <n v="424.74281767955802"/>
    <n v="283.1618784530387"/>
    <n v="33.185864250000009"/>
    <n v="138.75"/>
    <n v="2068.2709642500004"/>
    <n v="55.899215250000012"/>
    <n v="463.2531650552487"/>
    <n v="308.83544337016582"/>
  </r>
  <r>
    <s v="26/05/2026"/>
    <s v="E"/>
    <s v="[1062] RAMGADH"/>
    <s v="[8404] CHANDESH"/>
    <x v="1"/>
    <x v="1"/>
    <x v="1"/>
    <s v="B"/>
    <n v="38"/>
    <n v="6"/>
    <n v="9"/>
    <n v="2.2799999999999998"/>
    <n v="3.42"/>
    <n v="50.1"/>
    <n v="1903.8"/>
    <n v="417.5"/>
    <n v="278.33333333333331"/>
    <n v="33.316500000000005"/>
    <n v="142.5"/>
    <n v="2079.6165000000001"/>
    <n v="54.726750000000003"/>
    <n v="456.05625000000003"/>
    <n v="304.03750000000002"/>
  </r>
  <r>
    <s v="26/05/2026"/>
    <s v="E"/>
    <s v="[1062] RAMGADH"/>
    <s v="[8404] CHANDESH"/>
    <x v="1"/>
    <x v="1"/>
    <x v="1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27/05/2026"/>
    <s v="M"/>
    <s v="[1062] RAMGADH"/>
    <s v="[8404] CHANDESH"/>
    <x v="1"/>
    <x v="1"/>
    <x v="1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27/05/2026"/>
    <s v="E"/>
    <s v="[1062] RAMGADH"/>
    <s v="[8404] CHANDESH"/>
    <x v="1"/>
    <x v="1"/>
    <x v="1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28/05/2026"/>
    <s v="M"/>
    <s v="[1062] RAMGADH"/>
    <s v="[8404] CHANDESH"/>
    <x v="1"/>
    <x v="1"/>
    <x v="1"/>
    <s v="B"/>
    <n v="21"/>
    <n v="5.9"/>
    <n v="8.6"/>
    <n v="1.2390000000000001"/>
    <n v="1.806"/>
    <n v="48.279699999999998"/>
    <n v="1013.8737"/>
    <n v="415.01174785100284"/>
    <n v="276.67449856733521"/>
    <n v="17.74278975"/>
    <n v="78.75"/>
    <n v="1110.36648975"/>
    <n v="52.87459475"/>
    <n v="454.50941045845275"/>
    <n v="303.00627363896848"/>
  </r>
  <r>
    <s v="28/05/2026"/>
    <s v="E"/>
    <s v="[1062] RAMGADH"/>
    <s v="[8404] CHANDESH"/>
    <x v="1"/>
    <x v="1"/>
    <x v="1"/>
    <s v="B"/>
    <n v="35"/>
    <n v="5.8"/>
    <n v="8.8000000000000007"/>
    <n v="2.0299999999999998"/>
    <n v="3.08"/>
    <n v="47.945700000000002"/>
    <n v="1678.0995"/>
    <n v="410.96314285714288"/>
    <n v="273.97542857142861"/>
    <n v="29.366741250000004"/>
    <n v="131.25"/>
    <n v="1838.7162412500002"/>
    <n v="52.534749750000003"/>
    <n v="450.29785500000003"/>
    <n v="300.19857000000002"/>
  </r>
  <r>
    <s v="28/05/2026"/>
    <s v="E"/>
    <s v="[1062] RAMGADH"/>
    <s v="[8404] CHANDESH"/>
    <x v="1"/>
    <x v="1"/>
    <x v="1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22/05/2026"/>
    <s v="M"/>
    <s v="[1062] RAMGADH"/>
    <s v="[8403] MOHANIA"/>
    <x v="2"/>
    <x v="2"/>
    <x v="2"/>
    <s v="B"/>
    <n v="8"/>
    <n v="6.4"/>
    <n v="8.4"/>
    <n v="0.51200000000000001"/>
    <n v="0.67200000000000004"/>
    <n v="51.836799999999997"/>
    <n v="414.69439999999997"/>
    <n v="431.9733333333333"/>
    <n v="287.98222222222222"/>
    <n v="7.2571520000000005"/>
    <n v="30"/>
    <n v="451.95155199999999"/>
    <n v="56.493943999999999"/>
    <n v="470.78286666666668"/>
    <n v="313.85524444444445"/>
  </r>
  <r>
    <s v="22/05/2026"/>
    <s v="M"/>
    <s v="[1062] RAMGADH"/>
    <s v="[8403] MOHANIA"/>
    <x v="2"/>
    <x v="2"/>
    <x v="2"/>
    <s v="C"/>
    <n v="25"/>
    <n v="3.3"/>
    <n v="8"/>
    <n v="0.82499999999999996"/>
    <n v="2"/>
    <n v="34.189056000000008"/>
    <n v="854.72640000000024"/>
    <n v="396.01223166023169"/>
    <n v="264.00815444015444"/>
    <n v="14.957712000000006"/>
    <n v="93.75"/>
    <n v="963.43411200000025"/>
    <n v="38.537364480000008"/>
    <n v="446.37873915057918"/>
    <n v="297.5858261003861"/>
  </r>
  <r>
    <s v="22/05/2026"/>
    <s v="E"/>
    <s v="[1062] RAMGADH"/>
    <s v="[8403] MOHANIA"/>
    <x v="2"/>
    <x v="2"/>
    <x v="2"/>
    <s v="C"/>
    <n v="24"/>
    <n v="3.6"/>
    <n v="8"/>
    <n v="0.8640000000000001"/>
    <n v="1.92"/>
    <n v="35.377056000000003"/>
    <n v="849.04934400000002"/>
    <n v="396.01182089552236"/>
    <n v="264.00788059701489"/>
    <n v="14.858363520000001"/>
    <n v="90"/>
    <n v="953.90770752000003"/>
    <n v="39.746154480000001"/>
    <n v="444.91963970149249"/>
    <n v="296.61309313432832"/>
  </r>
  <r>
    <s v="23/05/2026"/>
    <s v="M"/>
    <s v="[1062] RAMGADH"/>
    <s v="[8403] MOHANIA"/>
    <x v="2"/>
    <x v="2"/>
    <x v="2"/>
    <s v="C"/>
    <n v="26"/>
    <n v="3.6"/>
    <n v="8"/>
    <n v="0.93600000000000005"/>
    <n v="2.08"/>
    <n v="35.377056000000003"/>
    <n v="919.8034560000001"/>
    <n v="396.01182089552236"/>
    <n v="264.00788059701489"/>
    <n v="16.096560480000004"/>
    <n v="97.5"/>
    <n v="1033.4000164800002"/>
    <n v="39.746154480000008"/>
    <n v="444.91963970149254"/>
    <n v="296.61309313432838"/>
  </r>
  <r>
    <s v="23/05/2026"/>
    <s v="E"/>
    <s v="[1062] RAMGADH"/>
    <s v="[8403] MOHANIA"/>
    <x v="2"/>
    <x v="2"/>
    <x v="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4/05/2026"/>
    <s v="M"/>
    <s v="[1062] RAMGADH"/>
    <s v="[8403] MOHANIA"/>
    <x v="2"/>
    <x v="2"/>
    <x v="2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24/05/2026"/>
    <s v="E"/>
    <s v="[1062] RAMGADH"/>
    <s v="[8403] MOHANIA"/>
    <x v="2"/>
    <x v="2"/>
    <x v="2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5/05/2026"/>
    <s v="M"/>
    <s v="[1062] RAMGADH"/>
    <s v="[8403] MOHANIA"/>
    <x v="2"/>
    <x v="2"/>
    <x v="2"/>
    <s v="C"/>
    <n v="25"/>
    <n v="3.6"/>
    <n v="8"/>
    <n v="0.9"/>
    <n v="2"/>
    <n v="35.377056000000003"/>
    <n v="884.42640000000006"/>
    <n v="396.01182089552236"/>
    <n v="264.00788059701489"/>
    <n v="15.477462000000003"/>
    <n v="93.75"/>
    <n v="993.65386200000012"/>
    <n v="39.746154480000001"/>
    <n v="444.91963970149249"/>
    <n v="296.61309313432832"/>
  </r>
  <r>
    <s v="25/05/2026"/>
    <s v="E"/>
    <s v="[1062] RAMGADH"/>
    <s v="[8403] MOHANIA"/>
    <x v="2"/>
    <x v="2"/>
    <x v="2"/>
    <s v="C"/>
    <n v="25"/>
    <n v="3.7"/>
    <n v="8.1"/>
    <n v="0.92500000000000004"/>
    <n v="2.0249999999999999"/>
    <n v="36.037069200000005"/>
    <n v="900.92673000000013"/>
    <n v="396.01174945054953"/>
    <n v="264.00783296703304"/>
    <n v="15.766217775000003"/>
    <n v="93.75"/>
    <n v="1010.4429477750001"/>
    <n v="40.417717911000004"/>
    <n v="444.15074627472535"/>
    <n v="296.10049751648359"/>
  </r>
  <r>
    <s v="26/05/2026"/>
    <s v="M"/>
    <s v="[1062] RAMGADH"/>
    <s v="[8403] MOHANIA"/>
    <x v="2"/>
    <x v="2"/>
    <x v="2"/>
    <s v="C"/>
    <n v="24"/>
    <n v="3.8"/>
    <n v="8.1"/>
    <n v="0.91199999999999992"/>
    <n v="1.9439999999999997"/>
    <n v="38.365125900000002"/>
    <n v="920.7630216"/>
    <n v="417.01223804347831"/>
    <n v="278.00815869565218"/>
    <n v="16.113352878000001"/>
    <n v="90"/>
    <n v="1026.8763744779999"/>
    <n v="42.786515603249995"/>
    <n v="465.07082177445648"/>
    <n v="310.04721451630434"/>
  </r>
  <r>
    <s v="26/05/2026"/>
    <s v="E"/>
    <s v="[1062] RAMGADH"/>
    <s v="[8403] MOHANIA"/>
    <x v="2"/>
    <x v="2"/>
    <x v="2"/>
    <s v="C"/>
    <n v="23"/>
    <n v="4"/>
    <n v="8.1"/>
    <n v="0.92"/>
    <n v="1.8629999999999998"/>
    <n v="39.199125899999999"/>
    <n v="901.57989569999995"/>
    <n v="417.01197765957443"/>
    <n v="278.00798510638293"/>
    <n v="15.77764817475"/>
    <n v="86.25"/>
    <n v="1003.6075438747499"/>
    <n v="43.635110603249998"/>
    <n v="464.20330428989359"/>
    <n v="309.46886952659571"/>
  </r>
  <r>
    <s v="27/05/2026"/>
    <s v="E"/>
    <s v="[1062] RAMGADH"/>
    <s v="[8403] MOHANIA"/>
    <x v="2"/>
    <x v="2"/>
    <x v="2"/>
    <s v="C"/>
    <n v="18"/>
    <n v="3.9"/>
    <n v="8.1999999999999993"/>
    <n v="0.70200000000000007"/>
    <n v="1.476"/>
    <n v="39.060139800000002"/>
    <n v="703.08251640000003"/>
    <n v="417.01216868327407"/>
    <n v="278.00811245551603"/>
    <n v="12.303944037000001"/>
    <n v="67.5"/>
    <n v="782.8864604370001"/>
    <n v="43.493692246500004"/>
    <n v="464.34546882384348"/>
    <n v="309.5636458825623"/>
  </r>
  <r>
    <s v="28/05/2026"/>
    <s v="M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28/05/2026"/>
    <s v="E"/>
    <s v="[1062] RAMGADH"/>
    <s v="[8403] MOHANIA"/>
    <x v="2"/>
    <x v="2"/>
    <x v="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2/05/2026"/>
    <s v="M"/>
    <s v="[1062] RAMGADH"/>
    <s v="[8403] MOHANIA"/>
    <x v="3"/>
    <x v="3"/>
    <x v="3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22/05/2026"/>
    <s v="M"/>
    <s v="[1062] RAMGADH"/>
    <s v="[8403] MOHANIA"/>
    <x v="3"/>
    <x v="3"/>
    <x v="3"/>
    <s v="C"/>
    <n v="16"/>
    <n v="3.3"/>
    <n v="8.1"/>
    <n v="0.52800000000000002"/>
    <n v="1.296"/>
    <n v="34.453069200000002"/>
    <n v="551.24910720000003"/>
    <n v="396.01228965517248"/>
    <n v="264.00819310344832"/>
    <n v="9.6468593760000019"/>
    <n v="60"/>
    <n v="620.89596657600009"/>
    <n v="38.805997911000006"/>
    <n v="446.04595300000011"/>
    <n v="297.36396866666672"/>
  </r>
  <r>
    <s v="22/05/2026"/>
    <s v="E"/>
    <s v="[1062] RAMGADH"/>
    <s v="[8403] MOHANIA"/>
    <x v="3"/>
    <x v="3"/>
    <x v="3"/>
    <s v="C"/>
    <n v="27"/>
    <n v="3.9"/>
    <n v="8.1999999999999993"/>
    <n v="1.0529999999999999"/>
    <n v="2.214"/>
    <n v="37.0930824"/>
    <n v="1001.5132248"/>
    <n v="396.01155587188612"/>
    <n v="264.00770391459076"/>
    <n v="17.526481434000001"/>
    <n v="101.25"/>
    <n v="1120.2897062340001"/>
    <n v="41.492211342000004"/>
    <n v="442.97734528825629"/>
    <n v="295.31823019217086"/>
  </r>
  <r>
    <s v="23/05/2026"/>
    <s v="M"/>
    <s v="[1062] RAMGADH"/>
    <s v="[8403] MOHANIA"/>
    <x v="3"/>
    <x v="3"/>
    <x v="3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23/05/2026"/>
    <s v="M"/>
    <s v="[1062] RAMGADH"/>
    <s v="[8403] MOHANIA"/>
    <x v="3"/>
    <x v="3"/>
    <x v="3"/>
    <s v="C"/>
    <n v="17"/>
    <n v="3.5"/>
    <n v="8"/>
    <n v="0.59499999999999997"/>
    <n v="1.36"/>
    <n v="34.981056000000002"/>
    <n v="594.677952"/>
    <n v="396.01195471698111"/>
    <n v="264.00796981132072"/>
    <n v="10.406864160000001"/>
    <n v="63.75"/>
    <n v="668.83481615999995"/>
    <n v="39.343224479999996"/>
    <n v="445.39499411320742"/>
    <n v="296.92999607547159"/>
  </r>
  <r>
    <s v="23/05/2026"/>
    <s v="E"/>
    <s v="[1062] RAMGADH"/>
    <s v="[8403] MOHANIA"/>
    <x v="3"/>
    <x v="3"/>
    <x v="3"/>
    <s v="C"/>
    <n v="21"/>
    <n v="3.7"/>
    <n v="8.1999999999999993"/>
    <n v="0.77700000000000002"/>
    <n v="1.722"/>
    <n v="36.301082400000006"/>
    <n v="762.32273040000007"/>
    <n v="396.01180800000003"/>
    <n v="264.00787200000002"/>
    <n v="13.340647782000003"/>
    <n v="78.75"/>
    <n v="854.41337818200009"/>
    <n v="40.686351342000002"/>
    <n v="443.8511055490909"/>
    <n v="295.90073703272725"/>
  </r>
  <r>
    <s v="24/05/2026"/>
    <s v="M"/>
    <s v="[1062] RAMGADH"/>
    <s v="[8403] MOHANIA"/>
    <x v="3"/>
    <x v="3"/>
    <x v="3"/>
    <s v="C"/>
    <n v="19"/>
    <n v="4.5999999999999996"/>
    <n v="8.1"/>
    <n v="0.87399999999999989"/>
    <n v="1.5390000000000001"/>
    <n v="39.601069200000005"/>
    <n v="752.42031480000014"/>
    <n v="396.01069200000001"/>
    <n v="264.00712800000002"/>
    <n v="13.167355509000004"/>
    <n v="71.25"/>
    <n v="836.83767030900015"/>
    <n v="44.044087911000005"/>
    <n v="440.44087911000003"/>
    <n v="293.62725274000002"/>
  </r>
  <r>
    <s v="24/05/2026"/>
    <s v="E"/>
    <s v="[1062] RAMGADH"/>
    <s v="[8403] MOHANIA"/>
    <x v="3"/>
    <x v="3"/>
    <x v="3"/>
    <s v="C"/>
    <n v="21"/>
    <n v="3.8"/>
    <n v="8.3000000000000007"/>
    <n v="0.79799999999999993"/>
    <n v="1.7430000000000001"/>
    <n v="36.961095600000007"/>
    <n v="776.18300760000011"/>
    <n v="396.01173857142862"/>
    <n v="264.00782571428573"/>
    <n v="13.583202633000003"/>
    <n v="78.75"/>
    <n v="868.51621023300015"/>
    <n v="41.357914773000005"/>
    <n v="443.12051542500001"/>
    <n v="295.41367695000002"/>
  </r>
  <r>
    <s v="25/05/2026"/>
    <s v="M"/>
    <s v="[1062] RAMGADH"/>
    <s v="[8403] MOHANIA"/>
    <x v="3"/>
    <x v="3"/>
    <x v="3"/>
    <s v="C"/>
    <n v="18"/>
    <n v="4.8"/>
    <n v="8.1"/>
    <n v="0.86399999999999988"/>
    <n v="1.4579999999999997"/>
    <n v="40.393069199999999"/>
    <n v="727.07524560000002"/>
    <n v="396.01048235294115"/>
    <n v="264.0069882352941"/>
    <n v="12.723816798000001"/>
    <n v="67.5"/>
    <n v="807.29906239800005"/>
    <n v="44.849947911000001"/>
    <n v="439.70537167647058"/>
    <n v="293.13691445098038"/>
  </r>
  <r>
    <s v="25/05/2026"/>
    <s v="E"/>
    <s v="[1062] RAMGADH"/>
    <s v="[8403] MOHANIA"/>
    <x v="3"/>
    <x v="3"/>
    <x v="3"/>
    <s v="C"/>
    <n v="22"/>
    <n v="3.8"/>
    <n v="8.1999999999999993"/>
    <n v="0.83599999999999997"/>
    <n v="1.8039999999999998"/>
    <n v="36.697082399999999"/>
    <n v="807.33581279999999"/>
    <n v="396.01168057553957"/>
    <n v="264.0077870503597"/>
    <n v="14.128376724000001"/>
    <n v="82.5"/>
    <n v="903.96418952399995"/>
    <n v="41.089281342"/>
    <n v="443.40951088489209"/>
    <n v="295.60634058992804"/>
  </r>
  <r>
    <s v="26/05/2026"/>
    <s v="M"/>
    <s v="[1062] RAMGADH"/>
    <s v="[8403] MOHANIA"/>
    <x v="3"/>
    <x v="3"/>
    <x v="3"/>
    <s v="C"/>
    <n v="20"/>
    <n v="4.5"/>
    <n v="8.3000000000000007"/>
    <n v="0.9"/>
    <n v="1.66"/>
    <n v="41.840153700000002"/>
    <n v="836.80307400000004"/>
    <n v="417.01149867109638"/>
    <n v="278.00766578073092"/>
    <n v="14.644053795000001"/>
    <n v="75"/>
    <n v="926.44712779500003"/>
    <n v="46.322356389749999"/>
    <n v="461.68461518023258"/>
    <n v="307.78974345348837"/>
  </r>
  <r>
    <s v="26/05/2026"/>
    <s v="E"/>
    <s v="[1062] RAMGADH"/>
    <s v="[8403] MOHANIA"/>
    <x v="3"/>
    <x v="3"/>
    <x v="3"/>
    <s v="C"/>
    <n v="27"/>
    <n v="4.0999999999999996"/>
    <n v="8.5"/>
    <n v="1.107"/>
    <n v="2.2949999999999999"/>
    <n v="40.728181500000005"/>
    <n v="1099.6609005"/>
    <n v="417.01209726962463"/>
    <n v="278.0080648464164"/>
    <n v="19.244065758750001"/>
    <n v="101.25"/>
    <n v="1220.1549662587499"/>
    <n v="45.190924676249999"/>
    <n v="462.70571340870305"/>
    <n v="308.47047560580205"/>
  </r>
  <r>
    <s v="27/05/2026"/>
    <s v="M"/>
    <s v="[1062] RAMGADH"/>
    <s v="[8403] MOHANIA"/>
    <x v="3"/>
    <x v="3"/>
    <x v="3"/>
    <s v="C"/>
    <n v="19"/>
    <n v="4.7"/>
    <n v="8.5"/>
    <n v="0.89300000000000002"/>
    <n v="1.615"/>
    <n v="43.2301815"/>
    <n v="821.37344849999999"/>
    <n v="417.01139710610931"/>
    <n v="278.00759807073956"/>
    <n v="14.374035348750001"/>
    <n v="71.25"/>
    <n v="906.99748384874999"/>
    <n v="47.736709676250001"/>
    <n v="460.48272999598072"/>
    <n v="306.98848666398715"/>
  </r>
  <r>
    <s v="27/05/2026"/>
    <s v="E"/>
    <s v="[1062] RAMGADH"/>
    <s v="[8403] MOHANIA"/>
    <x v="3"/>
    <x v="3"/>
    <x v="3"/>
    <s v="C"/>
    <n v="23"/>
    <n v="3.7"/>
    <n v="8.5"/>
    <n v="0.85100000000000009"/>
    <n v="1.9550000000000001"/>
    <n v="39.060181500000006"/>
    <n v="898.38417450000009"/>
    <n v="417.0126138790036"/>
    <n v="278.00840925266908"/>
    <n v="15.721723053750003"/>
    <n v="86.25"/>
    <n v="1000.3558975537501"/>
    <n v="43.493734676250007"/>
    <n v="464.34592181049823"/>
    <n v="309.56394787366548"/>
  </r>
  <r>
    <s v="28/05/2026"/>
    <s v="M"/>
    <s v="[1062] RAMGADH"/>
    <s v="[8403] MOHANIA"/>
    <x v="3"/>
    <x v="3"/>
    <x v="3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28/05/2026"/>
    <s v="M"/>
    <s v="[1062] RAMGADH"/>
    <s v="[8403] MOHANIA"/>
    <x v="3"/>
    <x v="3"/>
    <x v="3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28/05/2026"/>
    <s v="E"/>
    <s v="[1062] RAMGADH"/>
    <s v="[8403] MOHANIA"/>
    <x v="3"/>
    <x v="3"/>
    <x v="3"/>
    <s v="C"/>
    <n v="21"/>
    <n v="3.7"/>
    <n v="8.1999999999999993"/>
    <n v="0.77700000000000002"/>
    <n v="1.722"/>
    <n v="38.226139799999999"/>
    <n v="802.74893580000003"/>
    <n v="417.01243418181815"/>
    <n v="278.00828945454543"/>
    <n v="14.048106376500002"/>
    <n v="78.75"/>
    <n v="895.54704217649999"/>
    <n v="42.645097246500001"/>
    <n v="465.21924268909089"/>
    <n v="310.14616179272724"/>
  </r>
  <r>
    <s v="22/05/2026"/>
    <s v="M"/>
    <s v="[1062] RAMGADH"/>
    <s v="[8403] MOHANIA"/>
    <x v="4"/>
    <x v="4"/>
    <x v="4"/>
    <s v="C"/>
    <n v="9"/>
    <n v="4.7"/>
    <n v="8.4"/>
    <n v="0.42300000000000004"/>
    <n v="0.75600000000000012"/>
    <n v="40.789108800000008"/>
    <n v="367.10197920000007"/>
    <n v="396.01076504854376"/>
    <n v="264.00717669902917"/>
    <n v="6.4242846360000021"/>
    <n v="33.75"/>
    <n v="407.27626383600006"/>
    <n v="45.252918204000004"/>
    <n v="439.34872042718445"/>
    <n v="292.89914695145632"/>
  </r>
  <r>
    <s v="22/05/2026"/>
    <s v="E"/>
    <s v="[1062] RAMGADH"/>
    <s v="[8403] MOHANIA"/>
    <x v="4"/>
    <x v="4"/>
    <x v="4"/>
    <s v="C"/>
    <n v="9"/>
    <n v="4.3"/>
    <n v="8.1999999999999993"/>
    <n v="0.38699999999999996"/>
    <n v="0.73799999999999999"/>
    <n v="38.677082400000003"/>
    <n v="348.09374160000004"/>
    <n v="396.01108259385677"/>
    <n v="264.00738839590451"/>
    <n v="6.0916404780000013"/>
    <n v="33.75"/>
    <n v="387.93538207800003"/>
    <n v="43.103931342000003"/>
    <n v="441.33718097610932"/>
    <n v="294.2247873174062"/>
  </r>
  <r>
    <s v="23/05/2026"/>
    <s v="M"/>
    <s v="[1062] RAMGADH"/>
    <s v="[8403] MOHANIA"/>
    <x v="4"/>
    <x v="4"/>
    <x v="4"/>
    <s v="C"/>
    <n v="10"/>
    <n v="4.5"/>
    <n v="8.1999999999999993"/>
    <n v="0.45"/>
    <n v="0.82"/>
    <n v="39.469082400000005"/>
    <n v="394.69082400000002"/>
    <n v="396.01086020066901"/>
    <n v="264.00724013377936"/>
    <n v="6.907089420000001"/>
    <n v="37.5"/>
    <n v="439.09791342"/>
    <n v="43.909791341999998"/>
    <n v="440.56646831438132"/>
    <n v="293.71097887625422"/>
  </r>
  <r>
    <s v="23/05/2026"/>
    <s v="E"/>
    <s v="[1062] RAMGADH"/>
    <s v="[8403] MOHANIA"/>
    <x v="4"/>
    <x v="4"/>
    <x v="4"/>
    <s v="C"/>
    <n v="9"/>
    <n v="4.5999999999999996"/>
    <n v="8.1999999999999993"/>
    <n v="0.41399999999999998"/>
    <n v="0.73799999999999999"/>
    <n v="39.865082400000006"/>
    <n v="358.78574160000005"/>
    <n v="396.01075231788087"/>
    <n v="264.0071682119206"/>
    <n v="6.2787504780000019"/>
    <n v="33.75"/>
    <n v="398.81449207800006"/>
    <n v="44.312721342000003"/>
    <n v="440.19259611258286"/>
    <n v="293.46173074172191"/>
  </r>
  <r>
    <s v="24/05/2026"/>
    <s v="M"/>
    <s v="[1062] RAMGADH"/>
    <s v="[8403] MOHANIA"/>
    <x v="4"/>
    <x v="4"/>
    <x v="4"/>
    <s v="C"/>
    <n v="9"/>
    <n v="5"/>
    <n v="8.5"/>
    <n v="0.45"/>
    <n v="0.76500000000000001"/>
    <n v="42.241122000000004"/>
    <n v="380.17009800000005"/>
    <n v="396.01051875000002"/>
    <n v="264.00701250000003"/>
    <n v="6.6529767150000012"/>
    <n v="33.75"/>
    <n v="420.57307471500008"/>
    <n v="46.730341635000009"/>
    <n v="438.09695282812504"/>
    <n v="292.06463521875003"/>
  </r>
  <r>
    <s v="24/05/2026"/>
    <s v="E"/>
    <s v="[1062] RAMGADH"/>
    <s v="[8403] MOHANIA"/>
    <x v="4"/>
    <x v="4"/>
    <x v="4"/>
    <s v="C"/>
    <n v="9"/>
    <n v="4.5"/>
    <n v="8.1999999999999993"/>
    <n v="0.40500000000000003"/>
    <n v="0.73799999999999999"/>
    <n v="39.469082400000005"/>
    <n v="355.22174160000003"/>
    <n v="396.01086020066901"/>
    <n v="264.00724013377936"/>
    <n v="6.2163804780000014"/>
    <n v="33.75"/>
    <n v="395.18812207800005"/>
    <n v="43.909791342000005"/>
    <n v="440.56646831438138"/>
    <n v="293.71097887625427"/>
  </r>
  <r>
    <s v="25/05/2026"/>
    <s v="M"/>
    <s v="[1062] RAMGADH"/>
    <s v="[8403] MOHANIA"/>
    <x v="4"/>
    <x v="4"/>
    <x v="4"/>
    <s v="C"/>
    <n v="9"/>
    <n v="4.8"/>
    <n v="8.1999999999999993"/>
    <n v="0.43199999999999994"/>
    <n v="0.73799999999999999"/>
    <n v="40.6570824"/>
    <n v="365.91374159999998"/>
    <n v="396.01054285714292"/>
    <n v="264.00702857142863"/>
    <n v="6.4034904780000002"/>
    <n v="33.75"/>
    <n v="406.06723207799996"/>
    <n v="45.118581341999999"/>
    <n v="439.46670138311691"/>
    <n v="292.97780092207796"/>
  </r>
  <r>
    <s v="25/05/2026"/>
    <s v="E"/>
    <s v="[1062] RAMGADH"/>
    <s v="[8403] MOHANIA"/>
    <x v="4"/>
    <x v="4"/>
    <x v="4"/>
    <s v="C"/>
    <n v="9"/>
    <n v="4.5999999999999996"/>
    <n v="8.1999999999999993"/>
    <n v="0.41399999999999998"/>
    <n v="0.73799999999999999"/>
    <n v="39.865082400000006"/>
    <n v="358.78574160000005"/>
    <n v="396.01075231788087"/>
    <n v="264.0071682119206"/>
    <n v="6.2787504780000019"/>
    <n v="33.75"/>
    <n v="398.81449207800006"/>
    <n v="44.312721342000003"/>
    <n v="440.19259611258286"/>
    <n v="293.46173074172191"/>
  </r>
  <r>
    <s v="26/05/2026"/>
    <s v="M"/>
    <s v="[1062] RAMGADH"/>
    <s v="[8403] MOHANIA"/>
    <x v="4"/>
    <x v="4"/>
    <x v="4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26/05/2026"/>
    <s v="E"/>
    <s v="[1062] RAMGADH"/>
    <s v="[8403] MOHANIA"/>
    <x v="4"/>
    <x v="4"/>
    <x v="4"/>
    <s v="C"/>
    <n v="8"/>
    <n v="5.0999999999999996"/>
    <n v="8.5"/>
    <n v="0.40799999999999997"/>
    <n v="0.68"/>
    <n v="44.898181500000007"/>
    <n v="359.18545200000005"/>
    <n v="417.01097368421063"/>
    <n v="278.00731578947375"/>
    <n v="6.2857454100000014"/>
    <n v="30"/>
    <n v="395.47119741000006"/>
    <n v="49.433899676250007"/>
    <n v="459.13838708591339"/>
    <n v="306.09225805727561"/>
  </r>
  <r>
    <s v="27/05/2026"/>
    <s v="M"/>
    <s v="[1062] RAMGADH"/>
    <s v="[8403] MOHANIA"/>
    <x v="4"/>
    <x v="4"/>
    <x v="4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27/05/2026"/>
    <s v="E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8/05/2026"/>
    <s v="M"/>
    <s v="[1062] RAMGADH"/>
    <s v="[8403] MOHANIA"/>
    <x v="4"/>
    <x v="4"/>
    <x v="4"/>
    <s v="B"/>
    <n v="4"/>
    <n v="6.5"/>
    <n v="8.8000000000000007"/>
    <n v="0.26"/>
    <n v="0.35200000000000004"/>
    <n v="53.732250000000001"/>
    <n v="214.929"/>
    <n v="434.49258760107813"/>
    <n v="289.66172506738542"/>
    <n v="3.7612575000000006"/>
    <n v="15"/>
    <n v="233.6902575"/>
    <n v="58.422564375"/>
    <n v="472.41965801886789"/>
    <n v="314.94643867924526"/>
  </r>
  <r>
    <s v="28/05/2026"/>
    <s v="E"/>
    <s v="[1062] RAMGADH"/>
    <s v="[8403] MOHANIA"/>
    <x v="4"/>
    <x v="4"/>
    <x v="4"/>
    <s v="C"/>
    <n v="10"/>
    <n v="4.0999999999999996"/>
    <n v="8.1"/>
    <n v="0.41"/>
    <n v="0.81"/>
    <n v="39.6161259"/>
    <n v="396.16125899999997"/>
    <n v="417.01185157894736"/>
    <n v="278.00790105263155"/>
    <n v="6.9328220324999998"/>
    <n v="37.5"/>
    <n v="440.59408103249996"/>
    <n v="44.059408103249993"/>
    <n v="463.7832431921052"/>
    <n v="309.18882879473682"/>
  </r>
  <r>
    <s v="23/05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26/05/2026"/>
    <s v="M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26/05/2026"/>
    <s v="M"/>
    <s v="[1062] RAMGADH"/>
    <s v="[8404] CHANDESH"/>
    <x v="5"/>
    <x v="5"/>
    <x v="5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26/05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26/05/2026"/>
    <s v="E"/>
    <s v="[1062] RAMGADH"/>
    <s v="[8404] CHANDESH"/>
    <x v="5"/>
    <x v="5"/>
    <x v="5"/>
    <s v="C"/>
    <n v="200"/>
    <n v="4"/>
    <n v="8.1999999999999993"/>
    <n v="8"/>
    <n v="16.399999999999999"/>
    <n v="39.477139800000003"/>
    <n v="7895.4279600000009"/>
    <n v="417.0120401408451"/>
    <n v="278.00802676056338"/>
    <n v="138.16998930000003"/>
    <n v="750"/>
    <n v="8783.5979493000013"/>
    <n v="43.917989746500005"/>
    <n v="463.92242689964797"/>
    <n v="309.28161793309863"/>
  </r>
  <r>
    <s v="27/05/2026"/>
    <s v="E"/>
    <s v="[1062] RAMGADH"/>
    <s v="[8404] CHANDESH"/>
    <x v="5"/>
    <x v="5"/>
    <x v="5"/>
    <s v="B"/>
    <n v="4450"/>
    <n v="5.6"/>
    <n v="8.4"/>
    <n v="249.2"/>
    <n v="373.8"/>
    <n v="45.357199999999999"/>
    <n v="201839.54"/>
    <n v="404.97500000000002"/>
    <n v="269.98333333333335"/>
    <n v="3532.1919500000004"/>
    <n v="16687.5"/>
    <n v="222059.23195000002"/>
    <n v="49.900951000000006"/>
    <n v="445.54420535714297"/>
    <n v="297.02947023809531"/>
  </r>
  <r>
    <s v="27/05/2026"/>
    <s v="E"/>
    <s v="[1062] RAMGADH"/>
    <s v="[8404] CHANDESH"/>
    <x v="5"/>
    <x v="5"/>
    <x v="5"/>
    <s v="C"/>
    <n v="530"/>
    <n v="3.9"/>
    <n v="8.1"/>
    <n v="20.67"/>
    <n v="42.93"/>
    <n v="38.782125900000004"/>
    <n v="20554.526727"/>
    <n v="417.01210645161296"/>
    <n v="278.00807096774196"/>
    <n v="359.70421772250006"/>
    <n v="1987.5"/>
    <n v="22901.730944722502"/>
    <n v="43.210813103250004"/>
    <n v="464.63239895967746"/>
    <n v="309.75493263978495"/>
  </r>
  <r>
    <s v="28/05/2026"/>
    <s v="M"/>
    <s v="[1062] RAMGADH"/>
    <s v="[8404] CHANDESH"/>
    <x v="5"/>
    <x v="5"/>
    <x v="5"/>
    <s v="B"/>
    <n v="2500"/>
    <n v="5.6"/>
    <n v="8.4"/>
    <n v="140"/>
    <n v="210"/>
    <n v="45.357199999999999"/>
    <n v="113393"/>
    <n v="404.97500000000002"/>
    <n v="269.98333333333335"/>
    <n v="1984.3775000000003"/>
    <n v="9375"/>
    <n v="124752.3775"/>
    <n v="49.900950999999999"/>
    <n v="445.54420535714291"/>
    <n v="297.02947023809526"/>
  </r>
  <r>
    <s v="28/05/2026"/>
    <s v="M"/>
    <s v="[1062] RAMGADH"/>
    <s v="[8404] CHANDESH"/>
    <x v="5"/>
    <x v="5"/>
    <x v="5"/>
    <s v="C"/>
    <n v="500"/>
    <n v="4"/>
    <n v="8.5"/>
    <n v="20"/>
    <n v="42.5"/>
    <n v="40.311181500000004"/>
    <n v="20155.590750000003"/>
    <n v="417.0122224137931"/>
    <n v="278.00814827586208"/>
    <n v="352.72283812500007"/>
    <n v="1875"/>
    <n v="22383.313588125002"/>
    <n v="44.766627176250005"/>
    <n v="463.10303975431032"/>
    <n v="308.7353598362069"/>
  </r>
  <r>
    <s v="28/05/2026"/>
    <s v="E"/>
    <s v="[1062] RAMGADH"/>
    <s v="[8404] CHANDESH"/>
    <x v="5"/>
    <x v="5"/>
    <x v="5"/>
    <s v="B"/>
    <n v="2300"/>
    <n v="5.6"/>
    <n v="8.4"/>
    <n v="128.80000000000001"/>
    <n v="193.2"/>
    <n v="45.357199999999999"/>
    <n v="104321.56"/>
    <n v="404.97500000000002"/>
    <n v="269.98333333333335"/>
    <n v="1825.6273000000001"/>
    <n v="8625"/>
    <n v="114772.18729999999"/>
    <n v="49.900950999999999"/>
    <n v="445.54420535714291"/>
    <n v="297.02947023809526"/>
  </r>
  <r>
    <s v="28/05/2026"/>
    <s v="E"/>
    <s v="[1062] RAMGADH"/>
    <s v="[8404] CHANDESH"/>
    <x v="5"/>
    <x v="5"/>
    <x v="5"/>
    <s v="C"/>
    <n v="460"/>
    <n v="4"/>
    <n v="8.5"/>
    <n v="18.399999999999999"/>
    <n v="39.1"/>
    <n v="40.311181500000004"/>
    <n v="18543.143490000002"/>
    <n v="417.0122224137931"/>
    <n v="278.00814827586208"/>
    <n v="324.50501107500008"/>
    <n v="1725"/>
    <n v="20592.648501075004"/>
    <n v="44.766627176250012"/>
    <n v="463.10303975431043"/>
    <n v="308.73535983620695"/>
  </r>
  <r>
    <s v="23/05/2026"/>
    <s v="E"/>
    <s v="[1062] RAMGADH"/>
    <s v="[8405] RAMGADH"/>
    <x v="6"/>
    <x v="6"/>
    <x v="6"/>
    <s v="C"/>
    <n v="1000"/>
    <n v="4"/>
    <n v="8.1"/>
    <n v="40"/>
    <n v="81"/>
    <n v="37.225069200000007"/>
    <n v="37225.069200000005"/>
    <n v="396.01137446808519"/>
    <n v="264.00758297872346"/>
    <n v="651.43871100000013"/>
    <n v="3750"/>
    <n v="41626.507911000008"/>
    <n v="41.626507911000004"/>
    <n v="442.83519054255322"/>
    <n v="295.22346036170217"/>
  </r>
  <r>
    <s v="24/05/2026"/>
    <s v="M"/>
    <s v="[1062] RAMGADH"/>
    <s v="[8405] RAMGADH"/>
    <x v="6"/>
    <x v="6"/>
    <x v="6"/>
    <s v="C"/>
    <n v="500"/>
    <n v="4"/>
    <n v="8.5"/>
    <n v="20"/>
    <n v="42.5"/>
    <n v="38.281122000000003"/>
    <n v="19140.561000000002"/>
    <n v="396.01160689655171"/>
    <n v="264.00773793103446"/>
    <n v="334.95981750000004"/>
    <n v="1875"/>
    <n v="21350.520817500001"/>
    <n v="42.701041635000003"/>
    <n v="441.7349134655172"/>
    <n v="294.48994231034482"/>
  </r>
  <r>
    <s v="22/05/2026"/>
    <s v="M"/>
    <s v="[1062] RAMGADH"/>
    <s v="[8405] RAMGADH"/>
    <x v="7"/>
    <x v="7"/>
    <x v="7"/>
    <s v="B"/>
    <n v="4"/>
    <n v="5.9"/>
    <n v="8.4"/>
    <n v="0.23600000000000002"/>
    <n v="0.33600000000000002"/>
    <n v="47.787050000000001"/>
    <n v="191.1482"/>
    <n v="415.53956521739127"/>
    <n v="277.02637681159416"/>
    <n v="3.3450935000000004"/>
    <n v="15"/>
    <n v="209.49329349999999"/>
    <n v="52.373323374999998"/>
    <n v="455.42020326086953"/>
    <n v="303.61346884057969"/>
  </r>
  <r>
    <s v="22/05/2026"/>
    <s v="E"/>
    <s v="[1062] RAMGADH"/>
    <s v="[8405] RAMGADH"/>
    <x v="7"/>
    <x v="7"/>
    <x v="7"/>
    <s v="C"/>
    <n v="12"/>
    <n v="4.5999999999999996"/>
    <n v="8.1"/>
    <n v="0.55199999999999994"/>
    <n v="0.97199999999999986"/>
    <n v="39.601069200000005"/>
    <n v="475.21283040000003"/>
    <n v="396.01069200000001"/>
    <n v="264.00712800000002"/>
    <n v="8.3162245320000014"/>
    <n v="45"/>
    <n v="528.52905493200001"/>
    <n v="44.044087910999998"/>
    <n v="440.44087910999997"/>
    <n v="293.62725273999996"/>
  </r>
  <r>
    <s v="23/05/2026"/>
    <s v="M"/>
    <s v="[1062] RAMGADH"/>
    <s v="[8405] RAMGADH"/>
    <x v="7"/>
    <x v="7"/>
    <x v="7"/>
    <s v="C"/>
    <n v="7"/>
    <n v="5"/>
    <n v="8.1"/>
    <n v="0.35"/>
    <n v="0.56699999999999995"/>
    <n v="41.185069200000001"/>
    <n v="288.29548440000002"/>
    <n v="396.01028076923075"/>
    <n v="264.00685384615383"/>
    <n v="5.0451709770000006"/>
    <n v="26.25"/>
    <n v="319.59065537700002"/>
    <n v="45.655807911000004"/>
    <n v="438.9981529903846"/>
    <n v="292.66543532692305"/>
  </r>
  <r>
    <s v="23/05/2026"/>
    <s v="E"/>
    <s v="[1062] RAMGADH"/>
    <s v="[8405] RAMGADH"/>
    <x v="7"/>
    <x v="7"/>
    <x v="7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24/05/2026"/>
    <s v="M"/>
    <s v="[1062] RAMGADH"/>
    <s v="[8405] RAMGADH"/>
    <x v="7"/>
    <x v="7"/>
    <x v="7"/>
    <s v="C"/>
    <n v="10"/>
    <n v="5.0999999999999996"/>
    <n v="8.1"/>
    <n v="0.51"/>
    <n v="0.81"/>
    <n v="41.581069200000002"/>
    <n v="415.81069200000002"/>
    <n v="396.01018285714287"/>
    <n v="264.00678857142856"/>
    <n v="7.276687110000001"/>
    <n v="37.5"/>
    <n v="460.58737911000003"/>
    <n v="46.058737911000001"/>
    <n v="438.65464677142859"/>
    <n v="292.43643118095241"/>
  </r>
  <r>
    <s v="24/05/2026"/>
    <s v="E"/>
    <s v="[1062] RAMGADH"/>
    <s v="[8405] RAMGADH"/>
    <x v="7"/>
    <x v="7"/>
    <x v="7"/>
    <s v="C"/>
    <n v="4"/>
    <n v="3.3"/>
    <n v="8"/>
    <n v="0.13200000000000001"/>
    <n v="0.32"/>
    <n v="34.189056000000008"/>
    <n v="136.75622400000003"/>
    <n v="396.01223166023169"/>
    <n v="264.00815444015444"/>
    <n v="2.3932339200000006"/>
    <n v="15"/>
    <n v="154.14945792000003"/>
    <n v="38.537364480000008"/>
    <n v="446.37873915057918"/>
    <n v="297.5858261003861"/>
  </r>
  <r>
    <s v="25/05/2026"/>
    <s v="M"/>
    <s v="[1062] RAMGADH"/>
    <s v="[8405] RAMGADH"/>
    <x v="7"/>
    <x v="7"/>
    <x v="7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5/05/2026"/>
    <s v="E"/>
    <s v="[1062] RAMGADH"/>
    <s v="[8405] RAMGAD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s v="26/05/2026"/>
    <s v="M"/>
    <s v="[1062] RAMGADH"/>
    <s v="[8405] RAMGADH"/>
    <x v="7"/>
    <x v="7"/>
    <x v="7"/>
    <s v="B"/>
    <n v="8"/>
    <n v="6.1"/>
    <n v="9"/>
    <n v="0.48799999999999999"/>
    <n v="0.72"/>
    <n v="50.935000000000002"/>
    <n v="407.48"/>
    <n v="420.95041322314052"/>
    <n v="280.63360881542701"/>
    <n v="7.1309000000000013"/>
    <n v="30"/>
    <n v="444.61090000000002"/>
    <n v="55.576362500000002"/>
    <n v="459.30878099173555"/>
    <n v="306.20585399449038"/>
  </r>
  <r>
    <s v="26/05/2026"/>
    <s v="E"/>
    <s v="[1062] RAMGADH"/>
    <s v="[8405] RAMGADH"/>
    <x v="7"/>
    <x v="7"/>
    <x v="7"/>
    <s v="C"/>
    <n v="5"/>
    <n v="3.2"/>
    <n v="8.4"/>
    <n v="0.16"/>
    <n v="0.42"/>
    <n v="36.697167600000007"/>
    <n v="183.48583800000003"/>
    <n v="417.01326818181826"/>
    <n v="278.00884545454551"/>
    <n v="3.2110021650000009"/>
    <n v="18.75"/>
    <n v="205.44684016500003"/>
    <n v="41.089368033000007"/>
    <n v="466.92463673863648"/>
    <n v="311.28309115909099"/>
  </r>
  <r>
    <s v="27/05/2026"/>
    <s v="M"/>
    <s v="[1062] RAMGADH"/>
    <s v="[8405] RAMGADH"/>
    <x v="7"/>
    <x v="7"/>
    <x v="7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27/05/2026"/>
    <s v="E"/>
    <s v="[1062] RAMGADH"/>
    <s v="[8405] RAMGADH"/>
    <x v="7"/>
    <x v="7"/>
    <x v="7"/>
    <s v="C"/>
    <n v="11"/>
    <n v="3.4"/>
    <n v="8.4"/>
    <n v="0.374"/>
    <n v="0.92400000000000004"/>
    <n v="37.531167600000003"/>
    <n v="412.84284360000004"/>
    <n v="417.01297333333338"/>
    <n v="278.0086488888889"/>
    <n v="7.224749763000001"/>
    <n v="41.25"/>
    <n v="461.31759336300001"/>
    <n v="41.937963033000003"/>
    <n v="465.97736703333339"/>
    <n v="310.65157802222228"/>
  </r>
  <r>
    <s v="28/05/2026"/>
    <s v="M"/>
    <s v="[1062] RAMGADH"/>
    <s v="[8405] RAMGADH"/>
    <x v="7"/>
    <x v="7"/>
    <x v="7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8/05/2026"/>
    <s v="E"/>
    <s v="[1062] RAMGADH"/>
    <s v="[8405] RAMGADH"/>
    <x v="7"/>
    <x v="7"/>
    <x v="7"/>
    <s v="C"/>
    <n v="10"/>
    <n v="3.1"/>
    <n v="8.1"/>
    <n v="0.31"/>
    <n v="0.81"/>
    <n v="35.446125899999998"/>
    <n v="354.46125899999998"/>
    <n v="417.01324588235298"/>
    <n v="278.0088305882353"/>
    <n v="6.2030720325000006"/>
    <n v="37.5"/>
    <n v="398.1643310325"/>
    <n v="39.816433103249999"/>
    <n v="468.42862474411766"/>
    <n v="312.28574982941177"/>
  </r>
  <r>
    <s v="22/05/2026"/>
    <s v="M"/>
    <s v="[1062] RAMGADH"/>
    <s v="[8403] MOHANIA"/>
    <x v="8"/>
    <x v="8"/>
    <x v="8"/>
    <s v="B"/>
    <n v="8"/>
    <n v="5.7"/>
    <n v="8.8000000000000007"/>
    <n v="0.45600000000000002"/>
    <n v="0.70400000000000007"/>
    <n v="47.119050000000001"/>
    <n v="376.95240000000001"/>
    <n v="407.3693083573487"/>
    <n v="271.57953890489915"/>
    <n v="6.5966670000000009"/>
    <n v="30"/>
    <n v="413.54906700000004"/>
    <n v="51.693633375000005"/>
    <n v="446.91902053314124"/>
    <n v="297.94601368876084"/>
  </r>
  <r>
    <s v="22/05/2026"/>
    <s v="M"/>
    <s v="[1062] RAMGADH"/>
    <s v="[8403] MOHANIA"/>
    <x v="8"/>
    <x v="8"/>
    <x v="8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s v="22/05/2026"/>
    <s v="E"/>
    <s v="[1062] RAMGADH"/>
    <s v="[8403] MOHANIA"/>
    <x v="8"/>
    <x v="8"/>
    <x v="8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23/05/2026"/>
    <s v="M"/>
    <s v="[1062] RAMGADH"/>
    <s v="[8403] MOHANIA"/>
    <x v="8"/>
    <x v="8"/>
    <x v="8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23/05/2026"/>
    <s v="M"/>
    <s v="[1062] RAMGADH"/>
    <s v="[8403] MOHANIA"/>
    <x v="8"/>
    <x v="8"/>
    <x v="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23/05/2026"/>
    <s v="E"/>
    <s v="[1062] RAMGADH"/>
    <s v="[8403] MOHANIA"/>
    <x v="8"/>
    <x v="8"/>
    <x v="8"/>
    <s v="C"/>
    <n v="35"/>
    <n v="3.4"/>
    <n v="8.1"/>
    <n v="1.19"/>
    <n v="2.835"/>
    <n v="34.849069200000002"/>
    <n v="1219.7174220000002"/>
    <n v="396.01215000000008"/>
    <n v="264.00810000000007"/>
    <n v="21.345054885000003"/>
    <n v="131.25"/>
    <n v="1372.3124768850003"/>
    <n v="39.208927911000011"/>
    <n v="445.55599898863653"/>
    <n v="297.03733265909102"/>
  </r>
  <r>
    <s v="24/05/2026"/>
    <s v="M"/>
    <s v="[1062] RAMGADH"/>
    <s v="[8403] MOHANIA"/>
    <x v="8"/>
    <x v="8"/>
    <x v="8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4/05/2026"/>
    <s v="M"/>
    <s v="[1062] RAMGADH"/>
    <s v="[8403] MOHANIA"/>
    <x v="8"/>
    <x v="8"/>
    <x v="8"/>
    <s v="C"/>
    <n v="30"/>
    <n v="3.2"/>
    <n v="8"/>
    <n v="0.96"/>
    <n v="2.4"/>
    <n v="33.793056000000007"/>
    <n v="1013.7916800000003"/>
    <n v="396.01237500000002"/>
    <n v="264.00825000000003"/>
    <n v="17.741354400000006"/>
    <n v="112.5"/>
    <n v="1144.0330344000004"/>
    <n v="38.13443448000001"/>
    <n v="446.88790406250007"/>
    <n v="297.92526937500003"/>
  </r>
  <r>
    <s v="24/05/2026"/>
    <s v="E"/>
    <s v="[1062] RAMGADH"/>
    <s v="[8403] MOHANIA"/>
    <x v="8"/>
    <x v="8"/>
    <x v="8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25/05/2026"/>
    <s v="M"/>
    <s v="[1062] RAMGADH"/>
    <s v="[8403] MOHANIA"/>
    <x v="8"/>
    <x v="8"/>
    <x v="8"/>
    <s v="C"/>
    <n v="37"/>
    <n v="4.0999999999999996"/>
    <n v="8.1999999999999993"/>
    <n v="1.5169999999999999"/>
    <n v="3.0339999999999998"/>
    <n v="37.885082400000002"/>
    <n v="1401.7480488000001"/>
    <n v="396.01131428571438"/>
    <n v="264.00754285714294"/>
    <n v="24.530590854000003"/>
    <n v="138.75"/>
    <n v="1565.028639654"/>
    <n v="42.298071342"/>
    <n v="442.14011855749135"/>
    <n v="294.76007903832755"/>
  </r>
  <r>
    <s v="25/05/2026"/>
    <s v="E"/>
    <s v="[1062] RAMGADH"/>
    <s v="[8403] MOHANIA"/>
    <x v="8"/>
    <x v="8"/>
    <x v="8"/>
    <s v="C"/>
    <n v="37"/>
    <n v="3.8"/>
    <n v="8.1999999999999993"/>
    <n v="1.4059999999999999"/>
    <n v="3.0339999999999998"/>
    <n v="36.697082399999999"/>
    <n v="1357.7920488"/>
    <n v="396.01168057553957"/>
    <n v="264.0077870503597"/>
    <n v="23.761360854000003"/>
    <n v="138.75"/>
    <n v="1520.303409654"/>
    <n v="41.089281342"/>
    <n v="443.40951088489209"/>
    <n v="295.60634058992804"/>
  </r>
  <r>
    <s v="26/05/2026"/>
    <s v="M"/>
    <s v="[1062] RAMGADH"/>
    <s v="[8403] MOHANIA"/>
    <x v="8"/>
    <x v="8"/>
    <x v="8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26/05/2026"/>
    <s v="M"/>
    <s v="[1062] RAMGADH"/>
    <s v="[8403] MOHANIA"/>
    <x v="8"/>
    <x v="8"/>
    <x v="8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26/05/2026"/>
    <s v="E"/>
    <s v="[1062] RAMGADH"/>
    <s v="[8403] MOHANIA"/>
    <x v="8"/>
    <x v="8"/>
    <x v="8"/>
    <s v="C"/>
    <n v="37"/>
    <n v="4.0999999999999996"/>
    <n v="8.5"/>
    <n v="1.5169999999999999"/>
    <n v="3.145"/>
    <n v="40.728181500000005"/>
    <n v="1506.9427155000003"/>
    <n v="417.01209726962463"/>
    <n v="278.0080648464164"/>
    <n v="26.371497521250006"/>
    <n v="138.75"/>
    <n v="1672.0642130212502"/>
    <n v="45.190924676250006"/>
    <n v="462.70571340870316"/>
    <n v="308.47047560580211"/>
  </r>
  <r>
    <s v="27/05/2026"/>
    <s v="M"/>
    <s v="[1062] RAMGADH"/>
    <s v="[8403] MOHANIA"/>
    <x v="8"/>
    <x v="8"/>
    <x v="8"/>
    <s v="C"/>
    <n v="38"/>
    <n v="4.0999999999999996"/>
    <n v="8.4"/>
    <n v="1.5579999999999998"/>
    <n v="3.1919999999999997"/>
    <n v="40.4501676"/>
    <n v="1537.1063687999999"/>
    <n v="417.01203711340207"/>
    <n v="278.00802474226805"/>
    <n v="26.899361454000001"/>
    <n v="142.5"/>
    <n v="1706.5057302539999"/>
    <n v="44.908045532999999"/>
    <n v="462.96954157731955"/>
    <n v="308.64636105154636"/>
  </r>
  <r>
    <s v="27/05/2026"/>
    <s v="E"/>
    <s v="[1062] RAMGADH"/>
    <s v="[8403] MOHANIA"/>
    <x v="8"/>
    <x v="8"/>
    <x v="8"/>
    <s v="C"/>
    <n v="37"/>
    <n v="3.9"/>
    <n v="8.5"/>
    <n v="1.4429999999999998"/>
    <n v="3.145"/>
    <n v="39.894181500000002"/>
    <n v="1476.0847155000001"/>
    <n v="417.01235017421601"/>
    <n v="278.00823344947736"/>
    <n v="25.831482521250006"/>
    <n v="138.75"/>
    <n v="1640.6661980212502"/>
    <n v="44.342329676250003"/>
    <n v="463.50867257404178"/>
    <n v="309.00578171602785"/>
  </r>
  <r>
    <s v="28/05/2026"/>
    <s v="M"/>
    <s v="[1062] RAMGADH"/>
    <s v="[8403] MOHANIA"/>
    <x v="8"/>
    <x v="8"/>
    <x v="8"/>
    <s v="C"/>
    <n v="48"/>
    <n v="4.0999999999999996"/>
    <n v="8.1"/>
    <n v="1.9679999999999997"/>
    <n v="3.8879999999999995"/>
    <n v="39.6161259"/>
    <n v="1901.5740432"/>
    <n v="417.01185157894736"/>
    <n v="278.00790105263155"/>
    <n v="33.277545756000002"/>
    <n v="180"/>
    <n v="2114.8515889559999"/>
    <n v="44.05940810325"/>
    <n v="463.78324319210526"/>
    <n v="309.18882879473682"/>
  </r>
  <r>
    <s v="28/05/2026"/>
    <s v="E"/>
    <s v="[1062] RAMGADH"/>
    <s v="[8403] MOHANIA"/>
    <x v="8"/>
    <x v="8"/>
    <x v="8"/>
    <s v="C"/>
    <n v="37"/>
    <n v="3.6"/>
    <n v="8.3000000000000007"/>
    <n v="1.3320000000000001"/>
    <n v="3.0710000000000002"/>
    <n v="38.087153700000009"/>
    <n v="1409.2246869000003"/>
    <n v="417.01263175182481"/>
    <n v="278.00842116788323"/>
    <n v="24.661432020750006"/>
    <n v="138.75"/>
    <n v="1572.6361189207503"/>
    <n v="42.503678889750006"/>
    <n v="465.36874696806569"/>
    <n v="310.24583131204378"/>
  </r>
  <r>
    <s v="26/05/2026"/>
    <s v="E"/>
    <s v="[1062] RAMGADH"/>
    <s v="[8404] CHANDESH"/>
    <x v="9"/>
    <x v="9"/>
    <x v="9"/>
    <s v="C"/>
    <n v="2840"/>
    <n v="4.5999999999999996"/>
    <n v="8.5"/>
    <n v="130.63999999999999"/>
    <n v="241.4"/>
    <n v="42.813181499999999"/>
    <n v="121589.43545999999"/>
    <n v="417.01150811688308"/>
    <n v="278.00767207792205"/>
    <n v="2127.8151205500003"/>
    <n v="10650"/>
    <n v="134367.25058055"/>
    <n v="47.31241217625"/>
    <n v="460.83518353490257"/>
    <n v="307.22345568993507"/>
  </r>
  <r>
    <s v="27/05/2026"/>
    <s v="E"/>
    <s v="[1062] RAMGADH"/>
    <s v="[8404] CHANDESH"/>
    <x v="9"/>
    <x v="9"/>
    <x v="9"/>
    <s v="C"/>
    <n v="2380"/>
    <n v="4.5999999999999996"/>
    <n v="8.5"/>
    <n v="109.48"/>
    <n v="202.3"/>
    <n v="42.813181499999999"/>
    <n v="101895.37196999999"/>
    <n v="417.01150811688308"/>
    <n v="278.00767207792205"/>
    <n v="1783.1690094749999"/>
    <n v="8925"/>
    <n v="112603.54097947499"/>
    <n v="47.312412176249993"/>
    <n v="460.83518353490251"/>
    <n v="307.22345568993501"/>
  </r>
  <r>
    <s v="25/05/2026"/>
    <s v="E"/>
    <s v="[1062] RAMGADH"/>
    <s v="[8401] DURGAWATI"/>
    <x v="10"/>
    <x v="10"/>
    <x v="10"/>
    <s v="C"/>
    <n v="2970"/>
    <n v="5.4"/>
    <n v="8.4"/>
    <n v="160.38000000000002"/>
    <n v="249.48"/>
    <n v="43.561108800000014"/>
    <n v="129376.49313600003"/>
    <n v="396.01008000000007"/>
    <n v="264.00672000000003"/>
    <n v="2264.088629880001"/>
    <n v="11137.5"/>
    <n v="142778.08176588002"/>
    <n v="48.07342820400001"/>
    <n v="437.03116549090913"/>
    <n v="291.35411032727274"/>
  </r>
  <r>
    <s v="27/05/2026"/>
    <s v="E"/>
    <s v="[1062] RAMGADH"/>
    <s v="[8401] DURGAWATI"/>
    <x v="10"/>
    <x v="10"/>
    <x v="10"/>
    <s v="C"/>
    <n v="2030"/>
    <n v="5"/>
    <n v="8.3000000000000007"/>
    <n v="101.5"/>
    <n v="168.49"/>
    <n v="43.92515370000001"/>
    <n v="89168.062011000016"/>
    <n v="417.01095284810134"/>
    <n v="278.00730189873423"/>
    <n v="1560.4410851925004"/>
    <n v="7612.5"/>
    <n v="98341.003096192522"/>
    <n v="48.443843889750013"/>
    <n v="459.90991034572795"/>
    <n v="306.60660689715195"/>
  </r>
  <r>
    <s v="28/05/2026"/>
    <s v="E"/>
    <s v="[1062] RAMGADH"/>
    <s v="[8401] DURGAWATI"/>
    <x v="10"/>
    <x v="10"/>
    <x v="10"/>
    <s v="C"/>
    <n v="1050"/>
    <n v="5.2"/>
    <n v="8.3000000000000007"/>
    <n v="54.6"/>
    <n v="87.15"/>
    <n v="44.759153700000006"/>
    <n v="46997.111385000004"/>
    <n v="417.01074875776402"/>
    <n v="278.00716583850937"/>
    <n v="822.44944923750018"/>
    <n v="3937.5"/>
    <n v="51757.060834237505"/>
    <n v="49.292438889750002"/>
    <n v="459.24632505978263"/>
    <n v="306.16421670652176"/>
  </r>
  <r>
    <s v="22/05/2026"/>
    <s v="M"/>
    <s v="[1062] RAMGADH"/>
    <s v="[8402] RAMPUR"/>
    <x v="11"/>
    <x v="11"/>
    <x v="11"/>
    <s v="B"/>
    <n v="16"/>
    <n v="7.4"/>
    <n v="8.8000000000000007"/>
    <n v="1.1840000000000002"/>
    <n v="1.4080000000000001"/>
    <n v="61.172100000000007"/>
    <n v="978.75360000000012"/>
    <n v="461.09623115577887"/>
    <n v="307.39748743718593"/>
    <n v="17.128188000000005"/>
    <n v="60"/>
    <n v="1055.8817880000001"/>
    <n v="65.992611750000009"/>
    <n v="497.43174685929648"/>
    <n v="331.6211645728643"/>
  </r>
  <r>
    <s v="22/05/2026"/>
    <s v="E"/>
    <s v="[1062] RAMGADH"/>
    <s v="[8402] RAMPUR"/>
    <x v="11"/>
    <x v="11"/>
    <x v="11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22/05/2026"/>
    <s v="E"/>
    <s v="[1062] RAMGADH"/>
    <s v="[8402] RAMPUR"/>
    <x v="11"/>
    <x v="11"/>
    <x v="11"/>
    <s v="C"/>
    <n v="11"/>
    <n v="4.2"/>
    <n v="8.4"/>
    <n v="0.46200000000000002"/>
    <n v="0.92400000000000004"/>
    <n v="38.809108800000004"/>
    <n v="426.90019680000006"/>
    <n v="396.01131428571432"/>
    <n v="264.00754285714288"/>
    <n v="7.4707534440000014"/>
    <n v="41.25"/>
    <n v="475.62095024400008"/>
    <n v="43.238268204000008"/>
    <n v="441.20681840816331"/>
    <n v="294.13787893877554"/>
  </r>
  <r>
    <s v="23/05/2026"/>
    <s v="M"/>
    <s v="[1062] RAMGADH"/>
    <s v="[8402] RAMPUR"/>
    <x v="11"/>
    <x v="11"/>
    <x v="11"/>
    <s v="B"/>
    <n v="12"/>
    <n v="7.4"/>
    <n v="8.8000000000000007"/>
    <n v="0.88800000000000012"/>
    <n v="1.056"/>
    <n v="61.172100000000007"/>
    <n v="734.06520000000012"/>
    <n v="461.09623115577887"/>
    <n v="307.39748743718593"/>
    <n v="12.846141000000003"/>
    <n v="45"/>
    <n v="791.91134100000011"/>
    <n v="65.992611750000009"/>
    <n v="497.43174685929648"/>
    <n v="331.6211645728643"/>
  </r>
  <r>
    <s v="23/05/2026"/>
    <s v="E"/>
    <s v="[1062] RAMGADH"/>
    <s v="[8402] RAMPUR"/>
    <x v="11"/>
    <x v="11"/>
    <x v="11"/>
    <s v="B"/>
    <n v="6"/>
    <n v="5.7"/>
    <n v="8.8000000000000007"/>
    <n v="0.34200000000000003"/>
    <n v="0.52800000000000002"/>
    <n v="47.119050000000001"/>
    <n v="282.71429999999998"/>
    <n v="407.3693083573487"/>
    <n v="271.57953890489915"/>
    <n v="4.94750025"/>
    <n v="22.5"/>
    <n v="310.16180025"/>
    <n v="51.693633374999997"/>
    <n v="446.91902053314118"/>
    <n v="297.94601368876079"/>
  </r>
  <r>
    <s v="23/05/2026"/>
    <s v="E"/>
    <s v="[1062] RAMGADH"/>
    <s v="[8402] RAMPUR"/>
    <x v="11"/>
    <x v="11"/>
    <x v="11"/>
    <s v="C"/>
    <n v="10"/>
    <n v="4.4000000000000004"/>
    <n v="8.1999999999999993"/>
    <n v="0.44"/>
    <n v="0.82"/>
    <n v="39.073082400000004"/>
    <n v="390.73082400000004"/>
    <n v="396.01097027027032"/>
    <n v="264.00731351351357"/>
    <n v="6.8377894200000018"/>
    <n v="37.5"/>
    <n v="435.06861342000002"/>
    <n v="43.506861342000001"/>
    <n v="440.94791900675676"/>
    <n v="293.96527933783784"/>
  </r>
  <r>
    <s v="24/05/2026"/>
    <s v="M"/>
    <s v="[1062] RAMGADH"/>
    <s v="[8402] RAMPUR"/>
    <x v="11"/>
    <x v="11"/>
    <x v="11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24/05/2026"/>
    <s v="E"/>
    <s v="[1062] RAMGADH"/>
    <s v="[8402] RAMPUR"/>
    <x v="11"/>
    <x v="11"/>
    <x v="11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4/05/2026"/>
    <s v="E"/>
    <s v="[1062] RAMGADH"/>
    <s v="[8402] RAMPUR"/>
    <x v="11"/>
    <x v="11"/>
    <x v="11"/>
    <s v="C"/>
    <n v="8"/>
    <n v="4.5"/>
    <n v="8.1999999999999993"/>
    <n v="0.36"/>
    <n v="0.65599999999999992"/>
    <n v="39.469082400000005"/>
    <n v="315.75265920000004"/>
    <n v="396.01086020066901"/>
    <n v="264.00724013377936"/>
    <n v="5.5256715360000008"/>
    <n v="30"/>
    <n v="351.27833073600004"/>
    <n v="43.909791342000005"/>
    <n v="440.56646831438138"/>
    <n v="293.71097887625427"/>
  </r>
  <r>
    <s v="25/05/2026"/>
    <s v="M"/>
    <s v="[1062] RAMGADH"/>
    <s v="[8402] RAMPUR"/>
    <x v="11"/>
    <x v="11"/>
    <x v="11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25/05/2026"/>
    <s v="E"/>
    <s v="[1062] RAMGADH"/>
    <s v="[8402] RAMPUR"/>
    <x v="11"/>
    <x v="11"/>
    <x v="11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25/05/2026"/>
    <s v="E"/>
    <s v="[1062] RAMGADH"/>
    <s v="[8402] RAMPUR"/>
    <x v="11"/>
    <x v="11"/>
    <x v="11"/>
    <s v="C"/>
    <n v="14"/>
    <n v="5.2"/>
    <n v="8.3000000000000007"/>
    <n v="0.72799999999999998"/>
    <n v="1.1620000000000001"/>
    <n v="42.505095600000004"/>
    <n v="595.07133840000006"/>
    <n v="396.01020745341617"/>
    <n v="264.0068049689441"/>
    <n v="10.413748422000001"/>
    <n v="52.5"/>
    <n v="657.98508682200008"/>
    <n v="46.998934773000009"/>
    <n v="437.87827428260874"/>
    <n v="291.91884952173916"/>
  </r>
  <r>
    <s v="26/05/2026"/>
    <s v="M"/>
    <s v="[1062] RAMGADH"/>
    <s v="[8402] RAMPUR"/>
    <x v="11"/>
    <x v="11"/>
    <x v="11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26/05/2026"/>
    <s v="E"/>
    <s v="[1062] RAMGADH"/>
    <s v="[8402] RAMPUR"/>
    <x v="11"/>
    <x v="11"/>
    <x v="11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6/05/2026"/>
    <s v="E"/>
    <s v="[1062] RAMGADH"/>
    <s v="[8402] RAMPUR"/>
    <x v="11"/>
    <x v="11"/>
    <x v="11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27/05/2026"/>
    <s v="M"/>
    <s v="[1062] RAMGADH"/>
    <s v="[8402] RAMPUR"/>
    <x v="11"/>
    <x v="11"/>
    <x v="11"/>
    <s v="B"/>
    <n v="12"/>
    <n v="7.7"/>
    <n v="9"/>
    <n v="0.92400000000000004"/>
    <n v="1.08"/>
    <n v="64.295000000000002"/>
    <n v="771.54"/>
    <n v="469.30656934306569"/>
    <n v="312.87104622871044"/>
    <n v="13.501950000000001"/>
    <n v="45"/>
    <n v="830.04194999999993"/>
    <n v="69.170162499999989"/>
    <n v="504.89169708029186"/>
    <n v="336.59446472019459"/>
  </r>
  <r>
    <s v="27/05/2026"/>
    <s v="E"/>
    <s v="[1062] RAMGADH"/>
    <s v="[8402] RAMPUR"/>
    <x v="11"/>
    <x v="11"/>
    <x v="11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28/05/2026"/>
    <s v="M"/>
    <s v="[1062] RAMGADH"/>
    <s v="[8402] RAMPUR"/>
    <x v="11"/>
    <x v="11"/>
    <x v="11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28/05/2026"/>
    <s v="E"/>
    <s v="[1062] RAMGADH"/>
    <s v="[8402] RAMPUR"/>
    <x v="11"/>
    <x v="11"/>
    <x v="11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8/05/2026"/>
    <s v="E"/>
    <s v="[1062] RAMGADH"/>
    <s v="[8402] RAMPUR"/>
    <x v="11"/>
    <x v="11"/>
    <x v="11"/>
    <s v="C"/>
    <n v="10"/>
    <n v="4.2"/>
    <n v="8.1999999999999993"/>
    <n v="0.42"/>
    <n v="0.82"/>
    <n v="40.311139799999999"/>
    <n v="403.11139800000001"/>
    <n v="417.01179103448277"/>
    <n v="278.00786068965516"/>
    <n v="7.0544494650000011"/>
    <n v="37.5"/>
    <n v="447.66584746500001"/>
    <n v="44.766584746500001"/>
    <n v="463.10260082586211"/>
    <n v="308.73506721724141"/>
  </r>
  <r>
    <s v="22/05/2026"/>
    <s v="M"/>
    <s v="[1062] RAMGADH"/>
    <s v="[8404] CHANDESH"/>
    <x v="12"/>
    <x v="12"/>
    <x v="12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22/05/2026"/>
    <s v="M"/>
    <s v="[1062] RAMGADH"/>
    <s v="[8404] CHANDESH"/>
    <x v="12"/>
    <x v="12"/>
    <x v="12"/>
    <s v="C"/>
    <n v="69"/>
    <n v="3.5"/>
    <n v="8"/>
    <n v="2.415"/>
    <n v="5.52"/>
    <n v="34.981056000000002"/>
    <n v="2413.6928640000001"/>
    <n v="396.01195471698111"/>
    <n v="264.00796981132072"/>
    <n v="42.239625120000007"/>
    <n v="258.75"/>
    <n v="2714.6824891200004"/>
    <n v="39.343224480000003"/>
    <n v="445.39499411320753"/>
    <n v="296.92999607547171"/>
  </r>
  <r>
    <s v="22/05/2026"/>
    <s v="E"/>
    <s v="[1062] RAMGADH"/>
    <s v="[8404] CHANDESH"/>
    <x v="12"/>
    <x v="12"/>
    <x v="12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22/05/2026"/>
    <s v="E"/>
    <s v="[1062] RAMGADH"/>
    <s v="[8404] CHANDESH"/>
    <x v="12"/>
    <x v="12"/>
    <x v="12"/>
    <s v="C"/>
    <n v="73"/>
    <n v="3.6"/>
    <n v="8"/>
    <n v="2.6280000000000001"/>
    <n v="5.84"/>
    <n v="35.377056000000003"/>
    <n v="2582.5250880000003"/>
    <n v="396.01182089552236"/>
    <n v="264.00788059701489"/>
    <n v="45.194189040000012"/>
    <n v="273.75"/>
    <n v="2901.4692770400002"/>
    <n v="39.746154480000001"/>
    <n v="444.91963970149249"/>
    <n v="296.61309313432832"/>
  </r>
  <r>
    <s v="23/05/2026"/>
    <s v="M"/>
    <s v="[1062] RAMGADH"/>
    <s v="[8404] CHANDESH"/>
    <x v="12"/>
    <x v="12"/>
    <x v="12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23/05/2026"/>
    <s v="M"/>
    <s v="[1062] RAMGADH"/>
    <s v="[8404] CHANDESH"/>
    <x v="12"/>
    <x v="12"/>
    <x v="12"/>
    <s v="C"/>
    <n v="72"/>
    <n v="3.8"/>
    <n v="8"/>
    <n v="2.7359999999999998"/>
    <n v="5.76"/>
    <n v="36.169056000000005"/>
    <n v="2604.1720320000004"/>
    <n v="396.01156204379566"/>
    <n v="264.00770802919709"/>
    <n v="45.573010560000014"/>
    <n v="270"/>
    <n v="2919.7450425600005"/>
    <n v="40.552014480000004"/>
    <n v="444.000158540146"/>
    <n v="296.00010569343067"/>
  </r>
  <r>
    <s v="23/05/2026"/>
    <s v="E"/>
    <s v="[1062] RAMGADH"/>
    <s v="[8404] CHANDESH"/>
    <x v="12"/>
    <x v="12"/>
    <x v="12"/>
    <s v="B"/>
    <n v="10"/>
    <n v="5.9"/>
    <n v="9"/>
    <n v="0.59"/>
    <n v="0.9"/>
    <n v="49.265000000000001"/>
    <n v="492.65"/>
    <n v="413.99159663865549"/>
    <n v="275.99439775910366"/>
    <n v="8.6213750000000005"/>
    <n v="37.5"/>
    <n v="538.77137500000003"/>
    <n v="53.877137500000003"/>
    <n v="452.74905462184881"/>
    <n v="301.83270308123252"/>
  </r>
  <r>
    <s v="23/05/2026"/>
    <s v="E"/>
    <s v="[1062] RAMGADH"/>
    <s v="[8404] CHANDESH"/>
    <x v="12"/>
    <x v="12"/>
    <x v="12"/>
    <s v="C"/>
    <n v="70"/>
    <n v="3.4"/>
    <n v="8"/>
    <n v="2.38"/>
    <n v="5.6"/>
    <n v="34.585056000000002"/>
    <n v="2420.9539199999999"/>
    <n v="396.01209160305342"/>
    <n v="264.00806106870226"/>
    <n v="42.366693600000005"/>
    <n v="262.5"/>
    <n v="2725.8206135999999"/>
    <n v="38.940294479999999"/>
    <n v="445.8812345038167"/>
    <n v="297.25415633587778"/>
  </r>
  <r>
    <s v="24/05/2026"/>
    <s v="M"/>
    <s v="[1062] RAMGADH"/>
    <s v="[8404] CHANDESH"/>
    <x v="12"/>
    <x v="12"/>
    <x v="12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24/05/2026"/>
    <s v="M"/>
    <s v="[1062] RAMGADH"/>
    <s v="[8404] CHANDESH"/>
    <x v="12"/>
    <x v="12"/>
    <x v="12"/>
    <s v="C"/>
    <n v="72"/>
    <n v="3.8"/>
    <n v="8.3000000000000007"/>
    <n v="2.7359999999999998"/>
    <n v="5.976"/>
    <n v="36.961095600000007"/>
    <n v="2661.1988832000006"/>
    <n v="396.01173857142862"/>
    <n v="264.00782571428573"/>
    <n v="46.570980456000015"/>
    <n v="270"/>
    <n v="2977.7698636560008"/>
    <n v="41.357914773000012"/>
    <n v="443.12051542500012"/>
    <n v="295.41367695000008"/>
  </r>
  <r>
    <s v="24/05/2026"/>
    <s v="E"/>
    <s v="[1062] RAMGADH"/>
    <s v="[8404] CHANDESH"/>
    <x v="12"/>
    <x v="12"/>
    <x v="12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24/05/2026"/>
    <s v="E"/>
    <s v="[1062] RAMGADH"/>
    <s v="[8404] CHANDESH"/>
    <x v="12"/>
    <x v="12"/>
    <x v="12"/>
    <s v="C"/>
    <n v="64"/>
    <n v="3.9"/>
    <n v="8.1999999999999993"/>
    <n v="2.496"/>
    <n v="5.2479999999999993"/>
    <n v="37.0930824"/>
    <n v="2373.9572736"/>
    <n v="396.01155587188612"/>
    <n v="264.00770391459076"/>
    <n v="41.544252288000003"/>
    <n v="240"/>
    <n v="2655.5015258879998"/>
    <n v="41.492211341999997"/>
    <n v="442.97734528825623"/>
    <n v="295.3182301921708"/>
  </r>
  <r>
    <s v="25/05/2026"/>
    <s v="M"/>
    <s v="[1062] RAMGADH"/>
    <s v="[8404] CHANDESH"/>
    <x v="12"/>
    <x v="12"/>
    <x v="12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25/05/2026"/>
    <s v="M"/>
    <s v="[1062] RAMGADH"/>
    <s v="[8404] CHANDESH"/>
    <x v="12"/>
    <x v="12"/>
    <x v="12"/>
    <s v="C"/>
    <n v="69"/>
    <n v="4"/>
    <n v="8"/>
    <n v="2.76"/>
    <n v="5.52"/>
    <n v="36.961055999999999"/>
    <n v="2550.312864"/>
    <n v="396.01131428571426"/>
    <n v="264.00754285714282"/>
    <n v="44.630475120000007"/>
    <n v="258.75"/>
    <n v="2853.69333912"/>
    <n v="41.35787448"/>
    <n v="443.12008371428567"/>
    <n v="295.41338914285711"/>
  </r>
  <r>
    <s v="25/05/2026"/>
    <s v="E"/>
    <s v="[1062] RAMGADH"/>
    <s v="[8404] CHANDESH"/>
    <x v="12"/>
    <x v="12"/>
    <x v="12"/>
    <s v="B"/>
    <n v="4"/>
    <n v="6.3"/>
    <n v="8.8000000000000007"/>
    <n v="0.252"/>
    <n v="0.35200000000000004"/>
    <n v="52.078949999999999"/>
    <n v="208.3158"/>
    <n v="428.04616438356163"/>
    <n v="285.36410958904111"/>
    <n v="3.6455265000000003"/>
    <n v="15"/>
    <n v="226.96132649999998"/>
    <n v="56.740331624999996"/>
    <n v="466.35889006849311"/>
    <n v="310.90592671232872"/>
  </r>
  <r>
    <s v="25/05/2026"/>
    <s v="E"/>
    <s v="[1062] RAMGADH"/>
    <s v="[8404] CHANDESH"/>
    <x v="12"/>
    <x v="12"/>
    <x v="12"/>
    <s v="C"/>
    <n v="71"/>
    <n v="3.8"/>
    <n v="8.4"/>
    <n v="2.698"/>
    <n v="5.9639999999999995"/>
    <n v="37.225108800000008"/>
    <n v="2642.9827248000006"/>
    <n v="396.01179574468091"/>
    <n v="264.00786382978725"/>
    <n v="46.252197684000016"/>
    <n v="266.25"/>
    <n v="2955.4849224840004"/>
    <n v="41.626548204000009"/>
    <n v="442.83561919148946"/>
    <n v="295.22374612765964"/>
  </r>
  <r>
    <s v="26/05/2026"/>
    <s v="M"/>
    <s v="[1062] RAMGADH"/>
    <s v="[8404] CHANDESH"/>
    <x v="12"/>
    <x v="12"/>
    <x v="12"/>
    <s v="B"/>
    <n v="16"/>
    <n v="7.8"/>
    <n v="9"/>
    <n v="1.248"/>
    <n v="1.44"/>
    <n v="65.13"/>
    <n v="1042.08"/>
    <n v="471.95652173913038"/>
    <n v="314.63768115942025"/>
    <n v="18.2364"/>
    <n v="60"/>
    <n v="1120.3163999999999"/>
    <n v="70.019774999999996"/>
    <n v="507.3896739130434"/>
    <n v="338.25978260869562"/>
  </r>
  <r>
    <s v="26/05/2026"/>
    <s v="M"/>
    <s v="[1062] RAMGADH"/>
    <s v="[8404] CHANDESH"/>
    <x v="12"/>
    <x v="12"/>
    <x v="12"/>
    <s v="C"/>
    <n v="58"/>
    <n v="3.9"/>
    <n v="8.4"/>
    <n v="2.262"/>
    <n v="4.8720000000000008"/>
    <n v="39.616167600000011"/>
    <n v="2297.7377208000007"/>
    <n v="417.01229052631589"/>
    <n v="278.0081936842106"/>
    <n v="40.21041011400002"/>
    <n v="217.5"/>
    <n v="2555.4481309140006"/>
    <n v="44.05945053300001"/>
    <n v="463.78368982105275"/>
    <n v="309.18912654736852"/>
  </r>
  <r>
    <s v="26/05/2026"/>
    <s v="E"/>
    <s v="[1062] RAMGADH"/>
    <s v="[8404] CHANDESH"/>
    <x v="12"/>
    <x v="12"/>
    <x v="12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26/05/2026"/>
    <s v="E"/>
    <s v="[1062] RAMGADH"/>
    <s v="[8404] CHANDESH"/>
    <x v="12"/>
    <x v="12"/>
    <x v="12"/>
    <s v="C"/>
    <n v="73"/>
    <n v="3.9"/>
    <n v="8.4"/>
    <n v="2.847"/>
    <n v="6.1320000000000006"/>
    <n v="39.616167600000011"/>
    <n v="2891.9802348000007"/>
    <n v="417.01229052631589"/>
    <n v="278.0081936842106"/>
    <n v="50.609654109000019"/>
    <n v="273.75"/>
    <n v="3216.3398889090008"/>
    <n v="44.05945053300001"/>
    <n v="463.78368982105275"/>
    <n v="309.18912654736852"/>
  </r>
  <r>
    <s v="27/05/2026"/>
    <s v="M"/>
    <s v="[1062] RAMGADH"/>
    <s v="[8404] CHANDESH"/>
    <x v="12"/>
    <x v="12"/>
    <x v="12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27/05/2026"/>
    <s v="M"/>
    <s v="[1062] RAMGADH"/>
    <s v="[8404] CHANDESH"/>
    <x v="12"/>
    <x v="12"/>
    <x v="12"/>
    <s v="C"/>
    <n v="58"/>
    <n v="4"/>
    <n v="8.4"/>
    <n v="2.3199999999999998"/>
    <n v="4.8720000000000008"/>
    <n v="40.033167600000006"/>
    <n v="2321.9237208000004"/>
    <n v="417.01216250000004"/>
    <n v="278.00810833333338"/>
    <n v="40.63366511400001"/>
    <n v="217.5"/>
    <n v="2580.0573859140004"/>
    <n v="44.483748033000005"/>
    <n v="463.37237534375004"/>
    <n v="308.91491689583336"/>
  </r>
  <r>
    <s v="27/05/2026"/>
    <s v="E"/>
    <s v="[1062] RAMGADH"/>
    <s v="[8404] CHANDESH"/>
    <x v="12"/>
    <x v="12"/>
    <x v="12"/>
    <s v="B"/>
    <n v="14"/>
    <n v="5.6"/>
    <n v="9"/>
    <n v="0.78399999999999992"/>
    <n v="1.26"/>
    <n v="46.76"/>
    <n v="654.64"/>
    <n v="403.10344827586209"/>
    <n v="268.73563218390808"/>
    <n v="11.456200000000001"/>
    <n v="52.5"/>
    <n v="718.59619999999995"/>
    <n v="51.328299999999999"/>
    <n v="442.48534482758623"/>
    <n v="294.99022988505749"/>
  </r>
  <r>
    <s v="27/05/2026"/>
    <s v="E"/>
    <s v="[1062] RAMGADH"/>
    <s v="[8404] CHANDESH"/>
    <x v="12"/>
    <x v="12"/>
    <x v="12"/>
    <s v="C"/>
    <n v="61"/>
    <n v="3.7"/>
    <n v="8.1999999999999993"/>
    <n v="2.2570000000000001"/>
    <n v="5.0019999999999989"/>
    <n v="38.226139799999999"/>
    <n v="2331.7945277999997"/>
    <n v="417.01243418181815"/>
    <n v="278.00828945454543"/>
    <n v="40.806404236500001"/>
    <n v="228.75"/>
    <n v="2601.3509320364997"/>
    <n v="42.645097246499994"/>
    <n v="465.21924268909078"/>
    <n v="310.14616179272718"/>
  </r>
  <r>
    <s v="28/05/2026"/>
    <s v="M"/>
    <s v="[1062] RAMGADH"/>
    <s v="[8404] CHANDESH"/>
    <x v="12"/>
    <x v="12"/>
    <x v="12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28/05/2026"/>
    <s v="M"/>
    <s v="[1062] RAMGADH"/>
    <s v="[8404] CHANDESH"/>
    <x v="12"/>
    <x v="12"/>
    <x v="12"/>
    <s v="C"/>
    <n v="58"/>
    <n v="3.8"/>
    <n v="8"/>
    <n v="2.2039999999999997"/>
    <n v="4.6399999999999997"/>
    <n v="38.087112000000005"/>
    <n v="2209.0524960000002"/>
    <n v="417.01217518248177"/>
    <n v="278.00811678832116"/>
    <n v="38.658418680000011"/>
    <n v="217.5"/>
    <n v="2465.2109146800003"/>
    <n v="42.503636460000003"/>
    <n v="465.36828240875911"/>
    <n v="310.24552160583943"/>
  </r>
  <r>
    <s v="28/05/2026"/>
    <s v="E"/>
    <s v="[1062] RAMGADH"/>
    <s v="[8404] CHANDESH"/>
    <x v="12"/>
    <x v="12"/>
    <x v="12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22/05/2026"/>
    <s v="M"/>
    <s v="[1062] RAMGADH"/>
    <s v="[8402] RAMPUR"/>
    <x v="13"/>
    <x v="13"/>
    <x v="13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3/05/2026"/>
    <s v="M"/>
    <s v="[1062] RAMGADH"/>
    <s v="[8402] RAMPUR"/>
    <x v="13"/>
    <x v="13"/>
    <x v="13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4/05/2026"/>
    <s v="M"/>
    <s v="[1062] RAMGADH"/>
    <s v="[8402] RAMPUR"/>
    <x v="13"/>
    <x v="13"/>
    <x v="13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5/05/2026"/>
    <s v="M"/>
    <s v="[1062] RAMGADH"/>
    <s v="[8402] RAMPUR"/>
    <x v="13"/>
    <x v="13"/>
    <x v="13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6/05/2026"/>
    <s v="M"/>
    <s v="[1062] RAMGADH"/>
    <s v="[8402] RAMPUR"/>
    <x v="13"/>
    <x v="13"/>
    <x v="1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7/05/2026"/>
    <s v="M"/>
    <s v="[1062] RAMGADH"/>
    <s v="[8402] RAMPUR"/>
    <x v="13"/>
    <x v="13"/>
    <x v="1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8/05/2026"/>
    <s v="M"/>
    <s v="[1062] RAMGADH"/>
    <s v="[8402] RAMPUR"/>
    <x v="13"/>
    <x v="13"/>
    <x v="1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2/05/2026"/>
    <s v="M"/>
    <s v="[1062] RAMGADH"/>
    <s v="[8403] MOHANIA"/>
    <x v="14"/>
    <x v="14"/>
    <x v="14"/>
    <s v="C"/>
    <n v="18"/>
    <n v="4.5"/>
    <n v="8"/>
    <n v="0.81"/>
    <n v="1.44"/>
    <n v="38.941056000000003"/>
    <n v="700.93900800000006"/>
    <n v="396.01073898305089"/>
    <n v="264.00715932203394"/>
    <n v="12.266432640000001"/>
    <n v="67.5"/>
    <n v="780.70544064000001"/>
    <n v="43.372524480000003"/>
    <n v="441.07652013559328"/>
    <n v="294.05101342372888"/>
  </r>
  <r>
    <s v="22/05/2026"/>
    <s v="E"/>
    <s v="[1062] RAMGADH"/>
    <s v="[8403] MOHANIA"/>
    <x v="14"/>
    <x v="14"/>
    <x v="14"/>
    <s v="C"/>
    <n v="9"/>
    <n v="3.1"/>
    <n v="8"/>
    <n v="0.27900000000000003"/>
    <n v="0.72"/>
    <n v="33.397056000000006"/>
    <n v="300.57350400000007"/>
    <n v="396.01252173913048"/>
    <n v="264.008347826087"/>
    <n v="5.260036320000002"/>
    <n v="33.75"/>
    <n v="339.58354032000005"/>
    <n v="37.731504480000005"/>
    <n v="447.40914403162054"/>
    <n v="298.27276268774705"/>
  </r>
  <r>
    <s v="23/05/2026"/>
    <s v="M"/>
    <s v="[1062] RAMGADH"/>
    <s v="[8403] MOHANIA"/>
    <x v="14"/>
    <x v="14"/>
    <x v="14"/>
    <s v="C"/>
    <n v="17"/>
    <n v="3.7"/>
    <n v="8"/>
    <n v="0.629"/>
    <n v="1.36"/>
    <n v="35.773056000000004"/>
    <n v="608.14195200000006"/>
    <n v="396.01169003690035"/>
    <n v="264.00779335793356"/>
    <n v="10.642484160000002"/>
    <n v="63.75"/>
    <n v="682.53443616000004"/>
    <n v="40.149084479999999"/>
    <n v="444.45480974169732"/>
    <n v="296.30320649446486"/>
  </r>
  <r>
    <s v="23/05/2026"/>
    <s v="E"/>
    <s v="[1062] RAMGADH"/>
    <s v="[8403] MOHANIA"/>
    <x v="14"/>
    <x v="14"/>
    <x v="14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4/05/2026"/>
    <s v="M"/>
    <s v="[1062] RAMGADH"/>
    <s v="[8403] MOHANIA"/>
    <x v="14"/>
    <x v="14"/>
    <x v="14"/>
    <s v="C"/>
    <n v="16"/>
    <n v="3.6"/>
    <n v="8"/>
    <n v="0.57600000000000007"/>
    <n v="1.28"/>
    <n v="35.377056000000003"/>
    <n v="566.03289600000005"/>
    <n v="396.01182089552236"/>
    <n v="264.00788059701489"/>
    <n v="9.9055756800000019"/>
    <n v="60"/>
    <n v="635.93847168000002"/>
    <n v="39.746154480000001"/>
    <n v="444.91963970149249"/>
    <n v="296.61309313432832"/>
  </r>
  <r>
    <s v="24/05/2026"/>
    <s v="E"/>
    <s v="[1062] RAMGADH"/>
    <s v="[8403] MOHANIA"/>
    <x v="14"/>
    <x v="14"/>
    <x v="14"/>
    <s v="C"/>
    <n v="11"/>
    <n v="3.6"/>
    <n v="8.1"/>
    <n v="0.39600000000000002"/>
    <n v="0.8909999999999999"/>
    <n v="35.641069200000004"/>
    <n v="392.05176120000004"/>
    <n v="396.01188000000008"/>
    <n v="264.00792000000007"/>
    <n v="6.8609058210000011"/>
    <n v="41.25"/>
    <n v="440.16266702100006"/>
    <n v="40.014787911000006"/>
    <n v="444.60875456666673"/>
    <n v="296.4058363777778"/>
  </r>
  <r>
    <s v="25/05/2026"/>
    <s v="M"/>
    <s v="[1062] RAMGADH"/>
    <s v="[8403] MOHANIA"/>
    <x v="14"/>
    <x v="14"/>
    <x v="14"/>
    <s v="C"/>
    <n v="10"/>
    <n v="3.7"/>
    <n v="8"/>
    <n v="0.37"/>
    <n v="0.8"/>
    <n v="35.773056000000004"/>
    <n v="357.73056000000003"/>
    <n v="396.01169003690035"/>
    <n v="264.00779335793356"/>
    <n v="6.2602848000000009"/>
    <n v="37.5"/>
    <n v="401.49084480000005"/>
    <n v="40.149084480000006"/>
    <n v="444.45480974169743"/>
    <n v="296.30320649446497"/>
  </r>
  <r>
    <s v="25/05/2026"/>
    <s v="E"/>
    <s v="[1062] RAMGADH"/>
    <s v="[8403] MOHANIA"/>
    <x v="14"/>
    <x v="14"/>
    <x v="14"/>
    <s v="C"/>
    <n v="9"/>
    <n v="3.6"/>
    <n v="8.1999999999999993"/>
    <n v="0.32400000000000001"/>
    <n v="0.73799999999999999"/>
    <n v="35.905082400000005"/>
    <n v="323.14574160000006"/>
    <n v="396.01193823529417"/>
    <n v="264.00795882352946"/>
    <n v="5.6550504780000015"/>
    <n v="33.75"/>
    <n v="362.55079207800009"/>
    <n v="40.283421342000011"/>
    <n v="444.3024412720589"/>
    <n v="296.20162751470593"/>
  </r>
  <r>
    <s v="26/05/2026"/>
    <s v="M"/>
    <s v="[1062] RAMGADH"/>
    <s v="[8403] MOHANIA"/>
    <x v="14"/>
    <x v="14"/>
    <x v="14"/>
    <s v="C"/>
    <n v="13"/>
    <n v="3.8"/>
    <n v="8.3000000000000007"/>
    <n v="0.49399999999999999"/>
    <n v="1.079"/>
    <n v="38.921153700000005"/>
    <n v="505.97499810000005"/>
    <n v="417.01236107142859"/>
    <n v="278.00824071428571"/>
    <n v="8.8545624667500018"/>
    <n v="48.75"/>
    <n v="563.57956056675005"/>
    <n v="43.352273889750002"/>
    <n v="464.48864881874999"/>
    <n v="309.6590992125"/>
  </r>
  <r>
    <s v="26/05/2026"/>
    <s v="E"/>
    <s v="[1062] RAMGADH"/>
    <s v="[8403] MOHANIA"/>
    <x v="14"/>
    <x v="14"/>
    <x v="14"/>
    <s v="C"/>
    <n v="11"/>
    <n v="3.4"/>
    <n v="8"/>
    <n v="0.374"/>
    <n v="0.88"/>
    <n v="36.419112000000005"/>
    <n v="400.61023200000005"/>
    <n v="417.01273282442747"/>
    <n v="278.00848854961833"/>
    <n v="7.010679060000002"/>
    <n v="41.25"/>
    <n v="448.87091106000003"/>
    <n v="40.806446460000004"/>
    <n v="467.24938694656487"/>
    <n v="311.49959129770991"/>
  </r>
  <r>
    <s v="27/05/2026"/>
    <s v="M"/>
    <s v="[1062] RAMGADH"/>
    <s v="[8403] MOHANIA"/>
    <x v="14"/>
    <x v="14"/>
    <x v="14"/>
    <s v="C"/>
    <n v="15"/>
    <n v="4.7"/>
    <n v="8.3000000000000007"/>
    <n v="0.70499999999999996"/>
    <n v="1.2450000000000001"/>
    <n v="42.674153700000005"/>
    <n v="640.11230550000005"/>
    <n v="417.01127394136813"/>
    <n v="278.00751596091209"/>
    <n v="11.201965346250002"/>
    <n v="56.25"/>
    <n v="707.56427084625011"/>
    <n v="47.170951389750009"/>
    <n v="460.95392237540727"/>
    <n v="307.30261491693818"/>
  </r>
  <r>
    <s v="27/05/2026"/>
    <s v="E"/>
    <s v="[1062] RAMGADH"/>
    <s v="[8403] MOHANIA"/>
    <x v="14"/>
    <x v="14"/>
    <x v="14"/>
    <s v="C"/>
    <n v="7"/>
    <n v="3.8"/>
    <n v="8.1999999999999993"/>
    <n v="0.26599999999999996"/>
    <n v="0.57399999999999995"/>
    <n v="38.6431398"/>
    <n v="270.50197860000003"/>
    <n v="417.01230000000004"/>
    <n v="278.00820000000004"/>
    <n v="4.7337846255000011"/>
    <n v="26.25"/>
    <n v="301.48576322550002"/>
    <n v="43.069394746500002"/>
    <n v="464.77764114928061"/>
    <n v="309.85176076618706"/>
  </r>
  <r>
    <s v="28/05/2026"/>
    <s v="M"/>
    <s v="[1062] RAMGADH"/>
    <s v="[8403] MOHANIA"/>
    <x v="14"/>
    <x v="14"/>
    <x v="14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28/05/2026"/>
    <s v="E"/>
    <s v="[1062] RAMGADH"/>
    <s v="[8403] MOHANIA"/>
    <x v="14"/>
    <x v="14"/>
    <x v="14"/>
    <s v="C"/>
    <n v="14"/>
    <n v="4"/>
    <n v="8.1"/>
    <n v="0.56000000000000005"/>
    <n v="1.1339999999999999"/>
    <n v="39.199125899999999"/>
    <n v="548.78776259999995"/>
    <n v="417.01197765957443"/>
    <n v="278.00798510638293"/>
    <n v="9.6037858455000009"/>
    <n v="52.5"/>
    <n v="610.89154844549989"/>
    <n v="43.635110603249991"/>
    <n v="464.20330428989354"/>
    <n v="309.46886952659571"/>
  </r>
  <r>
    <s v="22/05/2026"/>
    <s v="M"/>
    <s v="[1062] RAMGADH"/>
    <s v="[8404] CHANDESH"/>
    <x v="15"/>
    <x v="15"/>
    <x v="15"/>
    <s v="B"/>
    <n v="2"/>
    <n v="7.4"/>
    <n v="8.8000000000000007"/>
    <n v="0.14800000000000002"/>
    <n v="0.17600000000000002"/>
    <n v="61.172100000000007"/>
    <n v="122.34420000000001"/>
    <n v="461.09623115577887"/>
    <n v="307.39748743718593"/>
    <n v="2.1410235000000006"/>
    <n v="7.5"/>
    <n v="131.98522350000002"/>
    <n v="65.992611750000009"/>
    <n v="497.43174685929648"/>
    <n v="331.6211645728643"/>
  </r>
  <r>
    <s v="22/05/2026"/>
    <s v="E"/>
    <s v="[1062] RAMGADH"/>
    <s v="[8404] CHANDESH"/>
    <x v="15"/>
    <x v="15"/>
    <x v="1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3/05/2026"/>
    <s v="M"/>
    <s v="[1062] RAMGADH"/>
    <s v="[8404] CHANDESH"/>
    <x v="15"/>
    <x v="15"/>
    <x v="15"/>
    <s v="B"/>
    <n v="7"/>
    <n v="7.2"/>
    <n v="8.8000000000000007"/>
    <n v="0.504"/>
    <n v="0.6160000000000001"/>
    <n v="59.518800000000006"/>
    <n v="416.63160000000005"/>
    <n v="455.50102040816324"/>
    <n v="303.66734693877549"/>
    <n v="7.2910530000000016"/>
    <n v="26.25"/>
    <n v="450.17265300000008"/>
    <n v="64.310379000000012"/>
    <n v="492.17126785714288"/>
    <n v="328.11417857142857"/>
  </r>
  <r>
    <s v="23/05/2026"/>
    <s v="E"/>
    <s v="[1062] RAMGADH"/>
    <s v="[8404] CHANDESH"/>
    <x v="15"/>
    <x v="15"/>
    <x v="15"/>
    <s v="C"/>
    <n v="6"/>
    <n v="4.5999999999999996"/>
    <n v="8.1999999999999993"/>
    <n v="0.27599999999999997"/>
    <n v="0.49199999999999994"/>
    <n v="39.865082400000006"/>
    <n v="239.19049440000003"/>
    <n v="396.01075231788087"/>
    <n v="264.0071682119206"/>
    <n v="4.1858336520000012"/>
    <n v="22.5"/>
    <n v="265.87632805200002"/>
    <n v="44.312721342000003"/>
    <n v="440.19259611258286"/>
    <n v="293.46173074172191"/>
  </r>
  <r>
    <s v="24/05/2026"/>
    <s v="M"/>
    <s v="[1062] RAMGADH"/>
    <s v="[8404] CHANDESH"/>
    <x v="15"/>
    <x v="15"/>
    <x v="15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24/05/2026"/>
    <s v="E"/>
    <s v="[1062] RAMGADH"/>
    <s v="[8404] CHANDESH"/>
    <x v="15"/>
    <x v="15"/>
    <x v="15"/>
    <s v="C"/>
    <n v="10"/>
    <n v="3.5"/>
    <n v="8.1999999999999993"/>
    <n v="0.35"/>
    <n v="0.82"/>
    <n v="35.509082400000004"/>
    <n v="355.09082400000005"/>
    <n v="396.0120713754647"/>
    <n v="264.00804758364313"/>
    <n v="6.2140894200000014"/>
    <n v="37.5"/>
    <n v="398.80491342000005"/>
    <n v="39.880491342000006"/>
    <n v="444.76384396282532"/>
    <n v="296.50922930855023"/>
  </r>
  <r>
    <s v="25/05/2026"/>
    <s v="M"/>
    <s v="[1062] RAMGADH"/>
    <s v="[8404] CHANDESH"/>
    <x v="15"/>
    <x v="15"/>
    <x v="15"/>
    <s v="B"/>
    <n v="7"/>
    <n v="7.5"/>
    <n v="8.8000000000000007"/>
    <n v="0.52500000000000002"/>
    <n v="0.6160000000000001"/>
    <n v="61.998750000000001"/>
    <n v="433.99125000000004"/>
    <n v="463.83104738154617"/>
    <n v="309.22069825436409"/>
    <n v="7.5948468750000018"/>
    <n v="26.25"/>
    <n v="467.83609687500007"/>
    <n v="66.833728125000007"/>
    <n v="500.00295355361607"/>
    <n v="333.3353023690774"/>
  </r>
  <r>
    <s v="25/05/2026"/>
    <s v="E"/>
    <s v="[1062] RAMGADH"/>
    <s v="[8404] CHANDESH"/>
    <x v="15"/>
    <x v="15"/>
    <x v="15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6/05/2026"/>
    <s v="M"/>
    <s v="[1062] RAMGADH"/>
    <s v="[8404] CHANDESH"/>
    <x v="15"/>
    <x v="15"/>
    <x v="15"/>
    <s v="B"/>
    <n v="2"/>
    <n v="8.8000000000000007"/>
    <n v="9"/>
    <n v="0.17600000000000002"/>
    <n v="0.18"/>
    <n v="73.48"/>
    <n v="146.96"/>
    <n v="496.48648648648646"/>
    <n v="330.99099099099095"/>
    <n v="2.5718000000000005"/>
    <n v="7.5"/>
    <n v="157.0318"/>
    <n v="78.515900000000002"/>
    <n v="530.51283783783776"/>
    <n v="353.67522522522518"/>
  </r>
  <r>
    <s v="26/05/2026"/>
    <s v="E"/>
    <s v="[1062] RAMGADH"/>
    <s v="[8404] CHANDESH"/>
    <x v="15"/>
    <x v="15"/>
    <x v="15"/>
    <s v="C"/>
    <n v="4"/>
    <n v="3.1"/>
    <n v="8.4"/>
    <n v="0.124"/>
    <n v="0.33600000000000002"/>
    <n v="36.280167600000006"/>
    <n v="145.12067040000002"/>
    <n v="417.01342068965528"/>
    <n v="278.00894712643685"/>
    <n v="2.5396117320000005"/>
    <n v="15"/>
    <n v="162.66028213200002"/>
    <n v="40.665070533000005"/>
    <n v="467.41460382758629"/>
    <n v="311.60973588505755"/>
  </r>
  <r>
    <s v="27/05/2026"/>
    <s v="M"/>
    <s v="[1062] RAMGADH"/>
    <s v="[8404] CHANDESH"/>
    <x v="15"/>
    <x v="15"/>
    <x v="15"/>
    <s v="B"/>
    <n v="4"/>
    <n v="8.8000000000000007"/>
    <n v="9"/>
    <n v="0.35200000000000004"/>
    <n v="0.36"/>
    <n v="73.48"/>
    <n v="293.92"/>
    <n v="496.48648648648646"/>
    <n v="330.99099099099095"/>
    <n v="5.1436000000000011"/>
    <n v="15"/>
    <n v="314.06360000000001"/>
    <n v="78.515900000000002"/>
    <n v="530.51283783783776"/>
    <n v="353.67522522522518"/>
  </r>
  <r>
    <s v="27/05/2026"/>
    <s v="E"/>
    <s v="[1062] RAMGADH"/>
    <s v="[8404] CHANDESH"/>
    <x v="15"/>
    <x v="15"/>
    <x v="15"/>
    <s v="B"/>
    <n v="6"/>
    <n v="5.8"/>
    <n v="9"/>
    <n v="0.34799999999999998"/>
    <n v="0.54"/>
    <n v="48.43"/>
    <n v="290.58"/>
    <n v="410.42372881355936"/>
    <n v="273.61581920903956"/>
    <n v="5.0851500000000005"/>
    <n v="22.5"/>
    <n v="318.16514999999998"/>
    <n v="53.027524999999997"/>
    <n v="449.38580508474575"/>
    <n v="299.59053672316384"/>
  </r>
  <r>
    <s v="28/05/2026"/>
    <s v="M"/>
    <s v="[1062] RAMGADH"/>
    <s v="[8404] CHANDESH"/>
    <x v="15"/>
    <x v="15"/>
    <x v="15"/>
    <s v="B"/>
    <n v="2"/>
    <n v="7.5"/>
    <n v="9"/>
    <n v="0.15"/>
    <n v="0.18"/>
    <n v="62.625"/>
    <n v="125.25"/>
    <n v="463.88888888888886"/>
    <n v="309.25925925925924"/>
    <n v="2.191875"/>
    <n v="7.5"/>
    <n v="134.94187500000001"/>
    <n v="67.470937500000005"/>
    <n v="499.78472222222223"/>
    <n v="333.18981481481484"/>
  </r>
  <r>
    <s v="28/05/2026"/>
    <s v="E"/>
    <s v="[1062] RAMGADH"/>
    <s v="[8404] CHANDESH"/>
    <x v="15"/>
    <x v="15"/>
    <x v="15"/>
    <s v="C"/>
    <n v="4"/>
    <n v="3.4"/>
    <n v="8.1"/>
    <n v="0.13600000000000001"/>
    <n v="0.32400000000000001"/>
    <n v="36.697125900000003"/>
    <n v="146.78850360000001"/>
    <n v="417.01279431818188"/>
    <n v="278.00852954545456"/>
    <n v="2.5687988130000003"/>
    <n v="15"/>
    <n v="164.35730241300001"/>
    <n v="41.089325603250003"/>
    <n v="466.92415458238645"/>
    <n v="311.28276972159097"/>
  </r>
  <r>
    <s v="22/05/2026"/>
    <s v="M"/>
    <s v="[1062] RAMGADH"/>
    <s v="[8404] CHANDESH"/>
    <x v="16"/>
    <x v="16"/>
    <x v="16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2/05/2026"/>
    <s v="E"/>
    <s v="[1062] RAMGADH"/>
    <s v="[8404] CHANDESH"/>
    <x v="16"/>
    <x v="16"/>
    <x v="16"/>
    <s v="C"/>
    <n v="4"/>
    <n v="3"/>
    <n v="8"/>
    <n v="0.12"/>
    <n v="0.32"/>
    <n v="33.001056000000005"/>
    <n v="132.00422400000002"/>
    <n v="396.01267200000001"/>
    <n v="264.00844799999999"/>
    <n v="2.3100739200000007"/>
    <n v="15"/>
    <n v="149.31429792000003"/>
    <n v="37.328574480000007"/>
    <n v="447.94289376000006"/>
    <n v="298.62859584000006"/>
  </r>
  <r>
    <s v="23/05/2026"/>
    <s v="M"/>
    <s v="[1062] RAMGADH"/>
    <s v="[8404] CHANDESH"/>
    <x v="16"/>
    <x v="16"/>
    <x v="16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3/05/2026"/>
    <s v="E"/>
    <s v="[1062] RAMGADH"/>
    <s v="[8404] CHANDESH"/>
    <x v="16"/>
    <x v="16"/>
    <x v="16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s v="24/05/2026"/>
    <s v="M"/>
    <s v="[1062] RAMGADH"/>
    <s v="[8404] CHANDESH"/>
    <x v="16"/>
    <x v="16"/>
    <x v="16"/>
    <s v="C"/>
    <n v="3"/>
    <n v="3"/>
    <n v="8"/>
    <n v="0.09"/>
    <n v="0.24"/>
    <n v="33.001056000000005"/>
    <n v="99.003168000000016"/>
    <n v="396.01267200000001"/>
    <n v="264.00844799999999"/>
    <n v="1.7325554400000005"/>
    <n v="11.25"/>
    <n v="111.98572344000002"/>
    <n v="37.328574480000007"/>
    <n v="447.94289376000006"/>
    <n v="298.62859584000006"/>
  </r>
  <r>
    <s v="24/05/2026"/>
    <s v="E"/>
    <s v="[1062] RAMGADH"/>
    <s v="[8404] CHANDESH"/>
    <x v="16"/>
    <x v="16"/>
    <x v="16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5/05/2026"/>
    <s v="M"/>
    <s v="[1062] RAMGADH"/>
    <s v="[8404] CHANDESH"/>
    <x v="16"/>
    <x v="16"/>
    <x v="16"/>
    <s v="C"/>
    <n v="5"/>
    <n v="4.3"/>
    <n v="8"/>
    <n v="0.215"/>
    <n v="0.4"/>
    <n v="38.149056000000002"/>
    <n v="190.74528000000001"/>
    <n v="396.01096193771633"/>
    <n v="264.00730795847755"/>
    <n v="3.3380424000000004"/>
    <n v="18.75"/>
    <n v="212.83332240000001"/>
    <n v="42.56666448"/>
    <n v="441.86848941176476"/>
    <n v="294.57899294117652"/>
  </r>
  <r>
    <s v="25/05/2026"/>
    <s v="E"/>
    <s v="[1062] RAMGADH"/>
    <s v="[8404] CHANDESH"/>
    <x v="16"/>
    <x v="16"/>
    <x v="16"/>
    <s v="C"/>
    <n v="2"/>
    <n v="4"/>
    <n v="8.1999999999999993"/>
    <n v="0.08"/>
    <n v="0.16399999999999998"/>
    <n v="37.489082400000001"/>
    <n v="74.978164800000002"/>
    <n v="396.01143380281695"/>
    <n v="264.00762253521128"/>
    <n v="1.3121178840000001"/>
    <n v="7.5"/>
    <n v="83.790282684000005"/>
    <n v="41.895141342000002"/>
    <n v="442.55430995070429"/>
    <n v="295.03620663380286"/>
  </r>
  <r>
    <s v="26/05/2026"/>
    <s v="M"/>
    <s v="[1062] RAMGADH"/>
    <s v="[8404] CHANDESH"/>
    <x v="16"/>
    <x v="16"/>
    <x v="16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27/05/2026"/>
    <s v="M"/>
    <s v="[1062] RAMGADH"/>
    <s v="[8404] CHANDESH"/>
    <x v="16"/>
    <x v="16"/>
    <x v="16"/>
    <s v="C"/>
    <n v="5"/>
    <n v="4.0999999999999996"/>
    <n v="8.3000000000000007"/>
    <n v="0.20499999999999999"/>
    <n v="0.41499999999999998"/>
    <n v="40.172153700000003"/>
    <n v="200.86076850000001"/>
    <n v="417.01197612456752"/>
    <n v="278.00798408304502"/>
    <n v="3.5150634487500003"/>
    <n v="18.75"/>
    <n v="223.12583194875"/>
    <n v="44.625166389749999"/>
    <n v="463.23702134688585"/>
    <n v="308.82468089792388"/>
  </r>
  <r>
    <s v="28/05/2026"/>
    <s v="M"/>
    <s v="[1062] RAMGADH"/>
    <s v="[8404] CHANDESH"/>
    <x v="16"/>
    <x v="16"/>
    <x v="16"/>
    <s v="C"/>
    <n v="4"/>
    <n v="3.3"/>
    <n v="8"/>
    <n v="0.13200000000000001"/>
    <n v="0.32"/>
    <n v="36.002112000000004"/>
    <n v="144.00844800000002"/>
    <n v="417.01288030888031"/>
    <n v="278.00858687258687"/>
    <n v="2.5201478400000004"/>
    <n v="15"/>
    <n v="161.52859584000001"/>
    <n v="40.382148960000002"/>
    <n v="467.74689915057911"/>
    <n v="311.83126610038607"/>
  </r>
  <r>
    <s v="28/05/2026"/>
    <s v="E"/>
    <s v="[1062] RAMGADH"/>
    <s v="[8404] CHANDESH"/>
    <x v="16"/>
    <x v="16"/>
    <x v="16"/>
    <s v="C"/>
    <n v="1"/>
    <n v="3"/>
    <n v="8"/>
    <n v="0.03"/>
    <n v="0.08"/>
    <n v="34.751112000000006"/>
    <n v="34.751112000000006"/>
    <n v="417.01334400000002"/>
    <n v="278.00889599999999"/>
    <n v="0.60814446000000022"/>
    <n v="3.75"/>
    <n v="39.109256460000005"/>
    <n v="39.109256460000005"/>
    <n v="469.31107752000003"/>
    <n v="312.87405168000004"/>
  </r>
  <r>
    <s v="22/05/2026"/>
    <s v="M"/>
    <s v="[1062] RAMGADH"/>
    <s v="[8404] CHANDESH"/>
    <x v="17"/>
    <x v="17"/>
    <x v="17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22/05/2026"/>
    <s v="M"/>
    <s v="[1062] RAMGADH"/>
    <s v="[8404] CHANDESH"/>
    <x v="17"/>
    <x v="17"/>
    <x v="17"/>
    <s v="C"/>
    <n v="29"/>
    <n v="3.8"/>
    <n v="8.1"/>
    <n v="1.1019999999999999"/>
    <n v="2.3489999999999998"/>
    <n v="36.433069200000006"/>
    <n v="1056.5590068000001"/>
    <n v="396.01162173913048"/>
    <n v="264.00774782608698"/>
    <n v="18.489782619000003"/>
    <n v="108.75"/>
    <n v="1183.7987894190001"/>
    <n v="40.820647911000002"/>
    <n v="443.70269468478261"/>
    <n v="295.80179645652174"/>
  </r>
  <r>
    <s v="22/05/2026"/>
    <s v="E"/>
    <s v="[1062] RAMGADH"/>
    <s v="[8404] CHANDESH"/>
    <x v="17"/>
    <x v="17"/>
    <x v="1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22/05/2026"/>
    <s v="E"/>
    <s v="[1062] RAMGADH"/>
    <s v="[8404] CHANDESH"/>
    <x v="17"/>
    <x v="17"/>
    <x v="17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23/05/2026"/>
    <s v="M"/>
    <s v="[1062] RAMGADH"/>
    <s v="[8404] CHANDESH"/>
    <x v="17"/>
    <x v="17"/>
    <x v="17"/>
    <s v="B"/>
    <n v="15"/>
    <n v="6.4"/>
    <n v="8.4"/>
    <n v="0.96"/>
    <n v="1.26"/>
    <n v="51.836799999999997"/>
    <n v="777.55199999999991"/>
    <n v="431.9733333333333"/>
    <n v="287.98222222222222"/>
    <n v="13.60716"/>
    <n v="56.25"/>
    <n v="847.40915999999993"/>
    <n v="56.493943999999992"/>
    <n v="470.78286666666662"/>
    <n v="313.85524444444439"/>
  </r>
  <r>
    <s v="23/05/2026"/>
    <s v="M"/>
    <s v="[1062] RAMGADH"/>
    <s v="[8404] CHANDESH"/>
    <x v="17"/>
    <x v="17"/>
    <x v="17"/>
    <s v="C"/>
    <n v="32"/>
    <n v="3.6"/>
    <n v="8"/>
    <n v="1.1520000000000001"/>
    <n v="2.56"/>
    <n v="35.377056000000003"/>
    <n v="1132.0657920000001"/>
    <n v="396.01182089552236"/>
    <n v="264.00788059701489"/>
    <n v="19.811151360000004"/>
    <n v="120"/>
    <n v="1271.87694336"/>
    <n v="39.746154480000001"/>
    <n v="444.91963970149249"/>
    <n v="296.61309313432832"/>
  </r>
  <r>
    <s v="23/05/2026"/>
    <s v="E"/>
    <s v="[1062] RAMGADH"/>
    <s v="[8404] CHANDESH"/>
    <x v="17"/>
    <x v="17"/>
    <x v="17"/>
    <s v="B"/>
    <n v="21"/>
    <n v="6.2"/>
    <n v="8.4"/>
    <n v="1.3020000000000003"/>
    <n v="1.764"/>
    <n v="50.216900000000003"/>
    <n v="1054.5549000000001"/>
    <n v="425.56694915254241"/>
    <n v="283.71129943502825"/>
    <n v="18.454710750000004"/>
    <n v="78.75"/>
    <n v="1151.7596107500001"/>
    <n v="54.845695750000004"/>
    <n v="464.79403177966105"/>
    <n v="309.86268785310739"/>
  </r>
  <r>
    <s v="23/05/2026"/>
    <s v="E"/>
    <s v="[1062] RAMGADH"/>
    <s v="[8404] CHANDESH"/>
    <x v="17"/>
    <x v="17"/>
    <x v="17"/>
    <s v="C"/>
    <n v="76"/>
    <n v="3"/>
    <n v="8"/>
    <n v="2.2799999999999998"/>
    <n v="6.08"/>
    <n v="33.001056000000005"/>
    <n v="2508.0802560000002"/>
    <n v="396.01267200000001"/>
    <n v="264.00844799999999"/>
    <n v="43.891404480000006"/>
    <n v="285"/>
    <n v="2836.9716604800001"/>
    <n v="37.32857448"/>
    <n v="447.94289375999995"/>
    <n v="298.62859583999995"/>
  </r>
  <r>
    <s v="24/05/2026"/>
    <s v="M"/>
    <s v="[1062] RAMGADH"/>
    <s v="[8404] CHANDESH"/>
    <x v="17"/>
    <x v="17"/>
    <x v="17"/>
    <s v="B"/>
    <n v="8"/>
    <n v="6.9"/>
    <n v="8.8000000000000007"/>
    <n v="0.55200000000000005"/>
    <n v="0.70400000000000007"/>
    <n v="57.038850000000004"/>
    <n v="456.31080000000003"/>
    <n v="446.77950391644907"/>
    <n v="297.85300261096603"/>
    <n v="7.9854390000000013"/>
    <n v="30"/>
    <n v="494.29623900000001"/>
    <n v="61.787029875000002"/>
    <n v="483.97151338120102"/>
    <n v="322.64767558746735"/>
  </r>
  <r>
    <s v="24/05/2026"/>
    <s v="E"/>
    <s v="[1062] RAMGADH"/>
    <s v="[8404] CHANDESH"/>
    <x v="17"/>
    <x v="17"/>
    <x v="17"/>
    <s v="B"/>
    <n v="34"/>
    <n v="6"/>
    <n v="8.6"/>
    <n v="2.04"/>
    <n v="2.9239999999999999"/>
    <n v="49.097999999999999"/>
    <n v="1669.3319999999999"/>
    <n v="418.44886363636368"/>
    <n v="278.96590909090912"/>
    <n v="29.21331"/>
    <n v="127.5"/>
    <n v="1826.04531"/>
    <n v="53.707214999999998"/>
    <n v="457.7319460227273"/>
    <n v="305.15463068181822"/>
  </r>
  <r>
    <s v="24/05/2026"/>
    <s v="E"/>
    <s v="[1062] RAMGADH"/>
    <s v="[8404] CHANDESH"/>
    <x v="17"/>
    <x v="17"/>
    <x v="17"/>
    <s v="C"/>
    <n v="73"/>
    <n v="3"/>
    <n v="8"/>
    <n v="2.19"/>
    <n v="5.84"/>
    <n v="33.001056000000005"/>
    <n v="2409.0770880000005"/>
    <n v="396.01267200000001"/>
    <n v="264.00844799999999"/>
    <n v="42.158849040000014"/>
    <n v="273.75"/>
    <n v="2724.9859370400004"/>
    <n v="37.328574480000007"/>
    <n v="447.94289376000006"/>
    <n v="298.62859584000006"/>
  </r>
  <r>
    <s v="25/05/2026"/>
    <s v="M"/>
    <s v="[1062] RAMGADH"/>
    <s v="[8404] CHANDESH"/>
    <x v="17"/>
    <x v="17"/>
    <x v="17"/>
    <s v="B"/>
    <n v="17"/>
    <n v="7.7"/>
    <n v="8.8000000000000007"/>
    <n v="1.3090000000000002"/>
    <n v="1.4960000000000002"/>
    <n v="63.652050000000003"/>
    <n v="1082.08485"/>
    <n v="469.17972972972979"/>
    <n v="312.78648648648652"/>
    <n v="18.936484875000001"/>
    <n v="63.75"/>
    <n v="1164.7713348749999"/>
    <n v="68.51596087499999"/>
    <n v="505.03165264127762"/>
    <n v="336.68776842751839"/>
  </r>
  <r>
    <s v="25/05/2026"/>
    <s v="E"/>
    <s v="[1062] RAMGADH"/>
    <s v="[8404] CHANDESH"/>
    <x v="17"/>
    <x v="17"/>
    <x v="17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26/05/2026"/>
    <s v="M"/>
    <s v="[1062] RAMGADH"/>
    <s v="[8404] CHANDESH"/>
    <x v="17"/>
    <x v="17"/>
    <x v="17"/>
    <s v="B"/>
    <n v="28"/>
    <n v="6.3"/>
    <n v="8.8000000000000007"/>
    <n v="1.764"/>
    <n v="2.4640000000000004"/>
    <n v="52.078949999999999"/>
    <n v="1458.2105999999999"/>
    <n v="428.04616438356163"/>
    <n v="285.36410958904111"/>
    <n v="25.5186855"/>
    <n v="105"/>
    <n v="1588.7292854999998"/>
    <n v="56.740331624999996"/>
    <n v="466.35889006849311"/>
    <n v="310.90592671232872"/>
  </r>
  <r>
    <s v="26/05/2026"/>
    <s v="E"/>
    <s v="[1062] RAMGADH"/>
    <s v="[8404] CHANDESH"/>
    <x v="17"/>
    <x v="17"/>
    <x v="17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26/05/2026"/>
    <s v="E"/>
    <s v="[1062] RAMGADH"/>
    <s v="[8404] CHANDESH"/>
    <x v="17"/>
    <x v="17"/>
    <x v="17"/>
    <s v="C"/>
    <n v="68"/>
    <n v="3.2"/>
    <n v="8.1999999999999993"/>
    <n v="2.1760000000000002"/>
    <n v="5.5759999999999987"/>
    <n v="36.141139799999998"/>
    <n v="2457.5975063999999"/>
    <n v="417.0131515384615"/>
    <n v="278.00876769230769"/>
    <n v="43.007956362000002"/>
    <n v="255"/>
    <n v="2755.6054627620001"/>
    <n v="40.5236097465"/>
    <n v="467.58011245961535"/>
    <n v="311.72007497307692"/>
  </r>
  <r>
    <s v="27/05/2026"/>
    <s v="M"/>
    <s v="[1062] RAMGADH"/>
    <s v="[8404] CHANDESH"/>
    <x v="17"/>
    <x v="17"/>
    <x v="17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27/05/2026"/>
    <s v="E"/>
    <s v="[1062] RAMGADH"/>
    <s v="[8404] CHANDESH"/>
    <x v="17"/>
    <x v="17"/>
    <x v="17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27/05/2026"/>
    <s v="E"/>
    <s v="[1062] RAMGADH"/>
    <s v="[8404] CHANDESH"/>
    <x v="17"/>
    <x v="17"/>
    <x v="17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28/05/2026"/>
    <s v="M"/>
    <s v="[1062] RAMGADH"/>
    <s v="[8404] CHANDESH"/>
    <x v="17"/>
    <x v="17"/>
    <x v="17"/>
    <s v="C"/>
    <n v="12"/>
    <n v="3.2"/>
    <n v="8.1"/>
    <n v="0.38400000000000006"/>
    <n v="0.97199999999999986"/>
    <n v="35.8631259"/>
    <n v="430.3575108"/>
    <n v="417.01309186046512"/>
    <n v="278.00872790697673"/>
    <n v="7.5312564390000007"/>
    <n v="45"/>
    <n v="482.888767239"/>
    <n v="40.24073060325"/>
    <n v="467.91547213081401"/>
    <n v="311.94364808720934"/>
  </r>
  <r>
    <s v="28/05/2026"/>
    <s v="E"/>
    <s v="[1062] RAMGADH"/>
    <s v="[8404] CHANDESH"/>
    <x v="17"/>
    <x v="17"/>
    <x v="17"/>
    <s v="C"/>
    <n v="114"/>
    <n v="3.3"/>
    <n v="8.1"/>
    <n v="3.762"/>
    <n v="9.234"/>
    <n v="36.280125900000002"/>
    <n v="4135.9343526000002"/>
    <n v="417.0129413793104"/>
    <n v="278.00862758620696"/>
    <n v="72.378851170500013"/>
    <n v="427.5"/>
    <n v="4635.8132037705"/>
    <n v="40.665028103250002"/>
    <n v="467.4141161293104"/>
    <n v="311.6094107528736"/>
  </r>
  <r>
    <s v="22/05/2026"/>
    <s v="M"/>
    <s v="[1062] RAMGADH"/>
    <s v="[8404] CHANDESH"/>
    <x v="18"/>
    <x v="18"/>
    <x v="18"/>
    <s v="B"/>
    <n v="81"/>
    <n v="6.7"/>
    <n v="8.8000000000000007"/>
    <n v="5.4270000000000005"/>
    <n v="7.128000000000001"/>
    <n v="55.385550000000002"/>
    <n v="4486.22955"/>
    <n v="440.73381962864721"/>
    <n v="293.82254641909816"/>
    <n v="78.509017125000014"/>
    <n v="303.75"/>
    <n v="4868.4885671250004"/>
    <n v="60.104797125000005"/>
    <n v="478.28751027851456"/>
    <n v="318.85834018567635"/>
  </r>
  <r>
    <s v="22/05/2026"/>
    <s v="M"/>
    <s v="[1062] RAMGADH"/>
    <s v="[8404] CHANDESH"/>
    <x v="18"/>
    <x v="18"/>
    <x v="1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22/05/2026"/>
    <s v="E"/>
    <s v="[1062] RAMGADH"/>
    <s v="[8404] CHANDESH"/>
    <x v="18"/>
    <x v="18"/>
    <x v="18"/>
    <s v="B"/>
    <n v="67"/>
    <n v="6.9"/>
    <n v="8.8000000000000007"/>
    <n v="4.6230000000000002"/>
    <n v="5.8959999999999999"/>
    <n v="57.038850000000004"/>
    <n v="3821.6029500000004"/>
    <n v="446.77950391644907"/>
    <n v="297.85300261096603"/>
    <n v="66.878051625000012"/>
    <n v="251.25"/>
    <n v="4139.7310016250003"/>
    <n v="61.787029875000002"/>
    <n v="483.97151338120102"/>
    <n v="322.64767558746735"/>
  </r>
  <r>
    <s v="22/05/2026"/>
    <s v="E"/>
    <s v="[1062] RAMGADH"/>
    <s v="[8404] CHANDESH"/>
    <x v="18"/>
    <x v="18"/>
    <x v="18"/>
    <s v="C"/>
    <n v="106"/>
    <n v="3"/>
    <n v="8"/>
    <n v="3.18"/>
    <n v="8.48"/>
    <n v="33.001056000000005"/>
    <n v="3498.1119360000007"/>
    <n v="396.01267200000001"/>
    <n v="264.00844799999999"/>
    <n v="61.216958880000021"/>
    <n v="397.5"/>
    <n v="3956.8288948800009"/>
    <n v="37.328574480000007"/>
    <n v="447.94289376000006"/>
    <n v="298.62859584000006"/>
  </r>
  <r>
    <s v="23/05/2026"/>
    <s v="M"/>
    <s v="[1062] RAMGADH"/>
    <s v="[8404] CHANDESH"/>
    <x v="18"/>
    <x v="18"/>
    <x v="18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23/05/2026"/>
    <s v="M"/>
    <s v="[1062] RAMGADH"/>
    <s v="[8404] CHANDESH"/>
    <x v="18"/>
    <x v="18"/>
    <x v="1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23/05/2026"/>
    <s v="E"/>
    <s v="[1062] RAMGADH"/>
    <s v="[8404] CHANDESH"/>
    <x v="18"/>
    <x v="18"/>
    <x v="18"/>
    <s v="B"/>
    <n v="129"/>
    <n v="6.2"/>
    <n v="9"/>
    <n v="7.9980000000000011"/>
    <n v="11.61"/>
    <n v="51.77"/>
    <n v="6678.3300000000008"/>
    <n v="424.34426229508199"/>
    <n v="282.89617486338801"/>
    <n v="116.87077500000002"/>
    <n v="483.75"/>
    <n v="7278.9507750000012"/>
    <n v="56.425975000000008"/>
    <n v="462.50799180327874"/>
    <n v="308.33866120218585"/>
  </r>
  <r>
    <s v="23/05/2026"/>
    <s v="E"/>
    <s v="[1062] RAMGADH"/>
    <s v="[8404] CHANDESH"/>
    <x v="18"/>
    <x v="18"/>
    <x v="18"/>
    <s v="C"/>
    <n v="96"/>
    <n v="3"/>
    <n v="8"/>
    <n v="2.88"/>
    <n v="7.68"/>
    <n v="33.001056000000005"/>
    <n v="3168.1013760000005"/>
    <n v="396.01267200000001"/>
    <n v="264.00844799999999"/>
    <n v="55.441774080000016"/>
    <n v="360"/>
    <n v="3583.5431500800005"/>
    <n v="37.328574480000007"/>
    <n v="447.94289376000006"/>
    <n v="298.62859584000006"/>
  </r>
  <r>
    <s v="24/05/2026"/>
    <s v="M"/>
    <s v="[1062] RAMGADH"/>
    <s v="[8404] CHANDESH"/>
    <x v="18"/>
    <x v="18"/>
    <x v="18"/>
    <s v="B"/>
    <n v="90"/>
    <n v="6.9"/>
    <n v="8.8000000000000007"/>
    <n v="6.21"/>
    <n v="7.9200000000000008"/>
    <n v="57.038850000000004"/>
    <n v="5133.4965000000002"/>
    <n v="446.77950391644907"/>
    <n v="297.85300261096603"/>
    <n v="89.836188750000005"/>
    <n v="337.5"/>
    <n v="5560.8326887500007"/>
    <n v="61.787029875000009"/>
    <n v="483.97151338120108"/>
    <n v="322.6476755874674"/>
  </r>
  <r>
    <s v="24/05/2026"/>
    <s v="M"/>
    <s v="[1062] RAMGADH"/>
    <s v="[8404] CHANDESH"/>
    <x v="18"/>
    <x v="18"/>
    <x v="1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4/05/2026"/>
    <s v="E"/>
    <s v="[1062] RAMGADH"/>
    <s v="[8404] CHANDESH"/>
    <x v="18"/>
    <x v="18"/>
    <x v="18"/>
    <s v="B"/>
    <n v="77"/>
    <n v="6.2"/>
    <n v="8.8000000000000007"/>
    <n v="4.774"/>
    <n v="6.7759999999999998"/>
    <n v="51.252300000000005"/>
    <n v="3946.4271000000003"/>
    <n v="424.74281767955802"/>
    <n v="283.1618784530387"/>
    <n v="69.062474250000008"/>
    <n v="288.75"/>
    <n v="4304.2395742500003"/>
    <n v="55.899215250000005"/>
    <n v="463.25316505524864"/>
    <n v="308.83544337016576"/>
  </r>
  <r>
    <s v="24/05/2026"/>
    <s v="E"/>
    <s v="[1062] RAMGADH"/>
    <s v="[8404] CHANDESH"/>
    <x v="18"/>
    <x v="18"/>
    <x v="18"/>
    <s v="C"/>
    <n v="102"/>
    <n v="3"/>
    <n v="8"/>
    <n v="3.06"/>
    <n v="8.16"/>
    <n v="33.001056000000005"/>
    <n v="3366.1077120000004"/>
    <n v="396.01267200000001"/>
    <n v="264.00844799999999"/>
    <n v="58.906884960000014"/>
    <n v="382.5"/>
    <n v="3807.5145969600003"/>
    <n v="37.32857448"/>
    <n v="447.94289375999995"/>
    <n v="298.62859583999995"/>
  </r>
  <r>
    <s v="25/05/2026"/>
    <s v="M"/>
    <s v="[1062] RAMGADH"/>
    <s v="[8404] CHANDESH"/>
    <x v="18"/>
    <x v="18"/>
    <x v="18"/>
    <s v="B"/>
    <n v="82"/>
    <n v="6.9"/>
    <n v="8.6"/>
    <n v="5.6580000000000004"/>
    <n v="7.0519999999999996"/>
    <n v="56.462699999999998"/>
    <n v="4629.9413999999997"/>
    <n v="446.93430079155672"/>
    <n v="297.95620052770448"/>
    <n v="81.023974500000008"/>
    <n v="307.5"/>
    <n v="5018.4653744999996"/>
    <n v="61.200797249999994"/>
    <n v="484.4390283641161"/>
    <n v="322.95935224274405"/>
  </r>
  <r>
    <s v="25/05/2026"/>
    <s v="M"/>
    <s v="[1062] RAMGADH"/>
    <s v="[8404] CHANDESH"/>
    <x v="18"/>
    <x v="18"/>
    <x v="1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5/05/2026"/>
    <s v="E"/>
    <s v="[1062] RAMGADH"/>
    <s v="[8404] CHANDESH"/>
    <x v="18"/>
    <x v="18"/>
    <x v="18"/>
    <s v="B"/>
    <n v="68"/>
    <n v="6.5"/>
    <n v="8.8000000000000007"/>
    <n v="4.42"/>
    <n v="5.9840000000000009"/>
    <n v="53.732250000000001"/>
    <n v="3653.7930000000001"/>
    <n v="434.49258760107813"/>
    <n v="289.66172506738542"/>
    <n v="63.941377500000009"/>
    <n v="255"/>
    <n v="3972.7343774999999"/>
    <n v="58.422564375"/>
    <n v="472.41965801886789"/>
    <n v="314.94643867924526"/>
  </r>
  <r>
    <s v="25/05/2026"/>
    <s v="E"/>
    <s v="[1062] RAMGADH"/>
    <s v="[8404] CHANDESH"/>
    <x v="18"/>
    <x v="18"/>
    <x v="18"/>
    <s v="C"/>
    <n v="79"/>
    <n v="3"/>
    <n v="8"/>
    <n v="2.37"/>
    <n v="6.32"/>
    <n v="33.001056000000005"/>
    <n v="2607.0834240000004"/>
    <n v="396.01267200000001"/>
    <n v="264.00844799999999"/>
    <n v="45.623959920000011"/>
    <n v="296.25"/>
    <n v="2948.9573839200002"/>
    <n v="37.32857448"/>
    <n v="447.94289375999995"/>
    <n v="298.62859583999995"/>
  </r>
  <r>
    <s v="26/05/2026"/>
    <s v="M"/>
    <s v="[1062] RAMGADH"/>
    <s v="[8404] CHANDESH"/>
    <x v="18"/>
    <x v="18"/>
    <x v="18"/>
    <s v="B"/>
    <n v="91"/>
    <n v="6.7"/>
    <n v="8.8000000000000007"/>
    <n v="6.0970000000000004"/>
    <n v="8.0080000000000009"/>
    <n v="55.385550000000002"/>
    <n v="5040.0850500000006"/>
    <n v="440.73381962864721"/>
    <n v="293.82254641909816"/>
    <n v="88.201488375000025"/>
    <n v="341.25"/>
    <n v="5469.5365383750004"/>
    <n v="60.104797125000005"/>
    <n v="478.28751027851456"/>
    <n v="318.85834018567635"/>
  </r>
  <r>
    <s v="26/05/2026"/>
    <s v="E"/>
    <s v="[1062] RAMGADH"/>
    <s v="[8404] CHANDESH"/>
    <x v="18"/>
    <x v="18"/>
    <x v="18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26/05/2026"/>
    <s v="E"/>
    <s v="[1062] RAMGADH"/>
    <s v="[8404] CHANDESH"/>
    <x v="18"/>
    <x v="18"/>
    <x v="18"/>
    <s v="C"/>
    <n v="102"/>
    <n v="3.1"/>
    <n v="8"/>
    <n v="3.1619999999999999"/>
    <n v="8.16"/>
    <n v="35.168112000000008"/>
    <n v="3587.1474240000007"/>
    <n v="417.01318577075102"/>
    <n v="278.00879051383401"/>
    <n v="62.775079920000017"/>
    <n v="382.5"/>
    <n v="4032.4225039200005"/>
    <n v="39.533553960000006"/>
    <n v="468.77731968379447"/>
    <n v="312.51821312252963"/>
  </r>
  <r>
    <s v="27/05/2026"/>
    <s v="M"/>
    <s v="[1062] RAMGADH"/>
    <s v="[8404] CHANDESH"/>
    <x v="18"/>
    <x v="18"/>
    <x v="18"/>
    <s v="B"/>
    <n v="41"/>
    <n v="7.1"/>
    <n v="9"/>
    <n v="2.9109999999999996"/>
    <n v="3.69"/>
    <n v="59.284999999999997"/>
    <n v="2430.6849999999999"/>
    <n v="452.55725190839689"/>
    <n v="301.70483460559791"/>
    <n v="42.536987500000002"/>
    <n v="153.75"/>
    <n v="2626.9719875000001"/>
    <n v="64.072487500000008"/>
    <n v="489.10295801526723"/>
    <n v="326.06863867684484"/>
  </r>
  <r>
    <s v="27/05/2026"/>
    <s v="M"/>
    <s v="[1062] RAMGADH"/>
    <s v="[8404] CHANDESH"/>
    <x v="18"/>
    <x v="18"/>
    <x v="18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27/05/2026"/>
    <s v="E"/>
    <s v="[1062] RAMGADH"/>
    <s v="[8404] CHANDESH"/>
    <x v="18"/>
    <x v="18"/>
    <x v="18"/>
    <s v="B"/>
    <n v="25"/>
    <n v="6.5"/>
    <n v="9"/>
    <n v="1.625"/>
    <n v="2.25"/>
    <n v="54.274999999999999"/>
    <n v="1356.875"/>
    <n v="434.2"/>
    <n v="289.46666666666664"/>
    <n v="23.745312500000001"/>
    <n v="93.75"/>
    <n v="1474.3703125"/>
    <n v="58.974812499999999"/>
    <n v="471.79849999999999"/>
    <n v="314.53233333333333"/>
  </r>
  <r>
    <s v="28/05/2026"/>
    <s v="M"/>
    <s v="[1062] RAMGADH"/>
    <s v="[8404] CHANDESH"/>
    <x v="18"/>
    <x v="18"/>
    <x v="18"/>
    <s v="B"/>
    <n v="75"/>
    <n v="7.1"/>
    <n v="8.8000000000000007"/>
    <n v="5.3250000000000002"/>
    <n v="6.6"/>
    <n v="58.692149999999998"/>
    <n v="4401.9112500000001"/>
    <n v="452.63868894601546"/>
    <n v="301.75912596401031"/>
    <n v="77.03344687500001"/>
    <n v="281.25"/>
    <n v="4760.1946968749999"/>
    <n v="63.469262624999999"/>
    <n v="489.48017448586126"/>
    <n v="326.32011632390748"/>
  </r>
  <r>
    <s v="28/05/2026"/>
    <s v="E"/>
    <s v="[1062] RAMGADH"/>
    <s v="[8404] CHANDESH"/>
    <x v="18"/>
    <x v="18"/>
    <x v="18"/>
    <s v="B"/>
    <n v="68"/>
    <n v="6.1"/>
    <n v="8.8000000000000007"/>
    <n v="4.1479999999999997"/>
    <n v="5.9840000000000009"/>
    <n v="50.425650000000005"/>
    <n v="3428.9442000000004"/>
    <n v="421.38426183844012"/>
    <n v="280.92284122562677"/>
    <n v="60.006523500000014"/>
    <n v="255"/>
    <n v="3743.9507235000005"/>
    <n v="55.058098875000006"/>
    <n v="460.09553377437328"/>
    <n v="306.73035584958217"/>
  </r>
  <r>
    <s v="22/05/2026"/>
    <s v="M"/>
    <s v="[1062] RAMGADH"/>
    <s v="[8404] CHANDESH"/>
    <x v="19"/>
    <x v="19"/>
    <x v="19"/>
    <s v="C"/>
    <n v="23"/>
    <n v="5.0999999999999996"/>
    <n v="8.5"/>
    <n v="1.173"/>
    <n v="1.9550000000000001"/>
    <n v="42.637122000000005"/>
    <n v="980.65380600000015"/>
    <n v="396.01042105263167"/>
    <n v="264.00694736842109"/>
    <n v="17.161441605000004"/>
    <n v="86.25"/>
    <n v="1084.0652476050002"/>
    <n v="47.133271635000007"/>
    <n v="437.77032478328181"/>
    <n v="291.84688318885452"/>
  </r>
  <r>
    <s v="22/05/2026"/>
    <s v="E"/>
    <s v="[1062] RAMGADH"/>
    <s v="[8404] CHANDESH"/>
    <x v="19"/>
    <x v="19"/>
    <x v="19"/>
    <s v="C"/>
    <n v="24"/>
    <n v="3.6"/>
    <n v="8"/>
    <n v="0.8640000000000001"/>
    <n v="1.92"/>
    <n v="35.377056000000003"/>
    <n v="849.04934400000002"/>
    <n v="396.01182089552236"/>
    <n v="264.00788059701489"/>
    <n v="14.858363520000001"/>
    <n v="90"/>
    <n v="953.90770752000003"/>
    <n v="39.746154480000001"/>
    <n v="444.91963970149249"/>
    <n v="296.61309313432832"/>
  </r>
  <r>
    <s v="23/05/2026"/>
    <s v="M"/>
    <s v="[1062] RAMGADH"/>
    <s v="[8404] CHANDESH"/>
    <x v="19"/>
    <x v="19"/>
    <x v="19"/>
    <s v="C"/>
    <n v="26"/>
    <n v="4.8"/>
    <n v="8.1999999999999993"/>
    <n v="1.248"/>
    <n v="2.1319999999999997"/>
    <n v="40.6570824"/>
    <n v="1057.0841424"/>
    <n v="396.01054285714292"/>
    <n v="264.00702857142863"/>
    <n v="18.498972492000004"/>
    <n v="97.5"/>
    <n v="1173.0831148920001"/>
    <n v="45.118581342000006"/>
    <n v="439.46670138311697"/>
    <n v="292.97780092207796"/>
  </r>
  <r>
    <s v="23/05/2026"/>
    <s v="E"/>
    <s v="[1062] RAMGADH"/>
    <s v="[8404] CHANDESH"/>
    <x v="19"/>
    <x v="19"/>
    <x v="19"/>
    <s v="C"/>
    <n v="26"/>
    <n v="3.9"/>
    <n v="8.1"/>
    <n v="1.014"/>
    <n v="2.1059999999999999"/>
    <n v="36.829069200000006"/>
    <n v="957.55579920000014"/>
    <n v="396.01149677419363"/>
    <n v="264.00766451612907"/>
    <n v="16.757226486000004"/>
    <n v="97.5"/>
    <n v="1071.8130256860002"/>
    <n v="41.223577911000007"/>
    <n v="443.2642786129033"/>
    <n v="295.50951907526888"/>
  </r>
  <r>
    <s v="24/05/2026"/>
    <s v="M"/>
    <s v="[1062] RAMGADH"/>
    <s v="[8404] CHANDESH"/>
    <x v="19"/>
    <x v="19"/>
    <x v="19"/>
    <s v="C"/>
    <n v="19"/>
    <n v="5.0999999999999996"/>
    <n v="8.1999999999999993"/>
    <n v="0.96899999999999986"/>
    <n v="1.5579999999999998"/>
    <n v="41.845082399999995"/>
    <n v="795.05656559999989"/>
    <n v="396.010243533123"/>
    <n v="264.006829022082"/>
    <n v="13.913489898"/>
    <n v="71.25"/>
    <n v="880.22005549799985"/>
    <n v="46.327371341999992"/>
    <n v="438.42938178548894"/>
    <n v="292.2862545236593"/>
  </r>
  <r>
    <s v="24/05/2026"/>
    <s v="E"/>
    <s v="[1062] RAMGADH"/>
    <s v="[8404] CHANDESH"/>
    <x v="19"/>
    <x v="19"/>
    <x v="19"/>
    <s v="C"/>
    <n v="30"/>
    <n v="4.0999999999999996"/>
    <n v="8.1"/>
    <n v="1.2299999999999998"/>
    <n v="2.4300000000000002"/>
    <n v="37.621069200000001"/>
    <n v="1128.6320760000001"/>
    <n v="396.01125473684209"/>
    <n v="264.00750315789475"/>
    <n v="19.751061330000002"/>
    <n v="112.5"/>
    <n v="1260.8831373300002"/>
    <n v="42.029437911000009"/>
    <n v="442.41513590526324"/>
    <n v="294.94342393684218"/>
  </r>
  <r>
    <s v="25/05/2026"/>
    <s v="E"/>
    <s v="[1062] RAMGADH"/>
    <s v="[8404] CHANDESH"/>
    <x v="19"/>
    <x v="19"/>
    <x v="19"/>
    <s v="C"/>
    <n v="29"/>
    <n v="4.2"/>
    <n v="8.3000000000000007"/>
    <n v="1.2180000000000002"/>
    <n v="2.407"/>
    <n v="38.54509560000001"/>
    <n v="1117.8077724000002"/>
    <n v="396.01125616438361"/>
    <n v="264.00750410958909"/>
    <n v="19.561636017000005"/>
    <n v="108.75"/>
    <n v="1246.1194084170002"/>
    <n v="42.969634773000003"/>
    <n v="441.46885040753426"/>
    <n v="294.31256693835616"/>
  </r>
  <r>
    <s v="26/05/2026"/>
    <s v="M"/>
    <s v="[1062] RAMGADH"/>
    <s v="[8404] CHANDESH"/>
    <x v="19"/>
    <x v="19"/>
    <x v="19"/>
    <s v="C"/>
    <n v="18"/>
    <n v="4.5999999999999996"/>
    <n v="8.3000000000000007"/>
    <n v="0.82799999999999996"/>
    <n v="1.494"/>
    <n v="42.257153700000003"/>
    <n v="760.62876660000006"/>
    <n v="417.01138519736844"/>
    <n v="278.00759013157898"/>
    <n v="13.311003415500002"/>
    <n v="67.5"/>
    <n v="841.43977001550002"/>
    <n v="46.74665388975"/>
    <n v="461.31566338569081"/>
    <n v="307.54377559046054"/>
  </r>
  <r>
    <s v="26/05/2026"/>
    <s v="E"/>
    <s v="[1062] RAMGADH"/>
    <s v="[8404] CHANDESH"/>
    <x v="19"/>
    <x v="19"/>
    <x v="19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22/05/2026"/>
    <s v="M"/>
    <s v="[1062] RAMGADH"/>
    <s v="[8405] RAMGADH"/>
    <x v="20"/>
    <x v="20"/>
    <x v="20"/>
    <s v="B"/>
    <n v="56"/>
    <n v="6.2"/>
    <n v="8.8000000000000007"/>
    <n v="3.472"/>
    <n v="4.9280000000000008"/>
    <n v="51.252300000000005"/>
    <n v="2870.1288000000004"/>
    <n v="424.74281767955802"/>
    <n v="283.1618784530387"/>
    <n v="50.227254000000009"/>
    <n v="210"/>
    <n v="3130.3560540000003"/>
    <n v="55.899215250000005"/>
    <n v="463.25316505524864"/>
    <n v="308.83544337016576"/>
  </r>
  <r>
    <s v="22/05/2026"/>
    <s v="E"/>
    <s v="[1062] RAMGADH"/>
    <s v="[8405] RAMGADH"/>
    <x v="20"/>
    <x v="20"/>
    <x v="20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2/05/2026"/>
    <s v="E"/>
    <s v="[1062] RAMGADH"/>
    <s v="[8405] RAMGADH"/>
    <x v="20"/>
    <x v="20"/>
    <x v="20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23/05/2026"/>
    <s v="M"/>
    <s v="[1062] RAMGADH"/>
    <s v="[8405] RAMGADH"/>
    <x v="20"/>
    <x v="20"/>
    <x v="20"/>
    <s v="B"/>
    <n v="61"/>
    <n v="6.6"/>
    <n v="8.8000000000000007"/>
    <n v="4.0259999999999998"/>
    <n v="5.3680000000000003"/>
    <n v="54.558900000000001"/>
    <n v="3328.0929000000001"/>
    <n v="437.63823529411764"/>
    <n v="291.75882352941176"/>
    <n v="58.241625750000004"/>
    <n v="228.75"/>
    <n v="3615.08452575"/>
    <n v="59.263680749999999"/>
    <n v="475.37711831550797"/>
    <n v="316.91807887700531"/>
  </r>
  <r>
    <s v="23/05/2026"/>
    <s v="M"/>
    <s v="[1062] RAMGADH"/>
    <s v="[8405] RAMGADH"/>
    <x v="20"/>
    <x v="20"/>
    <x v="20"/>
    <s v="C"/>
    <n v="67"/>
    <n v="3.3"/>
    <n v="8"/>
    <n v="2.2109999999999999"/>
    <n v="5.36"/>
    <n v="34.189056000000008"/>
    <n v="2290.6667520000005"/>
    <n v="396.01223166023169"/>
    <n v="264.00815444015444"/>
    <n v="40.086668160000016"/>
    <n v="251.25"/>
    <n v="2582.0034201600006"/>
    <n v="38.537364480000008"/>
    <n v="446.37873915057918"/>
    <n v="297.5858261003861"/>
  </r>
  <r>
    <s v="23/05/2026"/>
    <s v="E"/>
    <s v="[1062] RAMGADH"/>
    <s v="[8405] RAMGADH"/>
    <x v="20"/>
    <x v="20"/>
    <x v="20"/>
    <s v="C"/>
    <n v="64"/>
    <n v="4.0999999999999996"/>
    <n v="8.1"/>
    <n v="2.6239999999999997"/>
    <n v="5.1840000000000002"/>
    <n v="37.621069200000001"/>
    <n v="2407.7484288000001"/>
    <n v="396.01125473684209"/>
    <n v="264.00750315789475"/>
    <n v="42.135597504000003"/>
    <n v="240"/>
    <n v="2689.8840263040001"/>
    <n v="42.029437911000002"/>
    <n v="442.41513590526318"/>
    <n v="294.94342393684212"/>
  </r>
  <r>
    <s v="24/05/2026"/>
    <s v="M"/>
    <s v="[1062] RAMGADH"/>
    <s v="[8405] RAMGADH"/>
    <x v="20"/>
    <x v="20"/>
    <x v="20"/>
    <s v="B"/>
    <n v="66"/>
    <n v="5.7"/>
    <n v="8.6"/>
    <n v="3.762"/>
    <n v="5.6760000000000002"/>
    <n v="46.643099999999997"/>
    <n v="3078.4445999999998"/>
    <n v="407.95714285714286"/>
    <n v="271.97142857142859"/>
    <n v="53.872780500000005"/>
    <n v="247.5"/>
    <n v="3379.8173804999997"/>
    <n v="51.209354249999997"/>
    <n v="447.89522667638482"/>
    <n v="298.59681778425653"/>
  </r>
  <r>
    <s v="24/05/2026"/>
    <s v="E"/>
    <s v="[1062] RAMGADH"/>
    <s v="[8405] RAMGADH"/>
    <x v="20"/>
    <x v="20"/>
    <x v="20"/>
    <s v="C"/>
    <n v="65"/>
    <n v="4.0999999999999996"/>
    <n v="8.3000000000000007"/>
    <n v="2.665"/>
    <n v="5.3949999999999996"/>
    <n v="38.149095600000003"/>
    <n v="2479.6912139999999"/>
    <n v="396.01137301038068"/>
    <n v="264.00758200692047"/>
    <n v="43.394596245000002"/>
    <n v="243.75"/>
    <n v="2766.8358102450002"/>
    <n v="42.566704773000005"/>
    <n v="441.8689076782008"/>
    <n v="294.5792717854672"/>
  </r>
  <r>
    <s v="25/05/2026"/>
    <s v="M"/>
    <s v="[1062] RAMGADH"/>
    <s v="[8405] RAMGADH"/>
    <x v="20"/>
    <x v="20"/>
    <x v="20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25/05/2026"/>
    <s v="M"/>
    <s v="[1062] RAMGADH"/>
    <s v="[8405] RAMGADH"/>
    <x v="20"/>
    <x v="20"/>
    <x v="20"/>
    <s v="C"/>
    <n v="73"/>
    <n v="3.3"/>
    <n v="8"/>
    <n v="2.4089999999999998"/>
    <n v="5.84"/>
    <n v="34.189056000000008"/>
    <n v="2495.8010880000006"/>
    <n v="396.01223166023169"/>
    <n v="264.00815444015444"/>
    <n v="43.676519040000017"/>
    <n v="273.75"/>
    <n v="2813.2276070400007"/>
    <n v="38.537364480000008"/>
    <n v="446.37873915057918"/>
    <n v="297.5858261003861"/>
  </r>
  <r>
    <s v="25/05/2026"/>
    <s v="E"/>
    <s v="[1062] RAMGADH"/>
    <s v="[8405] RAMGADH"/>
    <x v="20"/>
    <x v="20"/>
    <x v="20"/>
    <s v="C"/>
    <n v="25"/>
    <n v="3.8"/>
    <n v="8.1999999999999993"/>
    <n v="0.95"/>
    <n v="2.0499999999999998"/>
    <n v="36.697082399999999"/>
    <n v="917.42705999999998"/>
    <n v="396.01168057553957"/>
    <n v="264.0077870503597"/>
    <n v="16.05497355"/>
    <n v="93.75"/>
    <n v="1027.2320335499999"/>
    <n v="41.089281341999992"/>
    <n v="443.40951088489203"/>
    <n v="295.60634058992804"/>
  </r>
  <r>
    <s v="26/05/2026"/>
    <s v="M"/>
    <s v="[1062] RAMGADH"/>
    <s v="[8405] RAMGADH"/>
    <x v="20"/>
    <x v="20"/>
    <x v="20"/>
    <s v="B"/>
    <n v="58"/>
    <n v="6.7"/>
    <n v="8.8000000000000007"/>
    <n v="3.8860000000000001"/>
    <n v="5.1040000000000001"/>
    <n v="55.385550000000002"/>
    <n v="3212.3619000000003"/>
    <n v="440.73381962864721"/>
    <n v="293.82254641909816"/>
    <n v="56.216333250000012"/>
    <n v="217.5"/>
    <n v="3486.0782332500003"/>
    <n v="60.104797125000005"/>
    <n v="478.28751027851456"/>
    <n v="318.85834018567635"/>
  </r>
  <r>
    <s v="26/05/2026"/>
    <s v="E"/>
    <s v="[1062] RAMGADH"/>
    <s v="[8405] RAMGADH"/>
    <x v="20"/>
    <x v="20"/>
    <x v="20"/>
    <s v="B"/>
    <n v="11"/>
    <n v="6.2"/>
    <n v="9"/>
    <n v="0.68200000000000005"/>
    <n v="0.99"/>
    <n v="51.77"/>
    <n v="569.47"/>
    <n v="424.34426229508199"/>
    <n v="282.89617486338801"/>
    <n v="9.9657250000000008"/>
    <n v="41.25"/>
    <n v="620.68572500000005"/>
    <n v="56.425975000000001"/>
    <n v="462.50799180327868"/>
    <n v="308.33866120218579"/>
  </r>
  <r>
    <s v="26/05/2026"/>
    <s v="E"/>
    <s v="[1062] RAMGADH"/>
    <s v="[8405] RAMGADH"/>
    <x v="20"/>
    <x v="20"/>
    <x v="20"/>
    <s v="C"/>
    <n v="39"/>
    <n v="3.7"/>
    <n v="8.5"/>
    <n v="1.4430000000000001"/>
    <n v="3.3149999999999999"/>
    <n v="39.060181500000006"/>
    <n v="1523.3470785000002"/>
    <n v="417.0126138790036"/>
    <n v="278.00840925266908"/>
    <n v="26.658573873750004"/>
    <n v="146.25"/>
    <n v="1696.2556523737503"/>
    <n v="43.493734676250007"/>
    <n v="464.34592181049823"/>
    <n v="309.56394787366548"/>
  </r>
  <r>
    <s v="27/05/2026"/>
    <s v="M"/>
    <s v="[1062] RAMGADH"/>
    <s v="[8405] RAMGADH"/>
    <x v="20"/>
    <x v="20"/>
    <x v="20"/>
    <s v="B"/>
    <n v="46"/>
    <n v="7.1"/>
    <n v="9"/>
    <n v="3.2659999999999996"/>
    <n v="4.1399999999999997"/>
    <n v="59.284999999999997"/>
    <n v="2727.1099999999997"/>
    <n v="452.55725190839689"/>
    <n v="301.70483460559791"/>
    <n v="47.724424999999997"/>
    <n v="172.5"/>
    <n v="2947.3344249999996"/>
    <n v="64.072487499999994"/>
    <n v="489.10295801526712"/>
    <n v="326.06863867684473"/>
  </r>
  <r>
    <s v="28/05/2026"/>
    <s v="M"/>
    <s v="[1062] RAMGADH"/>
    <s v="[8405] RAMGADH"/>
    <x v="20"/>
    <x v="20"/>
    <x v="20"/>
    <s v="B"/>
    <n v="27"/>
    <n v="7.1"/>
    <n v="8.8000000000000007"/>
    <n v="1.9169999999999998"/>
    <n v="2.3760000000000003"/>
    <n v="58.692149999999998"/>
    <n v="1584.68805"/>
    <n v="452.63868894601546"/>
    <n v="301.75912596401031"/>
    <n v="27.732040875000003"/>
    <n v="101.25"/>
    <n v="1713.6700908749999"/>
    <n v="63.469262624999999"/>
    <n v="489.48017448586126"/>
    <n v="326.32011632390748"/>
  </r>
  <r>
    <s v="28/05/2026"/>
    <s v="E"/>
    <s v="[1062] RAMGADH"/>
    <s v="[8405] RAMGADH"/>
    <x v="20"/>
    <x v="20"/>
    <x v="20"/>
    <s v="C"/>
    <n v="63"/>
    <n v="3.8"/>
    <n v="8.1"/>
    <n v="2.3939999999999997"/>
    <n v="5.1029999999999998"/>
    <n v="38.365125900000002"/>
    <n v="2417.0029317000003"/>
    <n v="417.01223804347831"/>
    <n v="278.00815869565218"/>
    <n v="42.297551304750009"/>
    <n v="236.25"/>
    <n v="2695.5504830047503"/>
    <n v="42.786515603250002"/>
    <n v="465.07082177445653"/>
    <n v="310.04721451630434"/>
  </r>
  <r>
    <s v="22/05/2026"/>
    <s v="M"/>
    <s v="[1062] RAMGADH"/>
    <s v="[8402] RAMPUR"/>
    <x v="21"/>
    <x v="21"/>
    <x v="21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22/05/2026"/>
    <s v="M"/>
    <s v="[1062] RAMGADH"/>
    <s v="[8402] RAMPUR"/>
    <x v="21"/>
    <x v="21"/>
    <x v="21"/>
    <s v="C"/>
    <n v="8"/>
    <n v="3.7"/>
    <n v="8"/>
    <n v="0.29600000000000004"/>
    <n v="0.64"/>
    <n v="35.773056000000004"/>
    <n v="286.18444800000003"/>
    <n v="396.01169003690035"/>
    <n v="264.00779335793356"/>
    <n v="5.0082278400000009"/>
    <n v="30"/>
    <n v="321.19267584000005"/>
    <n v="40.149084480000006"/>
    <n v="444.45480974169743"/>
    <n v="296.30320649446497"/>
  </r>
  <r>
    <s v="22/05/2026"/>
    <s v="E"/>
    <s v="[1062] RAMGADH"/>
    <s v="[8402] RAMPUR"/>
    <x v="21"/>
    <x v="21"/>
    <x v="21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2/05/2026"/>
    <s v="E"/>
    <s v="[1062] RAMGADH"/>
    <s v="[8402] RAMPUR"/>
    <x v="21"/>
    <x v="21"/>
    <x v="2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3/05/2026"/>
    <s v="M"/>
    <s v="[1062] RAMGADH"/>
    <s v="[8402] RAMPUR"/>
    <x v="21"/>
    <x v="21"/>
    <x v="21"/>
    <s v="B"/>
    <n v="24"/>
    <n v="6.5"/>
    <n v="8.4"/>
    <n v="1.56"/>
    <n v="2.016"/>
    <n v="52.646749999999997"/>
    <n v="1263.5219999999999"/>
    <n v="435.09710743801651"/>
    <n v="290.06473829201099"/>
    <n v="22.111635"/>
    <n v="90"/>
    <n v="1375.6336349999999"/>
    <n v="57.318068124999996"/>
    <n v="473.70304235537191"/>
    <n v="315.80202823691462"/>
  </r>
  <r>
    <s v="23/05/2026"/>
    <s v="M"/>
    <s v="[1062] RAMGADH"/>
    <s v="[8402] RAMPUR"/>
    <x v="21"/>
    <x v="21"/>
    <x v="21"/>
    <s v="C"/>
    <n v="7"/>
    <n v="3.5"/>
    <n v="8"/>
    <n v="0.245"/>
    <n v="0.56000000000000005"/>
    <n v="34.981056000000002"/>
    <n v="244.86739200000002"/>
    <n v="396.01195471698111"/>
    <n v="264.00796981132072"/>
    <n v="4.2851793600000008"/>
    <n v="26.25"/>
    <n v="275.40257136000002"/>
    <n v="39.343224480000003"/>
    <n v="445.39499411320753"/>
    <n v="296.92999607547171"/>
  </r>
  <r>
    <s v="23/05/2026"/>
    <s v="E"/>
    <s v="[1062] RAMGADH"/>
    <s v="[8402] RAMPUR"/>
    <x v="21"/>
    <x v="21"/>
    <x v="21"/>
    <s v="B"/>
    <n v="19"/>
    <n v="6.2"/>
    <n v="8.4"/>
    <n v="1.1779999999999999"/>
    <n v="1.5959999999999999"/>
    <n v="50.216900000000003"/>
    <n v="954.12110000000007"/>
    <n v="425.56694915254241"/>
    <n v="283.71129943502825"/>
    <n v="16.697119250000004"/>
    <n v="71.25"/>
    <n v="1042.0682192500001"/>
    <n v="54.845695750000004"/>
    <n v="464.79403177966105"/>
    <n v="309.86268785310739"/>
  </r>
  <r>
    <s v="23/05/2026"/>
    <s v="E"/>
    <s v="[1062] RAMGADH"/>
    <s v="[8402] RAMPUR"/>
    <x v="21"/>
    <x v="21"/>
    <x v="21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24/05/2026"/>
    <s v="M"/>
    <s v="[1062] RAMGADH"/>
    <s v="[8402] RAMPUR"/>
    <x v="21"/>
    <x v="21"/>
    <x v="21"/>
    <s v="B"/>
    <n v="27"/>
    <n v="6"/>
    <n v="8.4"/>
    <n v="1.62"/>
    <n v="2.2680000000000002"/>
    <n v="48.597000000000001"/>
    <n v="1312.1190000000001"/>
    <n v="418.93965517241384"/>
    <n v="279.29310344827587"/>
    <n v="22.962082500000005"/>
    <n v="101.25"/>
    <n v="1436.3310825000001"/>
    <n v="53.197447500000003"/>
    <n v="458.59868534482763"/>
    <n v="305.73245689655175"/>
  </r>
  <r>
    <s v="24/05/2026"/>
    <s v="E"/>
    <s v="[1062] RAMGADH"/>
    <s v="[8402] RAMPUR"/>
    <x v="21"/>
    <x v="21"/>
    <x v="21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4/05/2026"/>
    <s v="E"/>
    <s v="[1062] RAMGADH"/>
    <s v="[8402] RAMPUR"/>
    <x v="21"/>
    <x v="21"/>
    <x v="21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5/05/2026"/>
    <s v="M"/>
    <s v="[1062] RAMGADH"/>
    <s v="[8402] RAMPUR"/>
    <x v="21"/>
    <x v="21"/>
    <x v="21"/>
    <s v="B"/>
    <n v="26"/>
    <n v="6.9"/>
    <n v="8.4"/>
    <n v="1.794"/>
    <n v="2.1840000000000002"/>
    <n v="55.88655"/>
    <n v="1453.0502999999999"/>
    <n v="447.0924"/>
    <n v="298.0616"/>
    <n v="25.42838025"/>
    <n v="97.5"/>
    <n v="1575.9786802499998"/>
    <n v="60.614564624999993"/>
    <n v="484.91651699999994"/>
    <n v="323.27767799999998"/>
  </r>
  <r>
    <s v="26/05/2026"/>
    <s v="M"/>
    <s v="[1062] RAMGADH"/>
    <s v="[8402] RAMPUR"/>
    <x v="21"/>
    <x v="21"/>
    <x v="21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26/05/2026"/>
    <s v="M"/>
    <s v="[1062] RAMGADH"/>
    <s v="[8402] RAMPUR"/>
    <x v="21"/>
    <x v="21"/>
    <x v="21"/>
    <s v="C"/>
    <n v="6"/>
    <n v="3.7"/>
    <n v="8"/>
    <n v="0.22200000000000003"/>
    <n v="0.48"/>
    <n v="37.670112000000003"/>
    <n v="226.02067200000002"/>
    <n v="417.0123099630996"/>
    <n v="278.0082066420664"/>
    <n v="3.9553617600000006"/>
    <n v="22.5"/>
    <n v="252.47603376000001"/>
    <n v="42.079338960000001"/>
    <n v="465.82294051660512"/>
    <n v="310.5486270110701"/>
  </r>
  <r>
    <s v="26/05/2026"/>
    <s v="E"/>
    <s v="[1062] RAMGADH"/>
    <s v="[8402] RAMPUR"/>
    <x v="21"/>
    <x v="21"/>
    <x v="21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26/05/2026"/>
    <s v="E"/>
    <s v="[1062] RAMGADH"/>
    <s v="[8402] RAMPUR"/>
    <x v="21"/>
    <x v="21"/>
    <x v="2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7/05/2026"/>
    <s v="M"/>
    <s v="[1062] RAMGADH"/>
    <s v="[8402] RAMPUR"/>
    <x v="21"/>
    <x v="21"/>
    <x v="21"/>
    <s v="B"/>
    <n v="29"/>
    <n v="6.4"/>
    <n v="8.8000000000000007"/>
    <n v="1.8560000000000003"/>
    <n v="2.552"/>
    <n v="52.9056"/>
    <n v="1534.2624000000001"/>
    <n v="431.29565217391303"/>
    <n v="287.53043478260867"/>
    <n v="26.849592000000005"/>
    <n v="108.75"/>
    <n v="1669.8619920000001"/>
    <n v="57.581448000000002"/>
    <n v="469.41397826086956"/>
    <n v="312.94265217391302"/>
  </r>
  <r>
    <s v="27/05/2026"/>
    <s v="E"/>
    <s v="[1062] RAMGADH"/>
    <s v="[8402] RAMPUR"/>
    <x v="21"/>
    <x v="21"/>
    <x v="21"/>
    <s v="C"/>
    <n v="11"/>
    <n v="4.7"/>
    <n v="8.1999999999999993"/>
    <n v="0.51700000000000002"/>
    <n v="0.90199999999999991"/>
    <n v="42.3961398"/>
    <n v="466.35753779999999"/>
    <n v="417.01121114754102"/>
    <n v="278.00747409836066"/>
    <n v="8.1612569115000007"/>
    <n v="41.25"/>
    <n v="515.76879471150005"/>
    <n v="46.888072246500002"/>
    <n v="461.19415324426234"/>
    <n v="307.46276882950821"/>
  </r>
  <r>
    <s v="28/05/2026"/>
    <s v="E"/>
    <s v="[1062] RAMGADH"/>
    <s v="[8402] RAMPUR"/>
    <x v="21"/>
    <x v="21"/>
    <x v="21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28/05/2026"/>
    <s v="E"/>
    <s v="[1062] RAMGADH"/>
    <s v="[8402] RAMPUR"/>
    <x v="21"/>
    <x v="21"/>
    <x v="2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2/05/2026"/>
    <s v="E"/>
    <s v="[1062] RAMGADH"/>
    <s v="[8402] RAMPUR"/>
    <x v="22"/>
    <x v="22"/>
    <x v="22"/>
    <s v="C"/>
    <n v="7"/>
    <n v="4.0999999999999996"/>
    <n v="8.3000000000000007"/>
    <n v="0.28699999999999998"/>
    <n v="0.58100000000000007"/>
    <n v="38.149095600000003"/>
    <n v="267.04366920000001"/>
    <n v="396.01137301038068"/>
    <n v="264.00758200692047"/>
    <n v="4.6732642110000002"/>
    <n v="26.25"/>
    <n v="297.96693341100001"/>
    <n v="42.566704773000005"/>
    <n v="441.8689076782008"/>
    <n v="294.5792717854672"/>
  </r>
  <r>
    <s v="23/05/2026"/>
    <s v="M"/>
    <s v="[1062] RAMGADH"/>
    <s v="[8402] RAMPUR"/>
    <x v="22"/>
    <x v="22"/>
    <x v="22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3/05/2026"/>
    <s v="E"/>
    <s v="[1062] RAMGADH"/>
    <s v="[8402] RAMPUR"/>
    <x v="22"/>
    <x v="22"/>
    <x v="22"/>
    <s v="C"/>
    <n v="10"/>
    <n v="4"/>
    <n v="8"/>
    <n v="0.4"/>
    <n v="0.8"/>
    <n v="36.961055999999999"/>
    <n v="369.61055999999996"/>
    <n v="396.01131428571426"/>
    <n v="264.00754285714282"/>
    <n v="6.4681848000000004"/>
    <n v="37.5"/>
    <n v="413.57874479999998"/>
    <n v="41.35787448"/>
    <n v="443.12008371428567"/>
    <n v="295.41338914285711"/>
  </r>
  <r>
    <s v="24/05/2026"/>
    <s v="M"/>
    <s v="[1062] RAMGADH"/>
    <s v="[8402] RAMPUR"/>
    <x v="22"/>
    <x v="22"/>
    <x v="22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24/05/2026"/>
    <s v="E"/>
    <s v="[1062] RAMGADH"/>
    <s v="[8402] RAMPUR"/>
    <x v="22"/>
    <x v="22"/>
    <x v="22"/>
    <s v="C"/>
    <n v="5"/>
    <n v="4.4000000000000004"/>
    <n v="8.1999999999999993"/>
    <n v="0.22"/>
    <n v="0.41"/>
    <n v="39.073082400000004"/>
    <n v="195.36541200000002"/>
    <n v="396.01097027027032"/>
    <n v="264.00731351351357"/>
    <n v="3.4188947100000009"/>
    <n v="18.75"/>
    <n v="217.53430671000001"/>
    <n v="43.506861342000001"/>
    <n v="440.94791900675676"/>
    <n v="293.96527933783784"/>
  </r>
  <r>
    <s v="25/05/2026"/>
    <s v="M"/>
    <s v="[1062] RAMGADH"/>
    <s v="[8402] RAMPUR"/>
    <x v="22"/>
    <x v="22"/>
    <x v="22"/>
    <s v="C"/>
    <n v="10"/>
    <n v="3.3"/>
    <n v="8"/>
    <n v="0.33"/>
    <n v="0.8"/>
    <n v="34.189056000000008"/>
    <n v="341.89056000000005"/>
    <n v="396.01223166023169"/>
    <n v="264.00815444015444"/>
    <n v="5.9830848000000012"/>
    <n v="37.5"/>
    <n v="385.37364480000008"/>
    <n v="38.537364480000008"/>
    <n v="446.37873915057918"/>
    <n v="297.5858261003861"/>
  </r>
  <r>
    <s v="25/05/2026"/>
    <s v="E"/>
    <s v="[1062] RAMGADH"/>
    <s v="[8402] RAMPUR"/>
    <x v="22"/>
    <x v="22"/>
    <x v="22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6/05/2026"/>
    <s v="M"/>
    <s v="[1062] RAMGADH"/>
    <s v="[8402] RAMPUR"/>
    <x v="22"/>
    <x v="22"/>
    <x v="22"/>
    <s v="C"/>
    <n v="9"/>
    <n v="3.6"/>
    <n v="8.1"/>
    <n v="0.32400000000000001"/>
    <n v="0.72899999999999987"/>
    <n v="37.531125900000006"/>
    <n v="337.78013310000006"/>
    <n v="417.01251000000008"/>
    <n v="278.00834000000003"/>
    <n v="5.9111523292500019"/>
    <n v="33.75"/>
    <n v="377.44128542925006"/>
    <n v="41.937920603250006"/>
    <n v="465.97689559166673"/>
    <n v="310.6512637277778"/>
  </r>
  <r>
    <s v="26/05/2026"/>
    <s v="E"/>
    <s v="[1062] RAMGADH"/>
    <s v="[8402] RAMPUR"/>
    <x v="22"/>
    <x v="22"/>
    <x v="22"/>
    <s v="C"/>
    <n v="5"/>
    <n v="5.0999999999999996"/>
    <n v="8.5"/>
    <n v="0.255"/>
    <n v="0.42499999999999999"/>
    <n v="44.898181500000007"/>
    <n v="224.49090750000005"/>
    <n v="417.01097368421063"/>
    <n v="278.00731578947375"/>
    <n v="3.9285908812500012"/>
    <n v="18.75"/>
    <n v="247.16949838125004"/>
    <n v="49.433899676250007"/>
    <n v="459.13838708591339"/>
    <n v="306.09225805727561"/>
  </r>
  <r>
    <s v="28/05/2026"/>
    <s v="M"/>
    <s v="[1062] RAMGADH"/>
    <s v="[8402] RAMPUR"/>
    <x v="22"/>
    <x v="22"/>
    <x v="22"/>
    <s v="C"/>
    <n v="6"/>
    <n v="3.7"/>
    <n v="8"/>
    <n v="0.22200000000000003"/>
    <n v="0.48"/>
    <n v="37.670112000000003"/>
    <n v="226.02067200000002"/>
    <n v="417.0123099630996"/>
    <n v="278.0082066420664"/>
    <n v="3.9553617600000006"/>
    <n v="22.5"/>
    <n v="252.47603376000001"/>
    <n v="42.079338960000001"/>
    <n v="465.82294051660512"/>
    <n v="310.5486270110701"/>
  </r>
  <r>
    <s v="28/05/2026"/>
    <s v="E"/>
    <s v="[1062] RAMGADH"/>
    <s v="[8402] RAMPUR"/>
    <x v="22"/>
    <x v="22"/>
    <x v="22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26/05/2026"/>
    <s v="E"/>
    <s v="[1062] RAMGADH"/>
    <s v="[8402] RAMPUR"/>
    <x v="23"/>
    <x v="23"/>
    <x v="23"/>
    <s v="C"/>
    <n v="25"/>
    <n v="5.0999999999999996"/>
    <n v="8.5"/>
    <n v="1.2749999999999999"/>
    <n v="2.125"/>
    <n v="44.898181500000007"/>
    <n v="1122.4545375000002"/>
    <n v="417.01097368421063"/>
    <n v="278.00731578947375"/>
    <n v="19.642954406250006"/>
    <n v="93.75"/>
    <n v="1235.8474919062503"/>
    <n v="49.433899676250014"/>
    <n v="459.13838708591345"/>
    <n v="306.09225805727561"/>
  </r>
  <r>
    <s v="27/05/2026"/>
    <s v="E"/>
    <s v="[1062] RAMGADH"/>
    <s v="[8402] RAMPUR"/>
    <x v="23"/>
    <x v="23"/>
    <x v="23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22/05/2026"/>
    <s v="M"/>
    <s v="[1062] RAMGADH"/>
    <s v="[8402] RAMPUR"/>
    <x v="24"/>
    <x v="24"/>
    <x v="24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22/05/2026"/>
    <s v="M"/>
    <s v="[1062] RAMGADH"/>
    <s v="[8402] RAMPUR"/>
    <x v="24"/>
    <x v="24"/>
    <x v="24"/>
    <s v="C"/>
    <n v="24"/>
    <n v="4"/>
    <n v="8.1999999999999993"/>
    <n v="0.96"/>
    <n v="1.9679999999999997"/>
    <n v="37.489082400000001"/>
    <n v="899.73797760000002"/>
    <n v="396.01143380281695"/>
    <n v="264.00762253521128"/>
    <n v="15.745414608000003"/>
    <n v="90"/>
    <n v="1005.4833922080001"/>
    <n v="41.895141342000002"/>
    <n v="442.55430995070429"/>
    <n v="295.03620663380286"/>
  </r>
  <r>
    <s v="22/05/2026"/>
    <s v="E"/>
    <s v="[1062] RAMGADH"/>
    <s v="[8402] RAMPUR"/>
    <x v="24"/>
    <x v="24"/>
    <x v="24"/>
    <s v="C"/>
    <n v="36"/>
    <n v="4.7"/>
    <n v="8.1999999999999993"/>
    <n v="1.6920000000000002"/>
    <n v="2.952"/>
    <n v="40.261082399999999"/>
    <n v="1449.3989664000001"/>
    <n v="396.01064655737707"/>
    <n v="264.00709770491807"/>
    <n v="25.364481912000002"/>
    <n v="135"/>
    <n v="1609.763448312"/>
    <n v="44.715651342000001"/>
    <n v="439.82607877377058"/>
    <n v="293.2173858491804"/>
  </r>
  <r>
    <s v="23/05/2026"/>
    <s v="M"/>
    <s v="[1062] RAMGADH"/>
    <s v="[8402] RAMPUR"/>
    <x v="24"/>
    <x v="24"/>
    <x v="24"/>
    <s v="B"/>
    <n v="22"/>
    <n v="7.5"/>
    <n v="9"/>
    <n v="1.65"/>
    <n v="1.98"/>
    <n v="62.625"/>
    <n v="1377.75"/>
    <n v="463.88888888888886"/>
    <n v="309.25925925925924"/>
    <n v="24.110625000000002"/>
    <n v="82.5"/>
    <n v="1484.360625"/>
    <n v="67.470937500000005"/>
    <n v="499.78472222222223"/>
    <n v="333.18981481481484"/>
  </r>
  <r>
    <s v="23/05/2026"/>
    <s v="M"/>
    <s v="[1062] RAMGADH"/>
    <s v="[8402] RAMPUR"/>
    <x v="24"/>
    <x v="24"/>
    <x v="24"/>
    <s v="C"/>
    <n v="19"/>
    <n v="3.6"/>
    <n v="8.1"/>
    <n v="0.68400000000000005"/>
    <n v="1.5390000000000001"/>
    <n v="35.641069200000004"/>
    <n v="677.18031480000013"/>
    <n v="396.01188000000008"/>
    <n v="264.00792000000007"/>
    <n v="11.850655509000003"/>
    <n v="71.25"/>
    <n v="760.28097030900017"/>
    <n v="40.014787911000006"/>
    <n v="444.60875456666673"/>
    <n v="296.4058363777778"/>
  </r>
  <r>
    <s v="23/05/2026"/>
    <s v="E"/>
    <s v="[1062] RAMGADH"/>
    <s v="[8402] RAMPUR"/>
    <x v="24"/>
    <x v="24"/>
    <x v="24"/>
    <s v="C"/>
    <n v="37"/>
    <n v="4.3"/>
    <n v="8"/>
    <n v="1.591"/>
    <n v="2.96"/>
    <n v="38.149056000000002"/>
    <n v="1411.5150720000001"/>
    <n v="396.01096193771633"/>
    <n v="264.00730795847755"/>
    <n v="24.701513760000005"/>
    <n v="138.75"/>
    <n v="1574.9665857600003"/>
    <n v="42.566664480000007"/>
    <n v="441.86848941176481"/>
    <n v="294.57899294117652"/>
  </r>
  <r>
    <s v="24/05/2026"/>
    <s v="M"/>
    <s v="[1062] RAMGADH"/>
    <s v="[8402] RAMPUR"/>
    <x v="24"/>
    <x v="24"/>
    <x v="24"/>
    <s v="C"/>
    <n v="33"/>
    <n v="4.5"/>
    <n v="8.1"/>
    <n v="1.4850000000000001"/>
    <n v="2.673"/>
    <n v="39.205069200000004"/>
    <n v="1293.7672836000002"/>
    <n v="396.01080000000002"/>
    <n v="264.00720000000001"/>
    <n v="22.640927463000004"/>
    <n v="123.75"/>
    <n v="1440.1582110630002"/>
    <n v="43.641157911000008"/>
    <n v="440.81977687878793"/>
    <n v="293.87985125252527"/>
  </r>
  <r>
    <s v="24/05/2026"/>
    <s v="E"/>
    <s v="[1062] RAMGADH"/>
    <s v="[8402] RAMPUR"/>
    <x v="24"/>
    <x v="24"/>
    <x v="24"/>
    <s v="C"/>
    <n v="35"/>
    <n v="5"/>
    <n v="8.1999999999999993"/>
    <n v="1.75"/>
    <n v="2.87"/>
    <n v="41.449082400000002"/>
    <n v="1450.7178840000001"/>
    <n v="396.01034140127393"/>
    <n v="264.00689426751597"/>
    <n v="25.387562970000005"/>
    <n v="131.25"/>
    <n v="1607.3554469700002"/>
    <n v="45.924441342000009"/>
    <n v="438.76854785350332"/>
    <n v="292.51236523566888"/>
  </r>
  <r>
    <s v="25/05/2026"/>
    <s v="M"/>
    <s v="[1062] RAMGADH"/>
    <s v="[8402] RAMPUR"/>
    <x v="24"/>
    <x v="24"/>
    <x v="24"/>
    <s v="B"/>
    <n v="12"/>
    <n v="7.7"/>
    <n v="9"/>
    <n v="0.92400000000000004"/>
    <n v="1.08"/>
    <n v="64.295000000000002"/>
    <n v="771.54"/>
    <n v="469.30656934306569"/>
    <n v="312.87104622871044"/>
    <n v="13.501950000000001"/>
    <n v="45"/>
    <n v="830.04194999999993"/>
    <n v="69.170162499999989"/>
    <n v="504.89169708029186"/>
    <n v="336.59446472019459"/>
  </r>
  <r>
    <s v="25/05/2026"/>
    <s v="M"/>
    <s v="[1062] RAMGADH"/>
    <s v="[8402] RAMPUR"/>
    <x v="24"/>
    <x v="24"/>
    <x v="24"/>
    <s v="C"/>
    <n v="22"/>
    <n v="3.5"/>
    <n v="8.1"/>
    <n v="0.77"/>
    <n v="1.7819999999999998"/>
    <n v="35.245069200000003"/>
    <n v="775.3915224000001"/>
    <n v="396.01201348314612"/>
    <n v="264.00800898876406"/>
    <n v="13.569351642000003"/>
    <n v="82.5"/>
    <n v="871.46087404200011"/>
    <n v="39.611857911000008"/>
    <n v="445.07705517977541"/>
    <n v="296.71803678651696"/>
  </r>
  <r>
    <s v="25/05/2026"/>
    <s v="E"/>
    <s v="[1062] RAMGADH"/>
    <s v="[8402] RAMPUR"/>
    <x v="24"/>
    <x v="24"/>
    <x v="24"/>
    <s v="C"/>
    <n v="36"/>
    <n v="4.7"/>
    <n v="8.1"/>
    <n v="1.6920000000000002"/>
    <n v="2.9159999999999995"/>
    <n v="39.997069199999999"/>
    <n v="1439.8944911999999"/>
    <n v="396.0105861386138"/>
    <n v="264.00705742574252"/>
    <n v="25.198153596000001"/>
    <n v="135"/>
    <n v="1600.0926447960001"/>
    <n v="44.447017911000003"/>
    <n v="440.06948426732674"/>
    <n v="293.37965617821783"/>
  </r>
  <r>
    <s v="26/05/2026"/>
    <s v="M"/>
    <s v="[1062] RAMGADH"/>
    <s v="[8402] RAMPUR"/>
    <x v="24"/>
    <x v="24"/>
    <x v="24"/>
    <s v="C"/>
    <n v="30"/>
    <n v="4.7"/>
    <n v="8.1999999999999993"/>
    <n v="1.41"/>
    <n v="2.4599999999999995"/>
    <n v="42.3961398"/>
    <n v="1271.884194"/>
    <n v="417.01121114754102"/>
    <n v="278.00747409836066"/>
    <n v="22.257973395"/>
    <n v="112.5"/>
    <n v="1406.6421673949999"/>
    <n v="46.888072246499995"/>
    <n v="461.19415324426228"/>
    <n v="307.46276882950821"/>
  </r>
  <r>
    <s v="26/05/2026"/>
    <s v="E"/>
    <s v="[1062] RAMGADH"/>
    <s v="[8402] RAMPUR"/>
    <x v="24"/>
    <x v="24"/>
    <x v="24"/>
    <s v="C"/>
    <n v="34"/>
    <n v="5"/>
    <n v="8.5"/>
    <n v="1.7"/>
    <n v="2.89"/>
    <n v="44.481181500000005"/>
    <n v="1512.3601710000003"/>
    <n v="417.01107656250002"/>
    <n v="278.00738437500002"/>
    <n v="26.466302992500008"/>
    <n v="127.5"/>
    <n v="1666.3264739925003"/>
    <n v="49.009602176250006"/>
    <n v="459.46502040234378"/>
    <n v="306.3100136015625"/>
  </r>
  <r>
    <s v="27/05/2026"/>
    <s v="M"/>
    <s v="[1062] RAMGADH"/>
    <s v="[8402] RAMPUR"/>
    <x v="24"/>
    <x v="24"/>
    <x v="24"/>
    <s v="C"/>
    <n v="33"/>
    <n v="5.0999999999999996"/>
    <n v="8.5"/>
    <n v="1.6829999999999998"/>
    <n v="2.8050000000000002"/>
    <n v="44.898181500000007"/>
    <n v="1481.6399895000002"/>
    <n v="417.01097368421063"/>
    <n v="278.00731578947375"/>
    <n v="25.928699816250006"/>
    <n v="123.75"/>
    <n v="1631.3186893162501"/>
    <n v="49.433899676250007"/>
    <n v="459.13838708591339"/>
    <n v="306.09225805727561"/>
  </r>
  <r>
    <s v="27/05/2026"/>
    <s v="E"/>
    <s v="[1062] RAMGADH"/>
    <s v="[8402] RAMPUR"/>
    <x v="24"/>
    <x v="24"/>
    <x v="24"/>
    <s v="C"/>
    <n v="34"/>
    <n v="5.0999999999999996"/>
    <n v="8.5"/>
    <n v="1.7339999999999998"/>
    <n v="2.89"/>
    <n v="44.898181500000007"/>
    <n v="1526.5381710000001"/>
    <n v="417.01097368421063"/>
    <n v="278.00731578947375"/>
    <n v="26.714417992500007"/>
    <n v="127.5"/>
    <n v="1680.7525889925003"/>
    <n v="49.433899676250007"/>
    <n v="459.13838708591339"/>
    <n v="306.09225805727561"/>
  </r>
  <r>
    <s v="28/05/2026"/>
    <s v="M"/>
    <s v="[1062] RAMGADH"/>
    <s v="[8402] RAMPUR"/>
    <x v="24"/>
    <x v="24"/>
    <x v="24"/>
    <s v="C"/>
    <n v="28"/>
    <n v="4.3"/>
    <n v="8.3000000000000007"/>
    <n v="1.204"/>
    <n v="2.3240000000000003"/>
    <n v="41.006153699999999"/>
    <n v="1148.1723035999999"/>
    <n v="417.0117325423729"/>
    <n v="278.00782169491526"/>
    <n v="20.093015312999999"/>
    <n v="105"/>
    <n v="1273.2653189129999"/>
    <n v="45.473761389749995"/>
    <n v="462.44503108220334"/>
    <n v="308.29668738813558"/>
  </r>
  <r>
    <s v="28/05/2026"/>
    <s v="E"/>
    <s v="[1062] RAMGADH"/>
    <s v="[8402] RAMPUR"/>
    <x v="24"/>
    <x v="24"/>
    <x v="24"/>
    <s v="C"/>
    <n v="37"/>
    <n v="4.5"/>
    <n v="8.1999999999999993"/>
    <n v="1.665"/>
    <n v="3.0339999999999998"/>
    <n v="41.562139799999997"/>
    <n v="1537.7991725999998"/>
    <n v="417.01143612040136"/>
    <n v="278.00762408026759"/>
    <n v="26.911485520499998"/>
    <n v="138.75"/>
    <n v="1703.4606581204998"/>
    <n v="46.039477246499999"/>
    <n v="461.93455431270905"/>
    <n v="307.95636954180605"/>
  </r>
  <r>
    <s v="22/05/2026"/>
    <s v="M"/>
    <s v="[1062] RAMGADH"/>
    <s v="[8404] CHANDESH"/>
    <x v="25"/>
    <x v="25"/>
    <x v="25"/>
    <s v="B"/>
    <n v="47"/>
    <n v="7"/>
    <n v="9"/>
    <n v="3.29"/>
    <n v="4.2300000000000004"/>
    <n v="58.45"/>
    <n v="2747.15"/>
    <n v="449.61538461538464"/>
    <n v="299.74358974358978"/>
    <n v="48.075125000000007"/>
    <n v="176.25"/>
    <n v="2971.4751249999999"/>
    <n v="63.222875000000002"/>
    <n v="486.32980769230767"/>
    <n v="324.21987179487178"/>
  </r>
  <r>
    <s v="22/05/2026"/>
    <s v="M"/>
    <s v="[1062] RAMGADH"/>
    <s v="[8404] CHANDESH"/>
    <x v="25"/>
    <x v="25"/>
    <x v="25"/>
    <s v="C"/>
    <n v="37"/>
    <n v="3.3"/>
    <n v="8"/>
    <n v="1.2209999999999999"/>
    <n v="2.96"/>
    <n v="34.189056000000008"/>
    <n v="1264.9950720000004"/>
    <n v="396.01223166023169"/>
    <n v="264.00815444015444"/>
    <n v="22.137413760000008"/>
    <n v="138.75"/>
    <n v="1425.8824857600005"/>
    <n v="38.537364480000015"/>
    <n v="446.37873915057924"/>
    <n v="297.58582610038616"/>
  </r>
  <r>
    <s v="22/05/2026"/>
    <s v="E"/>
    <s v="[1062] RAMGADH"/>
    <s v="[8404] CHANDESH"/>
    <x v="25"/>
    <x v="25"/>
    <x v="25"/>
    <s v="B"/>
    <n v="35"/>
    <n v="6.6"/>
    <n v="9"/>
    <n v="2.31"/>
    <n v="3.15"/>
    <n v="55.11"/>
    <n v="1928.85"/>
    <n v="437.38095238095235"/>
    <n v="291.58730158730157"/>
    <n v="33.754874999999998"/>
    <n v="131.25"/>
    <n v="2093.854875"/>
    <n v="59.824424999999998"/>
    <n v="474.79702380952381"/>
    <n v="316.5313492063492"/>
  </r>
  <r>
    <s v="22/05/2026"/>
    <s v="E"/>
    <s v="[1062] RAMGADH"/>
    <s v="[8404] CHANDESH"/>
    <x v="25"/>
    <x v="25"/>
    <x v="25"/>
    <s v="C"/>
    <n v="72"/>
    <n v="3.5"/>
    <n v="8"/>
    <n v="2.52"/>
    <n v="5.76"/>
    <n v="34.981056000000002"/>
    <n v="2518.6360320000003"/>
    <n v="396.01195471698111"/>
    <n v="264.00796981132072"/>
    <n v="44.07613056000001"/>
    <n v="270"/>
    <n v="2832.7121625600003"/>
    <n v="39.343224480000003"/>
    <n v="445.39499411320753"/>
    <n v="296.92999607547171"/>
  </r>
  <r>
    <s v="23/05/2026"/>
    <s v="E"/>
    <s v="[1062] RAMGADH"/>
    <s v="[8404] CHANDESH"/>
    <x v="25"/>
    <x v="25"/>
    <x v="25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23/05/2026"/>
    <s v="E"/>
    <s v="[1062] RAMGADH"/>
    <s v="[8404] CHANDESH"/>
    <x v="25"/>
    <x v="25"/>
    <x v="25"/>
    <s v="C"/>
    <n v="73"/>
    <n v="3"/>
    <n v="8"/>
    <n v="2.19"/>
    <n v="5.84"/>
    <n v="33.001056000000005"/>
    <n v="2409.0770880000005"/>
    <n v="396.01267200000001"/>
    <n v="264.00844799999999"/>
    <n v="42.158849040000014"/>
    <n v="273.75"/>
    <n v="2724.9859370400004"/>
    <n v="37.328574480000007"/>
    <n v="447.94289376000006"/>
    <n v="298.62859584000006"/>
  </r>
  <r>
    <s v="24/05/2026"/>
    <s v="M"/>
    <s v="[1062] RAMGADH"/>
    <s v="[8404] CHANDESH"/>
    <x v="25"/>
    <x v="25"/>
    <x v="25"/>
    <s v="B"/>
    <n v="31"/>
    <n v="6.3"/>
    <n v="8.8000000000000007"/>
    <n v="1.9529999999999998"/>
    <n v="2.7280000000000002"/>
    <n v="52.078949999999999"/>
    <n v="1614.4474499999999"/>
    <n v="428.04616438356163"/>
    <n v="285.36410958904111"/>
    <n v="28.252830375000002"/>
    <n v="116.25"/>
    <n v="1758.9502803749999"/>
    <n v="56.740331624999996"/>
    <n v="466.35889006849311"/>
    <n v="310.90592671232872"/>
  </r>
  <r>
    <s v="24/05/2026"/>
    <s v="M"/>
    <s v="[1062] RAMGADH"/>
    <s v="[8404] CHANDESH"/>
    <x v="25"/>
    <x v="25"/>
    <x v="2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4/05/2026"/>
    <s v="E"/>
    <s v="[1062] RAMGADH"/>
    <s v="[8404] CHANDESH"/>
    <x v="25"/>
    <x v="25"/>
    <x v="25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24/05/2026"/>
    <s v="E"/>
    <s v="[1062] RAMGADH"/>
    <s v="[8404] CHANDESH"/>
    <x v="25"/>
    <x v="25"/>
    <x v="25"/>
    <s v="C"/>
    <n v="75"/>
    <n v="3"/>
    <n v="8"/>
    <n v="2.25"/>
    <n v="6"/>
    <n v="33.001056000000005"/>
    <n v="2475.0792000000006"/>
    <n v="396.01267200000001"/>
    <n v="264.00844799999999"/>
    <n v="43.313886000000011"/>
    <n v="281.25"/>
    <n v="2799.6430860000005"/>
    <n v="37.328574480000007"/>
    <n v="447.94289376000006"/>
    <n v="298.62859584000006"/>
  </r>
  <r>
    <s v="25/05/2026"/>
    <s v="M"/>
    <s v="[1062] RAMGADH"/>
    <s v="[8404] CHANDESH"/>
    <x v="25"/>
    <x v="25"/>
    <x v="25"/>
    <s v="B"/>
    <n v="51"/>
    <n v="6.8"/>
    <n v="8.8000000000000007"/>
    <n v="3.468"/>
    <n v="4.4880000000000004"/>
    <n v="56.212200000000003"/>
    <n v="2866.8222000000001"/>
    <n v="443.78052631578947"/>
    <n v="295.8536842105263"/>
    <n v="50.169388500000004"/>
    <n v="191.25"/>
    <n v="3108.2415885"/>
    <n v="60.945913500000003"/>
    <n v="481.15194868421054"/>
    <n v="320.76796578947369"/>
  </r>
  <r>
    <s v="25/05/2026"/>
    <s v="M"/>
    <s v="[1062] RAMGADH"/>
    <s v="[8404] CHANDESH"/>
    <x v="25"/>
    <x v="25"/>
    <x v="25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25/05/2026"/>
    <s v="E"/>
    <s v="[1062] RAMGADH"/>
    <s v="[8404] CHANDESH"/>
    <x v="25"/>
    <x v="25"/>
    <x v="25"/>
    <s v="B"/>
    <n v="29"/>
    <n v="6.4"/>
    <n v="8.8000000000000007"/>
    <n v="1.8560000000000003"/>
    <n v="2.552"/>
    <n v="52.9056"/>
    <n v="1534.2624000000001"/>
    <n v="431.29565217391303"/>
    <n v="287.53043478260867"/>
    <n v="26.849592000000005"/>
    <n v="108.75"/>
    <n v="1669.8619920000001"/>
    <n v="57.581448000000002"/>
    <n v="469.41397826086956"/>
    <n v="312.94265217391302"/>
  </r>
  <r>
    <s v="25/05/2026"/>
    <s v="E"/>
    <s v="[1062] RAMGADH"/>
    <s v="[8404] CHANDESH"/>
    <x v="25"/>
    <x v="25"/>
    <x v="25"/>
    <s v="C"/>
    <n v="77"/>
    <n v="3.3"/>
    <n v="8.1"/>
    <n v="2.5409999999999999"/>
    <n v="6.2369999999999992"/>
    <n v="34.453069200000002"/>
    <n v="2652.8863283999999"/>
    <n v="396.01228965517248"/>
    <n v="264.00819310344832"/>
    <n v="46.425510747000004"/>
    <n v="288.75"/>
    <n v="2988.0618391469998"/>
    <n v="38.805997910999999"/>
    <n v="446.045953"/>
    <n v="297.36396866666666"/>
  </r>
  <r>
    <s v="26/05/2026"/>
    <s v="M"/>
    <s v="[1062] RAMGADH"/>
    <s v="[8404] CHANDESH"/>
    <x v="25"/>
    <x v="25"/>
    <x v="25"/>
    <s v="B"/>
    <n v="27"/>
    <n v="6.8"/>
    <n v="8.4"/>
    <n v="1.8359999999999999"/>
    <n v="2.2680000000000002"/>
    <n v="55.076599999999999"/>
    <n v="1487.0681999999999"/>
    <n v="444.16612903225808"/>
    <n v="296.11075268817206"/>
    <n v="26.0236935"/>
    <n v="101.25"/>
    <n v="1614.3418935"/>
    <n v="59.790440499999995"/>
    <n v="482.18097177419349"/>
    <n v="321.45398118279564"/>
  </r>
  <r>
    <s v="26/05/2026"/>
    <s v="M"/>
    <s v="[1062] RAMGADH"/>
    <s v="[8404] CHANDESH"/>
    <x v="25"/>
    <x v="25"/>
    <x v="2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6/05/2026"/>
    <s v="E"/>
    <s v="[1062] RAMGADH"/>
    <s v="[8404] CHANDESH"/>
    <x v="25"/>
    <x v="25"/>
    <x v="25"/>
    <s v="C"/>
    <n v="25"/>
    <n v="3.6"/>
    <n v="8.1"/>
    <n v="0.9"/>
    <n v="2.0249999999999999"/>
    <n v="37.531125900000006"/>
    <n v="938.27814750000016"/>
    <n v="417.01251000000008"/>
    <n v="278.00834000000003"/>
    <n v="16.419867581250003"/>
    <n v="93.75"/>
    <n v="1048.4480150812501"/>
    <n v="41.937920603250006"/>
    <n v="465.97689559166673"/>
    <n v="310.6512637277778"/>
  </r>
  <r>
    <s v="27/05/2026"/>
    <s v="M"/>
    <s v="[1062] RAMGADH"/>
    <s v="[8404] CHANDESH"/>
    <x v="25"/>
    <x v="25"/>
    <x v="25"/>
    <s v="B"/>
    <n v="41"/>
    <n v="6.9"/>
    <n v="9"/>
    <n v="2.8290000000000002"/>
    <n v="3.69"/>
    <n v="57.615000000000002"/>
    <n v="2362.2150000000001"/>
    <n v="446.62790697674421"/>
    <n v="297.75193798449612"/>
    <n v="41.338762500000009"/>
    <n v="153.75"/>
    <n v="2557.3037625000002"/>
    <n v="62.373262500000003"/>
    <n v="483.51366279069771"/>
    <n v="322.34244186046516"/>
  </r>
  <r>
    <s v="27/05/2026"/>
    <s v="M"/>
    <s v="[1062] RAMGADH"/>
    <s v="[8404] CHANDESH"/>
    <x v="25"/>
    <x v="25"/>
    <x v="25"/>
    <s v="C"/>
    <n v="89"/>
    <n v="3.4"/>
    <n v="8"/>
    <n v="3.0259999999999998"/>
    <n v="7.12"/>
    <n v="36.419112000000005"/>
    <n v="3241.3009680000005"/>
    <n v="417.01273282442747"/>
    <n v="278.00848854961833"/>
    <n v="56.722766940000014"/>
    <n v="333.75"/>
    <n v="3631.7737349400004"/>
    <n v="40.806446460000004"/>
    <n v="467.24938694656487"/>
    <n v="311.49959129770991"/>
  </r>
  <r>
    <s v="28/05/2026"/>
    <s v="M"/>
    <s v="[1062] RAMGADH"/>
    <s v="[8404] CHANDESH"/>
    <x v="25"/>
    <x v="25"/>
    <x v="25"/>
    <s v="C"/>
    <n v="9"/>
    <n v="4.9000000000000004"/>
    <n v="8.1999999999999993"/>
    <n v="0.441"/>
    <n v="0.73799999999999999"/>
    <n v="43.230139800000003"/>
    <n v="389.07125820000005"/>
    <n v="417.01099485530551"/>
    <n v="278.00732990353703"/>
    <n v="6.8087470185000019"/>
    <n v="33.75"/>
    <n v="429.63000521850006"/>
    <n v="47.736667246500005"/>
    <n v="460.48232070578786"/>
    <n v="306.98821380385857"/>
  </r>
  <r>
    <s v="28/05/2026"/>
    <s v="E"/>
    <s v="[1062] RAMGADH"/>
    <s v="[8404] CHANDESH"/>
    <x v="25"/>
    <x v="25"/>
    <x v="25"/>
    <s v="B"/>
    <n v="35"/>
    <n v="6.8"/>
    <n v="9"/>
    <n v="2.38"/>
    <n v="3.15"/>
    <n v="56.78"/>
    <n v="1987.3"/>
    <n v="443.59375"/>
    <n v="295.72916666666669"/>
    <n v="34.777750000000005"/>
    <n v="131.25"/>
    <n v="2153.3277499999999"/>
    <n v="61.523649999999996"/>
    <n v="480.65351562499995"/>
    <n v="320.4356770833333"/>
  </r>
  <r>
    <s v="28/05/2026"/>
    <s v="E"/>
    <s v="[1062] RAMGADH"/>
    <s v="[8404] CHANDESH"/>
    <x v="25"/>
    <x v="25"/>
    <x v="25"/>
    <s v="C"/>
    <n v="78"/>
    <n v="3"/>
    <n v="8"/>
    <n v="2.34"/>
    <n v="6.24"/>
    <n v="34.751112000000006"/>
    <n v="2710.5867360000007"/>
    <n v="417.01334400000002"/>
    <n v="278.00889599999999"/>
    <n v="47.435267880000019"/>
    <n v="292.5"/>
    <n v="3050.5220038800007"/>
    <n v="39.109256460000012"/>
    <n v="469.31107752000008"/>
    <n v="312.87405168000004"/>
  </r>
  <r>
    <s v="22/05/2026"/>
    <s v="M"/>
    <s v="[1062] RAMGADH"/>
    <s v="[8405] RAMGADH"/>
    <x v="26"/>
    <x v="26"/>
    <x v="26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22/05/2026"/>
    <s v="M"/>
    <s v="[1062] RAMGADH"/>
    <s v="[8405] RAMGADH"/>
    <x v="26"/>
    <x v="26"/>
    <x v="26"/>
    <s v="C"/>
    <n v="51"/>
    <n v="3.6"/>
    <n v="8.1"/>
    <n v="1.8359999999999999"/>
    <n v="4.1309999999999993"/>
    <n v="35.641069200000004"/>
    <n v="1817.6945292000003"/>
    <n v="396.01188000000008"/>
    <n v="264.00792000000007"/>
    <n v="31.809654261000009"/>
    <n v="191.25"/>
    <n v="2040.7541834610004"/>
    <n v="40.014787911000006"/>
    <n v="444.60875456666673"/>
    <n v="296.4058363777778"/>
  </r>
  <r>
    <s v="22/05/2026"/>
    <s v="E"/>
    <s v="[1062] RAMGADH"/>
    <s v="[8405] RAMGADH"/>
    <x v="26"/>
    <x v="26"/>
    <x v="26"/>
    <s v="B"/>
    <n v="17"/>
    <n v="6.6"/>
    <n v="8.6"/>
    <n v="1.1219999999999999"/>
    <n v="1.462"/>
    <n v="54.007799999999996"/>
    <n v="918.13259999999991"/>
    <n v="437.90108108108109"/>
    <n v="291.93405405405406"/>
    <n v="16.067320500000001"/>
    <n v="63.75"/>
    <n v="997.94992049999996"/>
    <n v="58.7029365"/>
    <n v="475.96975540540546"/>
    <n v="317.31317027027029"/>
  </r>
  <r>
    <s v="22/05/2026"/>
    <s v="E"/>
    <s v="[1062] RAMGADH"/>
    <s v="[8405] RAMGADH"/>
    <x v="26"/>
    <x v="26"/>
    <x v="26"/>
    <s v="C"/>
    <n v="51"/>
    <n v="3.2"/>
    <n v="8.1"/>
    <n v="1.6320000000000001"/>
    <n v="4.1309999999999993"/>
    <n v="34.057069200000001"/>
    <n v="1736.9105291999999"/>
    <n v="396.01243255813955"/>
    <n v="264.00828837209303"/>
    <n v="30.395934261000001"/>
    <n v="191.25"/>
    <n v="1958.556463461"/>
    <n v="38.403067911000001"/>
    <n v="446.5473012906977"/>
    <n v="297.69820086046514"/>
  </r>
  <r>
    <s v="23/05/2026"/>
    <s v="M"/>
    <s v="[1062] RAMGADH"/>
    <s v="[8405] RAMGADH"/>
    <x v="26"/>
    <x v="26"/>
    <x v="26"/>
    <s v="B"/>
    <n v="19"/>
    <n v="6.7"/>
    <n v="8.4"/>
    <n v="1.2729999999999999"/>
    <n v="1.5959999999999999"/>
    <n v="54.266649999999998"/>
    <n v="1031.0663500000001"/>
    <n v="441.19227642276422"/>
    <n v="294.12818428184283"/>
    <n v="18.043661125000003"/>
    <n v="71.25"/>
    <n v="1120.360011125"/>
    <n v="58.966316374999998"/>
    <n v="479.4009461382114"/>
    <n v="319.6006307588076"/>
  </r>
  <r>
    <s v="23/05/2026"/>
    <s v="M"/>
    <s v="[1062] RAMGADH"/>
    <s v="[8405] RAMGADH"/>
    <x v="26"/>
    <x v="26"/>
    <x v="26"/>
    <s v="C"/>
    <n v="60"/>
    <n v="3.3"/>
    <n v="8"/>
    <n v="1.98"/>
    <n v="4.8"/>
    <n v="34.189056000000008"/>
    <n v="2051.3433600000003"/>
    <n v="396.01223166023169"/>
    <n v="264.00815444015444"/>
    <n v="35.898508800000009"/>
    <n v="225"/>
    <n v="2312.2418688000002"/>
    <n v="38.537364480000001"/>
    <n v="446.37873915057912"/>
    <n v="297.5858261003861"/>
  </r>
  <r>
    <s v="23/05/2026"/>
    <s v="E"/>
    <s v="[1062] RAMGADH"/>
    <s v="[8405] RAMGADH"/>
    <x v="26"/>
    <x v="26"/>
    <x v="26"/>
    <s v="B"/>
    <n v="17"/>
    <n v="6.6"/>
    <n v="8.6"/>
    <n v="1.1219999999999999"/>
    <n v="1.462"/>
    <n v="54.007799999999996"/>
    <n v="918.13259999999991"/>
    <n v="437.90108108108109"/>
    <n v="291.93405405405406"/>
    <n v="16.067320500000001"/>
    <n v="63.75"/>
    <n v="997.94992049999996"/>
    <n v="58.7029365"/>
    <n v="475.96975540540546"/>
    <n v="317.31317027027029"/>
  </r>
  <r>
    <s v="23/05/2026"/>
    <s v="E"/>
    <s v="[1062] RAMGADH"/>
    <s v="[8405] RAMGADH"/>
    <x v="26"/>
    <x v="26"/>
    <x v="26"/>
    <s v="C"/>
    <n v="50"/>
    <n v="3.2"/>
    <n v="8.1"/>
    <n v="1.6"/>
    <n v="4.05"/>
    <n v="34.057069200000001"/>
    <n v="1702.85346"/>
    <n v="396.01243255813955"/>
    <n v="264.00828837209303"/>
    <n v="29.799935550000004"/>
    <n v="187.5"/>
    <n v="1920.1533955500001"/>
    <n v="38.403067911000001"/>
    <n v="446.5473012906977"/>
    <n v="297.69820086046514"/>
  </r>
  <r>
    <s v="24/05/2026"/>
    <s v="M"/>
    <s v="[1062] RAMGADH"/>
    <s v="[8405] RAMGADH"/>
    <x v="26"/>
    <x v="26"/>
    <x v="26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24/05/2026"/>
    <s v="M"/>
    <s v="[1062] RAMGADH"/>
    <s v="[8405] RAMGADH"/>
    <x v="26"/>
    <x v="26"/>
    <x v="26"/>
    <s v="C"/>
    <n v="57"/>
    <n v="3.8"/>
    <n v="8.1"/>
    <n v="2.1659999999999999"/>
    <n v="4.617"/>
    <n v="36.433069200000006"/>
    <n v="2076.6849444000004"/>
    <n v="396.01162173913048"/>
    <n v="264.00774782608698"/>
    <n v="36.34198652700001"/>
    <n v="213.75"/>
    <n v="2326.7769309270006"/>
    <n v="40.820647911000009"/>
    <n v="443.70269468478273"/>
    <n v="295.8017964565218"/>
  </r>
  <r>
    <s v="24/05/2026"/>
    <s v="E"/>
    <s v="[1062] RAMGADH"/>
    <s v="[8405] RAMGADH"/>
    <x v="26"/>
    <x v="26"/>
    <x v="26"/>
    <s v="B"/>
    <n v="15"/>
    <n v="7"/>
    <n v="8.6"/>
    <n v="1.05"/>
    <n v="1.29"/>
    <n v="57.280999999999999"/>
    <n v="859.21500000000003"/>
    <n v="449.85078534031413"/>
    <n v="299.90052356020942"/>
    <n v="15.036262500000001"/>
    <n v="56.25"/>
    <n v="930.50126250000005"/>
    <n v="62.033417500000006"/>
    <n v="487.17343586387443"/>
    <n v="324.78229057591631"/>
  </r>
  <r>
    <s v="24/05/2026"/>
    <s v="E"/>
    <s v="[1062] RAMGADH"/>
    <s v="[8405] RAMGADH"/>
    <x v="26"/>
    <x v="26"/>
    <x v="26"/>
    <s v="C"/>
    <n v="50"/>
    <n v="3.4"/>
    <n v="8.1"/>
    <n v="1.7"/>
    <n v="4.05"/>
    <n v="34.849069200000002"/>
    <n v="1742.4534600000002"/>
    <n v="396.01215000000008"/>
    <n v="264.00810000000007"/>
    <n v="30.492935550000006"/>
    <n v="187.5"/>
    <n v="1960.4463955500003"/>
    <n v="39.208927911000004"/>
    <n v="445.55599898863642"/>
    <n v="297.03733265909096"/>
  </r>
  <r>
    <s v="25/05/2026"/>
    <s v="M"/>
    <s v="[1062] RAMGADH"/>
    <s v="[8405] RAMGADH"/>
    <x v="26"/>
    <x v="26"/>
    <x v="26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25/05/2026"/>
    <s v="M"/>
    <s v="[1062] RAMGADH"/>
    <s v="[8405] RAMGADH"/>
    <x v="26"/>
    <x v="26"/>
    <x v="26"/>
    <s v="C"/>
    <n v="55"/>
    <n v="3.9"/>
    <n v="8.1"/>
    <n v="2.145"/>
    <n v="4.4550000000000001"/>
    <n v="36.829069200000006"/>
    <n v="2025.5988060000004"/>
    <n v="396.01149677419363"/>
    <n v="264.00766451612907"/>
    <n v="35.447979105000009"/>
    <n v="206.25"/>
    <n v="2267.2967851050003"/>
    <n v="41.223577911000007"/>
    <n v="443.2642786129033"/>
    <n v="295.50951907526888"/>
  </r>
  <r>
    <s v="25/05/2026"/>
    <s v="E"/>
    <s v="[1062] RAMGADH"/>
    <s v="[8405] RAMGADH"/>
    <x v="26"/>
    <x v="26"/>
    <x v="26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25/05/2026"/>
    <s v="E"/>
    <s v="[1062] RAMGADH"/>
    <s v="[8405] RAMGADH"/>
    <x v="26"/>
    <x v="26"/>
    <x v="26"/>
    <s v="C"/>
    <n v="43"/>
    <n v="3.4"/>
    <n v="8.1"/>
    <n v="1.462"/>
    <n v="3.4830000000000001"/>
    <n v="34.849069200000002"/>
    <n v="1498.5099756000002"/>
    <n v="396.01215000000008"/>
    <n v="264.00810000000007"/>
    <n v="26.223924573000005"/>
    <n v="161.25"/>
    <n v="1685.9839001730002"/>
    <n v="39.208927911000004"/>
    <n v="445.55599898863642"/>
    <n v="297.03733265909096"/>
  </r>
  <r>
    <s v="26/05/2026"/>
    <s v="M"/>
    <s v="[1062] RAMGADH"/>
    <s v="[8405] RAMGADH"/>
    <x v="26"/>
    <x v="26"/>
    <x v="26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26/05/2026"/>
    <s v="M"/>
    <s v="[1062] RAMGADH"/>
    <s v="[8405] RAMGADH"/>
    <x v="26"/>
    <x v="26"/>
    <x v="26"/>
    <s v="C"/>
    <n v="53"/>
    <n v="3.8"/>
    <n v="8.1"/>
    <n v="2.0139999999999998"/>
    <n v="4.2929999999999993"/>
    <n v="38.365125900000002"/>
    <n v="2033.3516727000001"/>
    <n v="417.01223804347831"/>
    <n v="278.00815869565218"/>
    <n v="35.583654272250008"/>
    <n v="198.75"/>
    <n v="2267.6853269722501"/>
    <n v="42.786515603250002"/>
    <n v="465.07082177445653"/>
    <n v="310.04721451630434"/>
  </r>
  <r>
    <s v="26/05/2026"/>
    <s v="E"/>
    <s v="[1062] RAMGADH"/>
    <s v="[8405] RAMGADH"/>
    <x v="26"/>
    <x v="26"/>
    <x v="26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6/05/2026"/>
    <s v="E"/>
    <s v="[1062] RAMGADH"/>
    <s v="[8405] RAMGADH"/>
    <x v="26"/>
    <x v="26"/>
    <x v="26"/>
    <s v="C"/>
    <n v="44"/>
    <n v="3.3"/>
    <n v="8.3000000000000007"/>
    <n v="1.452"/>
    <n v="3.6520000000000006"/>
    <n v="36.836153700000004"/>
    <n v="1620.7907628000003"/>
    <n v="417.01306075471695"/>
    <n v="278.00870716981132"/>
    <n v="28.363838349000009"/>
    <n v="165"/>
    <n v="1814.1546011490002"/>
    <n v="41.230786389750001"/>
    <n v="466.76361950660373"/>
    <n v="311.1757463377358"/>
  </r>
  <r>
    <s v="27/05/2026"/>
    <s v="M"/>
    <s v="[1062] RAMGADH"/>
    <s v="[8405] RAMGADH"/>
    <x v="26"/>
    <x v="26"/>
    <x v="26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27/05/2026"/>
    <s v="M"/>
    <s v="[1062] RAMGADH"/>
    <s v="[8405] RAMGADH"/>
    <x v="26"/>
    <x v="26"/>
    <x v="26"/>
    <s v="C"/>
    <n v="53"/>
    <n v="4.2"/>
    <n v="8.5"/>
    <n v="2.2260000000000004"/>
    <n v="4.5049999999999999"/>
    <n v="41.145181500000007"/>
    <n v="2180.6946195000005"/>
    <n v="417.01197466216217"/>
    <n v="278.00798310810814"/>
    <n v="38.162155841250012"/>
    <n v="198.75"/>
    <n v="2417.6067753412503"/>
    <n v="45.615222176250008"/>
    <n v="462.31644097550679"/>
    <n v="308.21096065033788"/>
  </r>
  <r>
    <s v="27/05/2026"/>
    <s v="E"/>
    <s v="[1062] RAMGADH"/>
    <s v="[8405] RAMGADH"/>
    <x v="26"/>
    <x v="26"/>
    <x v="26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27/05/2026"/>
    <s v="E"/>
    <s v="[1062] RAMGADH"/>
    <s v="[8405] RAMGADH"/>
    <x v="26"/>
    <x v="26"/>
    <x v="26"/>
    <s v="C"/>
    <n v="46"/>
    <n v="3.3"/>
    <n v="8.1"/>
    <n v="1.5179999999999998"/>
    <n v="3.7259999999999995"/>
    <n v="36.280125900000002"/>
    <n v="1668.8857914"/>
    <n v="417.0129413793104"/>
    <n v="278.00862758620696"/>
    <n v="29.205501349500004"/>
    <n v="172.5"/>
    <n v="1870.5912927495001"/>
    <n v="40.665028103250002"/>
    <n v="467.4141161293104"/>
    <n v="311.6094107528736"/>
  </r>
  <r>
    <s v="28/05/2026"/>
    <s v="M"/>
    <s v="[1062] RAMGADH"/>
    <s v="[8405] RAMGADH"/>
    <x v="26"/>
    <x v="26"/>
    <x v="26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28/05/2026"/>
    <s v="M"/>
    <s v="[1062] RAMGADH"/>
    <s v="[8405] RAMGADH"/>
    <x v="26"/>
    <x v="26"/>
    <x v="26"/>
    <s v="C"/>
    <n v="62"/>
    <n v="3"/>
    <n v="8"/>
    <n v="1.86"/>
    <n v="4.96"/>
    <n v="34.751112000000006"/>
    <n v="2154.5689440000006"/>
    <n v="417.01334400000002"/>
    <n v="278.00889599999999"/>
    <n v="37.70495652000001"/>
    <n v="232.5"/>
    <n v="2424.7739005200006"/>
    <n v="39.109256460000012"/>
    <n v="469.31107752000008"/>
    <n v="312.87405168000004"/>
  </r>
  <r>
    <s v="28/05/2026"/>
    <s v="E"/>
    <s v="[1062] RAMGADH"/>
    <s v="[8405] RAMGADH"/>
    <x v="26"/>
    <x v="26"/>
    <x v="26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28/05/2026"/>
    <s v="E"/>
    <s v="[1062] RAMGADH"/>
    <s v="[8405] RAMGADH"/>
    <x v="26"/>
    <x v="26"/>
    <x v="26"/>
    <s v="C"/>
    <n v="50"/>
    <n v="3.3"/>
    <n v="8.1"/>
    <n v="1.65"/>
    <n v="4.05"/>
    <n v="36.280125900000002"/>
    <n v="1814.0062950000001"/>
    <n v="417.0129413793104"/>
    <n v="278.00862758620696"/>
    <n v="31.745110162500005"/>
    <n v="187.5"/>
    <n v="2033.2514051625001"/>
    <n v="40.665028103250002"/>
    <n v="467.4141161293104"/>
    <n v="311.6094107528736"/>
  </r>
  <r>
    <s v="22/05/2026"/>
    <s v="M"/>
    <s v="[1062] RAMGADH"/>
    <s v="[8405] RAMGADH"/>
    <x v="27"/>
    <x v="27"/>
    <x v="27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22/05/2026"/>
    <s v="M"/>
    <s v="[1062] RAMGADH"/>
    <s v="[8405] RAMGADH"/>
    <x v="27"/>
    <x v="27"/>
    <x v="27"/>
    <s v="C"/>
    <n v="41"/>
    <n v="3.9"/>
    <n v="8.1999999999999993"/>
    <n v="1.599"/>
    <n v="3.3620000000000001"/>
    <n v="37.0930824"/>
    <n v="1520.8163784000001"/>
    <n v="396.01155587188612"/>
    <n v="264.00770391459076"/>
    <n v="26.614286622000005"/>
    <n v="153.75"/>
    <n v="1701.1806650220001"/>
    <n v="41.492211342000004"/>
    <n v="442.97734528825629"/>
    <n v="295.31823019217086"/>
  </r>
  <r>
    <s v="22/05/2026"/>
    <s v="E"/>
    <s v="[1062] RAMGADH"/>
    <s v="[8405] RAMGADH"/>
    <x v="27"/>
    <x v="27"/>
    <x v="27"/>
    <s v="B"/>
    <n v="38"/>
    <n v="6.7"/>
    <n v="8.8000000000000007"/>
    <n v="2.5459999999999998"/>
    <n v="3.3440000000000003"/>
    <n v="55.385550000000002"/>
    <n v="2104.6509000000001"/>
    <n v="440.73381962864721"/>
    <n v="293.82254641909816"/>
    <n v="36.831390750000004"/>
    <n v="142.5"/>
    <n v="2283.9822907500002"/>
    <n v="60.104797125000005"/>
    <n v="478.28751027851456"/>
    <n v="318.85834018567635"/>
  </r>
  <r>
    <s v="22/05/2026"/>
    <s v="E"/>
    <s v="[1062] RAMGADH"/>
    <s v="[8405] RAMGADH"/>
    <x v="27"/>
    <x v="27"/>
    <x v="27"/>
    <s v="C"/>
    <n v="34"/>
    <n v="4"/>
    <n v="8.1999999999999993"/>
    <n v="1.36"/>
    <n v="2.7879999999999994"/>
    <n v="37.489082400000001"/>
    <n v="1274.6288016000001"/>
    <n v="396.01143380281695"/>
    <n v="264.00762253521128"/>
    <n v="22.306004028000004"/>
    <n v="127.5"/>
    <n v="1424.434805628"/>
    <n v="41.895141342000002"/>
    <n v="442.55430995070429"/>
    <n v="295.03620663380286"/>
  </r>
  <r>
    <s v="23/05/2026"/>
    <s v="M"/>
    <s v="[1062] RAMGADH"/>
    <s v="[8405] RAMGADH"/>
    <x v="27"/>
    <x v="27"/>
    <x v="27"/>
    <s v="B"/>
    <n v="57"/>
    <n v="6.7"/>
    <n v="8.8000000000000007"/>
    <n v="3.8190000000000004"/>
    <n v="5.016"/>
    <n v="55.385550000000002"/>
    <n v="3156.9763499999999"/>
    <n v="440.73381962864721"/>
    <n v="293.82254641909816"/>
    <n v="55.247086125000003"/>
    <n v="213.75"/>
    <n v="3425.9734361249998"/>
    <n v="60.104797124999997"/>
    <n v="478.2875102785145"/>
    <n v="318.85834018567635"/>
  </r>
  <r>
    <s v="23/05/2026"/>
    <s v="M"/>
    <s v="[1062] RAMGADH"/>
    <s v="[8405] RAMGADH"/>
    <x v="27"/>
    <x v="27"/>
    <x v="27"/>
    <s v="C"/>
    <n v="41"/>
    <n v="4.2"/>
    <n v="8.1"/>
    <n v="1.7220000000000002"/>
    <n v="3.3209999999999997"/>
    <n v="38.017069200000009"/>
    <n v="1558.6998372000003"/>
    <n v="396.01113750000007"/>
    <n v="264.00742500000007"/>
    <n v="27.277247151000008"/>
    <n v="153.75"/>
    <n v="1739.7270843510003"/>
    <n v="42.432367911000007"/>
    <n v="442.00383240625007"/>
    <n v="294.66922160416669"/>
  </r>
  <r>
    <s v="23/05/2026"/>
    <s v="E"/>
    <s v="[1062] RAMGADH"/>
    <s v="[8405] RAMGADH"/>
    <x v="27"/>
    <x v="27"/>
    <x v="27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23/05/2026"/>
    <s v="E"/>
    <s v="[1062] RAMGADH"/>
    <s v="[8405] RAMGADH"/>
    <x v="27"/>
    <x v="27"/>
    <x v="27"/>
    <s v="C"/>
    <n v="34"/>
    <n v="3.5"/>
    <n v="8.1"/>
    <n v="1.19"/>
    <n v="2.7539999999999996"/>
    <n v="35.245069200000003"/>
    <n v="1198.3323528000001"/>
    <n v="396.01201348314612"/>
    <n v="264.00800898876406"/>
    <n v="20.970816174000003"/>
    <n v="127.5"/>
    <n v="1346.8031689740001"/>
    <n v="39.611857911000001"/>
    <n v="445.0770551797753"/>
    <n v="296.71803678651685"/>
  </r>
  <r>
    <s v="24/05/2026"/>
    <s v="M"/>
    <s v="[1062] RAMGADH"/>
    <s v="[8405] RAMGADH"/>
    <x v="27"/>
    <x v="27"/>
    <x v="27"/>
    <s v="B"/>
    <n v="50"/>
    <n v="7.2"/>
    <n v="8.6"/>
    <n v="3.6"/>
    <n v="4.3"/>
    <n v="58.9176"/>
    <n v="2945.88"/>
    <n v="455.54845360824743"/>
    <n v="303.69896907216497"/>
    <n v="51.552900000000008"/>
    <n v="187.5"/>
    <n v="3184.9329000000002"/>
    <n v="63.698658000000002"/>
    <n v="492.51539690721654"/>
    <n v="328.34359793814434"/>
  </r>
  <r>
    <s v="24/05/2026"/>
    <s v="M"/>
    <s v="[1062] RAMGADH"/>
    <s v="[8405] RAMGADH"/>
    <x v="27"/>
    <x v="27"/>
    <x v="27"/>
    <s v="C"/>
    <n v="41"/>
    <n v="4"/>
    <n v="8.1999999999999993"/>
    <n v="1.64"/>
    <n v="3.3620000000000001"/>
    <n v="37.489082400000001"/>
    <n v="1537.0523784"/>
    <n v="396.01143380281695"/>
    <n v="264.00762253521128"/>
    <n v="26.898416622000003"/>
    <n v="153.75"/>
    <n v="1717.700795022"/>
    <n v="41.895141342000002"/>
    <n v="442.55430995070429"/>
    <n v="295.03620663380286"/>
  </r>
  <r>
    <s v="24/05/2026"/>
    <s v="E"/>
    <s v="[1062] RAMGADH"/>
    <s v="[8405] RAMGADH"/>
    <x v="27"/>
    <x v="27"/>
    <x v="27"/>
    <s v="B"/>
    <n v="47"/>
    <n v="6.1"/>
    <n v="8.8000000000000007"/>
    <n v="2.867"/>
    <n v="4.1360000000000001"/>
    <n v="50.425650000000005"/>
    <n v="2370.0055500000003"/>
    <n v="421.38426183844012"/>
    <n v="280.92284122562677"/>
    <n v="41.475097125000012"/>
    <n v="176.25"/>
    <n v="2587.7306471250004"/>
    <n v="55.058098875000006"/>
    <n v="460.09553377437328"/>
    <n v="306.73035584958217"/>
  </r>
  <r>
    <s v="24/05/2026"/>
    <s v="E"/>
    <s v="[1062] RAMGADH"/>
    <s v="[8405] RAMGADH"/>
    <x v="27"/>
    <x v="27"/>
    <x v="27"/>
    <s v="C"/>
    <n v="31"/>
    <n v="3.2"/>
    <n v="8.1"/>
    <n v="0.99199999999999999"/>
    <n v="2.5110000000000001"/>
    <n v="34.057069200000001"/>
    <n v="1055.7691451999999"/>
    <n v="396.01243255813955"/>
    <n v="264.00828837209303"/>
    <n v="18.475960041"/>
    <n v="116.25"/>
    <n v="1190.4951052409999"/>
    <n v="38.403067911000001"/>
    <n v="446.5473012906977"/>
    <n v="297.69820086046514"/>
  </r>
  <r>
    <s v="25/05/2026"/>
    <s v="M"/>
    <s v="[1062] RAMGADH"/>
    <s v="[8405] RAMGADH"/>
    <x v="27"/>
    <x v="27"/>
    <x v="27"/>
    <s v="B"/>
    <n v="38"/>
    <n v="7.3"/>
    <n v="8.8000000000000007"/>
    <n v="2.7739999999999996"/>
    <n v="3.3440000000000003"/>
    <n v="60.34545"/>
    <n v="2293.1271000000002"/>
    <n v="458.31987341772157"/>
    <n v="305.54658227848103"/>
    <n v="40.12972425000001"/>
    <n v="142.5"/>
    <n v="2475.7568242500001"/>
    <n v="65.15149537500001"/>
    <n v="494.8214838607596"/>
    <n v="329.88098924050638"/>
  </r>
  <r>
    <s v="25/05/2026"/>
    <s v="M"/>
    <s v="[1062] RAMGADH"/>
    <s v="[8405] RAMGADH"/>
    <x v="27"/>
    <x v="27"/>
    <x v="27"/>
    <s v="C"/>
    <n v="55"/>
    <n v="4"/>
    <n v="8.1"/>
    <n v="2.2000000000000002"/>
    <n v="4.4550000000000001"/>
    <n v="37.225069200000007"/>
    <n v="2047.3788060000004"/>
    <n v="396.01137446808519"/>
    <n v="264.00758297872346"/>
    <n v="35.829129105000007"/>
    <n v="206.25"/>
    <n v="2289.4579351050006"/>
    <n v="41.626507911000012"/>
    <n v="442.83519054255333"/>
    <n v="295.22346036170222"/>
  </r>
  <r>
    <s v="25/05/2026"/>
    <s v="E"/>
    <s v="[1062] RAMGADH"/>
    <s v="[8405] RAMGADH"/>
    <x v="27"/>
    <x v="27"/>
    <x v="27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25/05/2026"/>
    <s v="E"/>
    <s v="[1062] RAMGADH"/>
    <s v="[8405] RAMGADH"/>
    <x v="27"/>
    <x v="27"/>
    <x v="27"/>
    <s v="C"/>
    <n v="27"/>
    <n v="3.6"/>
    <n v="8.1999999999999993"/>
    <n v="0.97199999999999998"/>
    <n v="2.214"/>
    <n v="35.905082400000005"/>
    <n v="969.43722480000008"/>
    <n v="396.01193823529417"/>
    <n v="264.00795882352946"/>
    <n v="16.965151434000003"/>
    <n v="101.25"/>
    <n v="1087.652376234"/>
    <n v="40.283421342000004"/>
    <n v="444.30244127205884"/>
    <n v="296.20162751470588"/>
  </r>
  <r>
    <s v="26/05/2026"/>
    <s v="M"/>
    <s v="[1062] RAMGADH"/>
    <s v="[8405] RAMGADH"/>
    <x v="27"/>
    <x v="27"/>
    <x v="27"/>
    <s v="B"/>
    <n v="54"/>
    <n v="6.2"/>
    <n v="8.8000000000000007"/>
    <n v="3.3480000000000003"/>
    <n v="4.7520000000000007"/>
    <n v="51.252300000000005"/>
    <n v="2767.6242000000002"/>
    <n v="424.74281767955802"/>
    <n v="283.1618784530387"/>
    <n v="48.433423500000011"/>
    <n v="202.5"/>
    <n v="3018.5576235000003"/>
    <n v="55.899215250000005"/>
    <n v="463.25316505524864"/>
    <n v="308.83544337016576"/>
  </r>
  <r>
    <s v="26/05/2026"/>
    <s v="M"/>
    <s v="[1062] RAMGADH"/>
    <s v="[8405] RAMGADH"/>
    <x v="27"/>
    <x v="27"/>
    <x v="27"/>
    <s v="C"/>
    <n v="41"/>
    <n v="3.9"/>
    <n v="8.1999999999999993"/>
    <n v="1.599"/>
    <n v="3.3620000000000001"/>
    <n v="39.060139800000002"/>
    <n v="1601.4657318"/>
    <n v="417.01216868327407"/>
    <n v="278.00811245551603"/>
    <n v="28.025650306500001"/>
    <n v="153.75"/>
    <n v="1783.2413821064999"/>
    <n v="43.493692246499997"/>
    <n v="464.34546882384342"/>
    <n v="309.5636458825623"/>
  </r>
  <r>
    <s v="26/05/2026"/>
    <s v="E"/>
    <s v="[1062] RAMGADH"/>
    <s v="[8405] RAMGADH"/>
    <x v="27"/>
    <x v="27"/>
    <x v="27"/>
    <s v="B"/>
    <n v="48"/>
    <n v="7.1"/>
    <n v="9"/>
    <n v="3.4079999999999995"/>
    <n v="4.32"/>
    <n v="59.284999999999997"/>
    <n v="2845.68"/>
    <n v="452.55725190839689"/>
    <n v="301.70483460559791"/>
    <n v="49.799399999999999"/>
    <n v="180"/>
    <n v="3075.4793999999997"/>
    <n v="64.072487499999994"/>
    <n v="489.10295801526712"/>
    <n v="326.06863867684473"/>
  </r>
  <r>
    <s v="26/05/2026"/>
    <s v="E"/>
    <s v="[1062] RAMGADH"/>
    <s v="[8405] RAMGADH"/>
    <x v="27"/>
    <x v="27"/>
    <x v="27"/>
    <s v="C"/>
    <n v="28"/>
    <n v="5.3"/>
    <n v="8.5"/>
    <n v="1.484"/>
    <n v="2.38"/>
    <n v="45.732181500000003"/>
    <n v="1280.501082"/>
    <n v="417.01077355623107"/>
    <n v="278.00718237082071"/>
    <n v="22.408768935000001"/>
    <n v="105"/>
    <n v="1407.9098509349999"/>
    <n v="50.282494676249996"/>
    <n v="458.50299096884498"/>
    <n v="305.66866064589664"/>
  </r>
  <r>
    <s v="27/05/2026"/>
    <s v="M"/>
    <s v="[1062] RAMGADH"/>
    <s v="[8405] RAMGADH"/>
    <x v="27"/>
    <x v="27"/>
    <x v="27"/>
    <s v="B"/>
    <n v="15"/>
    <n v="7.9"/>
    <n v="9"/>
    <n v="1.1850000000000001"/>
    <n v="1.35"/>
    <n v="65.965000000000003"/>
    <n v="989.47500000000002"/>
    <n v="474.56834532374097"/>
    <n v="316.37889688249396"/>
    <n v="17.315812500000003"/>
    <n v="56.25"/>
    <n v="1063.0408125000001"/>
    <n v="70.869387500000002"/>
    <n v="509.85170863309349"/>
    <n v="339.901139088729"/>
  </r>
  <r>
    <s v="27/05/2026"/>
    <s v="E"/>
    <s v="[1062] RAMGADH"/>
    <s v="[8405] RAMGADH"/>
    <x v="27"/>
    <x v="27"/>
    <x v="27"/>
    <s v="B"/>
    <n v="47"/>
    <n v="6.6"/>
    <n v="9"/>
    <n v="3.1019999999999999"/>
    <n v="4.2300000000000004"/>
    <n v="55.11"/>
    <n v="2590.17"/>
    <n v="437.38095238095235"/>
    <n v="291.58730158730157"/>
    <n v="45.327975000000002"/>
    <n v="176.25"/>
    <n v="2811.7479750000002"/>
    <n v="59.824425000000005"/>
    <n v="474.79702380952386"/>
    <n v="316.53134920634926"/>
  </r>
  <r>
    <s v="27/05/2026"/>
    <s v="E"/>
    <s v="[1062] RAMGADH"/>
    <s v="[8405] RAMGADH"/>
    <x v="27"/>
    <x v="27"/>
    <x v="27"/>
    <s v="C"/>
    <n v="25"/>
    <n v="3.3"/>
    <n v="8.4"/>
    <n v="0.82499999999999996"/>
    <n v="2.1"/>
    <n v="37.114167600000009"/>
    <n v="927.85419000000024"/>
    <n v="417.01311910112372"/>
    <n v="278.00874606741581"/>
    <n v="16.237448325000006"/>
    <n v="93.75"/>
    <n v="1037.8416383250003"/>
    <n v="41.513665533000015"/>
    <n v="466.44568014606762"/>
    <n v="310.9637867640451"/>
  </r>
  <r>
    <s v="28/05/2026"/>
    <s v="M"/>
    <s v="[1062] RAMGADH"/>
    <s v="[8405] RAMGADH"/>
    <x v="27"/>
    <x v="27"/>
    <x v="27"/>
    <s v="B"/>
    <n v="57"/>
    <n v="6.5"/>
    <n v="9"/>
    <n v="3.7050000000000001"/>
    <n v="5.13"/>
    <n v="54.274999999999999"/>
    <n v="3093.6749999999997"/>
    <n v="434.2"/>
    <n v="289.46666666666664"/>
    <n v="54.139312500000003"/>
    <n v="213.75"/>
    <n v="3361.5643124999997"/>
    <n v="58.974812499999992"/>
    <n v="471.79849999999993"/>
    <n v="314.53233333333327"/>
  </r>
  <r>
    <s v="28/05/2026"/>
    <s v="M"/>
    <s v="[1062] RAMGADH"/>
    <s v="[8405] RAMGADH"/>
    <x v="27"/>
    <x v="27"/>
    <x v="27"/>
    <s v="C"/>
    <n v="35"/>
    <n v="4"/>
    <n v="8.1999999999999993"/>
    <n v="1.4"/>
    <n v="2.87"/>
    <n v="39.477139800000003"/>
    <n v="1381.6998930000002"/>
    <n v="417.0120401408451"/>
    <n v="278.00802676056338"/>
    <n v="24.179748127500005"/>
    <n v="131.25"/>
    <n v="1537.1296411275002"/>
    <n v="43.917989746500005"/>
    <n v="463.92242689964797"/>
    <n v="309.28161793309863"/>
  </r>
  <r>
    <s v="28/05/2026"/>
    <s v="E"/>
    <s v="[1062] RAMGADH"/>
    <s v="[8405] RAMGADH"/>
    <x v="27"/>
    <x v="27"/>
    <x v="27"/>
    <s v="B"/>
    <n v="50"/>
    <n v="6.1"/>
    <n v="8.8000000000000007"/>
    <n v="3.05"/>
    <n v="4.4000000000000004"/>
    <n v="50.425650000000005"/>
    <n v="2521.2825000000003"/>
    <n v="421.38426183844012"/>
    <n v="280.92284122562677"/>
    <n v="44.122443750000009"/>
    <n v="187.5"/>
    <n v="2752.9049437500003"/>
    <n v="55.058098875000006"/>
    <n v="460.09553377437328"/>
    <n v="306.73035584958217"/>
  </r>
  <r>
    <s v="28/05/2026"/>
    <s v="E"/>
    <s v="[1062] RAMGADH"/>
    <s v="[8405] RAMGADH"/>
    <x v="27"/>
    <x v="27"/>
    <x v="27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22/05/2026"/>
    <s v="M"/>
    <s v="[1062] RAMGADH"/>
    <s v="[8405] RAMGADH"/>
    <x v="28"/>
    <x v="28"/>
    <x v="28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22/05/2026"/>
    <s v="M"/>
    <s v="[1062] RAMGADH"/>
    <s v="[8405] RAMGADH"/>
    <x v="28"/>
    <x v="28"/>
    <x v="28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s v="22/05/2026"/>
    <s v="E"/>
    <s v="[1062] RAMGADH"/>
    <s v="[8405] RAMGADH"/>
    <x v="28"/>
    <x v="28"/>
    <x v="28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3/05/2026"/>
    <s v="M"/>
    <s v="[1062] RAMGADH"/>
    <s v="[8405] RAMGADH"/>
    <x v="28"/>
    <x v="28"/>
    <x v="28"/>
    <s v="B"/>
    <n v="25"/>
    <n v="6.7"/>
    <n v="8.6"/>
    <n v="1.675"/>
    <n v="2.15"/>
    <n v="54.826099999999997"/>
    <n v="1370.6524999999999"/>
    <n v="440.96058981233244"/>
    <n v="293.97372654155498"/>
    <n v="23.986418750000002"/>
    <n v="93.75"/>
    <n v="1488.3889187499999"/>
    <n v="59.535556749999998"/>
    <n v="478.83825804289546"/>
    <n v="319.22550536193029"/>
  </r>
  <r>
    <s v="23/05/2026"/>
    <s v="E"/>
    <s v="[1062] RAMGADH"/>
    <s v="[8405] RAMGADH"/>
    <x v="28"/>
    <x v="28"/>
    <x v="28"/>
    <s v="C"/>
    <n v="13"/>
    <n v="4.5"/>
    <n v="8"/>
    <n v="0.58499999999999996"/>
    <n v="1.04"/>
    <n v="38.941056000000003"/>
    <n v="506.23372800000004"/>
    <n v="396.01073898305089"/>
    <n v="264.00715932203394"/>
    <n v="8.8590902400000022"/>
    <n v="48.75"/>
    <n v="563.84281824000004"/>
    <n v="43.372524480000003"/>
    <n v="441.07652013559328"/>
    <n v="294.05101342372888"/>
  </r>
  <r>
    <s v="24/05/2026"/>
    <s v="M"/>
    <s v="[1062] RAMGADH"/>
    <s v="[8405] RAMGADH"/>
    <x v="28"/>
    <x v="28"/>
    <x v="28"/>
    <s v="C"/>
    <n v="101"/>
    <n v="3.3"/>
    <n v="8"/>
    <n v="3.3329999999999997"/>
    <n v="8.08"/>
    <n v="34.189056000000008"/>
    <n v="3453.0946560000007"/>
    <n v="396.01223166023169"/>
    <n v="264.00815444015444"/>
    <n v="60.429156480000017"/>
    <n v="378.75"/>
    <n v="3892.2738124800007"/>
    <n v="38.537364480000008"/>
    <n v="446.37873915057918"/>
    <n v="297.5858261003861"/>
  </r>
  <r>
    <s v="24/05/2026"/>
    <s v="E"/>
    <s v="[1062] RAMGADH"/>
    <s v="[8405] RAMGADH"/>
    <x v="28"/>
    <x v="28"/>
    <x v="28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5/05/2026"/>
    <s v="M"/>
    <s v="[1062] RAMGADH"/>
    <s v="[8405] RAMGADH"/>
    <x v="28"/>
    <x v="28"/>
    <x v="28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25/05/2026"/>
    <s v="M"/>
    <s v="[1062] RAMGADH"/>
    <s v="[8405] RAMGAD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25/05/2026"/>
    <s v="E"/>
    <s v="[1062] RAMGADH"/>
    <s v="[8405] RAMGADH"/>
    <x v="28"/>
    <x v="28"/>
    <x v="28"/>
    <s v="C"/>
    <n v="15"/>
    <n v="3.5"/>
    <n v="8.1"/>
    <n v="0.52500000000000002"/>
    <n v="1.2150000000000001"/>
    <n v="35.245069200000003"/>
    <n v="528.67603800000006"/>
    <n v="396.01201348314612"/>
    <n v="264.00800898876406"/>
    <n v="9.2518306650000017"/>
    <n v="56.25"/>
    <n v="594.17786866500001"/>
    <n v="39.611857911000001"/>
    <n v="445.0770551797753"/>
    <n v="296.71803678651685"/>
  </r>
  <r>
    <s v="26/05/2026"/>
    <s v="M"/>
    <s v="[1062] RAMGADH"/>
    <s v="[8405] RAMGADH"/>
    <x v="28"/>
    <x v="28"/>
    <x v="28"/>
    <s v="B"/>
    <n v="28"/>
    <n v="7"/>
    <n v="8.8000000000000007"/>
    <n v="1.96"/>
    <n v="2.4640000000000004"/>
    <n v="57.865500000000004"/>
    <n v="1620.2340000000002"/>
    <n v="449.73186528497411"/>
    <n v="299.82124352331607"/>
    <n v="28.354095000000004"/>
    <n v="105"/>
    <n v="1753.5880950000001"/>
    <n v="62.62814625"/>
    <n v="486.74725064766835"/>
    <n v="324.49816709844555"/>
  </r>
  <r>
    <s v="26/05/2026"/>
    <s v="M"/>
    <s v="[1062] RAMGADH"/>
    <s v="[8405] RAMGADH"/>
    <x v="28"/>
    <x v="28"/>
    <x v="28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6/05/2026"/>
    <s v="E"/>
    <s v="[1062] RAMGADH"/>
    <s v="[8405] RAMGADH"/>
    <x v="28"/>
    <x v="28"/>
    <x v="28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27/05/2026"/>
    <s v="M"/>
    <s v="[1062] RAMGADH"/>
    <s v="[8405] RAMGADH"/>
    <x v="28"/>
    <x v="28"/>
    <x v="28"/>
    <s v="B"/>
    <n v="32"/>
    <n v="7.2"/>
    <n v="9"/>
    <n v="2.3040000000000003"/>
    <n v="2.88"/>
    <n v="60.120000000000005"/>
    <n v="1923.8400000000001"/>
    <n v="455.4545454545455"/>
    <n v="303.63636363636368"/>
    <n v="33.667200000000008"/>
    <n v="120"/>
    <n v="2077.5072"/>
    <n v="64.9221"/>
    <n v="491.83409090909089"/>
    <n v="327.88939393939393"/>
  </r>
  <r>
    <s v="27/05/2026"/>
    <s v="M"/>
    <s v="[1062] RAMGADH"/>
    <s v="[8405] RAMGADH"/>
    <x v="28"/>
    <x v="28"/>
    <x v="28"/>
    <s v="C"/>
    <n v="26"/>
    <n v="3.5"/>
    <n v="8.1999999999999993"/>
    <n v="0.91"/>
    <n v="2.1319999999999997"/>
    <n v="37.392139800000002"/>
    <n v="972.19563480000011"/>
    <n v="417.01271152416359"/>
    <n v="278.00847434944239"/>
    <n v="17.013423609000004"/>
    <n v="97.5"/>
    <n v="1086.7090584090001"/>
    <n v="41.796502246500005"/>
    <n v="466.13199531412641"/>
    <n v="310.75466354275096"/>
  </r>
  <r>
    <s v="27/05/2026"/>
    <s v="E"/>
    <s v="[1062] RAMGADH"/>
    <s v="[8405] RAMGADH"/>
    <x v="28"/>
    <x v="28"/>
    <x v="28"/>
    <s v="C"/>
    <n v="8"/>
    <n v="3.2"/>
    <n v="8.1999999999999993"/>
    <n v="0.25600000000000001"/>
    <n v="0.65599999999999992"/>
    <n v="36.141139799999998"/>
    <n v="289.12911839999998"/>
    <n v="417.0131515384615"/>
    <n v="278.00876769230769"/>
    <n v="5.0597595719999999"/>
    <n v="30"/>
    <n v="324.188877972"/>
    <n v="40.5236097465"/>
    <n v="467.58011245961535"/>
    <n v="311.72007497307692"/>
  </r>
  <r>
    <s v="28/05/2026"/>
    <s v="M"/>
    <s v="[1062] RAMGADH"/>
    <s v="[8405] RAMGADH"/>
    <x v="28"/>
    <x v="28"/>
    <x v="28"/>
    <s v="B"/>
    <n v="23"/>
    <n v="7.1"/>
    <n v="8.8000000000000007"/>
    <n v="1.6329999999999998"/>
    <n v="2.024"/>
    <n v="58.692149999999998"/>
    <n v="1349.9194499999999"/>
    <n v="452.63868894601546"/>
    <n v="301.75912596401031"/>
    <n v="23.623590374999999"/>
    <n v="86.25"/>
    <n v="1459.7930403749999"/>
    <n v="63.469262624999999"/>
    <n v="489.48017448586126"/>
    <n v="326.32011632390748"/>
  </r>
  <r>
    <s v="28/05/2026"/>
    <s v="M"/>
    <s v="[1062] RAMGADH"/>
    <s v="[8405] RAMGADH"/>
    <x v="28"/>
    <x v="28"/>
    <x v="28"/>
    <s v="C"/>
    <n v="13"/>
    <n v="4.3"/>
    <n v="8.1"/>
    <n v="0.55899999999999994"/>
    <n v="1.0529999999999999"/>
    <n v="40.450125900000003"/>
    <n v="525.85163670000009"/>
    <n v="417.01160721649489"/>
    <n v="278.00773814432995"/>
    <n v="9.2024036422500028"/>
    <n v="48.75"/>
    <n v="583.80404034225012"/>
    <n v="44.90800310325001"/>
    <n v="462.96910415721658"/>
    <n v="308.64606943814437"/>
  </r>
  <r>
    <s v="28/05/2026"/>
    <s v="E"/>
    <s v="[1062] RAMGADH"/>
    <s v="[8405] RAMGADH"/>
    <x v="28"/>
    <x v="28"/>
    <x v="28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22/05/2026"/>
    <s v="M"/>
    <s v="[1062] RAMGADH"/>
    <s v="[8405] RAMGADH"/>
    <x v="29"/>
    <x v="29"/>
    <x v="29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22/05/2026"/>
    <s v="M"/>
    <s v="[1062] RAMGADH"/>
    <s v="[8405] RAMGADH"/>
    <x v="29"/>
    <x v="29"/>
    <x v="29"/>
    <s v="C"/>
    <n v="21"/>
    <n v="4.7"/>
    <n v="8.4"/>
    <n v="0.98699999999999999"/>
    <n v="1.764"/>
    <n v="40.789108800000008"/>
    <n v="856.57128480000017"/>
    <n v="396.01076504854376"/>
    <n v="264.00717669902917"/>
    <n v="14.989997484000005"/>
    <n v="78.75"/>
    <n v="950.31128228400019"/>
    <n v="45.252918204000011"/>
    <n v="439.34872042718456"/>
    <n v="292.89914695145637"/>
  </r>
  <r>
    <s v="22/05/2026"/>
    <s v="E"/>
    <s v="[1062] RAMGADH"/>
    <s v="[8405] RAMGADH"/>
    <x v="29"/>
    <x v="29"/>
    <x v="29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22/05/2026"/>
    <s v="E"/>
    <s v="[1062] RAMGADH"/>
    <s v="[8405] RAMGADH"/>
    <x v="29"/>
    <x v="29"/>
    <x v="29"/>
    <s v="C"/>
    <n v="24"/>
    <n v="3.7"/>
    <n v="8.1999999999999993"/>
    <n v="0.88800000000000012"/>
    <n v="1.9679999999999997"/>
    <n v="36.301082400000006"/>
    <n v="871.22597760000008"/>
    <n v="396.01180800000003"/>
    <n v="264.00787200000002"/>
    <n v="15.246454608000002"/>
    <n v="90"/>
    <n v="976.4724322080001"/>
    <n v="40.686351342000002"/>
    <n v="443.8511055490909"/>
    <n v="295.90073703272725"/>
  </r>
  <r>
    <s v="23/05/2026"/>
    <s v="M"/>
    <s v="[1062] RAMGADH"/>
    <s v="[8405] RAMGADH"/>
    <x v="29"/>
    <x v="29"/>
    <x v="29"/>
    <s v="B"/>
    <n v="10"/>
    <n v="7"/>
    <n v="8.6"/>
    <n v="0.7"/>
    <n v="0.86"/>
    <n v="57.280999999999999"/>
    <n v="572.80999999999995"/>
    <n v="449.85078534031413"/>
    <n v="299.90052356020942"/>
    <n v="10.024175"/>
    <n v="37.5"/>
    <n v="620.33417499999996"/>
    <n v="62.033417499999999"/>
    <n v="487.17343586387437"/>
    <n v="324.78229057591625"/>
  </r>
  <r>
    <s v="23/05/2026"/>
    <s v="M"/>
    <s v="[1062] RAMGADH"/>
    <s v="[8405] RAMGADH"/>
    <x v="29"/>
    <x v="29"/>
    <x v="29"/>
    <s v="C"/>
    <n v="25"/>
    <n v="4.7"/>
    <n v="8.1999999999999993"/>
    <n v="1.175"/>
    <n v="2.0499999999999998"/>
    <n v="40.261082399999999"/>
    <n v="1006.52706"/>
    <n v="396.01064655737707"/>
    <n v="264.00709770491807"/>
    <n v="17.614223550000002"/>
    <n v="93.75"/>
    <n v="1117.89128355"/>
    <n v="44.715651342000001"/>
    <n v="439.82607877377058"/>
    <n v="293.2173858491804"/>
  </r>
  <r>
    <s v="23/05/2026"/>
    <s v="E"/>
    <s v="[1062] RAMGADH"/>
    <s v="[8405] RAMGADH"/>
    <x v="29"/>
    <x v="29"/>
    <x v="29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23/05/2026"/>
    <s v="E"/>
    <s v="[1062] RAMGADH"/>
    <s v="[8405] RAMGADH"/>
    <x v="29"/>
    <x v="29"/>
    <x v="29"/>
    <s v="C"/>
    <n v="20"/>
    <n v="3.8"/>
    <n v="8.1"/>
    <n v="0.76"/>
    <n v="1.62"/>
    <n v="36.433069200000006"/>
    <n v="728.66138400000011"/>
    <n v="396.01162173913048"/>
    <n v="264.00774782608698"/>
    <n v="12.751574220000004"/>
    <n v="75"/>
    <n v="816.41295822000006"/>
    <n v="40.820647911000002"/>
    <n v="443.70269468478261"/>
    <n v="295.80179645652174"/>
  </r>
  <r>
    <s v="24/05/2026"/>
    <s v="M"/>
    <s v="[1062] RAMGADH"/>
    <s v="[8405] RAMGADH"/>
    <x v="29"/>
    <x v="29"/>
    <x v="29"/>
    <s v="B"/>
    <n v="7"/>
    <n v="6.7"/>
    <n v="8.8000000000000007"/>
    <n v="0.46899999999999997"/>
    <n v="0.6160000000000001"/>
    <n v="55.385550000000002"/>
    <n v="387.69884999999999"/>
    <n v="440.73381962864721"/>
    <n v="293.82254641909816"/>
    <n v="6.7847298750000009"/>
    <n v="26.25"/>
    <n v="420.73357987499998"/>
    <n v="60.104797124999997"/>
    <n v="478.2875102785145"/>
    <n v="318.85834018567635"/>
  </r>
  <r>
    <s v="24/05/2026"/>
    <s v="M"/>
    <s v="[1062] RAMGADH"/>
    <s v="[8405] RAMGADH"/>
    <x v="29"/>
    <x v="29"/>
    <x v="29"/>
    <s v="C"/>
    <n v="11"/>
    <n v="3.9"/>
    <n v="8.1"/>
    <n v="0.42899999999999999"/>
    <n v="0.8909999999999999"/>
    <n v="36.829069200000006"/>
    <n v="405.11976120000008"/>
    <n v="396.01149677419363"/>
    <n v="264.00766451612907"/>
    <n v="7.0895958210000023"/>
    <n v="41.25"/>
    <n v="453.45935702100007"/>
    <n v="41.223577911000007"/>
    <n v="443.2642786129033"/>
    <n v="295.50951907526888"/>
  </r>
  <r>
    <s v="24/05/2026"/>
    <s v="E"/>
    <s v="[1062] RAMGADH"/>
    <s v="[8405] RAMGADH"/>
    <x v="29"/>
    <x v="29"/>
    <x v="29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4/05/2026"/>
    <s v="E"/>
    <s v="[1062] RAMGADH"/>
    <s v="[8405] RAMGADH"/>
    <x v="29"/>
    <x v="29"/>
    <x v="29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25/05/2026"/>
    <s v="M"/>
    <s v="[1062] RAMGADH"/>
    <s v="[8405] RAMGADH"/>
    <x v="29"/>
    <x v="29"/>
    <x v="29"/>
    <s v="B"/>
    <n v="14"/>
    <n v="6.6"/>
    <n v="8.6"/>
    <n v="0.92399999999999993"/>
    <n v="1.204"/>
    <n v="54.007799999999996"/>
    <n v="756.10919999999999"/>
    <n v="437.90108108108109"/>
    <n v="291.93405405405406"/>
    <n v="13.231911"/>
    <n v="52.5"/>
    <n v="821.84111099999996"/>
    <n v="58.7029365"/>
    <n v="475.96975540540546"/>
    <n v="317.31317027027029"/>
  </r>
  <r>
    <s v="25/05/2026"/>
    <s v="M"/>
    <s v="[1062] RAMGADH"/>
    <s v="[8405] RAMGADH"/>
    <x v="29"/>
    <x v="29"/>
    <x v="29"/>
    <s v="C"/>
    <n v="20"/>
    <n v="4.5999999999999996"/>
    <n v="8.1999999999999993"/>
    <n v="0.92"/>
    <n v="1.64"/>
    <n v="39.865082400000006"/>
    <n v="797.30164800000011"/>
    <n v="396.01075231788087"/>
    <n v="264.0071682119206"/>
    <n v="13.952778840000004"/>
    <n v="75"/>
    <n v="886.25442684000018"/>
    <n v="44.31272134200001"/>
    <n v="440.19259611258292"/>
    <n v="293.46173074172196"/>
  </r>
  <r>
    <s v="25/05/2026"/>
    <s v="E"/>
    <s v="[1062] RAMGADH"/>
    <s v="[8405] RAMGADH"/>
    <x v="29"/>
    <x v="29"/>
    <x v="29"/>
    <s v="B"/>
    <n v="7"/>
    <n v="7.5"/>
    <n v="8.8000000000000007"/>
    <n v="0.52500000000000002"/>
    <n v="0.6160000000000001"/>
    <n v="61.998750000000001"/>
    <n v="433.99125000000004"/>
    <n v="463.83104738154617"/>
    <n v="309.22069825436409"/>
    <n v="7.5948468750000018"/>
    <n v="26.25"/>
    <n v="467.83609687500007"/>
    <n v="66.833728125000007"/>
    <n v="500.00295355361607"/>
    <n v="333.3353023690774"/>
  </r>
  <r>
    <s v="25/05/2026"/>
    <s v="E"/>
    <s v="[1062] RAMGADH"/>
    <s v="[8405] RAMGADH"/>
    <x v="29"/>
    <x v="29"/>
    <x v="29"/>
    <s v="C"/>
    <n v="27"/>
    <n v="4.2"/>
    <n v="8.1999999999999993"/>
    <n v="1.1340000000000001"/>
    <n v="2.214"/>
    <n v="38.281082400000003"/>
    <n v="1033.5892248"/>
    <n v="396.01119724137936"/>
    <n v="264.00746482758626"/>
    <n v="18.087811434000002"/>
    <n v="101.25"/>
    <n v="1152.9270362340001"/>
    <n v="42.701001342000005"/>
    <n v="441.73449664137939"/>
    <n v="294.48966442758626"/>
  </r>
  <r>
    <s v="26/05/2026"/>
    <s v="M"/>
    <s v="[1062] RAMGADH"/>
    <s v="[8405] RAMGADH"/>
    <x v="29"/>
    <x v="29"/>
    <x v="29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26/05/2026"/>
    <s v="M"/>
    <s v="[1062] RAMGADH"/>
    <s v="[8405] RAMGADH"/>
    <x v="29"/>
    <x v="29"/>
    <x v="29"/>
    <s v="C"/>
    <n v="21"/>
    <n v="4.5"/>
    <n v="8.3000000000000007"/>
    <n v="0.94499999999999995"/>
    <n v="1.7430000000000001"/>
    <n v="41.840153700000002"/>
    <n v="878.64322770000001"/>
    <n v="417.01149867109638"/>
    <n v="278.00766578073092"/>
    <n v="15.376256484750002"/>
    <n v="78.75"/>
    <n v="972.76948418475001"/>
    <n v="46.322356389749999"/>
    <n v="461.68461518023258"/>
    <n v="307.78974345348837"/>
  </r>
  <r>
    <s v="26/05/2026"/>
    <s v="E"/>
    <s v="[1062] RAMGADH"/>
    <s v="[8405] RAMGADH"/>
    <x v="29"/>
    <x v="29"/>
    <x v="29"/>
    <s v="B"/>
    <n v="4"/>
    <n v="7"/>
    <n v="9"/>
    <n v="0.28000000000000003"/>
    <n v="0.36"/>
    <n v="58.45"/>
    <n v="233.8"/>
    <n v="449.61538461538464"/>
    <n v="299.74358974358978"/>
    <n v="4.0915000000000008"/>
    <n v="15"/>
    <n v="252.89150000000001"/>
    <n v="63.222875000000002"/>
    <n v="486.32980769230767"/>
    <n v="324.21987179487178"/>
  </r>
  <r>
    <s v="26/05/2026"/>
    <s v="E"/>
    <s v="[1062] RAMGADH"/>
    <s v="[8405] RAMGADH"/>
    <x v="29"/>
    <x v="29"/>
    <x v="29"/>
    <s v="C"/>
    <n v="25"/>
    <n v="4.2"/>
    <n v="8.5"/>
    <n v="1.05"/>
    <n v="2.125"/>
    <n v="41.145181500000007"/>
    <n v="1028.6295375000002"/>
    <n v="417.01197466216217"/>
    <n v="278.00798310810814"/>
    <n v="18.001016906250005"/>
    <n v="93.75"/>
    <n v="1140.3805544062502"/>
    <n v="45.615222176250008"/>
    <n v="462.31644097550679"/>
    <n v="308.21096065033788"/>
  </r>
  <r>
    <s v="27/05/2026"/>
    <s v="M"/>
    <s v="[1062] RAMGADH"/>
    <s v="[8405] RAMGADH"/>
    <x v="29"/>
    <x v="29"/>
    <x v="29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27/05/2026"/>
    <s v="M"/>
    <s v="[1062] RAMGADH"/>
    <s v="[8405] RAMGADH"/>
    <x v="29"/>
    <x v="29"/>
    <x v="29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27/05/2026"/>
    <s v="E"/>
    <s v="[1062] RAMGADH"/>
    <s v="[8405] RAMGADH"/>
    <x v="29"/>
    <x v="29"/>
    <x v="29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27/05/2026"/>
    <s v="E"/>
    <s v="[1062] RAMGADH"/>
    <s v="[8405] RAMGADH"/>
    <x v="29"/>
    <x v="29"/>
    <x v="29"/>
    <s v="C"/>
    <n v="17"/>
    <n v="3.4"/>
    <n v="8.5"/>
    <n v="0.57799999999999996"/>
    <n v="1.4450000000000001"/>
    <n v="37.809181500000008"/>
    <n v="642.75608550000015"/>
    <n v="417.01303125000004"/>
    <n v="278.00868750000001"/>
    <n v="11.248231496250003"/>
    <n v="63.75"/>
    <n v="717.75431699625017"/>
    <n v="42.220842176250009"/>
    <n v="465.67105341452213"/>
    <n v="310.44736894301474"/>
  </r>
  <r>
    <s v="28/05/2026"/>
    <s v="M"/>
    <s v="[1062] RAMGADH"/>
    <s v="[8405] RAMGADH"/>
    <x v="29"/>
    <x v="29"/>
    <x v="29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28/05/2026"/>
    <s v="M"/>
    <s v="[1062] RAMGADH"/>
    <s v="[8405] RAMGADH"/>
    <x v="29"/>
    <x v="29"/>
    <x v="29"/>
    <s v="C"/>
    <n v="22"/>
    <n v="4.4000000000000004"/>
    <n v="8.5"/>
    <n v="0.96800000000000008"/>
    <n v="1.87"/>
    <n v="41.97918150000001"/>
    <n v="923.54199300000028"/>
    <n v="417.01173675496693"/>
    <n v="278.00782450331127"/>
    <n v="16.161984877500007"/>
    <n v="82.5"/>
    <n v="1022.2039778775003"/>
    <n v="46.463817176250011"/>
    <n v="461.56109777731791"/>
    <n v="307.70739851821196"/>
  </r>
  <r>
    <s v="28/05/2026"/>
    <s v="E"/>
    <s v="[1062] RAMGADH"/>
    <s v="[8405] RAMGADH"/>
    <x v="29"/>
    <x v="29"/>
    <x v="29"/>
    <s v="B"/>
    <n v="3"/>
    <n v="7.5"/>
    <n v="8.8000000000000007"/>
    <n v="0.22500000000000001"/>
    <n v="0.26400000000000001"/>
    <n v="61.998750000000001"/>
    <n v="185.99625"/>
    <n v="463.83104738154617"/>
    <n v="309.22069825436409"/>
    <n v="3.2549343750000004"/>
    <n v="11.25"/>
    <n v="200.50118437500001"/>
    <n v="66.833728125000007"/>
    <n v="500.00295355361607"/>
    <n v="333.3353023690774"/>
  </r>
  <r>
    <s v="28/05/2026"/>
    <s v="E"/>
    <s v="[1062] RAMGADH"/>
    <s v="[8405] RAMGADH"/>
    <x v="29"/>
    <x v="29"/>
    <x v="29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22/05/2026"/>
    <s v="M"/>
    <s v="[1062] RAMGADH"/>
    <s v="[8407] HEAD LOAD"/>
    <x v="30"/>
    <x v="30"/>
    <x v="30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2/05/2026"/>
    <s v="E"/>
    <s v="[1062] RAMGADH"/>
    <s v="[8407] HEAD LOAD"/>
    <x v="30"/>
    <x v="30"/>
    <x v="30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3/05/2026"/>
    <s v="M"/>
    <s v="[1062] RAMGADH"/>
    <s v="[8407] HEAD LOAD"/>
    <x v="30"/>
    <x v="30"/>
    <x v="30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3/05/2026"/>
    <s v="E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4/05/2026"/>
    <s v="M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4/05/2026"/>
    <s v="M"/>
    <s v="[1062] RAMGADH"/>
    <s v="[8407] HEAD LOAD"/>
    <x v="30"/>
    <x v="30"/>
    <x v="30"/>
    <s v="C"/>
    <n v="200"/>
    <n v="4"/>
    <n v="8.1"/>
    <n v="8"/>
    <n v="16.2"/>
    <n v="37.225069200000007"/>
    <n v="7445.0138400000014"/>
    <n v="396.01137446808519"/>
    <n v="264.00758297872346"/>
    <n v="130.28774220000003"/>
    <n v="750"/>
    <n v="8325.3015822000016"/>
    <n v="41.626507911000004"/>
    <n v="442.83519054255322"/>
    <n v="295.22346036170217"/>
  </r>
  <r>
    <s v="24/05/2026"/>
    <s v="E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5/05/2026"/>
    <s v="M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5/05/2026"/>
    <s v="E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6/05/2026"/>
    <s v="M"/>
    <s v="[1062] RAMGADH"/>
    <s v="[8407] HEAD LOAD"/>
    <x v="30"/>
    <x v="30"/>
    <x v="30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6/05/2026"/>
    <s v="E"/>
    <s v="[1062] RAMGADH"/>
    <s v="[8407] HEAD LOAD"/>
    <x v="30"/>
    <x v="30"/>
    <x v="30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7/05/2026"/>
    <s v="M"/>
    <s v="[1062] RAMGADH"/>
    <s v="[8407] HEAD LOAD"/>
    <x v="30"/>
    <x v="30"/>
    <x v="30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7/05/2026"/>
    <s v="E"/>
    <s v="[1062] RAMGADH"/>
    <s v="[8407] HEAD LOAD"/>
    <x v="30"/>
    <x v="30"/>
    <x v="30"/>
    <s v="B"/>
    <n v="61"/>
    <n v="7"/>
    <n v="9"/>
    <n v="4.2699999999999996"/>
    <n v="5.49"/>
    <n v="58.45"/>
    <n v="3565.4500000000003"/>
    <n v="449.61538461538464"/>
    <n v="299.74358974358978"/>
    <n v="62.395375000000008"/>
    <n v="228.75"/>
    <n v="3856.5953750000003"/>
    <n v="63.222875000000002"/>
    <n v="486.32980769230767"/>
    <n v="324.21987179487178"/>
  </r>
  <r>
    <s v="28/05/2026"/>
    <s v="M"/>
    <s v="[1062] RAMGADH"/>
    <s v="[8407] HEAD LOAD"/>
    <x v="30"/>
    <x v="30"/>
    <x v="30"/>
    <s v="B"/>
    <n v="42"/>
    <n v="6.9"/>
    <n v="9"/>
    <n v="2.8980000000000001"/>
    <n v="3.78"/>
    <n v="57.615000000000002"/>
    <n v="2419.83"/>
    <n v="446.62790697674421"/>
    <n v="297.75193798449612"/>
    <n v="42.347025000000002"/>
    <n v="157.5"/>
    <n v="2619.677025"/>
    <n v="62.373262499999996"/>
    <n v="483.51366279069765"/>
    <n v="322.3424418604651"/>
  </r>
  <r>
    <s v="28/05/2026"/>
    <s v="E"/>
    <s v="[1062] RAMGADH"/>
    <s v="[8407] HEAD LOAD"/>
    <x v="30"/>
    <x v="30"/>
    <x v="30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2/05/2026"/>
    <s v="M"/>
    <s v="[1062] RAMGADH"/>
    <s v="[8405] RAMGADH"/>
    <x v="31"/>
    <x v="31"/>
    <x v="31"/>
    <s v="C"/>
    <n v="18"/>
    <n v="4.5999999999999996"/>
    <n v="8.1"/>
    <n v="0.82799999999999996"/>
    <n v="1.4579999999999997"/>
    <n v="39.601069200000005"/>
    <n v="712.81924560000004"/>
    <n v="396.01069200000001"/>
    <n v="264.00712800000002"/>
    <n v="12.474336798000001"/>
    <n v="67.5"/>
    <n v="792.79358239800001"/>
    <n v="44.044087910999998"/>
    <n v="440.44087910999997"/>
    <n v="293.62725273999996"/>
  </r>
  <r>
    <s v="22/05/2026"/>
    <s v="E"/>
    <s v="[1062] RAMGADH"/>
    <s v="[8405] RAMGADH"/>
    <x v="31"/>
    <x v="31"/>
    <x v="31"/>
    <s v="C"/>
    <n v="17"/>
    <n v="4.3"/>
    <n v="8.1"/>
    <n v="0.73099999999999998"/>
    <n v="1.3769999999999998"/>
    <n v="38.413069200000002"/>
    <n v="653.02217640000003"/>
    <n v="396.0110226804124"/>
    <n v="264.00734845360824"/>
    <n v="11.427888087000001"/>
    <n v="63.75"/>
    <n v="728.20006448700008"/>
    <n v="42.835297911000005"/>
    <n v="441.6010093917526"/>
    <n v="294.40067292783505"/>
  </r>
  <r>
    <s v="23/05/2026"/>
    <s v="M"/>
    <s v="[1062] RAMGADH"/>
    <s v="[8405] RAMGADH"/>
    <x v="31"/>
    <x v="31"/>
    <x v="31"/>
    <s v="C"/>
    <n v="18"/>
    <n v="4.5999999999999996"/>
    <n v="8.1"/>
    <n v="0.82799999999999996"/>
    <n v="1.4579999999999997"/>
    <n v="39.601069200000005"/>
    <n v="712.81924560000004"/>
    <n v="396.01069200000001"/>
    <n v="264.00712800000002"/>
    <n v="12.474336798000001"/>
    <n v="67.5"/>
    <n v="792.79358239800001"/>
    <n v="44.044087910999998"/>
    <n v="440.44087910999997"/>
    <n v="293.62725273999996"/>
  </r>
  <r>
    <s v="23/05/2026"/>
    <s v="E"/>
    <s v="[1062] RAMGADH"/>
    <s v="[8405] RAMGADH"/>
    <x v="31"/>
    <x v="31"/>
    <x v="31"/>
    <s v="C"/>
    <n v="16"/>
    <n v="4.2"/>
    <n v="8"/>
    <n v="0.67200000000000004"/>
    <n v="1.28"/>
    <n v="37.753056000000001"/>
    <n v="604.04889600000001"/>
    <n v="396.01107692307693"/>
    <n v="264.00738461538464"/>
    <n v="10.570855680000001"/>
    <n v="60"/>
    <n v="674.61975168000004"/>
    <n v="42.163734480000002"/>
    <n v="442.27693510489507"/>
    <n v="294.85129006993003"/>
  </r>
  <r>
    <s v="24/05/2026"/>
    <s v="M"/>
    <s v="[1062] RAMGADH"/>
    <s v="[8405] RAMGADH"/>
    <x v="31"/>
    <x v="31"/>
    <x v="31"/>
    <s v="C"/>
    <n v="17"/>
    <n v="4.7"/>
    <n v="8.1"/>
    <n v="0.79900000000000004"/>
    <n v="1.3769999999999998"/>
    <n v="39.997069199999999"/>
    <n v="679.95017639999992"/>
    <n v="396.0105861386138"/>
    <n v="264.00705742574252"/>
    <n v="11.899128086999999"/>
    <n v="63.75"/>
    <n v="755.59930448699993"/>
    <n v="44.447017910999996"/>
    <n v="440.06948426732669"/>
    <n v="293.37965617821777"/>
  </r>
  <r>
    <s v="24/05/2026"/>
    <s v="E"/>
    <s v="[1062] RAMGADH"/>
    <s v="[8405] RAMGADH"/>
    <x v="31"/>
    <x v="31"/>
    <x v="31"/>
    <s v="C"/>
    <n v="19"/>
    <n v="3.8"/>
    <n v="8"/>
    <n v="0.72199999999999998"/>
    <n v="1.52"/>
    <n v="36.169056000000005"/>
    <n v="687.21206400000005"/>
    <n v="396.01156204379566"/>
    <n v="264.00770802919709"/>
    <n v="12.026211120000003"/>
    <n v="71.25"/>
    <n v="770.48827512000003"/>
    <n v="40.552014480000004"/>
    <n v="444.000158540146"/>
    <n v="296.00010569343067"/>
  </r>
  <r>
    <s v="25/05/2026"/>
    <s v="M"/>
    <s v="[1062] RAMGADH"/>
    <s v="[8405] RAMGADH"/>
    <x v="31"/>
    <x v="31"/>
    <x v="31"/>
    <s v="C"/>
    <n v="19"/>
    <n v="4.7"/>
    <n v="8.1"/>
    <n v="0.89300000000000002"/>
    <n v="1.5390000000000001"/>
    <n v="39.997069199999999"/>
    <n v="759.94431480000003"/>
    <n v="396.0105861386138"/>
    <n v="264.00705742574252"/>
    <n v="13.299025509000002"/>
    <n v="71.25"/>
    <n v="844.49334030900002"/>
    <n v="44.447017911000003"/>
    <n v="440.06948426732674"/>
    <n v="293.37965617821783"/>
  </r>
  <r>
    <s v="26/05/2026"/>
    <s v="M"/>
    <s v="[1062] RAMGADH"/>
    <s v="[8405] RAMGADH"/>
    <x v="31"/>
    <x v="31"/>
    <x v="31"/>
    <s v="C"/>
    <n v="17"/>
    <n v="4.7"/>
    <n v="8.3000000000000007"/>
    <n v="0.79900000000000004"/>
    <n v="1.4110000000000003"/>
    <n v="42.674153700000005"/>
    <n v="725.46061290000011"/>
    <n v="417.01127394136813"/>
    <n v="278.00751596091209"/>
    <n v="12.695560725750003"/>
    <n v="63.75"/>
    <n v="801.90617362575017"/>
    <n v="47.170951389750009"/>
    <n v="460.95392237540727"/>
    <n v="307.30261491693818"/>
  </r>
  <r>
    <s v="26/05/2026"/>
    <s v="E"/>
    <s v="[1062] RAMGADH"/>
    <s v="[8405] RAMGADH"/>
    <x v="31"/>
    <x v="31"/>
    <x v="31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27/05/2026"/>
    <s v="M"/>
    <s v="[1062] RAMGADH"/>
    <s v="[8405] RAMGADH"/>
    <x v="31"/>
    <x v="31"/>
    <x v="31"/>
    <s v="C"/>
    <n v="20"/>
    <n v="4.8"/>
    <n v="8.5"/>
    <n v="0.96"/>
    <n v="1.7"/>
    <n v="43.647181500000002"/>
    <n v="872.94362999999998"/>
    <n v="417.0112882165605"/>
    <n v="278.00752547770702"/>
    <n v="15.276513525"/>
    <n v="75"/>
    <n v="963.22014352500003"/>
    <n v="48.161007176250003"/>
    <n v="460.13701123805731"/>
    <n v="306.75800749203819"/>
  </r>
  <r>
    <s v="27/05/2026"/>
    <s v="E"/>
    <s v="[1062] RAMGADH"/>
    <s v="[8405] RAMGADH"/>
    <x v="31"/>
    <x v="31"/>
    <x v="31"/>
    <s v="C"/>
    <n v="19"/>
    <n v="4.0999999999999996"/>
    <n v="8.5"/>
    <n v="0.77899999999999991"/>
    <n v="1.615"/>
    <n v="40.728181500000005"/>
    <n v="773.8354485000001"/>
    <n v="417.01209726962463"/>
    <n v="278.0080648464164"/>
    <n v="13.542120348750004"/>
    <n v="71.25"/>
    <n v="858.62756884875012"/>
    <n v="45.190924676250006"/>
    <n v="462.70571340870316"/>
    <n v="308.47047560580211"/>
  </r>
  <r>
    <s v="28/05/2026"/>
    <s v="M"/>
    <s v="[1062] RAMGADH"/>
    <s v="[8405] RAMGADH"/>
    <x v="31"/>
    <x v="31"/>
    <x v="31"/>
    <s v="C"/>
    <n v="12"/>
    <n v="5.2"/>
    <n v="8.4"/>
    <n v="0.62400000000000011"/>
    <n v="1.008"/>
    <n v="45.037167600000004"/>
    <n v="540.44601120000004"/>
    <n v="417.01081111111108"/>
    <n v="278.00720740740741"/>
    <n v="9.4578051960000025"/>
    <n v="45"/>
    <n v="594.90381639600002"/>
    <n v="49.575318033000002"/>
    <n v="459.03072252777775"/>
    <n v="306.02048168518519"/>
  </r>
  <r>
    <s v="28/05/2026"/>
    <s v="E"/>
    <s v="[1062] RAMGADH"/>
    <s v="[8405] RAMGADH"/>
    <x v="31"/>
    <x v="31"/>
    <x v="31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22/05/2026"/>
    <s v="E"/>
    <s v="[1062] RAMGADH"/>
    <s v="[8405] RAMGADH"/>
    <x v="32"/>
    <x v="32"/>
    <x v="32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23/05/2026"/>
    <s v="M"/>
    <s v="[1062] RAMGADH"/>
    <s v="[8405] RAMGADH"/>
    <x v="32"/>
    <x v="32"/>
    <x v="32"/>
    <s v="C"/>
    <n v="62"/>
    <n v="3.7"/>
    <n v="8"/>
    <n v="2.294"/>
    <n v="4.96"/>
    <n v="35.773056000000004"/>
    <n v="2217.9294720000003"/>
    <n v="396.01169003690035"/>
    <n v="264.00779335793356"/>
    <n v="38.81376576000001"/>
    <n v="232.5"/>
    <n v="2489.2432377600003"/>
    <n v="40.149084480000006"/>
    <n v="444.45480974169743"/>
    <n v="296.30320649446497"/>
  </r>
  <r>
    <s v="23/05/2026"/>
    <s v="E"/>
    <s v="[1062] RAMGADH"/>
    <s v="[8405] RAMGADH"/>
    <x v="32"/>
    <x v="32"/>
    <x v="32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24/05/2026"/>
    <s v="E"/>
    <s v="[1062] RAMGADH"/>
    <s v="[8405] RAMGADH"/>
    <x v="32"/>
    <x v="32"/>
    <x v="32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25/05/2026"/>
    <s v="E"/>
    <s v="[1062] RAMGADH"/>
    <s v="[8405] RAMGADH"/>
    <x v="32"/>
    <x v="32"/>
    <x v="32"/>
    <s v="C"/>
    <n v="45"/>
    <n v="3.5"/>
    <n v="8.1999999999999993"/>
    <n v="1.575"/>
    <n v="3.6899999999999995"/>
    <n v="35.509082400000004"/>
    <n v="1597.9087080000002"/>
    <n v="396.0120713754647"/>
    <n v="264.00804758364313"/>
    <n v="27.963402390000006"/>
    <n v="168.75"/>
    <n v="1794.6221103900002"/>
    <n v="39.880491342000006"/>
    <n v="444.76384396282532"/>
    <n v="296.50922930855023"/>
  </r>
  <r>
    <s v="26/05/2026"/>
    <s v="M"/>
    <s v="[1062] RAMGADH"/>
    <s v="[8405] RAMGADH"/>
    <x v="32"/>
    <x v="32"/>
    <x v="32"/>
    <s v="C"/>
    <n v="32"/>
    <n v="3.3"/>
    <n v="8.1999999999999993"/>
    <n v="1.056"/>
    <n v="2.6239999999999997"/>
    <n v="36.558139799999999"/>
    <n v="1169.8604736"/>
    <n v="417.0130015209125"/>
    <n v="278.00866768060831"/>
    <n v="20.472558288000002"/>
    <n v="120"/>
    <n v="1310.3330318880001"/>
    <n v="40.947907246500002"/>
    <n v="467.08639444676805"/>
    <n v="311.39092963117872"/>
  </r>
  <r>
    <s v="26/05/2026"/>
    <s v="E"/>
    <s v="[1062] RAMGADH"/>
    <s v="[8405] RAMGADH"/>
    <x v="32"/>
    <x v="32"/>
    <x v="32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7/05/2026"/>
    <s v="M"/>
    <s v="[1062] RAMGADH"/>
    <s v="[8405] RAMGADH"/>
    <x v="32"/>
    <x v="32"/>
    <x v="32"/>
    <s v="C"/>
    <n v="70"/>
    <n v="3.3"/>
    <n v="8.1999999999999993"/>
    <n v="2.31"/>
    <n v="5.74"/>
    <n v="36.558139799999999"/>
    <n v="2559.069786"/>
    <n v="417.0130015209125"/>
    <n v="278.00866768060831"/>
    <n v="44.783721255000003"/>
    <n v="262.5"/>
    <n v="2866.3535072549998"/>
    <n v="40.947907246499994"/>
    <n v="467.086394446768"/>
    <n v="311.39092963117866"/>
  </r>
  <r>
    <s v="27/05/2026"/>
    <s v="E"/>
    <s v="[1062] RAMGADH"/>
    <s v="[8405] RAMGADH"/>
    <x v="32"/>
    <x v="32"/>
    <x v="32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28/05/2026"/>
    <s v="E"/>
    <s v="[1062] RAMGADH"/>
    <s v="[8405] RAMGADH"/>
    <x v="32"/>
    <x v="32"/>
    <x v="32"/>
    <s v="C"/>
    <n v="48"/>
    <n v="3.2"/>
    <n v="8"/>
    <n v="1.5360000000000003"/>
    <n v="3.84"/>
    <n v="35.585112000000002"/>
    <n v="1708.085376"/>
    <n v="417.01303124999998"/>
    <n v="278.00868750000001"/>
    <n v="29.891494080000001"/>
    <n v="180"/>
    <n v="1917.97687008"/>
    <n v="39.957851460000001"/>
    <n v="468.25607179687495"/>
    <n v="312.17071453124998"/>
  </r>
  <r>
    <s v="22/05/2026"/>
    <s v="M"/>
    <s v="[1062] RAMGADH"/>
    <s v="[8401] DURGAWATI"/>
    <x v="33"/>
    <x v="33"/>
    <x v="33"/>
    <s v="B"/>
    <n v="34"/>
    <n v="8.4"/>
    <n v="9"/>
    <n v="2.8560000000000003"/>
    <n v="3.06"/>
    <n v="70.14"/>
    <n v="2384.7600000000002"/>
    <n v="487.08333333333326"/>
    <n v="324.72222222222217"/>
    <n v="41.733300000000007"/>
    <n v="127.5"/>
    <n v="2553.9933000000001"/>
    <n v="75.117450000000005"/>
    <n v="521.64895833333333"/>
    <n v="347.76597222222222"/>
  </r>
  <r>
    <s v="22/05/2026"/>
    <s v="E"/>
    <s v="[1062] RAMGADH"/>
    <s v="[8401] DURGAWATI"/>
    <x v="33"/>
    <x v="33"/>
    <x v="33"/>
    <s v="B"/>
    <n v="28"/>
    <n v="8.1999999999999993"/>
    <n v="9"/>
    <n v="2.2959999999999998"/>
    <n v="2.52"/>
    <n v="68.469999999999985"/>
    <n v="1917.1599999999996"/>
    <n v="482.18309859154925"/>
    <n v="321.45539906103284"/>
    <n v="33.5503"/>
    <n v="105"/>
    <n v="2055.7102999999997"/>
    <n v="73.418224999999993"/>
    <n v="517.02975352112674"/>
    <n v="344.68650234741784"/>
  </r>
  <r>
    <s v="22/05/2026"/>
    <s v="E"/>
    <s v="[1062] RAMGADH"/>
    <s v="[8401] DURGAWATI"/>
    <x v="33"/>
    <x v="33"/>
    <x v="33"/>
    <s v="C"/>
    <n v="41"/>
    <n v="4"/>
    <n v="8.1999999999999993"/>
    <n v="1.64"/>
    <n v="3.3620000000000001"/>
    <n v="37.489082400000001"/>
    <n v="1537.0523784"/>
    <n v="396.01143380281695"/>
    <n v="264.00762253521128"/>
    <n v="26.898416622000003"/>
    <n v="153.75"/>
    <n v="1717.700795022"/>
    <n v="41.895141342000002"/>
    <n v="442.55430995070429"/>
    <n v="295.03620663380286"/>
  </r>
  <r>
    <s v="23/05/2026"/>
    <s v="M"/>
    <s v="[1062] RAMGADH"/>
    <s v="[8401] DURGAWATI"/>
    <x v="33"/>
    <x v="33"/>
    <x v="33"/>
    <s v="B"/>
    <n v="34"/>
    <n v="8.1999999999999993"/>
    <n v="9"/>
    <n v="2.7879999999999994"/>
    <n v="3.06"/>
    <n v="68.469999999999985"/>
    <n v="2327.9799999999996"/>
    <n v="482.18309859154925"/>
    <n v="321.45539906103284"/>
    <n v="40.739649999999997"/>
    <n v="127.5"/>
    <n v="2496.2196499999995"/>
    <n v="73.418224999999993"/>
    <n v="517.02975352112674"/>
    <n v="344.68650234741784"/>
  </r>
  <r>
    <s v="23/05/2026"/>
    <s v="E"/>
    <s v="[1062] RAMGADH"/>
    <s v="[8401] DURGAWATI"/>
    <x v="33"/>
    <x v="33"/>
    <x v="33"/>
    <s v="B"/>
    <n v="34"/>
    <n v="7.8"/>
    <n v="9"/>
    <n v="2.6519999999999997"/>
    <n v="3.06"/>
    <n v="65.13"/>
    <n v="2214.42"/>
    <n v="471.95652173913038"/>
    <n v="314.63768115942025"/>
    <n v="38.752350000000007"/>
    <n v="127.5"/>
    <n v="2380.6723500000003"/>
    <n v="70.01977500000001"/>
    <n v="507.38967391304351"/>
    <n v="338.25978260869567"/>
  </r>
  <r>
    <s v="23/05/2026"/>
    <s v="E"/>
    <s v="[1062] RAMGADH"/>
    <s v="[8401] DURGAWATI"/>
    <x v="33"/>
    <x v="33"/>
    <x v="33"/>
    <s v="C"/>
    <n v="9"/>
    <n v="4.0999999999999996"/>
    <n v="8.1999999999999993"/>
    <n v="0.36899999999999999"/>
    <n v="0.73799999999999999"/>
    <n v="37.885082400000002"/>
    <n v="340.9657416"/>
    <n v="396.01131428571438"/>
    <n v="264.00754285714294"/>
    <n v="5.9669004780000003"/>
    <n v="33.75"/>
    <n v="380.68264207800001"/>
    <n v="42.298071342"/>
    <n v="442.14011855749135"/>
    <n v="294.76007903832755"/>
  </r>
  <r>
    <s v="24/05/2026"/>
    <s v="M"/>
    <s v="[1062] RAMGADH"/>
    <s v="[8401] DURGAWATI"/>
    <x v="33"/>
    <x v="33"/>
    <x v="33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24/05/2026"/>
    <s v="E"/>
    <s v="[1062] RAMGADH"/>
    <s v="[8401] DURGAWATI"/>
    <x v="33"/>
    <x v="33"/>
    <x v="33"/>
    <s v="B"/>
    <n v="27"/>
    <n v="8.3000000000000007"/>
    <n v="9"/>
    <n v="2.2410000000000001"/>
    <n v="2.4300000000000002"/>
    <n v="69.305000000000007"/>
    <n v="1871.2350000000001"/>
    <n v="484.65034965034965"/>
    <n v="323.10023310023308"/>
    <n v="32.746612500000005"/>
    <n v="101.25"/>
    <n v="2005.2316125000002"/>
    <n v="74.267837500000013"/>
    <n v="519.355506993007"/>
    <n v="346.23700466200467"/>
  </r>
  <r>
    <s v="24/05/2026"/>
    <s v="E"/>
    <s v="[1062] RAMGADH"/>
    <s v="[8401] DURGAWATI"/>
    <x v="33"/>
    <x v="33"/>
    <x v="33"/>
    <s v="C"/>
    <n v="36"/>
    <n v="3.9"/>
    <n v="8.1999999999999993"/>
    <n v="1.4040000000000001"/>
    <n v="2.952"/>
    <n v="37.0930824"/>
    <n v="1335.3509664000001"/>
    <n v="396.01155587188612"/>
    <n v="264.00770391459076"/>
    <n v="23.368641912000005"/>
    <n v="135"/>
    <n v="1493.719608312"/>
    <n v="41.492211341999997"/>
    <n v="442.97734528825623"/>
    <n v="295.3182301921708"/>
  </r>
  <r>
    <s v="25/05/2026"/>
    <s v="M"/>
    <s v="[1062] RAMGADH"/>
    <s v="[8401] DURGAWATI"/>
    <x v="33"/>
    <x v="33"/>
    <x v="33"/>
    <s v="B"/>
    <n v="27"/>
    <n v="8.1"/>
    <n v="9"/>
    <n v="2.1869999999999998"/>
    <n v="2.4300000000000002"/>
    <n v="67.635000000000005"/>
    <n v="1826.1450000000002"/>
    <n v="479.68085106382978"/>
    <n v="319.78723404255317"/>
    <n v="31.957537500000008"/>
    <n v="101.25"/>
    <n v="1959.3525375000002"/>
    <n v="72.5686125"/>
    <n v="514.67101063829784"/>
    <n v="343.11400709219856"/>
  </r>
  <r>
    <s v="25/05/2026"/>
    <s v="E"/>
    <s v="[1062] RAMGADH"/>
    <s v="[8401] DURGAWATI"/>
    <x v="33"/>
    <x v="33"/>
    <x v="33"/>
    <s v="B"/>
    <n v="34"/>
    <n v="8"/>
    <n v="9"/>
    <n v="2.72"/>
    <n v="3.06"/>
    <n v="66.8"/>
    <n v="2271.1999999999998"/>
    <n v="477.14285714285705"/>
    <n v="318.09523809523802"/>
    <n v="39.746000000000002"/>
    <n v="127.5"/>
    <n v="2438.4459999999999"/>
    <n v="71.718999999999994"/>
    <n v="512.27857142857135"/>
    <n v="341.51904761904757"/>
  </r>
  <r>
    <s v="25/05/2026"/>
    <s v="E"/>
    <s v="[1062] RAMGADH"/>
    <s v="[8401] DURGAWATI"/>
    <x v="33"/>
    <x v="33"/>
    <x v="33"/>
    <s v="C"/>
    <n v="32"/>
    <n v="4"/>
    <n v="8.1999999999999993"/>
    <n v="1.28"/>
    <n v="2.6239999999999997"/>
    <n v="37.489082400000001"/>
    <n v="1199.6506368"/>
    <n v="396.01143380281695"/>
    <n v="264.00762253521128"/>
    <n v="20.993886144000001"/>
    <n v="120"/>
    <n v="1340.6445229440001"/>
    <n v="41.895141342000002"/>
    <n v="442.55430995070429"/>
    <n v="295.03620663380286"/>
  </r>
  <r>
    <s v="26/05/2026"/>
    <s v="M"/>
    <s v="[1062] RAMGADH"/>
    <s v="[8401] DURGAWATI"/>
    <x v="33"/>
    <x v="33"/>
    <x v="33"/>
    <s v="B"/>
    <n v="41"/>
    <n v="7.8"/>
    <n v="9"/>
    <n v="3.198"/>
    <n v="3.69"/>
    <n v="65.13"/>
    <n v="2670.33"/>
    <n v="471.95652173913038"/>
    <n v="314.63768115942025"/>
    <n v="46.730775000000001"/>
    <n v="153.75"/>
    <n v="2870.8107749999999"/>
    <n v="70.019774999999996"/>
    <n v="507.3896739130434"/>
    <n v="338.25978260869562"/>
  </r>
  <r>
    <s v="26/05/2026"/>
    <s v="E"/>
    <s v="[1062] RAMGADH"/>
    <s v="[8401] DURGAWATI"/>
    <x v="33"/>
    <x v="33"/>
    <x v="33"/>
    <s v="B"/>
    <n v="22"/>
    <n v="8.4"/>
    <n v="9"/>
    <n v="1.8480000000000001"/>
    <n v="1.98"/>
    <n v="70.14"/>
    <n v="1543.08"/>
    <n v="487.08333333333326"/>
    <n v="324.72222222222217"/>
    <n v="27.003900000000002"/>
    <n v="82.5"/>
    <n v="1652.5838999999999"/>
    <n v="75.117449999999991"/>
    <n v="521.64895833333321"/>
    <n v="347.76597222222216"/>
  </r>
  <r>
    <s v="26/05/2026"/>
    <s v="E"/>
    <s v="[1062] RAMGADH"/>
    <s v="[8401] DURGAWATI"/>
    <x v="33"/>
    <x v="33"/>
    <x v="33"/>
    <s v="C"/>
    <n v="41"/>
    <n v="4.5999999999999996"/>
    <n v="8.5"/>
    <n v="1.8859999999999999"/>
    <n v="3.4849999999999999"/>
    <n v="42.813181499999999"/>
    <n v="1755.3404415"/>
    <n v="417.01150811688308"/>
    <n v="278.00767207792205"/>
    <n v="30.718457726250001"/>
    <n v="153.75"/>
    <n v="1939.8088992262501"/>
    <n v="47.31241217625"/>
    <n v="460.83518353490257"/>
    <n v="307.22345568993507"/>
  </r>
  <r>
    <s v="27/05/2026"/>
    <s v="M"/>
    <s v="[1062] RAMGADH"/>
    <s v="[8401] DURGAWATI"/>
    <x v="33"/>
    <x v="33"/>
    <x v="33"/>
    <s v="B"/>
    <n v="36"/>
    <n v="8.1999999999999993"/>
    <n v="9"/>
    <n v="2.952"/>
    <n v="3.24"/>
    <n v="68.469999999999985"/>
    <n v="2464.9199999999996"/>
    <n v="482.18309859154925"/>
    <n v="321.45539906103284"/>
    <n v="43.136099999999999"/>
    <n v="135"/>
    <n v="2643.0560999999998"/>
    <n v="73.418224999999993"/>
    <n v="517.02975352112674"/>
    <n v="344.68650234741784"/>
  </r>
  <r>
    <s v="27/05/2026"/>
    <s v="E"/>
    <s v="[1062] RAMGADH"/>
    <s v="[8401] DURGAWATI"/>
    <x v="33"/>
    <x v="33"/>
    <x v="33"/>
    <s v="B"/>
    <n v="29"/>
    <n v="8.6"/>
    <n v="9"/>
    <n v="2.4939999999999998"/>
    <n v="2.61"/>
    <n v="71.809999999999988"/>
    <n v="2082.4899999999998"/>
    <n v="491.84931506849313"/>
    <n v="327.89954337899542"/>
    <n v="36.443575000000003"/>
    <n v="108.75"/>
    <n v="2227.683575"/>
    <n v="76.816675000000004"/>
    <n v="526.1416095890412"/>
    <n v="350.7610730593608"/>
  </r>
  <r>
    <s v="27/05/2026"/>
    <s v="E"/>
    <s v="[1062] RAMGADH"/>
    <s v="[8401] DURGAWATI"/>
    <x v="33"/>
    <x v="33"/>
    <x v="33"/>
    <s v="C"/>
    <n v="27"/>
    <n v="4.4000000000000004"/>
    <n v="8.5"/>
    <n v="1.1880000000000002"/>
    <n v="2.2949999999999999"/>
    <n v="41.97918150000001"/>
    <n v="1133.4379005000003"/>
    <n v="417.01173675496693"/>
    <n v="278.00782450331127"/>
    <n v="19.835163258750008"/>
    <n v="101.25"/>
    <n v="1254.5230637587504"/>
    <n v="46.463817176250011"/>
    <n v="461.56109777731791"/>
    <n v="307.70739851821196"/>
  </r>
  <r>
    <s v="28/05/2026"/>
    <s v="M"/>
    <s v="[1062] RAMGADH"/>
    <s v="[8401] DURGAWATI"/>
    <x v="33"/>
    <x v="33"/>
    <x v="33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28/05/2026"/>
    <s v="E"/>
    <s v="[1062] RAMGADH"/>
    <s v="[8401] DURGAWATI"/>
    <x v="33"/>
    <x v="33"/>
    <x v="33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28/05/2026"/>
    <s v="E"/>
    <s v="[1062] RAMGADH"/>
    <s v="[8401] DURGAWATI"/>
    <x v="33"/>
    <x v="33"/>
    <x v="33"/>
    <s v="C"/>
    <n v="41"/>
    <n v="4"/>
    <n v="8.1999999999999993"/>
    <n v="1.64"/>
    <n v="3.3620000000000001"/>
    <n v="39.477139800000003"/>
    <n v="1618.5627318000002"/>
    <n v="417.0120401408451"/>
    <n v="278.00802676056338"/>
    <n v="28.324847806500006"/>
    <n v="153.75"/>
    <n v="1800.6375796065001"/>
    <n v="43.917989746500005"/>
    <n v="463.92242689964797"/>
    <n v="309.28161793309863"/>
  </r>
  <r>
    <s v="22/05/2026"/>
    <s v="M"/>
    <s v="[1062] RAMGADH"/>
    <s v="[8403] MOHANIA"/>
    <x v="34"/>
    <x v="34"/>
    <x v="34"/>
    <s v="B"/>
    <n v="59"/>
    <n v="6.2"/>
    <n v="9"/>
    <n v="3.6579999999999999"/>
    <n v="5.31"/>
    <n v="51.77"/>
    <n v="3054.4300000000003"/>
    <n v="424.34426229508199"/>
    <n v="282.89617486338801"/>
    <n v="53.452525000000009"/>
    <n v="221.25"/>
    <n v="3329.1325250000004"/>
    <n v="56.425975000000008"/>
    <n v="462.50799180327874"/>
    <n v="308.33866120218585"/>
  </r>
  <r>
    <s v="22/05/2026"/>
    <s v="M"/>
    <s v="[1062] RAMGADH"/>
    <s v="[8403] MOHANIA"/>
    <x v="34"/>
    <x v="34"/>
    <x v="34"/>
    <s v="C"/>
    <n v="66"/>
    <n v="3.8"/>
    <n v="8.1999999999999993"/>
    <n v="2.508"/>
    <n v="5.411999999999999"/>
    <n v="36.697082399999999"/>
    <n v="2422.0074384"/>
    <n v="396.01168057553957"/>
    <n v="264.0077870503597"/>
    <n v="42.385130172000004"/>
    <n v="247.5"/>
    <n v="2711.8925685720001"/>
    <n v="41.089281342"/>
    <n v="443.40951088489209"/>
    <n v="295.60634058992804"/>
  </r>
  <r>
    <s v="22/05/2026"/>
    <s v="E"/>
    <s v="[1062] RAMGADH"/>
    <s v="[8403] MOHANIA"/>
    <x v="34"/>
    <x v="34"/>
    <x v="34"/>
    <s v="B"/>
    <n v="58"/>
    <n v="6.5"/>
    <n v="9"/>
    <n v="3.77"/>
    <n v="5.22"/>
    <n v="54.274999999999999"/>
    <n v="3147.95"/>
    <n v="434.2"/>
    <n v="289.46666666666664"/>
    <n v="55.089125000000003"/>
    <n v="217.5"/>
    <n v="3420.5391249999998"/>
    <n v="58.974812499999999"/>
    <n v="471.79849999999999"/>
    <n v="314.53233333333333"/>
  </r>
  <r>
    <s v="22/05/2026"/>
    <s v="E"/>
    <s v="[1062] RAMGADH"/>
    <s v="[8403] MOHANIA"/>
    <x v="34"/>
    <x v="34"/>
    <x v="34"/>
    <s v="C"/>
    <n v="30"/>
    <n v="3.3"/>
    <n v="8"/>
    <n v="0.99"/>
    <n v="2.4"/>
    <n v="34.189056000000008"/>
    <n v="1025.6716800000002"/>
    <n v="396.01223166023169"/>
    <n v="264.00815444015444"/>
    <n v="17.949254400000004"/>
    <n v="112.5"/>
    <n v="1156.1209344000001"/>
    <n v="38.537364480000001"/>
    <n v="446.37873915057912"/>
    <n v="297.5858261003861"/>
  </r>
  <r>
    <s v="23/05/2026"/>
    <s v="M"/>
    <s v="[1062] RAMGADH"/>
    <s v="[8403] MOHANIA"/>
    <x v="34"/>
    <x v="34"/>
    <x v="34"/>
    <s v="B"/>
    <n v="69"/>
    <n v="6.3"/>
    <n v="8.8000000000000007"/>
    <n v="4.3469999999999995"/>
    <n v="6.0720000000000001"/>
    <n v="52.078949999999999"/>
    <n v="3593.4475499999999"/>
    <n v="428.04616438356163"/>
    <n v="285.36410958904111"/>
    <n v="62.885332125000005"/>
    <n v="258.75"/>
    <n v="3915.0828821249997"/>
    <n v="56.740331624999996"/>
    <n v="466.35889006849311"/>
    <n v="310.90592671232872"/>
  </r>
  <r>
    <s v="23/05/2026"/>
    <s v="M"/>
    <s v="[1062] RAMGADH"/>
    <s v="[8403] MOHANIA"/>
    <x v="34"/>
    <x v="34"/>
    <x v="34"/>
    <s v="C"/>
    <n v="62"/>
    <n v="3.5"/>
    <n v="8.1999999999999993"/>
    <n v="2.17"/>
    <n v="5.0839999999999996"/>
    <n v="35.509082400000004"/>
    <n v="2201.5631088000005"/>
    <n v="396.0120713754647"/>
    <n v="264.00804758364313"/>
    <n v="38.527354404000015"/>
    <n v="232.5"/>
    <n v="2472.5904632040006"/>
    <n v="39.880491342000006"/>
    <n v="444.76384396282532"/>
    <n v="296.50922930855023"/>
  </r>
  <r>
    <s v="23/05/2026"/>
    <s v="E"/>
    <s v="[1062] RAMGADH"/>
    <s v="[8403] MOHANIA"/>
    <x v="34"/>
    <x v="34"/>
    <x v="34"/>
    <s v="B"/>
    <n v="30"/>
    <n v="6.1"/>
    <n v="9"/>
    <n v="1.83"/>
    <n v="2.7"/>
    <n v="50.935000000000002"/>
    <n v="1528.0500000000002"/>
    <n v="420.95041322314052"/>
    <n v="280.63360881542701"/>
    <n v="26.740875000000006"/>
    <n v="112.5"/>
    <n v="1667.2908750000001"/>
    <n v="55.576362500000002"/>
    <n v="459.30878099173555"/>
    <n v="306.20585399449038"/>
  </r>
  <r>
    <s v="24/05/2026"/>
    <s v="M"/>
    <s v="[1062] RAMGADH"/>
    <s v="[8403] MOHANIA"/>
    <x v="34"/>
    <x v="34"/>
    <x v="34"/>
    <s v="B"/>
    <n v="8"/>
    <n v="6.9"/>
    <n v="9"/>
    <n v="0.55200000000000005"/>
    <n v="0.72"/>
    <n v="57.615000000000002"/>
    <n v="460.92"/>
    <n v="446.62790697674421"/>
    <n v="297.75193798449612"/>
    <n v="8.0661000000000005"/>
    <n v="30"/>
    <n v="498.98610000000002"/>
    <n v="62.373262500000003"/>
    <n v="483.51366279069771"/>
    <n v="322.34244186046516"/>
  </r>
  <r>
    <s v="24/05/2026"/>
    <s v="E"/>
    <s v="[1062] RAMGADH"/>
    <s v="[8403] MOHANIA"/>
    <x v="34"/>
    <x v="34"/>
    <x v="34"/>
    <s v="B"/>
    <n v="41"/>
    <n v="6.1"/>
    <n v="9"/>
    <n v="2.5009999999999999"/>
    <n v="3.69"/>
    <n v="50.935000000000002"/>
    <n v="2088.335"/>
    <n v="420.95041322314052"/>
    <n v="280.63360881542701"/>
    <n v="36.545862500000005"/>
    <n v="153.75"/>
    <n v="2278.6308625000001"/>
    <n v="55.576362500000002"/>
    <n v="459.30878099173555"/>
    <n v="306.20585399449038"/>
  </r>
  <r>
    <s v="25/05/2026"/>
    <s v="M"/>
    <s v="[1062] RAMGADH"/>
    <s v="[8403] MOHANIA"/>
    <x v="34"/>
    <x v="34"/>
    <x v="34"/>
    <s v="B"/>
    <n v="68"/>
    <n v="6"/>
    <n v="8.8000000000000007"/>
    <n v="4.08"/>
    <n v="5.9840000000000009"/>
    <n v="49.599000000000004"/>
    <n v="3372.7320000000004"/>
    <n v="417.96910112359552"/>
    <n v="278.64606741573033"/>
    <n v="59.022810000000014"/>
    <n v="255"/>
    <n v="3686.7548100000004"/>
    <n v="54.216982500000007"/>
    <n v="456.8846839887641"/>
    <n v="304.58978932584273"/>
  </r>
  <r>
    <s v="25/05/2026"/>
    <s v="M"/>
    <s v="[1062] RAMGADH"/>
    <s v="[8403] MOHANIA"/>
    <x v="34"/>
    <x v="34"/>
    <x v="34"/>
    <s v="C"/>
    <n v="38"/>
    <n v="3.6"/>
    <n v="8"/>
    <n v="1.3680000000000001"/>
    <n v="3.04"/>
    <n v="35.377056000000003"/>
    <n v="1344.3281280000001"/>
    <n v="396.01182089552236"/>
    <n v="264.00788059701489"/>
    <n v="23.525742240000003"/>
    <n v="142.5"/>
    <n v="1510.3538702400001"/>
    <n v="39.746154480000001"/>
    <n v="444.91963970149249"/>
    <n v="296.61309313432832"/>
  </r>
  <r>
    <s v="25/05/2026"/>
    <s v="E"/>
    <s v="[1062] RAMGADH"/>
    <s v="[8403] MOHANIA"/>
    <x v="34"/>
    <x v="34"/>
    <x v="34"/>
    <s v="B"/>
    <n v="68"/>
    <n v="6.1"/>
    <n v="9"/>
    <n v="4.1479999999999997"/>
    <n v="6.12"/>
    <n v="50.935000000000002"/>
    <n v="3463.58"/>
    <n v="420.95041322314052"/>
    <n v="280.63360881542701"/>
    <n v="60.612650000000002"/>
    <n v="255"/>
    <n v="3779.19265"/>
    <n v="55.576362500000002"/>
    <n v="459.30878099173555"/>
    <n v="306.20585399449038"/>
  </r>
  <r>
    <s v="25/05/2026"/>
    <s v="E"/>
    <s v="[1062] RAMGADH"/>
    <s v="[8403] MOHANIA"/>
    <x v="34"/>
    <x v="34"/>
    <x v="34"/>
    <s v="C"/>
    <n v="33"/>
    <n v="3.2"/>
    <n v="8.1999999999999993"/>
    <n v="1.056"/>
    <n v="2.7059999999999995"/>
    <n v="34.321082400000002"/>
    <n v="1132.5957192000001"/>
    <n v="396.01248923076923"/>
    <n v="264.00832615384616"/>
    <n v="19.820425086000004"/>
    <n v="123.75"/>
    <n v="1276.166144286"/>
    <n v="38.671701341999999"/>
    <n v="446.21193856153843"/>
    <n v="297.47462570769227"/>
  </r>
  <r>
    <s v="26/05/2026"/>
    <s v="M"/>
    <s v="[1062] RAMGADH"/>
    <s v="[8403] MOHANIA"/>
    <x v="34"/>
    <x v="34"/>
    <x v="34"/>
    <s v="B"/>
    <n v="63"/>
    <n v="6"/>
    <n v="9"/>
    <n v="3.78"/>
    <n v="5.67"/>
    <n v="50.1"/>
    <n v="3156.3"/>
    <n v="417.5"/>
    <n v="278.33333333333331"/>
    <n v="55.235250000000008"/>
    <n v="236.25"/>
    <n v="3447.7852500000004"/>
    <n v="54.726750000000003"/>
    <n v="456.05625000000003"/>
    <n v="304.03750000000002"/>
  </r>
  <r>
    <s v="26/05/2026"/>
    <s v="M"/>
    <s v="[1062] RAMGADH"/>
    <s v="[8403] MOHANIA"/>
    <x v="34"/>
    <x v="34"/>
    <x v="34"/>
    <s v="C"/>
    <n v="62"/>
    <n v="3.6"/>
    <n v="8.1999999999999993"/>
    <n v="2.2320000000000002"/>
    <n v="5.0839999999999996"/>
    <n v="37.809139800000004"/>
    <n v="2344.1666676000004"/>
    <n v="417.01257132352941"/>
    <n v="278.00838088235292"/>
    <n v="41.022916683000012"/>
    <n v="232.5"/>
    <n v="2617.6895842830004"/>
    <n v="42.220799746500006"/>
    <n v="465.67058543933825"/>
    <n v="310.44705695955884"/>
  </r>
  <r>
    <s v="26/05/2026"/>
    <s v="E"/>
    <s v="[1062] RAMGADH"/>
    <s v="[8403] MOHANIA"/>
    <x v="34"/>
    <x v="34"/>
    <x v="34"/>
    <s v="B"/>
    <n v="63"/>
    <n v="5.6"/>
    <n v="9"/>
    <n v="3.5279999999999996"/>
    <n v="5.67"/>
    <n v="46.76"/>
    <n v="2945.8799999999997"/>
    <n v="403.10344827586209"/>
    <n v="268.73563218390808"/>
    <n v="51.552900000000001"/>
    <n v="236.25"/>
    <n v="3233.6828999999998"/>
    <n v="51.328299999999999"/>
    <n v="442.48534482758623"/>
    <n v="294.99022988505749"/>
  </r>
  <r>
    <s v="26/05/2026"/>
    <s v="E"/>
    <s v="[1062] RAMGADH"/>
    <s v="[8403] MOHANIA"/>
    <x v="34"/>
    <x v="34"/>
    <x v="34"/>
    <s v="C"/>
    <n v="73"/>
    <n v="3.2"/>
    <n v="8.1999999999999993"/>
    <n v="2.3360000000000003"/>
    <n v="5.9859999999999989"/>
    <n v="36.141139799999998"/>
    <n v="2638.3032054"/>
    <n v="417.0131515384615"/>
    <n v="278.00876769230769"/>
    <n v="46.170306094500006"/>
    <n v="273.75"/>
    <n v="2958.2235114945001"/>
    <n v="40.5236097465"/>
    <n v="467.58011245961535"/>
    <n v="311.72007497307692"/>
  </r>
  <r>
    <s v="27/05/2026"/>
    <s v="M"/>
    <s v="[1062] RAMGADH"/>
    <s v="[8403] MOHANIA"/>
    <x v="34"/>
    <x v="34"/>
    <x v="34"/>
    <s v="B"/>
    <n v="55"/>
    <n v="6"/>
    <n v="9"/>
    <n v="3.3"/>
    <n v="4.95"/>
    <n v="50.1"/>
    <n v="2755.5"/>
    <n v="417.5"/>
    <n v="278.33333333333331"/>
    <n v="48.221250000000005"/>
    <n v="206.25"/>
    <n v="3009.9712500000001"/>
    <n v="54.726750000000003"/>
    <n v="456.05625000000003"/>
    <n v="304.03750000000002"/>
  </r>
  <r>
    <s v="27/05/2026"/>
    <s v="M"/>
    <s v="[1062] RAMGADH"/>
    <s v="[8403] MOHANIA"/>
    <x v="34"/>
    <x v="34"/>
    <x v="34"/>
    <s v="C"/>
    <n v="63"/>
    <n v="3.3"/>
    <n v="8.4"/>
    <n v="2.0789999999999997"/>
    <n v="5.2920000000000007"/>
    <n v="37.114167600000009"/>
    <n v="2338.1925588000004"/>
    <n v="417.01311910112372"/>
    <n v="278.00874606741581"/>
    <n v="40.91836977900001"/>
    <n v="236.25"/>
    <n v="2615.3609285790003"/>
    <n v="41.513665533000008"/>
    <n v="466.4456801460675"/>
    <n v="310.96378676404498"/>
  </r>
  <r>
    <s v="27/05/2026"/>
    <s v="E"/>
    <s v="[1062] RAMGADH"/>
    <s v="[8403] MOHANIA"/>
    <x v="34"/>
    <x v="34"/>
    <x v="34"/>
    <s v="B"/>
    <n v="66"/>
    <n v="5.6"/>
    <n v="9"/>
    <n v="3.6959999999999997"/>
    <n v="5.94"/>
    <n v="46.76"/>
    <n v="3086.16"/>
    <n v="403.10344827586209"/>
    <n v="268.73563218390808"/>
    <n v="54.007800000000003"/>
    <n v="247.5"/>
    <n v="3387.6677999999997"/>
    <n v="51.328299999999999"/>
    <n v="442.48534482758623"/>
    <n v="294.99022988505749"/>
  </r>
  <r>
    <s v="27/05/2026"/>
    <s v="E"/>
    <s v="[1062] RAMGADH"/>
    <s v="[8403] MOHANIA"/>
    <x v="34"/>
    <x v="34"/>
    <x v="34"/>
    <s v="C"/>
    <n v="36"/>
    <n v="3.3"/>
    <n v="8.3000000000000007"/>
    <n v="1.1879999999999999"/>
    <n v="2.988"/>
    <n v="36.836153700000004"/>
    <n v="1326.1015332000002"/>
    <n v="417.01306075471695"/>
    <n v="278.00870716981132"/>
    <n v="23.206776831000006"/>
    <n v="135"/>
    <n v="1484.3083100310002"/>
    <n v="41.230786389750008"/>
    <n v="466.76361950660379"/>
    <n v="311.17574633773586"/>
  </r>
  <r>
    <s v="28/05/2026"/>
    <s v="M"/>
    <s v="[1062] RAMGADH"/>
    <s v="[8403] MOHANIA"/>
    <x v="34"/>
    <x v="34"/>
    <x v="34"/>
    <s v="C"/>
    <n v="72"/>
    <n v="3.8"/>
    <n v="8.3000000000000007"/>
    <n v="2.7359999999999998"/>
    <n v="5.976"/>
    <n v="38.921153700000005"/>
    <n v="2802.3230664000002"/>
    <n v="417.01236107142859"/>
    <n v="278.00824071428571"/>
    <n v="49.040653662000011"/>
    <n v="270"/>
    <n v="3121.3637200620001"/>
    <n v="43.352273889750002"/>
    <n v="464.48864881874999"/>
    <n v="309.6590992125"/>
  </r>
  <r>
    <s v="28/05/2026"/>
    <s v="E"/>
    <s v="[1062] RAMGADH"/>
    <s v="[8403] MOHANIA"/>
    <x v="34"/>
    <x v="34"/>
    <x v="34"/>
    <s v="B"/>
    <n v="52"/>
    <n v="6"/>
    <n v="9"/>
    <n v="3.12"/>
    <n v="4.68"/>
    <n v="50.1"/>
    <n v="2605.2000000000003"/>
    <n v="417.5"/>
    <n v="278.33333333333331"/>
    <n v="45.591000000000008"/>
    <n v="195"/>
    <n v="2845.7910000000002"/>
    <n v="54.726750000000003"/>
    <n v="456.05625000000003"/>
    <n v="304.03750000000002"/>
  </r>
  <r>
    <s v="28/05/2026"/>
    <s v="E"/>
    <s v="[1062] RAMGADH"/>
    <s v="[8403] MOHANIA"/>
    <x v="34"/>
    <x v="34"/>
    <x v="34"/>
    <s v="C"/>
    <n v="36"/>
    <n v="3.3"/>
    <n v="8"/>
    <n v="1.1879999999999999"/>
    <n v="2.88"/>
    <n v="36.002112000000004"/>
    <n v="1296.0760320000002"/>
    <n v="417.01288030888031"/>
    <n v="278.00858687258687"/>
    <n v="22.681330560000006"/>
    <n v="135"/>
    <n v="1453.7573625600003"/>
    <n v="40.382148960000009"/>
    <n v="467.74689915057917"/>
    <n v="311.83126610038613"/>
  </r>
  <r>
    <s v="22/05/2026"/>
    <s v="M"/>
    <s v="[1062] RAMGADH"/>
    <s v="[8401] DURGAWATI"/>
    <x v="35"/>
    <x v="35"/>
    <x v="35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22/05/2026"/>
    <s v="M"/>
    <s v="[1062] RAMGADH"/>
    <s v="[8401] DURGAWATI"/>
    <x v="35"/>
    <x v="35"/>
    <x v="35"/>
    <s v="C"/>
    <n v="28"/>
    <n v="4.5"/>
    <n v="8.3000000000000007"/>
    <n v="1.26"/>
    <n v="2.3240000000000003"/>
    <n v="39.733095600000006"/>
    <n v="1112.5266768000001"/>
    <n v="396.01091960132896"/>
    <n v="264.00727973421931"/>
    <n v="19.469216844000005"/>
    <n v="105"/>
    <n v="1236.995893644"/>
    <n v="44.178424773000003"/>
    <n v="440.31652597674423"/>
    <n v="293.5443506511628"/>
  </r>
  <r>
    <s v="22/05/2026"/>
    <s v="E"/>
    <s v="[1062] RAMGADH"/>
    <s v="[8401] DURGAWATI"/>
    <x v="35"/>
    <x v="35"/>
    <x v="35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23/05/2026"/>
    <s v="E"/>
    <s v="[1062] RAMGADH"/>
    <s v="[8401] DURGAWATI"/>
    <x v="35"/>
    <x v="35"/>
    <x v="35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23/05/2026"/>
    <s v="E"/>
    <s v="[1062] RAMGADH"/>
    <s v="[8401] DURGAWATI"/>
    <x v="35"/>
    <x v="35"/>
    <x v="35"/>
    <s v="C"/>
    <n v="11"/>
    <n v="3.8"/>
    <n v="8.4"/>
    <n v="0.41799999999999998"/>
    <n v="0.92400000000000004"/>
    <n v="37.225108800000008"/>
    <n v="409.47619680000008"/>
    <n v="396.01179574468091"/>
    <n v="264.00786382978725"/>
    <n v="7.1658334440000022"/>
    <n v="41.25"/>
    <n v="457.89203024400007"/>
    <n v="41.626548204000009"/>
    <n v="442.83561919148946"/>
    <n v="295.22374612765964"/>
  </r>
  <r>
    <s v="24/05/2026"/>
    <s v="M"/>
    <s v="[1062] RAMGADH"/>
    <s v="[8401] DURGAWATI"/>
    <x v="35"/>
    <x v="35"/>
    <x v="35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24/05/2026"/>
    <s v="E"/>
    <s v="[1062] RAMGADH"/>
    <s v="[8401] DURGAWATI"/>
    <x v="35"/>
    <x v="35"/>
    <x v="35"/>
    <s v="B"/>
    <n v="34"/>
    <n v="7.1"/>
    <n v="9"/>
    <n v="2.4139999999999997"/>
    <n v="3.06"/>
    <n v="59.284999999999997"/>
    <n v="2015.6899999999998"/>
    <n v="452.55725190839689"/>
    <n v="301.70483460559791"/>
    <n v="35.274574999999999"/>
    <n v="127.5"/>
    <n v="2178.464575"/>
    <n v="64.072487499999994"/>
    <n v="489.10295801526712"/>
    <n v="326.06863867684473"/>
  </r>
  <r>
    <s v="24/05/2026"/>
    <s v="E"/>
    <s v="[1062] RAMGADH"/>
    <s v="[8401] DURGAWATI"/>
    <x v="35"/>
    <x v="35"/>
    <x v="35"/>
    <s v="C"/>
    <n v="10"/>
    <n v="3.9"/>
    <n v="8.1"/>
    <n v="0.39"/>
    <n v="0.81"/>
    <n v="36.829069200000006"/>
    <n v="368.29069200000004"/>
    <n v="396.01149677419363"/>
    <n v="264.00766451612907"/>
    <n v="6.4450871100000011"/>
    <n v="37.5"/>
    <n v="412.23577911000007"/>
    <n v="41.223577911000007"/>
    <n v="443.2642786129033"/>
    <n v="295.50951907526888"/>
  </r>
  <r>
    <s v="25/05/2026"/>
    <s v="M"/>
    <s v="[1062] RAMGADH"/>
    <s v="[8401] DURGAWATI"/>
    <x v="35"/>
    <x v="35"/>
    <x v="35"/>
    <s v="B"/>
    <n v="30"/>
    <n v="7.5"/>
    <n v="8.8000000000000007"/>
    <n v="2.25"/>
    <n v="2.64"/>
    <n v="61.998750000000001"/>
    <n v="1859.9625000000001"/>
    <n v="463.83104738154617"/>
    <n v="309.22069825436409"/>
    <n v="32.549343750000006"/>
    <n v="112.5"/>
    <n v="2005.01184375"/>
    <n v="66.833728125000007"/>
    <n v="500.00295355361607"/>
    <n v="333.3353023690774"/>
  </r>
  <r>
    <s v="25/05/2026"/>
    <s v="M"/>
    <s v="[1062] RAMGADH"/>
    <s v="[8401] DURGAWATI"/>
    <x v="35"/>
    <x v="35"/>
    <x v="35"/>
    <s v="C"/>
    <n v="25"/>
    <n v="4.4000000000000004"/>
    <n v="8.1999999999999993"/>
    <n v="1.1000000000000001"/>
    <n v="2.0499999999999998"/>
    <n v="39.073082400000004"/>
    <n v="976.82706000000007"/>
    <n v="396.01097027027032"/>
    <n v="264.00731351351357"/>
    <n v="17.094473550000004"/>
    <n v="93.75"/>
    <n v="1087.67153355"/>
    <n v="43.506861342000001"/>
    <n v="440.94791900675676"/>
    <n v="293.96527933783784"/>
  </r>
  <r>
    <s v="25/05/2026"/>
    <s v="E"/>
    <s v="[1062] RAMGADH"/>
    <s v="[8401] DURGAWATI"/>
    <x v="35"/>
    <x v="35"/>
    <x v="35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25/05/2026"/>
    <s v="E"/>
    <s v="[1062] RAMGADH"/>
    <s v="[8401] DURGAWATI"/>
    <x v="35"/>
    <x v="35"/>
    <x v="35"/>
    <s v="C"/>
    <n v="10"/>
    <n v="4"/>
    <n v="8.4"/>
    <n v="0.4"/>
    <n v="0.84"/>
    <n v="38.017108800000003"/>
    <n v="380.17108800000005"/>
    <n v="396.01155"/>
    <n v="264.0077"/>
    <n v="6.6529940400000012"/>
    <n v="37.5"/>
    <n v="424.32408204000006"/>
    <n v="42.432408204000005"/>
    <n v="442.00425212500005"/>
    <n v="294.66950141666672"/>
  </r>
  <r>
    <s v="26/05/2026"/>
    <s v="M"/>
    <s v="[1062] RAMGADH"/>
    <s v="[8401] DURGAWATI"/>
    <x v="35"/>
    <x v="35"/>
    <x v="35"/>
    <s v="B"/>
    <n v="25"/>
    <n v="7.6"/>
    <n v="9"/>
    <n v="1.9"/>
    <n v="2.25"/>
    <n v="63.46"/>
    <n v="1586.5"/>
    <n v="466.61764705882348"/>
    <n v="311.07843137254901"/>
    <n v="27.763750000000002"/>
    <n v="93.75"/>
    <n v="1708.0137500000001"/>
    <n v="68.320549999999997"/>
    <n v="502.35698529411758"/>
    <n v="334.90465686274507"/>
  </r>
  <r>
    <s v="26/05/2026"/>
    <s v="E"/>
    <s v="[1062] RAMGADH"/>
    <s v="[8401] DURGAWATI"/>
    <x v="35"/>
    <x v="35"/>
    <x v="35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26/05/2026"/>
    <s v="E"/>
    <s v="[1062] RAMGADH"/>
    <s v="[8401] DURGAWATI"/>
    <x v="35"/>
    <x v="35"/>
    <x v="35"/>
    <s v="C"/>
    <n v="13"/>
    <n v="4.5999999999999996"/>
    <n v="8.5"/>
    <n v="0.59799999999999998"/>
    <n v="1.105"/>
    <n v="42.813181499999999"/>
    <n v="556.57135949999997"/>
    <n v="417.01150811688308"/>
    <n v="278.00767207792205"/>
    <n v="9.7399987912500006"/>
    <n v="48.75"/>
    <n v="615.06135829124992"/>
    <n v="47.312412176249993"/>
    <n v="460.83518353490251"/>
    <n v="307.22345568993501"/>
  </r>
  <r>
    <s v="27/05/2026"/>
    <s v="M"/>
    <s v="[1062] RAMGADH"/>
    <s v="[8401] DURGAWATI"/>
    <x v="35"/>
    <x v="35"/>
    <x v="35"/>
    <s v="B"/>
    <n v="34"/>
    <n v="7.5"/>
    <n v="9"/>
    <n v="2.5499999999999998"/>
    <n v="3.06"/>
    <n v="62.625"/>
    <n v="2129.25"/>
    <n v="463.88888888888886"/>
    <n v="309.25925925925924"/>
    <n v="37.261875000000003"/>
    <n v="127.5"/>
    <n v="2294.0118750000001"/>
    <n v="67.470937500000005"/>
    <n v="499.78472222222223"/>
    <n v="333.18981481481484"/>
  </r>
  <r>
    <s v="27/05/2026"/>
    <s v="M"/>
    <s v="[1062] RAMGADH"/>
    <s v="[8401] DURGAWATI"/>
    <x v="35"/>
    <x v="35"/>
    <x v="35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27/05/2026"/>
    <s v="E"/>
    <s v="[1062] RAMGADH"/>
    <s v="[8401] DURGAWATI"/>
    <x v="35"/>
    <x v="35"/>
    <x v="35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27/05/2026"/>
    <s v="E"/>
    <s v="[1062] RAMGADH"/>
    <s v="[8401] DURGAWATI"/>
    <x v="35"/>
    <x v="35"/>
    <x v="35"/>
    <s v="C"/>
    <n v="11"/>
    <n v="3.8"/>
    <n v="8.5"/>
    <n v="0.41799999999999998"/>
    <n v="0.93500000000000005"/>
    <n v="39.4771815"/>
    <n v="434.24899649999998"/>
    <n v="417.0124806338028"/>
    <n v="278.00832042253518"/>
    <n v="7.5993574387500002"/>
    <n v="41.25"/>
    <n v="483.09835393874999"/>
    <n v="43.918032176250001"/>
    <n v="463.92287510123236"/>
    <n v="309.28191673415489"/>
  </r>
  <r>
    <s v="28/05/2026"/>
    <s v="M"/>
    <s v="[1062] RAMGADH"/>
    <s v="[8401] DURGAWATI"/>
    <x v="35"/>
    <x v="35"/>
    <x v="35"/>
    <s v="B"/>
    <n v="35"/>
    <n v="7.3"/>
    <n v="9"/>
    <n v="2.5550000000000002"/>
    <n v="3.15"/>
    <n v="60.954999999999998"/>
    <n v="2133.4249999999997"/>
    <n v="458.30827067669168"/>
    <n v="305.53884711779443"/>
    <n v="37.334937499999995"/>
    <n v="131.25"/>
    <n v="2302.0099374999995"/>
    <n v="65.771712499999992"/>
    <n v="494.52415413533828"/>
    <n v="329.68276942355885"/>
  </r>
  <r>
    <s v="28/05/2026"/>
    <s v="M"/>
    <s v="[1062] RAMGADH"/>
    <s v="[8401] DURGAWATI"/>
    <x v="35"/>
    <x v="35"/>
    <x v="35"/>
    <s v="C"/>
    <n v="29"/>
    <n v="4.2"/>
    <n v="8.4"/>
    <n v="1.2180000000000002"/>
    <n v="2.4360000000000004"/>
    <n v="40.867167600000002"/>
    <n v="1185.1478604000001"/>
    <n v="417.01191428571428"/>
    <n v="278.00794285714284"/>
    <n v="20.740087557000003"/>
    <n v="108.75"/>
    <n v="1314.6379479570001"/>
    <n v="45.332343033000001"/>
    <n v="462.57492890816326"/>
    <n v="308.38328593877549"/>
  </r>
  <r>
    <s v="28/05/2026"/>
    <s v="E"/>
    <s v="[1062] RAMGADH"/>
    <s v="[8401] DURGAWATI"/>
    <x v="35"/>
    <x v="35"/>
    <x v="35"/>
    <s v="B"/>
    <n v="32"/>
    <n v="7"/>
    <n v="9"/>
    <n v="2.2400000000000002"/>
    <n v="2.88"/>
    <n v="58.45"/>
    <n v="1870.4"/>
    <n v="449.61538461538464"/>
    <n v="299.74358974358978"/>
    <n v="32.732000000000006"/>
    <n v="120"/>
    <n v="2023.1320000000001"/>
    <n v="63.222875000000002"/>
    <n v="486.32980769230767"/>
    <n v="324.21987179487178"/>
  </r>
  <r>
    <s v="28/05/2026"/>
    <s v="E"/>
    <s v="[1062] RAMGADH"/>
    <s v="[8401] DURGAWATI"/>
    <x v="35"/>
    <x v="35"/>
    <x v="35"/>
    <s v="C"/>
    <n v="10"/>
    <n v="3.7"/>
    <n v="8.1999999999999993"/>
    <n v="0.37"/>
    <n v="0.82"/>
    <n v="38.226139799999999"/>
    <n v="382.26139799999999"/>
    <n v="417.01243418181815"/>
    <n v="278.00828945454543"/>
    <n v="6.6895744650000006"/>
    <n v="37.5"/>
    <n v="426.45097246500001"/>
    <n v="42.645097246500001"/>
    <n v="465.21924268909089"/>
    <n v="310.14616179272724"/>
  </r>
  <r>
    <s v="22/05/2026"/>
    <s v="M"/>
    <s v="[1062] RAMGADH"/>
    <s v="[8403] MOHANIA"/>
    <x v="36"/>
    <x v="36"/>
    <x v="36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22/05/2026"/>
    <s v="M"/>
    <s v="[1062] RAMGADH"/>
    <s v="[8403] MOHANIA"/>
    <x v="36"/>
    <x v="36"/>
    <x v="36"/>
    <s v="C"/>
    <n v="36"/>
    <n v="3.5"/>
    <n v="8"/>
    <n v="1.26"/>
    <n v="2.88"/>
    <n v="34.981056000000002"/>
    <n v="1259.3180160000002"/>
    <n v="396.01195471698111"/>
    <n v="264.00796981132072"/>
    <n v="22.038065280000005"/>
    <n v="135"/>
    <n v="1416.3560812800001"/>
    <n v="39.343224480000003"/>
    <n v="445.39499411320753"/>
    <n v="296.92999607547171"/>
  </r>
  <r>
    <s v="22/05/2026"/>
    <s v="E"/>
    <s v="[1062] RAMGADH"/>
    <s v="[8403] MOHANIA"/>
    <x v="36"/>
    <x v="36"/>
    <x v="36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23/05/2026"/>
    <s v="M"/>
    <s v="[1062] RAMGADH"/>
    <s v="[8403] MOHANIA"/>
    <x v="36"/>
    <x v="36"/>
    <x v="36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23/05/2026"/>
    <s v="M"/>
    <s v="[1062] RAMGADH"/>
    <s v="[8403] MOHANIA"/>
    <x v="36"/>
    <x v="36"/>
    <x v="36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3/05/2026"/>
    <s v="E"/>
    <s v="[1062] RAMGADH"/>
    <s v="[8403] MOHANIA"/>
    <x v="36"/>
    <x v="36"/>
    <x v="36"/>
    <s v="B"/>
    <n v="6"/>
    <n v="5.8"/>
    <n v="8.4"/>
    <n v="0.34799999999999998"/>
    <n v="0.504"/>
    <n v="46.9771"/>
    <n v="281.86259999999999"/>
    <n v="412.07982456140354"/>
    <n v="274.71988304093571"/>
    <n v="4.9325955000000006"/>
    <n v="22.5"/>
    <n v="309.29519549999998"/>
    <n v="51.549199249999994"/>
    <n v="452.1859583333333"/>
    <n v="301.45730555555554"/>
  </r>
  <r>
    <s v="23/05/2026"/>
    <s v="E"/>
    <s v="[1062] RAMGADH"/>
    <s v="[8403] MOHANIA"/>
    <x v="36"/>
    <x v="36"/>
    <x v="36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4/05/2026"/>
    <s v="M"/>
    <s v="[1062] RAMGADH"/>
    <s v="[8403] MOHANIA"/>
    <x v="36"/>
    <x v="36"/>
    <x v="36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4/05/2026"/>
    <s v="M"/>
    <s v="[1062] RAMGADH"/>
    <s v="[8403] MOHANIA"/>
    <x v="36"/>
    <x v="36"/>
    <x v="36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24/05/2026"/>
    <s v="E"/>
    <s v="[1062] RAMGADH"/>
    <s v="[8403] MOHANIA"/>
    <x v="36"/>
    <x v="36"/>
    <x v="36"/>
    <s v="B"/>
    <n v="8"/>
    <n v="5.8"/>
    <n v="8.4"/>
    <n v="0.46399999999999997"/>
    <n v="0.67200000000000004"/>
    <n v="46.9771"/>
    <n v="375.8168"/>
    <n v="412.07982456140354"/>
    <n v="274.71988304093571"/>
    <n v="6.5767940000000005"/>
    <n v="30"/>
    <n v="412.39359400000001"/>
    <n v="51.549199250000001"/>
    <n v="452.18595833333336"/>
    <n v="301.45730555555559"/>
  </r>
  <r>
    <s v="24/05/2026"/>
    <s v="E"/>
    <s v="[1062] RAMGADH"/>
    <s v="[8403] MOHANIA"/>
    <x v="36"/>
    <x v="36"/>
    <x v="36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5/05/2026"/>
    <s v="M"/>
    <s v="[1062] RAMGADH"/>
    <s v="[8403] MOHANIA"/>
    <x v="36"/>
    <x v="36"/>
    <x v="36"/>
    <s v="C"/>
    <n v="16"/>
    <n v="3.6"/>
    <n v="8"/>
    <n v="0.57600000000000007"/>
    <n v="1.28"/>
    <n v="35.377056000000003"/>
    <n v="566.03289600000005"/>
    <n v="396.01182089552236"/>
    <n v="264.00788059701489"/>
    <n v="9.9055756800000019"/>
    <n v="60"/>
    <n v="635.93847168000002"/>
    <n v="39.746154480000001"/>
    <n v="444.91963970149249"/>
    <n v="296.61309313432832"/>
  </r>
  <r>
    <s v="25/05/2026"/>
    <s v="E"/>
    <s v="[1062] RAMGADH"/>
    <s v="[8403] MOHANIA"/>
    <x v="36"/>
    <x v="36"/>
    <x v="36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5/05/2026"/>
    <s v="E"/>
    <s v="[1062] RAMGADH"/>
    <s v="[8403] MOHANIA"/>
    <x v="36"/>
    <x v="36"/>
    <x v="36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26/05/2026"/>
    <s v="M"/>
    <s v="[1062] RAMGADH"/>
    <s v="[8403] MOHANIA"/>
    <x v="36"/>
    <x v="36"/>
    <x v="36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26/05/2026"/>
    <s v="M"/>
    <s v="[1062] RAMGADH"/>
    <s v="[8403] MOHANIA"/>
    <x v="36"/>
    <x v="36"/>
    <x v="36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6/05/2026"/>
    <s v="E"/>
    <s v="[1062] RAMGADH"/>
    <s v="[8403] MOHANIA"/>
    <x v="36"/>
    <x v="36"/>
    <x v="36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26/05/2026"/>
    <s v="E"/>
    <s v="[1062] RAMGADH"/>
    <s v="[8403] MOHANIA"/>
    <x v="36"/>
    <x v="36"/>
    <x v="36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27/05/2026"/>
    <s v="M"/>
    <s v="[1062] RAMGADH"/>
    <s v="[8403] MOHANIA"/>
    <x v="36"/>
    <x v="36"/>
    <x v="36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27/05/2026"/>
    <s v="M"/>
    <s v="[1062] RAMGADH"/>
    <s v="[8403] MOHANIA"/>
    <x v="36"/>
    <x v="36"/>
    <x v="36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7/05/2026"/>
    <s v="E"/>
    <s v="[1062] RAMGADH"/>
    <s v="[8403] MOHANIA"/>
    <x v="36"/>
    <x v="36"/>
    <x v="36"/>
    <s v="B"/>
    <n v="6"/>
    <n v="5.8"/>
    <n v="9"/>
    <n v="0.34799999999999998"/>
    <n v="0.54"/>
    <n v="48.43"/>
    <n v="290.58"/>
    <n v="410.42372881355936"/>
    <n v="273.61581920903956"/>
    <n v="5.0851500000000005"/>
    <n v="22.5"/>
    <n v="318.16514999999998"/>
    <n v="53.027524999999997"/>
    <n v="449.38580508474575"/>
    <n v="299.59053672316384"/>
  </r>
  <r>
    <s v="27/05/2026"/>
    <s v="E"/>
    <s v="[1062] RAMGADH"/>
    <s v="[8403] MOHANIA"/>
    <x v="36"/>
    <x v="36"/>
    <x v="3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8/05/2026"/>
    <s v="M"/>
    <s v="[1062] RAMGADH"/>
    <s v="[8403] MOHANIA"/>
    <x v="36"/>
    <x v="36"/>
    <x v="36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28/05/2026"/>
    <s v="M"/>
    <s v="[1062] RAMGADH"/>
    <s v="[8403] MOHANIA"/>
    <x v="36"/>
    <x v="36"/>
    <x v="36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8/05/2026"/>
    <s v="E"/>
    <s v="[1062] RAMGADH"/>
    <s v="[8403] MOHANIA"/>
    <x v="36"/>
    <x v="36"/>
    <x v="36"/>
    <s v="C"/>
    <n v="51"/>
    <n v="3.4"/>
    <n v="8"/>
    <n v="1.734"/>
    <n v="4.08"/>
    <n v="36.419112000000005"/>
    <n v="1857.3747120000003"/>
    <n v="417.01273282442747"/>
    <n v="278.00848854961833"/>
    <n v="32.504057460000006"/>
    <n v="191.25"/>
    <n v="2081.1287694600005"/>
    <n v="40.806446460000011"/>
    <n v="467.24938694656493"/>
    <n v="311.49959129770997"/>
  </r>
  <r>
    <s v="22/05/2026"/>
    <s v="M"/>
    <s v="[1062] RAMGADH"/>
    <s v="[8403] MOHANIA"/>
    <x v="37"/>
    <x v="37"/>
    <x v="37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22/05/2026"/>
    <s v="M"/>
    <s v="[1062] RAMGADH"/>
    <s v="[8403] MOHANIA"/>
    <x v="37"/>
    <x v="37"/>
    <x v="37"/>
    <s v="C"/>
    <n v="47"/>
    <n v="4"/>
    <n v="8.1"/>
    <n v="1.88"/>
    <n v="3.8069999999999999"/>
    <n v="37.225069200000007"/>
    <n v="1749.5782524000003"/>
    <n v="396.01137446808519"/>
    <n v="264.00758297872346"/>
    <n v="30.617619417000007"/>
    <n v="176.25"/>
    <n v="1956.4458718170004"/>
    <n v="41.626507911000004"/>
    <n v="442.83519054255322"/>
    <n v="295.22346036170217"/>
  </r>
  <r>
    <s v="22/05/2026"/>
    <s v="E"/>
    <s v="[1062] RAMGADH"/>
    <s v="[8403] MOHANIA"/>
    <x v="37"/>
    <x v="37"/>
    <x v="37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22/05/2026"/>
    <s v="E"/>
    <s v="[1062] RAMGADH"/>
    <s v="[8403] MOHANIA"/>
    <x v="37"/>
    <x v="37"/>
    <x v="37"/>
    <s v="C"/>
    <n v="41"/>
    <n v="3.6"/>
    <n v="8.1"/>
    <n v="1.476"/>
    <n v="3.3209999999999997"/>
    <n v="35.641069200000004"/>
    <n v="1461.2838372000001"/>
    <n v="396.01188000000008"/>
    <n v="264.00792000000007"/>
    <n v="25.572467151000005"/>
    <n v="153.75"/>
    <n v="1640.6063043510001"/>
    <n v="40.014787910999999"/>
    <n v="444.60875456666668"/>
    <n v="296.4058363777778"/>
  </r>
  <r>
    <s v="23/05/2026"/>
    <s v="M"/>
    <s v="[1062] RAMGADH"/>
    <s v="[8403] MOHANIA"/>
    <x v="37"/>
    <x v="37"/>
    <x v="37"/>
    <s v="B"/>
    <n v="21"/>
    <n v="6"/>
    <n v="8.4"/>
    <n v="1.26"/>
    <n v="1.764"/>
    <n v="48.597000000000001"/>
    <n v="1020.537"/>
    <n v="418.93965517241384"/>
    <n v="279.29310344827587"/>
    <n v="17.859397500000004"/>
    <n v="78.75"/>
    <n v="1117.1463975000001"/>
    <n v="53.19744750000001"/>
    <n v="458.59868534482769"/>
    <n v="305.73245689655181"/>
  </r>
  <r>
    <s v="23/05/2026"/>
    <s v="M"/>
    <s v="[1062] RAMGADH"/>
    <s v="[8403] MOHANIA"/>
    <x v="37"/>
    <x v="37"/>
    <x v="37"/>
    <s v="C"/>
    <n v="35"/>
    <n v="3.9"/>
    <n v="8.1"/>
    <n v="1.365"/>
    <n v="2.835"/>
    <n v="36.829069200000006"/>
    <n v="1289.0174220000001"/>
    <n v="396.01149677419363"/>
    <n v="264.00766451612907"/>
    <n v="22.557804885000003"/>
    <n v="131.25"/>
    <n v="1442.8252268850001"/>
    <n v="41.223577911000007"/>
    <n v="443.2642786129033"/>
    <n v="295.50951907526888"/>
  </r>
  <r>
    <s v="23/05/2026"/>
    <s v="E"/>
    <s v="[1062] RAMGADH"/>
    <s v="[8403] MOHANIA"/>
    <x v="37"/>
    <x v="37"/>
    <x v="37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23/05/2026"/>
    <s v="E"/>
    <s v="[1062] RAMGADH"/>
    <s v="[8403] MOHANIA"/>
    <x v="37"/>
    <x v="37"/>
    <x v="37"/>
    <s v="C"/>
    <n v="36"/>
    <n v="3.6"/>
    <n v="8.1"/>
    <n v="1.296"/>
    <n v="2.9159999999999995"/>
    <n v="35.641069200000004"/>
    <n v="1283.0784912000001"/>
    <n v="396.01188000000008"/>
    <n v="264.00792000000007"/>
    <n v="22.453873596000005"/>
    <n v="135"/>
    <n v="1440.5323647960001"/>
    <n v="40.014787911000006"/>
    <n v="444.60875456666673"/>
    <n v="296.4058363777778"/>
  </r>
  <r>
    <s v="24/05/2026"/>
    <s v="M"/>
    <s v="[1062] RAMGADH"/>
    <s v="[8403] MOHANIA"/>
    <x v="37"/>
    <x v="37"/>
    <x v="37"/>
    <s v="B"/>
    <n v="21"/>
    <n v="6.1"/>
    <n v="8.4"/>
    <n v="1.2809999999999999"/>
    <n v="1.764"/>
    <n v="49.406950000000002"/>
    <n v="1037.5459499999999"/>
    <n v="422.28162393162398"/>
    <n v="281.52108262108266"/>
    <n v="18.157054125000002"/>
    <n v="78.75"/>
    <n v="1134.453004125"/>
    <n v="54.021571625"/>
    <n v="461.72283440170941"/>
    <n v="307.81522293447296"/>
  </r>
  <r>
    <s v="24/05/2026"/>
    <s v="M"/>
    <s v="[1062] RAMGADH"/>
    <s v="[8403] MOHANIA"/>
    <x v="37"/>
    <x v="37"/>
    <x v="37"/>
    <s v="C"/>
    <n v="41"/>
    <n v="3.8"/>
    <n v="8"/>
    <n v="1.5579999999999998"/>
    <n v="3.28"/>
    <n v="36.169056000000005"/>
    <n v="1482.9312960000002"/>
    <n v="396.01156204379566"/>
    <n v="264.00770802919709"/>
    <n v="25.951297680000007"/>
    <n v="153.75"/>
    <n v="1662.6325936800001"/>
    <n v="40.552014480000004"/>
    <n v="444.000158540146"/>
    <n v="296.00010569343067"/>
  </r>
  <r>
    <s v="24/05/2026"/>
    <s v="E"/>
    <s v="[1062] RAMGADH"/>
    <s v="[8403] MOHANIA"/>
    <x v="37"/>
    <x v="37"/>
    <x v="37"/>
    <s v="B"/>
    <n v="23"/>
    <n v="6.3"/>
    <n v="8.6"/>
    <n v="1.4490000000000001"/>
    <n v="1.9779999999999998"/>
    <n v="51.552899999999994"/>
    <n v="1185.7166999999999"/>
    <n v="428.41745152354571"/>
    <n v="285.61163434903045"/>
    <n v="20.75004225"/>
    <n v="86.25"/>
    <n v="1292.7167422499999"/>
    <n v="56.205075749999999"/>
    <n v="467.07819182825489"/>
    <n v="311.38546121883661"/>
  </r>
  <r>
    <s v="24/05/2026"/>
    <s v="E"/>
    <s v="[1062] RAMGADH"/>
    <s v="[8403] MOHANIA"/>
    <x v="37"/>
    <x v="37"/>
    <x v="37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5/05/2026"/>
    <s v="M"/>
    <s v="[1062] RAMGADH"/>
    <s v="[8403] MOHANIA"/>
    <x v="37"/>
    <x v="37"/>
    <x v="37"/>
    <s v="B"/>
    <n v="23"/>
    <n v="5.8"/>
    <n v="8.4"/>
    <n v="1.3340000000000001"/>
    <n v="1.9320000000000002"/>
    <n v="46.9771"/>
    <n v="1080.4733000000001"/>
    <n v="412.07982456140354"/>
    <n v="274.71988304093571"/>
    <n v="18.908282750000005"/>
    <n v="86.25"/>
    <n v="1185.6315827500002"/>
    <n v="51.549199250000008"/>
    <n v="452.18595833333342"/>
    <n v="301.45730555555559"/>
  </r>
  <r>
    <s v="25/05/2026"/>
    <s v="M"/>
    <s v="[1062] RAMGADH"/>
    <s v="[8403] MOHANIA"/>
    <x v="37"/>
    <x v="37"/>
    <x v="37"/>
    <s v="C"/>
    <n v="41"/>
    <n v="3.7"/>
    <n v="8"/>
    <n v="1.5170000000000001"/>
    <n v="3.28"/>
    <n v="35.773056000000004"/>
    <n v="1466.6952960000001"/>
    <n v="396.01169003690035"/>
    <n v="264.00779335793356"/>
    <n v="25.667167680000006"/>
    <n v="153.75"/>
    <n v="1646.11246368"/>
    <n v="40.149084479999999"/>
    <n v="444.45480974169732"/>
    <n v="296.30320649446486"/>
  </r>
  <r>
    <s v="25/05/2026"/>
    <s v="E"/>
    <s v="[1062] RAMGADH"/>
    <s v="[8403] MOHANIA"/>
    <x v="37"/>
    <x v="37"/>
    <x v="37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25/05/2026"/>
    <s v="E"/>
    <s v="[1062] RAMGADH"/>
    <s v="[8403] MOHANIA"/>
    <x v="37"/>
    <x v="37"/>
    <x v="37"/>
    <s v="C"/>
    <n v="37"/>
    <n v="3.3"/>
    <n v="8.1999999999999993"/>
    <n v="1.2209999999999999"/>
    <n v="3.0339999999999998"/>
    <n v="34.717082400000002"/>
    <n v="1284.5320488"/>
    <n v="396.01234676806087"/>
    <n v="264.00823117870726"/>
    <n v="22.479310854000001"/>
    <n v="138.75"/>
    <n v="1445.761359654"/>
    <n v="39.074631341999996"/>
    <n v="445.71822823574138"/>
    <n v="297.14548549049425"/>
  </r>
  <r>
    <s v="26/05/2026"/>
    <s v="M"/>
    <s v="[1062] RAMGADH"/>
    <s v="[8403] MOHANIA"/>
    <x v="37"/>
    <x v="37"/>
    <x v="37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s v="26/05/2026"/>
    <s v="M"/>
    <s v="[1062] RAMGADH"/>
    <s v="[8403] MOHANIA"/>
    <x v="37"/>
    <x v="37"/>
    <x v="37"/>
    <s v="C"/>
    <n v="39"/>
    <n v="3.9"/>
    <n v="8.3000000000000007"/>
    <n v="1.5209999999999999"/>
    <n v="3.2370000000000005"/>
    <n v="39.338153700000007"/>
    <n v="1534.1879943000004"/>
    <n v="417.01223003533573"/>
    <n v="278.00815335689049"/>
    <n v="26.848289900250009"/>
    <n v="146.25"/>
    <n v="1707.2862842002503"/>
    <n v="43.776571389750011"/>
    <n v="464.0625942376326"/>
    <n v="309.37506282508838"/>
  </r>
  <r>
    <s v="26/05/2026"/>
    <s v="E"/>
    <s v="[1062] RAMGADH"/>
    <s v="[8403] MOHANIA"/>
    <x v="37"/>
    <x v="37"/>
    <x v="37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26/05/2026"/>
    <s v="E"/>
    <s v="[1062] RAMGADH"/>
    <s v="[8403] MOHANIA"/>
    <x v="37"/>
    <x v="37"/>
    <x v="37"/>
    <s v="C"/>
    <n v="41"/>
    <n v="3.7"/>
    <n v="8.5"/>
    <n v="1.5170000000000001"/>
    <n v="3.4849999999999999"/>
    <n v="39.060181500000006"/>
    <n v="1601.4674415000002"/>
    <n v="417.0126138790036"/>
    <n v="278.00840925266908"/>
    <n v="28.025680226250007"/>
    <n v="153.75"/>
    <n v="1783.2431217262501"/>
    <n v="43.49373467625"/>
    <n v="464.34592181049817"/>
    <n v="309.56394787366543"/>
  </r>
  <r>
    <s v="27/05/2026"/>
    <s v="M"/>
    <s v="[1062] RAMGADH"/>
    <s v="[8403] MOHANIA"/>
    <x v="37"/>
    <x v="37"/>
    <x v="37"/>
    <s v="B"/>
    <n v="14"/>
    <n v="5.5"/>
    <n v="8.8000000000000007"/>
    <n v="0.77"/>
    <n v="1.2320000000000002"/>
    <n v="46.566181499999999"/>
    <n v="651.92654100000004"/>
    <n v="409.67315102639293"/>
    <n v="273.11543401759531"/>
    <n v="11.408714467500001"/>
    <n v="52.5"/>
    <n v="715.83525546750002"/>
    <n v="51.131089676249999"/>
    <n v="449.83363351539589"/>
    <n v="299.88908901026394"/>
  </r>
  <r>
    <s v="27/05/2026"/>
    <s v="M"/>
    <s v="[1062] RAMGADH"/>
    <s v="[8403] MOHANIA"/>
    <x v="37"/>
    <x v="37"/>
    <x v="37"/>
    <s v="C"/>
    <n v="40"/>
    <n v="4"/>
    <n v="8.5"/>
    <n v="1.6"/>
    <n v="3.4"/>
    <n v="40.311181500000004"/>
    <n v="1612.4472600000001"/>
    <n v="417.0122224137931"/>
    <n v="278.00814827586208"/>
    <n v="28.217827050000004"/>
    <n v="150"/>
    <n v="1790.6650870500002"/>
    <n v="44.766627176250005"/>
    <n v="463.10303975431032"/>
    <n v="308.7353598362069"/>
  </r>
  <r>
    <s v="27/05/2026"/>
    <s v="E"/>
    <s v="[1062] RAMGADH"/>
    <s v="[8403] MOHANIA"/>
    <x v="37"/>
    <x v="37"/>
    <x v="37"/>
    <s v="B"/>
    <n v="20"/>
    <n v="5.6"/>
    <n v="8.8000000000000007"/>
    <n v="1.1200000000000001"/>
    <n v="1.76"/>
    <n v="46.292400000000001"/>
    <n v="925.84799999999996"/>
    <n v="403.71279069767445"/>
    <n v="269.14186046511628"/>
    <n v="16.20234"/>
    <n v="75"/>
    <n v="1017.05034"/>
    <n v="50.852516999999999"/>
    <n v="443.48125290697675"/>
    <n v="295.65416860465115"/>
  </r>
  <r>
    <s v="27/05/2026"/>
    <s v="E"/>
    <s v="[1062] RAMGADH"/>
    <s v="[8403] MOHANIA"/>
    <x v="37"/>
    <x v="37"/>
    <x v="37"/>
    <s v="C"/>
    <n v="38"/>
    <n v="3.4"/>
    <n v="8.4"/>
    <n v="1.2919999999999998"/>
    <n v="3.1919999999999997"/>
    <n v="37.531167600000003"/>
    <n v="1426.1843688000001"/>
    <n v="417.01297333333338"/>
    <n v="278.0086488888889"/>
    <n v="24.958226454000005"/>
    <n v="142.5"/>
    <n v="1593.6425952540001"/>
    <n v="41.937963033000003"/>
    <n v="465.97736703333339"/>
    <n v="310.65157802222228"/>
  </r>
  <r>
    <s v="28/05/2026"/>
    <s v="M"/>
    <s v="[1062] RAMGADH"/>
    <s v="[8403] MOHANIA"/>
    <x v="37"/>
    <x v="37"/>
    <x v="37"/>
    <s v="B"/>
    <n v="15"/>
    <n v="6.3"/>
    <n v="8.4"/>
    <n v="0.94499999999999995"/>
    <n v="1.26"/>
    <n v="51.026849999999996"/>
    <n v="765.40274999999997"/>
    <n v="428.79705882352943"/>
    <n v="285.86470588235295"/>
    <n v="13.394548125"/>
    <n v="56.25"/>
    <n v="835.047298125"/>
    <n v="55.669819875000002"/>
    <n v="467.813612394958"/>
    <n v="311.87574159663865"/>
  </r>
  <r>
    <s v="28/05/2026"/>
    <s v="M"/>
    <s v="[1062] RAMGADH"/>
    <s v="[8403] MOHANIA"/>
    <x v="37"/>
    <x v="37"/>
    <x v="37"/>
    <s v="C"/>
    <n v="38"/>
    <n v="3.4"/>
    <n v="8.1"/>
    <n v="1.2919999999999998"/>
    <n v="3.0780000000000003"/>
    <n v="36.697125900000003"/>
    <n v="1394.4907842000002"/>
    <n v="417.01279431818188"/>
    <n v="278.00852954545456"/>
    <n v="24.403588723500008"/>
    <n v="142.5"/>
    <n v="1561.3943729235002"/>
    <n v="41.089325603250003"/>
    <n v="466.92415458238645"/>
    <n v="311.28276972159097"/>
  </r>
  <r>
    <s v="28/05/2026"/>
    <s v="E"/>
    <s v="[1062] RAMGADH"/>
    <s v="[8403] MOHANIA"/>
    <x v="37"/>
    <x v="37"/>
    <x v="37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28/05/2026"/>
    <s v="E"/>
    <s v="[1062] RAMGADH"/>
    <s v="[8403] MOHANIA"/>
    <x v="37"/>
    <x v="37"/>
    <x v="37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22/05/2026"/>
    <s v="M"/>
    <s v="[1062] RAMGADH"/>
    <s v="[8404] CHANDESH"/>
    <x v="38"/>
    <x v="38"/>
    <x v="38"/>
    <s v="B"/>
    <n v="34"/>
    <n v="6.9"/>
    <n v="8.8000000000000007"/>
    <n v="2.3460000000000001"/>
    <n v="2.9920000000000004"/>
    <n v="57.038850000000004"/>
    <n v="1939.3209000000002"/>
    <n v="446.77950391644907"/>
    <n v="297.85300261096603"/>
    <n v="33.938115750000009"/>
    <n v="127.5"/>
    <n v="2100.7590157500003"/>
    <n v="61.787029875000009"/>
    <n v="483.97151338120108"/>
    <n v="322.6476755874674"/>
  </r>
  <r>
    <s v="22/05/2026"/>
    <s v="M"/>
    <s v="[1062] RAMGADH"/>
    <s v="[8404] CHANDESH"/>
    <x v="38"/>
    <x v="38"/>
    <x v="38"/>
    <s v="C"/>
    <n v="36"/>
    <n v="3.8"/>
    <n v="8.1"/>
    <n v="1.3679999999999999"/>
    <n v="2.9159999999999995"/>
    <n v="36.433069200000006"/>
    <n v="1311.5904912000001"/>
    <n v="396.01162173913048"/>
    <n v="264.00774782608698"/>
    <n v="22.952833596000005"/>
    <n v="135"/>
    <n v="1469.543324796"/>
    <n v="40.820647911000002"/>
    <n v="443.70269468478261"/>
    <n v="295.80179645652174"/>
  </r>
  <r>
    <s v="22/05/2026"/>
    <s v="E"/>
    <s v="[1062] RAMGADH"/>
    <s v="[8404] CHANDESH"/>
    <x v="38"/>
    <x v="38"/>
    <x v="38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22/05/2026"/>
    <s v="E"/>
    <s v="[1062] RAMGADH"/>
    <s v="[8404] CHANDESH"/>
    <x v="38"/>
    <x v="38"/>
    <x v="38"/>
    <s v="C"/>
    <n v="39"/>
    <n v="3.7"/>
    <n v="8.1"/>
    <n v="1.4430000000000001"/>
    <n v="3.1589999999999998"/>
    <n v="36.037069200000005"/>
    <n v="1405.4456988000002"/>
    <n v="396.01174945054953"/>
    <n v="264.00783296703304"/>
    <n v="24.595299729000004"/>
    <n v="146.25"/>
    <n v="1576.2909985290003"/>
    <n v="40.417717911000004"/>
    <n v="444.15074627472535"/>
    <n v="296.10049751648359"/>
  </r>
  <r>
    <s v="23/05/2026"/>
    <s v="M"/>
    <s v="[1062] RAMGADH"/>
    <s v="[8404] CHANDESH"/>
    <x v="38"/>
    <x v="38"/>
    <x v="38"/>
    <s v="B"/>
    <n v="29"/>
    <n v="7.4"/>
    <n v="9"/>
    <n v="2.1460000000000004"/>
    <n v="2.61"/>
    <n v="61.790000000000006"/>
    <n v="1791.91"/>
    <n v="461.11940298507466"/>
    <n v="307.41293532338312"/>
    <n v="31.358425000000004"/>
    <n v="108.75"/>
    <n v="1932.0184250000002"/>
    <n v="66.621325000000013"/>
    <n v="497.17406716417918"/>
    <n v="331.44937810945277"/>
  </r>
  <r>
    <s v="23/05/2026"/>
    <s v="M"/>
    <s v="[1062] RAMGADH"/>
    <s v="[8404] CHANDESH"/>
    <x v="38"/>
    <x v="38"/>
    <x v="38"/>
    <s v="C"/>
    <n v="52"/>
    <n v="4"/>
    <n v="8.4"/>
    <n v="2.08"/>
    <n v="4.3680000000000003"/>
    <n v="38.017108800000003"/>
    <n v="1976.8896576000002"/>
    <n v="396.01155"/>
    <n v="264.0077"/>
    <n v="34.595569008000005"/>
    <n v="195"/>
    <n v="2206.4852266080002"/>
    <n v="42.432408204000005"/>
    <n v="442.00425212500005"/>
    <n v="294.66950141666672"/>
  </r>
  <r>
    <s v="23/05/2026"/>
    <s v="E"/>
    <s v="[1062] RAMGADH"/>
    <s v="[8404] CHANDESH"/>
    <x v="38"/>
    <x v="38"/>
    <x v="38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23/05/2026"/>
    <s v="E"/>
    <s v="[1062] RAMGADH"/>
    <s v="[8404] CHANDESH"/>
    <x v="38"/>
    <x v="38"/>
    <x v="38"/>
    <s v="C"/>
    <n v="28"/>
    <n v="3.8"/>
    <n v="8.1999999999999993"/>
    <n v="1.0639999999999998"/>
    <n v="2.2959999999999998"/>
    <n v="36.697082399999999"/>
    <n v="1027.5183072"/>
    <n v="396.01168057553957"/>
    <n v="264.0077870503597"/>
    <n v="17.981570376000001"/>
    <n v="105"/>
    <n v="1150.499877576"/>
    <n v="41.089281342"/>
    <n v="443.40951088489209"/>
    <n v="295.60634058992804"/>
  </r>
  <r>
    <s v="24/05/2026"/>
    <s v="M"/>
    <s v="[1062] RAMGADH"/>
    <s v="[8404] CHANDESH"/>
    <x v="38"/>
    <x v="38"/>
    <x v="38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24/05/2026"/>
    <s v="M"/>
    <s v="[1062] RAMGADH"/>
    <s v="[8404] CHANDESH"/>
    <x v="38"/>
    <x v="38"/>
    <x v="38"/>
    <s v="C"/>
    <n v="36"/>
    <n v="4.3"/>
    <n v="8"/>
    <n v="1.5479999999999998"/>
    <n v="2.88"/>
    <n v="38.149056000000002"/>
    <n v="1373.3660159999999"/>
    <n v="396.01096193771633"/>
    <n v="264.00730795847755"/>
    <n v="24.033905280000003"/>
    <n v="135"/>
    <n v="1532.3999212799999"/>
    <n v="42.56666448"/>
    <n v="441.86848941176476"/>
    <n v="294.57899294117652"/>
  </r>
  <r>
    <s v="24/05/2026"/>
    <s v="E"/>
    <s v="[1062] RAMGADH"/>
    <s v="[8404] CHANDESH"/>
    <x v="38"/>
    <x v="38"/>
    <x v="38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24/05/2026"/>
    <s v="E"/>
    <s v="[1062] RAMGADH"/>
    <s v="[8404] CHANDESH"/>
    <x v="38"/>
    <x v="38"/>
    <x v="38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s v="25/05/2026"/>
    <s v="M"/>
    <s v="[1062] RAMGADH"/>
    <s v="[8404] CHANDESH"/>
    <x v="38"/>
    <x v="38"/>
    <x v="38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25/05/2026"/>
    <s v="E"/>
    <s v="[1062] RAMGADH"/>
    <s v="[8404] CHANDESH"/>
    <x v="38"/>
    <x v="38"/>
    <x v="38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25/05/2026"/>
    <s v="E"/>
    <s v="[1062] RAMGADH"/>
    <s v="[8404] CHANDESH"/>
    <x v="38"/>
    <x v="38"/>
    <x v="38"/>
    <s v="C"/>
    <n v="28"/>
    <n v="4"/>
    <n v="8.4"/>
    <n v="1.1200000000000001"/>
    <n v="2.3520000000000003"/>
    <n v="38.017108800000003"/>
    <n v="1064.4790464"/>
    <n v="396.01155"/>
    <n v="264.0077"/>
    <n v="18.628383312"/>
    <n v="105"/>
    <n v="1188.1074297120001"/>
    <n v="42.432408204000005"/>
    <n v="442.00425212500005"/>
    <n v="294.66950141666672"/>
  </r>
  <r>
    <s v="26/05/2026"/>
    <s v="M"/>
    <s v="[1062] RAMGADH"/>
    <s v="[8404] CHANDESH"/>
    <x v="38"/>
    <x v="38"/>
    <x v="38"/>
    <s v="B"/>
    <n v="38"/>
    <n v="6.4"/>
    <n v="9"/>
    <n v="2.4320000000000004"/>
    <n v="3.42"/>
    <n v="53.44"/>
    <n v="2030.7199999999998"/>
    <n v="430.96774193548384"/>
    <n v="287.31182795698925"/>
    <n v="35.537599999999998"/>
    <n v="142.5"/>
    <n v="2208.7575999999999"/>
    <n v="58.1252"/>
    <n v="468.7516129032258"/>
    <n v="312.5010752688172"/>
  </r>
  <r>
    <s v="26/05/2026"/>
    <s v="E"/>
    <s v="[1062] RAMGADH"/>
    <s v="[8404] CHANDESH"/>
    <x v="38"/>
    <x v="38"/>
    <x v="38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26/05/2026"/>
    <s v="E"/>
    <s v="[1062] RAMGADH"/>
    <s v="[8404] CHANDESH"/>
    <x v="38"/>
    <x v="38"/>
    <x v="38"/>
    <s v="C"/>
    <n v="36"/>
    <n v="4"/>
    <n v="8.5"/>
    <n v="1.44"/>
    <n v="3.06"/>
    <n v="40.311181500000004"/>
    <n v="1451.202534"/>
    <n v="417.0122224137931"/>
    <n v="278.00814827586208"/>
    <n v="25.396044345000004"/>
    <n v="135"/>
    <n v="1611.5985783450001"/>
    <n v="44.766627176250005"/>
    <n v="463.10303975431032"/>
    <n v="308.7353598362069"/>
  </r>
  <r>
    <s v="27/05/2026"/>
    <s v="M"/>
    <s v="[1062] RAMGADH"/>
    <s v="[8404] CHANDESH"/>
    <x v="38"/>
    <x v="38"/>
    <x v="38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27/05/2026"/>
    <s v="E"/>
    <s v="[1062] RAMGADH"/>
    <s v="[8404] CHANDESH"/>
    <x v="38"/>
    <x v="38"/>
    <x v="38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27/05/2026"/>
    <s v="E"/>
    <s v="[1062] RAMGADH"/>
    <s v="[8404] CHANDESH"/>
    <x v="38"/>
    <x v="38"/>
    <x v="38"/>
    <s v="C"/>
    <n v="29"/>
    <n v="4.3"/>
    <n v="8.5"/>
    <n v="1.2469999999999999"/>
    <n v="2.4649999999999999"/>
    <n v="41.562181500000001"/>
    <n v="1205.3032635"/>
    <n v="417.01185451505017"/>
    <n v="278.00790301003343"/>
    <n v="21.09280711125"/>
    <n v="108.75"/>
    <n v="1335.14607061125"/>
    <n v="46.039519676250002"/>
    <n v="461.93498002926424"/>
    <n v="307.95665335284281"/>
  </r>
  <r>
    <s v="28/05/2026"/>
    <s v="M"/>
    <s v="[1062] RAMGADH"/>
    <s v="[8404] CHANDESH"/>
    <x v="38"/>
    <x v="38"/>
    <x v="38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28/05/2026"/>
    <s v="E"/>
    <s v="[1062] RAMGADH"/>
    <s v="[8404] CHANDESH"/>
    <x v="38"/>
    <x v="38"/>
    <x v="38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22/05/2026"/>
    <s v="M"/>
    <s v="[1062] RAMGADH"/>
    <s v="[8403] MOHANIA"/>
    <x v="39"/>
    <x v="39"/>
    <x v="39"/>
    <s v="B"/>
    <n v="38"/>
    <n v="6.1"/>
    <n v="8.8000000000000007"/>
    <n v="2.3179999999999996"/>
    <n v="3.3440000000000003"/>
    <n v="50.425650000000005"/>
    <n v="1916.1747000000003"/>
    <n v="421.38426183844012"/>
    <n v="280.92284122562677"/>
    <n v="33.533057250000006"/>
    <n v="142.5"/>
    <n v="2092.2077572500002"/>
    <n v="55.058098875000006"/>
    <n v="460.09553377437328"/>
    <n v="306.73035584958217"/>
  </r>
  <r>
    <s v="22/05/2026"/>
    <s v="M"/>
    <s v="[1062] RAMGADH"/>
    <s v="[8403] MOHANIA"/>
    <x v="39"/>
    <x v="39"/>
    <x v="39"/>
    <s v="C"/>
    <n v="40"/>
    <n v="3.5"/>
    <n v="8"/>
    <n v="1.4"/>
    <n v="3.2"/>
    <n v="34.981056000000002"/>
    <n v="1399.24224"/>
    <n v="396.01195471698111"/>
    <n v="264.00796981132072"/>
    <n v="24.486739200000002"/>
    <n v="150"/>
    <n v="1573.7289792000001"/>
    <n v="39.343224480000003"/>
    <n v="445.39499411320753"/>
    <n v="296.92999607547171"/>
  </r>
  <r>
    <s v="22/05/2026"/>
    <s v="E"/>
    <s v="[1062] RAMGADH"/>
    <s v="[8403] MOHANIA"/>
    <x v="39"/>
    <x v="39"/>
    <x v="39"/>
    <s v="B"/>
    <n v="35"/>
    <n v="5.9"/>
    <n v="8.8000000000000007"/>
    <n v="2.0649999999999999"/>
    <n v="3.08"/>
    <n v="48.772350000000003"/>
    <n v="1707.0322500000002"/>
    <n v="414.49589235127479"/>
    <n v="276.33059490084986"/>
    <n v="29.873064375000006"/>
    <n v="131.25"/>
    <n v="1868.1553143750002"/>
    <n v="53.375866125000009"/>
    <n v="453.6192588526913"/>
    <n v="302.41283923512754"/>
  </r>
  <r>
    <s v="22/05/2026"/>
    <s v="E"/>
    <s v="[1062] RAMGADH"/>
    <s v="[8403] MOHANIA"/>
    <x v="39"/>
    <x v="39"/>
    <x v="39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3/05/2026"/>
    <s v="M"/>
    <s v="[1062] RAMGADH"/>
    <s v="[8403] MOHANIA"/>
    <x v="39"/>
    <x v="39"/>
    <x v="39"/>
    <s v="B"/>
    <n v="38"/>
    <n v="6.4"/>
    <n v="8.6"/>
    <n v="2.4320000000000004"/>
    <n v="3.2680000000000002"/>
    <n v="52.371199999999995"/>
    <n v="1990.1055999999999"/>
    <n v="431.6307692307692"/>
    <n v="287.75384615384615"/>
    <n v="34.826847999999998"/>
    <n v="142.5"/>
    <n v="2167.432448"/>
    <n v="57.037696000000004"/>
    <n v="470.09090109890116"/>
    <n v="313.3939340659341"/>
  </r>
  <r>
    <s v="23/05/2026"/>
    <s v="M"/>
    <s v="[1062] RAMGADH"/>
    <s v="[8403] MOHANIA"/>
    <x v="39"/>
    <x v="39"/>
    <x v="39"/>
    <s v="C"/>
    <n v="37"/>
    <n v="3.3"/>
    <n v="8"/>
    <n v="1.2209999999999999"/>
    <n v="2.96"/>
    <n v="34.189056000000008"/>
    <n v="1264.9950720000004"/>
    <n v="396.01223166023169"/>
    <n v="264.00815444015444"/>
    <n v="22.137413760000008"/>
    <n v="138.75"/>
    <n v="1425.8824857600005"/>
    <n v="38.537364480000015"/>
    <n v="446.37873915057924"/>
    <n v="297.58582610038616"/>
  </r>
  <r>
    <s v="23/05/2026"/>
    <s v="E"/>
    <s v="[1062] RAMGADH"/>
    <s v="[8403] MOHANIA"/>
    <x v="39"/>
    <x v="39"/>
    <x v="39"/>
    <s v="B"/>
    <n v="26"/>
    <n v="6"/>
    <n v="8.8000000000000007"/>
    <n v="1.56"/>
    <n v="2.2880000000000003"/>
    <n v="49.599000000000004"/>
    <n v="1289.5740000000001"/>
    <n v="417.96910112359552"/>
    <n v="278.64606741573033"/>
    <n v="22.567545000000003"/>
    <n v="97.5"/>
    <n v="1409.641545"/>
    <n v="54.2169825"/>
    <n v="456.88468398876404"/>
    <n v="304.58978932584267"/>
  </r>
  <r>
    <s v="23/05/2026"/>
    <s v="E"/>
    <s v="[1062] RAMGADH"/>
    <s v="[8403] MOHANIA"/>
    <x v="39"/>
    <x v="39"/>
    <x v="39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24/05/2026"/>
    <s v="M"/>
    <s v="[1062] RAMGADH"/>
    <s v="[8403] MOHANIA"/>
    <x v="39"/>
    <x v="39"/>
    <x v="39"/>
    <s v="B"/>
    <n v="38"/>
    <n v="6.6"/>
    <n v="8.8000000000000007"/>
    <n v="2.508"/>
    <n v="3.3440000000000003"/>
    <n v="54.558900000000001"/>
    <n v="2073.2382000000002"/>
    <n v="437.63823529411764"/>
    <n v="291.75882352941176"/>
    <n v="36.281668500000009"/>
    <n v="142.5"/>
    <n v="2252.0198685000005"/>
    <n v="59.263680750000013"/>
    <n v="475.37711831550808"/>
    <n v="316.91807887700537"/>
  </r>
  <r>
    <s v="24/05/2026"/>
    <s v="M"/>
    <s v="[1062] RAMGADH"/>
    <s v="[8403] MOHANIA"/>
    <x v="39"/>
    <x v="39"/>
    <x v="39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4/05/2026"/>
    <s v="E"/>
    <s v="[1062] RAMGADH"/>
    <s v="[8403] MOHANIA"/>
    <x v="39"/>
    <x v="39"/>
    <x v="39"/>
    <s v="B"/>
    <n v="31"/>
    <n v="6.1"/>
    <n v="8.8000000000000007"/>
    <n v="1.891"/>
    <n v="2.7280000000000002"/>
    <n v="50.425650000000005"/>
    <n v="1563.1951500000002"/>
    <n v="421.38426183844012"/>
    <n v="280.92284122562677"/>
    <n v="27.355915125000006"/>
    <n v="116.25"/>
    <n v="1706.8010651250002"/>
    <n v="55.058098875000006"/>
    <n v="460.09553377437328"/>
    <n v="306.73035584958217"/>
  </r>
  <r>
    <s v="24/05/2026"/>
    <s v="E"/>
    <s v="[1062] RAMGADH"/>
    <s v="[8403] MOHANIA"/>
    <x v="39"/>
    <x v="39"/>
    <x v="39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25/05/2026"/>
    <s v="M"/>
    <s v="[1062] RAMGADH"/>
    <s v="[8403] MOHANIA"/>
    <x v="39"/>
    <x v="39"/>
    <x v="39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s v="25/05/2026"/>
    <s v="M"/>
    <s v="[1062] RAMGADH"/>
    <s v="[8403] MOHANIA"/>
    <x v="39"/>
    <x v="39"/>
    <x v="39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25/05/2026"/>
    <s v="E"/>
    <s v="[1062] RAMGADH"/>
    <s v="[8403] MOHANIA"/>
    <x v="39"/>
    <x v="39"/>
    <x v="39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25/05/2026"/>
    <s v="E"/>
    <s v="[1062] RAMGADH"/>
    <s v="[8403] MOHANIA"/>
    <x v="39"/>
    <x v="39"/>
    <x v="39"/>
    <s v="C"/>
    <n v="34"/>
    <n v="3.1"/>
    <n v="8.1999999999999993"/>
    <n v="1.054"/>
    <n v="2.7879999999999994"/>
    <n v="33.925082400000001"/>
    <n v="1153.4528015999999"/>
    <n v="396.01263501945527"/>
    <n v="264.00842334630352"/>
    <n v="20.185424028"/>
    <n v="127.5"/>
    <n v="1301.1382256279999"/>
    <n v="38.268771341999994"/>
    <n v="446.7171751984435"/>
    <n v="297.81145013229565"/>
  </r>
  <r>
    <s v="26/05/2026"/>
    <s v="M"/>
    <s v="[1062] RAMGADH"/>
    <s v="[8403] MOHANIA"/>
    <x v="39"/>
    <x v="39"/>
    <x v="39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26/05/2026"/>
    <s v="M"/>
    <s v="[1062] RAMGADH"/>
    <s v="[8403] MOHANIA"/>
    <x v="39"/>
    <x v="39"/>
    <x v="39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6/05/2026"/>
    <s v="E"/>
    <s v="[1062] RAMGADH"/>
    <s v="[8403] MOHANIA"/>
    <x v="39"/>
    <x v="39"/>
    <x v="39"/>
    <s v="B"/>
    <n v="24"/>
    <n v="6.4"/>
    <n v="9"/>
    <n v="1.5360000000000003"/>
    <n v="2.16"/>
    <n v="53.44"/>
    <n v="1282.56"/>
    <n v="430.96774193548384"/>
    <n v="287.31182795698925"/>
    <n v="22.444800000000001"/>
    <n v="90"/>
    <n v="1395.0047999999999"/>
    <n v="58.1252"/>
    <n v="468.7516129032258"/>
    <n v="312.5010752688172"/>
  </r>
  <r>
    <s v="26/05/2026"/>
    <s v="E"/>
    <s v="[1062] RAMGADH"/>
    <s v="[8403] MOHANIA"/>
    <x v="39"/>
    <x v="39"/>
    <x v="39"/>
    <s v="C"/>
    <n v="35"/>
    <n v="3.1"/>
    <n v="8.3000000000000007"/>
    <n v="1.085"/>
    <n v="2.9049999999999998"/>
    <n v="36.002153700000008"/>
    <n v="1260.0753795000003"/>
    <n v="417.01336332046338"/>
    <n v="278.00890888030892"/>
    <n v="22.051319141250008"/>
    <n v="131.25"/>
    <n v="1413.3766986412502"/>
    <n v="40.382191389750005"/>
    <n v="467.74739061486486"/>
    <n v="311.83159374324322"/>
  </r>
  <r>
    <s v="27/05/2026"/>
    <s v="M"/>
    <s v="[1062] RAMGADH"/>
    <s v="[8403] MOHANIA"/>
    <x v="39"/>
    <x v="39"/>
    <x v="39"/>
    <s v="B"/>
    <n v="5"/>
    <n v="6.4"/>
    <n v="9"/>
    <n v="0.32"/>
    <n v="0.45"/>
    <n v="53.44"/>
    <n v="267.2"/>
    <n v="430.96774193548384"/>
    <n v="287.31182795698925"/>
    <n v="4.6760000000000002"/>
    <n v="18.75"/>
    <n v="290.62599999999998"/>
    <n v="58.125199999999992"/>
    <n v="468.75161290322575"/>
    <n v="312.50107526881715"/>
  </r>
  <r>
    <s v="27/05/2026"/>
    <s v="E"/>
    <s v="[1062] RAMGADH"/>
    <s v="[8403] MOHANIA"/>
    <x v="39"/>
    <x v="39"/>
    <x v="39"/>
    <s v="B"/>
    <n v="30"/>
    <n v="6"/>
    <n v="9"/>
    <n v="1.8"/>
    <n v="2.7"/>
    <n v="50.1"/>
    <n v="1503"/>
    <n v="417.5"/>
    <n v="278.33333333333331"/>
    <n v="26.302500000000002"/>
    <n v="112.5"/>
    <n v="1641.8025"/>
    <n v="54.726750000000003"/>
    <n v="456.05625000000003"/>
    <n v="304.03750000000002"/>
  </r>
  <r>
    <s v="27/05/2026"/>
    <s v="E"/>
    <s v="[1062] RAMGADH"/>
    <s v="[8403] MOHANIA"/>
    <x v="39"/>
    <x v="39"/>
    <x v="39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28/05/2026"/>
    <s v="M"/>
    <s v="[1062] RAMGADH"/>
    <s v="[8403] MOHANIA"/>
    <x v="39"/>
    <x v="39"/>
    <x v="39"/>
    <s v="B"/>
    <n v="28"/>
    <n v="6.2"/>
    <n v="9"/>
    <n v="1.736"/>
    <n v="2.52"/>
    <n v="51.77"/>
    <n v="1449.5600000000002"/>
    <n v="424.34426229508199"/>
    <n v="282.89617486338801"/>
    <n v="25.367300000000004"/>
    <n v="105"/>
    <n v="1579.9273000000003"/>
    <n v="56.425975000000008"/>
    <n v="462.50799180327874"/>
    <n v="308.33866120218585"/>
  </r>
  <r>
    <s v="28/05/2026"/>
    <s v="M"/>
    <s v="[1062] RAMGADH"/>
    <s v="[8403] MOHANIA"/>
    <x v="39"/>
    <x v="39"/>
    <x v="39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8/05/2026"/>
    <s v="E"/>
    <s v="[1062] RAMGADH"/>
    <s v="[8403] MOHANIA"/>
    <x v="39"/>
    <x v="39"/>
    <x v="39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28/05/2026"/>
    <s v="E"/>
    <s v="[1062] RAMGADH"/>
    <s v="[8403] MOHANIA"/>
    <x v="39"/>
    <x v="39"/>
    <x v="39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2/05/2026"/>
    <s v="M"/>
    <s v="[1062] RAMGADH"/>
    <s v="[8402] RAMPUR"/>
    <x v="40"/>
    <x v="40"/>
    <x v="40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23/05/2026"/>
    <s v="M"/>
    <s v="[1062] RAMGADH"/>
    <s v="[8402] RAMPUR"/>
    <x v="40"/>
    <x v="40"/>
    <x v="40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24/05/2026"/>
    <s v="M"/>
    <s v="[1062] RAMGADH"/>
    <s v="[8402] RAMPUR"/>
    <x v="40"/>
    <x v="40"/>
    <x v="40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4/05/2026"/>
    <s v="E"/>
    <s v="[1062] RAMGADH"/>
    <s v="[8402] RAMPUR"/>
    <x v="40"/>
    <x v="40"/>
    <x v="40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25/05/2026"/>
    <s v="M"/>
    <s v="[1062] RAMGADH"/>
    <s v="[8402] RAMPUR"/>
    <x v="40"/>
    <x v="40"/>
    <x v="40"/>
    <s v="B"/>
    <n v="18"/>
    <n v="7.3"/>
    <n v="8.8000000000000007"/>
    <n v="1.3140000000000001"/>
    <n v="1.5840000000000001"/>
    <n v="60.34545"/>
    <n v="1086.2181"/>
    <n v="458.31987341772157"/>
    <n v="305.54658227848103"/>
    <n v="19.008816750000001"/>
    <n v="67.5"/>
    <n v="1172.7269167500001"/>
    <n v="65.15149537500001"/>
    <n v="494.8214838607596"/>
    <n v="329.88098924050638"/>
  </r>
  <r>
    <s v="25/05/2026"/>
    <s v="E"/>
    <s v="[1062] RAMGADH"/>
    <s v="[8402] RAMPUR"/>
    <x v="40"/>
    <x v="40"/>
    <x v="40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26/05/2026"/>
    <s v="M"/>
    <s v="[1062] RAMGADH"/>
    <s v="[8402] RAMPUR"/>
    <x v="40"/>
    <x v="40"/>
    <x v="40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27/05/2026"/>
    <s v="M"/>
    <s v="[1062] RAMGADH"/>
    <s v="[8402] RAMPUR"/>
    <x v="40"/>
    <x v="40"/>
    <x v="40"/>
    <s v="B"/>
    <n v="20"/>
    <n v="7.4"/>
    <n v="9"/>
    <n v="1.48"/>
    <n v="1.8"/>
    <n v="61.790000000000006"/>
    <n v="1235.8000000000002"/>
    <n v="461.11940298507466"/>
    <n v="307.41293532338312"/>
    <n v="21.626500000000004"/>
    <n v="75"/>
    <n v="1332.4265000000003"/>
    <n v="66.621325000000013"/>
    <n v="497.17406716417918"/>
    <n v="331.44937810945277"/>
  </r>
  <r>
    <s v="27/05/2026"/>
    <s v="E"/>
    <s v="[1062] RAMGADH"/>
    <s v="[8402] RAMPUR"/>
    <x v="40"/>
    <x v="40"/>
    <x v="40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28/05/2026"/>
    <s v="M"/>
    <s v="[1062] RAMGADH"/>
    <s v="[8402] RAMPUR"/>
    <x v="40"/>
    <x v="40"/>
    <x v="40"/>
    <s v="B"/>
    <n v="9"/>
    <n v="7.3"/>
    <n v="8.8000000000000007"/>
    <n v="0.65700000000000003"/>
    <n v="0.79200000000000004"/>
    <n v="60.34545"/>
    <n v="543.10905000000002"/>
    <n v="458.31987341772157"/>
    <n v="305.54658227848103"/>
    <n v="9.5044083750000006"/>
    <n v="33.75"/>
    <n v="586.36345837500005"/>
    <n v="65.15149537500001"/>
    <n v="494.8214838607596"/>
    <n v="329.88098924050638"/>
  </r>
  <r>
    <s v="28/05/2026"/>
    <s v="E"/>
    <s v="[1062] RAMGADH"/>
    <s v="[8402] RAMPUR"/>
    <x v="40"/>
    <x v="40"/>
    <x v="40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22/05/2026"/>
    <s v="M"/>
    <s v="[1062] RAMGADH"/>
    <s v="[8401] DURGAWATI"/>
    <x v="41"/>
    <x v="41"/>
    <x v="41"/>
    <s v="B"/>
    <n v="64"/>
    <n v="7.4"/>
    <n v="8.9"/>
    <n v="4.7360000000000007"/>
    <n v="5.6960000000000006"/>
    <n v="61.172100000000007"/>
    <n v="3915.0144000000005"/>
    <n v="458.79074999999995"/>
    <n v="305.86049999999994"/>
    <n v="68.51275200000002"/>
    <n v="240"/>
    <n v="4223.5271520000006"/>
    <n v="65.992611750000009"/>
    <n v="494.944588125"/>
    <n v="329.96305875000002"/>
  </r>
  <r>
    <s v="22/05/2026"/>
    <s v="M"/>
    <s v="[1062] RAMGADH"/>
    <s v="[8401] DURGAWATI"/>
    <x v="41"/>
    <x v="41"/>
    <x v="41"/>
    <s v="C"/>
    <n v="26"/>
    <n v="3.7"/>
    <n v="8.1"/>
    <n v="0.96200000000000008"/>
    <n v="2.1059999999999999"/>
    <n v="36.037069200000005"/>
    <n v="936.96379920000015"/>
    <n v="396.01174945054953"/>
    <n v="264.00783296703304"/>
    <n v="16.396866486000004"/>
    <n v="97.5"/>
    <n v="1050.8606656860002"/>
    <n v="40.417717911000004"/>
    <n v="444.15074627472535"/>
    <n v="296.10049751648359"/>
  </r>
  <r>
    <s v="22/05/2026"/>
    <s v="E"/>
    <s v="[1062] RAMGADH"/>
    <s v="[8401] DURGAWATI"/>
    <x v="41"/>
    <x v="41"/>
    <x v="41"/>
    <s v="B"/>
    <n v="40"/>
    <n v="6.2"/>
    <n v="8.6"/>
    <n v="2.48"/>
    <n v="3.44"/>
    <n v="50.7346"/>
    <n v="2029.384"/>
    <n v="425.15027932960902"/>
    <n v="283.4335195530727"/>
    <n v="35.514220000000002"/>
    <n v="150"/>
    <n v="2214.89822"/>
    <n v="55.372455500000001"/>
    <n v="464.01499022346377"/>
    <n v="309.34332681564251"/>
  </r>
  <r>
    <s v="22/05/2026"/>
    <s v="E"/>
    <s v="[1062] RAMGADH"/>
    <s v="[8401] DURGAWATI"/>
    <x v="41"/>
    <x v="41"/>
    <x v="41"/>
    <s v="C"/>
    <n v="16"/>
    <n v="3.8"/>
    <n v="8.1999999999999993"/>
    <n v="0.60799999999999998"/>
    <n v="1.3119999999999998"/>
    <n v="36.697082399999999"/>
    <n v="587.15331839999999"/>
    <n v="396.01168057553957"/>
    <n v="264.0077870503597"/>
    <n v="10.275183072000001"/>
    <n v="60"/>
    <n v="657.42850147199999"/>
    <n v="41.089281342"/>
    <n v="443.40951088489209"/>
    <n v="295.60634058992804"/>
  </r>
  <r>
    <s v="23/05/2026"/>
    <s v="M"/>
    <s v="[1062] RAMGADH"/>
    <s v="[8401] DURGAWATI"/>
    <x v="41"/>
    <x v="41"/>
    <x v="41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23/05/2026"/>
    <s v="M"/>
    <s v="[1062] RAMGADH"/>
    <s v="[8401] DURGAWATI"/>
    <x v="41"/>
    <x v="41"/>
    <x v="41"/>
    <s v="C"/>
    <n v="29"/>
    <n v="3.8"/>
    <n v="8.1999999999999993"/>
    <n v="1.1019999999999999"/>
    <n v="2.3779999999999997"/>
    <n v="36.697082399999999"/>
    <n v="1064.2153896"/>
    <n v="396.01168057553957"/>
    <n v="264.0077870503597"/>
    <n v="18.623769318000001"/>
    <n v="108.75"/>
    <n v="1191.5891589180001"/>
    <n v="41.089281342"/>
    <n v="443.40951088489209"/>
    <n v="295.60634058992804"/>
  </r>
  <r>
    <s v="23/05/2026"/>
    <s v="E"/>
    <s v="[1062] RAMGADH"/>
    <s v="[8401] DURGAWATI"/>
    <x v="41"/>
    <x v="41"/>
    <x v="41"/>
    <s v="B"/>
    <n v="29"/>
    <n v="6.4"/>
    <n v="8.8000000000000007"/>
    <n v="1.8560000000000003"/>
    <n v="2.552"/>
    <n v="52.9056"/>
    <n v="1534.2624000000001"/>
    <n v="431.29565217391303"/>
    <n v="287.53043478260867"/>
    <n v="26.849592000000005"/>
    <n v="108.75"/>
    <n v="1669.8619920000001"/>
    <n v="57.581448000000002"/>
    <n v="469.41397826086956"/>
    <n v="312.94265217391302"/>
  </r>
  <r>
    <s v="23/05/2026"/>
    <s v="E"/>
    <s v="[1062] RAMGADH"/>
    <s v="[8401] DURGAWATI"/>
    <x v="41"/>
    <x v="41"/>
    <x v="41"/>
    <s v="C"/>
    <n v="35"/>
    <n v="3.6"/>
    <n v="8.1999999999999993"/>
    <n v="1.26"/>
    <n v="2.87"/>
    <n v="35.905082400000005"/>
    <n v="1256.6778840000002"/>
    <n v="396.01193823529417"/>
    <n v="264.00795882352946"/>
    <n v="21.991862970000007"/>
    <n v="131.25"/>
    <n v="1409.9197469700002"/>
    <n v="40.283421342000004"/>
    <n v="444.30244127205884"/>
    <n v="296.20162751470588"/>
  </r>
  <r>
    <s v="24/05/2026"/>
    <s v="M"/>
    <s v="[1062] RAMGADH"/>
    <s v="[8401] DURGAWATI"/>
    <x v="41"/>
    <x v="41"/>
    <x v="41"/>
    <s v="B"/>
    <n v="70"/>
    <n v="6.2"/>
    <n v="8.8000000000000007"/>
    <n v="4.34"/>
    <n v="6.16"/>
    <n v="51.252300000000005"/>
    <n v="3587.6610000000005"/>
    <n v="424.74281767955802"/>
    <n v="283.1618784530387"/>
    <n v="62.784067500000013"/>
    <n v="262.5"/>
    <n v="3912.9450675000007"/>
    <n v="55.899215250000012"/>
    <n v="463.2531650552487"/>
    <n v="308.83544337016582"/>
  </r>
  <r>
    <s v="24/05/2026"/>
    <s v="M"/>
    <s v="[1062] RAMGADH"/>
    <s v="[8401] DURGAWATI"/>
    <x v="41"/>
    <x v="41"/>
    <x v="41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24/05/2026"/>
    <s v="E"/>
    <s v="[1062] RAMGADH"/>
    <s v="[8401] DURGAWATI"/>
    <x v="41"/>
    <x v="41"/>
    <x v="41"/>
    <s v="B"/>
    <n v="33"/>
    <n v="6.2"/>
    <n v="8.8000000000000007"/>
    <n v="2.0459999999999998"/>
    <n v="2.9040000000000004"/>
    <n v="51.252300000000005"/>
    <n v="1691.3259000000003"/>
    <n v="424.74281767955802"/>
    <n v="283.1618784530387"/>
    <n v="29.598203250000008"/>
    <n v="123.75"/>
    <n v="1844.6741032500004"/>
    <n v="55.899215250000012"/>
    <n v="463.2531650552487"/>
    <n v="308.83544337016582"/>
  </r>
  <r>
    <s v="24/05/2026"/>
    <s v="E"/>
    <s v="[1062] RAMGADH"/>
    <s v="[8401] DURGAWATI"/>
    <x v="41"/>
    <x v="41"/>
    <x v="41"/>
    <s v="C"/>
    <n v="14"/>
    <n v="3.1"/>
    <n v="8.1"/>
    <n v="0.434"/>
    <n v="1.1339999999999999"/>
    <n v="33.6610692"/>
    <n v="471.25496880000003"/>
    <n v="396.01257882352945"/>
    <n v="264.00838588235297"/>
    <n v="8.2469619540000014"/>
    <n v="52.5"/>
    <n v="532.001930754"/>
    <n v="38.000137911000003"/>
    <n v="447.06044601176478"/>
    <n v="298.04029734117654"/>
  </r>
  <r>
    <s v="25/05/2026"/>
    <s v="M"/>
    <s v="[1062] RAMGADH"/>
    <s v="[8401] DURGAWATI"/>
    <x v="41"/>
    <x v="41"/>
    <x v="41"/>
    <s v="B"/>
    <n v="58"/>
    <n v="6.7"/>
    <n v="8.8000000000000007"/>
    <n v="3.8860000000000001"/>
    <n v="5.1040000000000001"/>
    <n v="55.385550000000002"/>
    <n v="3212.3619000000003"/>
    <n v="440.73381962864721"/>
    <n v="293.82254641909816"/>
    <n v="56.216333250000012"/>
    <n v="217.5"/>
    <n v="3486.0782332500003"/>
    <n v="60.104797125000005"/>
    <n v="478.28751027851456"/>
    <n v="318.85834018567635"/>
  </r>
  <r>
    <s v="25/05/2026"/>
    <s v="M"/>
    <s v="[1062] RAMGADH"/>
    <s v="[8401] DURGAWATI"/>
    <x v="41"/>
    <x v="41"/>
    <x v="41"/>
    <s v="C"/>
    <n v="33"/>
    <n v="3.6"/>
    <n v="8"/>
    <n v="1.1879999999999999"/>
    <n v="2.64"/>
    <n v="35.377056000000003"/>
    <n v="1167.4428480000001"/>
    <n v="396.01182089552236"/>
    <n v="264.00788059701489"/>
    <n v="20.430249840000005"/>
    <n v="123.75"/>
    <n v="1311.6230978400001"/>
    <n v="39.746154480000001"/>
    <n v="444.91963970149249"/>
    <n v="296.61309313432832"/>
  </r>
  <r>
    <s v="25/05/2026"/>
    <s v="E"/>
    <s v="[1062] RAMGADH"/>
    <s v="[8401] DURGAWATI"/>
    <x v="41"/>
    <x v="41"/>
    <x v="41"/>
    <s v="B"/>
    <n v="27"/>
    <n v="5.7"/>
    <n v="8.6"/>
    <n v="1.5390000000000001"/>
    <n v="2.3220000000000001"/>
    <n v="46.643099999999997"/>
    <n v="1259.3636999999999"/>
    <n v="407.95714285714286"/>
    <n v="271.97142857142859"/>
    <n v="22.038864749999998"/>
    <n v="101.25"/>
    <n v="1382.6525647499998"/>
    <n v="51.20935424999999"/>
    <n v="447.89522667638477"/>
    <n v="298.59681778425653"/>
  </r>
  <r>
    <s v="25/05/2026"/>
    <s v="E"/>
    <s v="[1062] RAMGADH"/>
    <s v="[8401] DURGAWATI"/>
    <x v="41"/>
    <x v="41"/>
    <x v="41"/>
    <s v="C"/>
    <n v="22"/>
    <n v="3.6"/>
    <n v="8.1999999999999993"/>
    <n v="0.79200000000000004"/>
    <n v="1.8039999999999998"/>
    <n v="35.905082400000005"/>
    <n v="789.91181280000012"/>
    <n v="396.01193823529417"/>
    <n v="264.00795882352946"/>
    <n v="13.823456724000003"/>
    <n v="82.5"/>
    <n v="886.23526952400016"/>
    <n v="40.283421342000004"/>
    <n v="444.30244127205884"/>
    <n v="296.20162751470588"/>
  </r>
  <r>
    <s v="26/05/2026"/>
    <s v="M"/>
    <s v="[1062] RAMGADH"/>
    <s v="[8401] DURGAWATI"/>
    <x v="41"/>
    <x v="41"/>
    <x v="41"/>
    <s v="B"/>
    <n v="55"/>
    <n v="6.5"/>
    <n v="8.8000000000000007"/>
    <n v="3.5750000000000002"/>
    <n v="4.8400000000000007"/>
    <n v="53.732250000000001"/>
    <n v="2955.2737499999998"/>
    <n v="434.49258760107813"/>
    <n v="289.66172506738542"/>
    <n v="51.717290625000004"/>
    <n v="206.25"/>
    <n v="3213.2410406250001"/>
    <n v="58.422564375"/>
    <n v="472.41965801886789"/>
    <n v="314.94643867924526"/>
  </r>
  <r>
    <s v="26/05/2026"/>
    <s v="M"/>
    <s v="[1062] RAMGADH"/>
    <s v="[8401] DURGAWATI"/>
    <x v="41"/>
    <x v="41"/>
    <x v="41"/>
    <s v="C"/>
    <n v="29"/>
    <n v="3.5"/>
    <n v="8.1999999999999993"/>
    <n v="1.0149999999999999"/>
    <n v="2.3779999999999997"/>
    <n v="37.392139800000002"/>
    <n v="1084.3720542000001"/>
    <n v="417.01271152416359"/>
    <n v="278.00847434944239"/>
    <n v="18.976510948500003"/>
    <n v="108.75"/>
    <n v="1212.0985651485"/>
    <n v="41.796502246499998"/>
    <n v="466.13199531412636"/>
    <n v="310.7546635427509"/>
  </r>
  <r>
    <s v="26/05/2026"/>
    <s v="E"/>
    <s v="[1062] RAMGADH"/>
    <s v="[8401] DURGAWATI"/>
    <x v="41"/>
    <x v="41"/>
    <x v="41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26/05/2026"/>
    <s v="E"/>
    <s v="[1062] RAMGADH"/>
    <s v="[8401] DURGAWATI"/>
    <x v="41"/>
    <x v="41"/>
    <x v="41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27/05/2026"/>
    <s v="M"/>
    <s v="[1062] RAMGADH"/>
    <s v="[8401] DURGAWATI"/>
    <x v="41"/>
    <x v="41"/>
    <x v="41"/>
    <s v="B"/>
    <n v="46"/>
    <n v="7"/>
    <n v="9"/>
    <n v="3.22"/>
    <n v="4.1399999999999997"/>
    <n v="58.45"/>
    <n v="2688.7000000000003"/>
    <n v="449.61538461538464"/>
    <n v="299.74358974358978"/>
    <n v="47.052250000000008"/>
    <n v="172.5"/>
    <n v="2908.2522500000005"/>
    <n v="63.222875000000009"/>
    <n v="486.32980769230772"/>
    <n v="324.21987179487184"/>
  </r>
  <r>
    <s v="27/05/2026"/>
    <s v="M"/>
    <s v="[1062] RAMGADH"/>
    <s v="[8401] DURGAWATI"/>
    <x v="41"/>
    <x v="41"/>
    <x v="41"/>
    <s v="C"/>
    <n v="26"/>
    <n v="4.5"/>
    <n v="8.5"/>
    <n v="1.17"/>
    <n v="2.21"/>
    <n v="42.396181500000004"/>
    <n v="1102.3007190000001"/>
    <n v="417.01162131147544"/>
    <n v="278.00774754098364"/>
    <n v="19.290262582500002"/>
    <n v="97.5"/>
    <n v="1219.0909815825"/>
    <n v="46.888114676249998"/>
    <n v="461.19457058606554"/>
    <n v="307.46304705737703"/>
  </r>
  <r>
    <s v="27/05/2026"/>
    <s v="E"/>
    <s v="[1062] RAMGADH"/>
    <s v="[8401] DURGAWATI"/>
    <x v="41"/>
    <x v="41"/>
    <x v="41"/>
    <s v="B"/>
    <n v="10"/>
    <n v="5.9"/>
    <n v="9"/>
    <n v="0.59"/>
    <n v="0.9"/>
    <n v="49.265000000000001"/>
    <n v="492.65"/>
    <n v="413.99159663865549"/>
    <n v="275.99439775910366"/>
    <n v="8.6213750000000005"/>
    <n v="37.5"/>
    <n v="538.77137500000003"/>
    <n v="53.877137500000003"/>
    <n v="452.74905462184881"/>
    <n v="301.83270308123252"/>
  </r>
  <r>
    <s v="27/05/2026"/>
    <s v="E"/>
    <s v="[1062] RAMGADH"/>
    <s v="[8401] DURGAWATI"/>
    <x v="41"/>
    <x v="41"/>
    <x v="41"/>
    <s v="C"/>
    <n v="11"/>
    <n v="4.2"/>
    <n v="8.1999999999999993"/>
    <n v="0.46200000000000002"/>
    <n v="0.90199999999999991"/>
    <n v="40.311139799999999"/>
    <n v="443.42253779999999"/>
    <n v="417.01179103448277"/>
    <n v="278.00786068965516"/>
    <n v="7.7598944115000004"/>
    <n v="41.25"/>
    <n v="492.43243221149999"/>
    <n v="44.766584746500001"/>
    <n v="463.10260082586211"/>
    <n v="308.73506721724141"/>
  </r>
  <r>
    <s v="28/05/2026"/>
    <s v="M"/>
    <s v="[1062] RAMGADH"/>
    <s v="[8401] DURGAWATI"/>
    <x v="41"/>
    <x v="41"/>
    <x v="41"/>
    <s v="B"/>
    <n v="54"/>
    <n v="6.7"/>
    <n v="8.8000000000000007"/>
    <n v="3.6180000000000003"/>
    <n v="4.7520000000000007"/>
    <n v="55.385550000000002"/>
    <n v="2990.8197"/>
    <n v="440.73381962864721"/>
    <n v="293.82254641909816"/>
    <n v="52.339344750000002"/>
    <n v="202.5"/>
    <n v="3245.6590447500002"/>
    <n v="60.104797125000005"/>
    <n v="478.28751027851456"/>
    <n v="318.85834018567635"/>
  </r>
  <r>
    <s v="28/05/2026"/>
    <s v="M"/>
    <s v="[1062] RAMGADH"/>
    <s v="[8401] DURGAWATI"/>
    <x v="41"/>
    <x v="41"/>
    <x v="41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28/05/2026"/>
    <s v="E"/>
    <s v="[1062] RAMGADH"/>
    <s v="[8401] DURGAWATI"/>
    <x v="41"/>
    <x v="41"/>
    <x v="41"/>
    <s v="B"/>
    <n v="31"/>
    <n v="6.2"/>
    <n v="8.8000000000000007"/>
    <n v="1.9220000000000002"/>
    <n v="2.7280000000000002"/>
    <n v="51.252300000000005"/>
    <n v="1588.8213000000001"/>
    <n v="424.74281767955802"/>
    <n v="283.1618784530387"/>
    <n v="27.804372750000002"/>
    <n v="116.25"/>
    <n v="1732.8756727500001"/>
    <n v="55.899215250000005"/>
    <n v="463.25316505524864"/>
    <n v="308.83544337016576"/>
  </r>
  <r>
    <s v="28/05/2026"/>
    <s v="E"/>
    <s v="[1062] RAMGADH"/>
    <s v="[8401] DURGAWATI"/>
    <x v="41"/>
    <x v="41"/>
    <x v="41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22/05/2026"/>
    <s v="M"/>
    <s v="[1062] RAMGADH"/>
    <s v="[8403] MOHANIA"/>
    <x v="42"/>
    <x v="42"/>
    <x v="42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22/05/2026"/>
    <s v="M"/>
    <s v="[1062] RAMGADH"/>
    <s v="[8403] MOHANIA"/>
    <x v="42"/>
    <x v="42"/>
    <x v="42"/>
    <s v="C"/>
    <n v="25"/>
    <n v="3.8"/>
    <n v="8.1"/>
    <n v="0.95"/>
    <n v="2.0249999999999999"/>
    <n v="36.433069200000006"/>
    <n v="910.82673000000011"/>
    <n v="396.01162173913048"/>
    <n v="264.00774782608698"/>
    <n v="15.939467775000004"/>
    <n v="93.75"/>
    <n v="1020.5161977750001"/>
    <n v="40.820647911000009"/>
    <n v="443.70269468478273"/>
    <n v="295.8017964565218"/>
  </r>
  <r>
    <s v="22/05/2026"/>
    <s v="E"/>
    <s v="[1062] RAMGADH"/>
    <s v="[8403] MOHANIA"/>
    <x v="42"/>
    <x v="42"/>
    <x v="42"/>
    <s v="B"/>
    <n v="12"/>
    <n v="7.7"/>
    <n v="8.8000000000000007"/>
    <n v="0.92400000000000004"/>
    <n v="1.056"/>
    <n v="63.652050000000003"/>
    <n v="763.82460000000003"/>
    <n v="469.17972972972979"/>
    <n v="312.78648648648652"/>
    <n v="13.366930500000002"/>
    <n v="45"/>
    <n v="822.1915305"/>
    <n v="68.515960875000005"/>
    <n v="505.03165264127773"/>
    <n v="336.68776842751851"/>
  </r>
  <r>
    <s v="22/05/2026"/>
    <s v="E"/>
    <s v="[1062] RAMGADH"/>
    <s v="[8403] MOHANIA"/>
    <x v="42"/>
    <x v="42"/>
    <x v="42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23/05/2026"/>
    <s v="M"/>
    <s v="[1062] RAMGADH"/>
    <s v="[8403] MOHANIA"/>
    <x v="42"/>
    <x v="42"/>
    <x v="42"/>
    <s v="B"/>
    <n v="16"/>
    <n v="7.2"/>
    <n v="8.6"/>
    <n v="1.1520000000000001"/>
    <n v="1.3759999999999999"/>
    <n v="58.9176"/>
    <n v="942.6816"/>
    <n v="455.54845360824743"/>
    <n v="303.69896907216497"/>
    <n v="16.496928"/>
    <n v="60"/>
    <n v="1019.178528"/>
    <n v="63.698658000000002"/>
    <n v="492.51539690721654"/>
    <n v="328.34359793814434"/>
  </r>
  <r>
    <s v="23/05/2026"/>
    <s v="M"/>
    <s v="[1062] RAMGADH"/>
    <s v="[8403] MOHANIA"/>
    <x v="42"/>
    <x v="42"/>
    <x v="42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s v="23/05/2026"/>
    <s v="E"/>
    <s v="[1062] RAMGADH"/>
    <s v="[8403] MOHANIA"/>
    <x v="42"/>
    <x v="42"/>
    <x v="42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23/05/2026"/>
    <s v="E"/>
    <s v="[1062] RAMGADH"/>
    <s v="[8403] MOHANIA"/>
    <x v="42"/>
    <x v="42"/>
    <x v="4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4/05/2026"/>
    <s v="M"/>
    <s v="[1062] RAMGADH"/>
    <s v="[8403] MOHANIA"/>
    <x v="42"/>
    <x v="42"/>
    <x v="42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24/05/2026"/>
    <s v="M"/>
    <s v="[1062] RAMGADH"/>
    <s v="[8403] MOHANIA"/>
    <x v="42"/>
    <x v="42"/>
    <x v="42"/>
    <s v="C"/>
    <n v="25"/>
    <n v="3.7"/>
    <n v="8.1"/>
    <n v="0.92500000000000004"/>
    <n v="2.0249999999999999"/>
    <n v="36.037069200000005"/>
    <n v="900.92673000000013"/>
    <n v="396.01174945054953"/>
    <n v="264.00783296703304"/>
    <n v="15.766217775000003"/>
    <n v="93.75"/>
    <n v="1010.4429477750001"/>
    <n v="40.417717911000004"/>
    <n v="444.15074627472535"/>
    <n v="296.10049751648359"/>
  </r>
  <r>
    <s v="24/05/2026"/>
    <s v="E"/>
    <s v="[1062] RAMGADH"/>
    <s v="[8403] MOHANIA"/>
    <x v="42"/>
    <x v="42"/>
    <x v="42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24/05/2026"/>
    <s v="E"/>
    <s v="[1062] RAMGADH"/>
    <s v="[8403] MOHANIA"/>
    <x v="42"/>
    <x v="42"/>
    <x v="42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25/05/2026"/>
    <s v="M"/>
    <s v="[1062] RAMGADH"/>
    <s v="[8403] MOHANIA"/>
    <x v="42"/>
    <x v="42"/>
    <x v="42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25/05/2026"/>
    <s v="M"/>
    <s v="[1062] RAMGADH"/>
    <s v="[8403] MOHANIA"/>
    <x v="42"/>
    <x v="42"/>
    <x v="42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s v="25/05/2026"/>
    <s v="E"/>
    <s v="[1062] RAMGADH"/>
    <s v="[8403] MOHANIA"/>
    <x v="42"/>
    <x v="42"/>
    <x v="42"/>
    <s v="B"/>
    <n v="6"/>
    <n v="7.7"/>
    <n v="8.8000000000000007"/>
    <n v="0.46200000000000002"/>
    <n v="0.52800000000000002"/>
    <n v="63.652050000000003"/>
    <n v="381.91230000000002"/>
    <n v="469.17972972972979"/>
    <n v="312.78648648648652"/>
    <n v="6.6834652500000011"/>
    <n v="22.5"/>
    <n v="411.09576525"/>
    <n v="68.515960875000005"/>
    <n v="505.03165264127773"/>
    <n v="336.68776842751851"/>
  </r>
  <r>
    <s v="25/05/2026"/>
    <s v="E"/>
    <s v="[1062] RAMGADH"/>
    <s v="[8403] MOHANIA"/>
    <x v="42"/>
    <x v="42"/>
    <x v="42"/>
    <s v="C"/>
    <n v="23"/>
    <n v="3.5"/>
    <n v="8.1999999999999993"/>
    <n v="0.80500000000000005"/>
    <n v="1.8859999999999999"/>
    <n v="35.509082400000004"/>
    <n v="816.70889520000014"/>
    <n v="396.0120713754647"/>
    <n v="264.00804758364313"/>
    <n v="14.292405666000004"/>
    <n v="86.25"/>
    <n v="917.25130086600018"/>
    <n v="39.880491342000006"/>
    <n v="444.76384396282532"/>
    <n v="296.50922930855023"/>
  </r>
  <r>
    <s v="26/05/2026"/>
    <s v="M"/>
    <s v="[1062] RAMGADH"/>
    <s v="[8403] MOHANIA"/>
    <x v="42"/>
    <x v="42"/>
    <x v="42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26/05/2026"/>
    <s v="M"/>
    <s v="[1062] RAMGADH"/>
    <s v="[8403] MOHANIA"/>
    <x v="42"/>
    <x v="42"/>
    <x v="42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26/05/2026"/>
    <s v="E"/>
    <s v="[1062] RAMGADH"/>
    <s v="[8403] MOHANIA"/>
    <x v="42"/>
    <x v="42"/>
    <x v="42"/>
    <s v="B"/>
    <n v="8"/>
    <n v="6"/>
    <n v="9"/>
    <n v="0.48"/>
    <n v="0.72"/>
    <n v="50.1"/>
    <n v="400.8"/>
    <n v="417.5"/>
    <n v="278.33333333333331"/>
    <n v="7.0140000000000011"/>
    <n v="30"/>
    <n v="437.81400000000002"/>
    <n v="54.726750000000003"/>
    <n v="456.05625000000003"/>
    <n v="304.03750000000002"/>
  </r>
  <r>
    <s v="26/05/2026"/>
    <s v="E"/>
    <s v="[1062] RAMGADH"/>
    <s v="[8403] MOHANIA"/>
    <x v="42"/>
    <x v="42"/>
    <x v="42"/>
    <s v="C"/>
    <n v="26"/>
    <n v="3.3"/>
    <n v="8.5"/>
    <n v="0.85799999999999998"/>
    <n v="2.21"/>
    <n v="37.392181500000007"/>
    <n v="972.19671900000014"/>
    <n v="417.0131765799257"/>
    <n v="278.00878438661715"/>
    <n v="17.013442582500005"/>
    <n v="97.5"/>
    <n v="1086.7101615825002"/>
    <n v="41.796544676250008"/>
    <n v="466.13246850836435"/>
    <n v="310.75497900557622"/>
  </r>
  <r>
    <s v="27/05/2026"/>
    <s v="M"/>
    <s v="[1062] RAMGADH"/>
    <s v="[8403] MOHANIA"/>
    <x v="42"/>
    <x v="42"/>
    <x v="42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27/05/2026"/>
    <s v="M"/>
    <s v="[1062] RAMGADH"/>
    <s v="[8403] MOHANIA"/>
    <x v="42"/>
    <x v="42"/>
    <x v="42"/>
    <s v="C"/>
    <n v="30"/>
    <n v="4.0999999999999996"/>
    <n v="8.5"/>
    <n v="1.2299999999999998"/>
    <n v="2.5499999999999998"/>
    <n v="40.728181500000005"/>
    <n v="1221.8454450000002"/>
    <n v="417.01209726962463"/>
    <n v="278.0080648464164"/>
    <n v="21.382295287500003"/>
    <n v="112.5"/>
    <n v="1355.7277402875002"/>
    <n v="45.190924676250006"/>
    <n v="462.70571340870316"/>
    <n v="308.47047560580211"/>
  </r>
  <r>
    <s v="27/05/2026"/>
    <s v="E"/>
    <s v="[1062] RAMGADH"/>
    <s v="[8403] MOHANIA"/>
    <x v="42"/>
    <x v="42"/>
    <x v="42"/>
    <s v="C"/>
    <n v="24"/>
    <n v="3.9"/>
    <n v="8.5"/>
    <n v="0.93599999999999994"/>
    <n v="2.04"/>
    <n v="39.894181500000002"/>
    <n v="957.46035600000005"/>
    <n v="417.01235017421601"/>
    <n v="278.00823344947736"/>
    <n v="16.755556230000003"/>
    <n v="90"/>
    <n v="1064.21591223"/>
    <n v="44.342329676249996"/>
    <n v="463.50867257404173"/>
    <n v="309.0057817160278"/>
  </r>
  <r>
    <s v="28/05/2026"/>
    <s v="M"/>
    <s v="[1062] RAMGADH"/>
    <s v="[8403] MOHANIA"/>
    <x v="42"/>
    <x v="42"/>
    <x v="42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8/05/2026"/>
    <s v="M"/>
    <s v="[1062] RAMGADH"/>
    <s v="[8403] MOHANIA"/>
    <x v="42"/>
    <x v="42"/>
    <x v="42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28/05/2026"/>
    <s v="E"/>
    <s v="[1062] RAMGADH"/>
    <s v="[8403] MOHANIA"/>
    <x v="42"/>
    <x v="42"/>
    <x v="42"/>
    <s v="C"/>
    <n v="25"/>
    <n v="4.7"/>
    <n v="8.5"/>
    <n v="1.175"/>
    <n v="2.125"/>
    <n v="43.2301815"/>
    <n v="1080.7545375"/>
    <n v="417.01139710610931"/>
    <n v="278.00759807073956"/>
    <n v="18.913204406250003"/>
    <n v="93.75"/>
    <n v="1193.4177419062501"/>
    <n v="47.736709676250001"/>
    <n v="460.48272999598072"/>
    <n v="306.98848666398715"/>
  </r>
  <r>
    <s v="22/05/2026"/>
    <s v="M"/>
    <s v="[1062] RAMGADH"/>
    <s v="[8401] DURGAWATI"/>
    <x v="43"/>
    <x v="43"/>
    <x v="43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22/05/2026"/>
    <s v="M"/>
    <s v="[1062] RAMGADH"/>
    <s v="[8401] DURGAWATI"/>
    <x v="43"/>
    <x v="43"/>
    <x v="43"/>
    <s v="C"/>
    <n v="15"/>
    <n v="4.5"/>
    <n v="8.1999999999999993"/>
    <n v="0.67500000000000004"/>
    <n v="1.2299999999999998"/>
    <n v="39.469082400000005"/>
    <n v="592.03623600000003"/>
    <n v="396.01086020066901"/>
    <n v="264.00724013377936"/>
    <n v="10.360634130000001"/>
    <n v="56.25"/>
    <n v="658.64687013000002"/>
    <n v="43.909791341999998"/>
    <n v="440.56646831438132"/>
    <n v="293.71097887625422"/>
  </r>
  <r>
    <s v="23/05/2026"/>
    <s v="M"/>
    <s v="[1062] RAMGADH"/>
    <s v="[8401] DURGAWATI"/>
    <x v="43"/>
    <x v="43"/>
    <x v="43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24/05/2026"/>
    <s v="M"/>
    <s v="[1062] RAMGADH"/>
    <s v="[8401] DURGAWATI"/>
    <x v="43"/>
    <x v="43"/>
    <x v="43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24/05/2026"/>
    <s v="M"/>
    <s v="[1062] RAMGADH"/>
    <s v="[8401] DURGAWATI"/>
    <x v="43"/>
    <x v="43"/>
    <x v="43"/>
    <s v="C"/>
    <n v="10"/>
    <n v="4.3"/>
    <n v="8.1"/>
    <n v="0.43"/>
    <n v="0.81"/>
    <n v="38.413069200000002"/>
    <n v="384.13069200000001"/>
    <n v="396.0110226804124"/>
    <n v="264.00734845360824"/>
    <n v="6.7222871100000008"/>
    <n v="37.5"/>
    <n v="428.35297911000004"/>
    <n v="42.835297911000005"/>
    <n v="441.6010093917526"/>
    <n v="294.40067292783505"/>
  </r>
  <r>
    <s v="25/05/2026"/>
    <s v="M"/>
    <s v="[1062] RAMGADH"/>
    <s v="[8401] DURGAWATI"/>
    <x v="43"/>
    <x v="43"/>
    <x v="43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26/05/2026"/>
    <s v="M"/>
    <s v="[1062] RAMGADH"/>
    <s v="[8401] DURGAWATI"/>
    <x v="43"/>
    <x v="43"/>
    <x v="43"/>
    <s v="B"/>
    <n v="29"/>
    <n v="6.8"/>
    <n v="8.8000000000000007"/>
    <n v="1.972"/>
    <n v="2.552"/>
    <n v="56.212200000000003"/>
    <n v="1630.1538"/>
    <n v="443.78052631578947"/>
    <n v="295.8536842105263"/>
    <n v="28.527691500000003"/>
    <n v="108.75"/>
    <n v="1767.4314915"/>
    <n v="60.945913500000003"/>
    <n v="481.15194868421054"/>
    <n v="320.76796578947369"/>
  </r>
  <r>
    <s v="26/05/2026"/>
    <s v="M"/>
    <s v="[1062] RAMGADH"/>
    <s v="[8401] DURGAWATI"/>
    <x v="43"/>
    <x v="43"/>
    <x v="43"/>
    <s v="C"/>
    <n v="15"/>
    <n v="4.3"/>
    <n v="8.1999999999999993"/>
    <n v="0.64500000000000002"/>
    <n v="1.2299999999999998"/>
    <n v="40.728139799999994"/>
    <n v="610.92209699999989"/>
    <n v="417.01167030716726"/>
    <n v="278.00778020477816"/>
    <n v="10.691136697499999"/>
    <n v="56.25"/>
    <n v="677.86323369749994"/>
    <n v="45.190882246499996"/>
    <n v="462.70527897440275"/>
    <n v="308.47018598293516"/>
  </r>
  <r>
    <s v="26/05/2026"/>
    <s v="E"/>
    <s v="[1062] RAMGADH"/>
    <s v="[8401] DURGAWATI"/>
    <x v="43"/>
    <x v="43"/>
    <x v="43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27/05/2026"/>
    <s v="M"/>
    <s v="[1062] RAMGADH"/>
    <s v="[8401] DURGAWATI"/>
    <x v="43"/>
    <x v="43"/>
    <x v="43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27/05/2026"/>
    <s v="M"/>
    <s v="[1062] RAMGADH"/>
    <s v="[8401] DURGAWATI"/>
    <x v="43"/>
    <x v="43"/>
    <x v="43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28/05/2026"/>
    <s v="M"/>
    <s v="[1062] RAMGADH"/>
    <s v="[8401] DURGAWATI"/>
    <x v="43"/>
    <x v="43"/>
    <x v="43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2/05/2026"/>
    <s v="M"/>
    <s v="[1062] RAMGADH"/>
    <s v="[8401] DURGAWATI"/>
    <x v="44"/>
    <x v="44"/>
    <x v="44"/>
    <s v="B"/>
    <n v="17"/>
    <n v="7.7"/>
    <n v="9"/>
    <n v="1.3090000000000002"/>
    <n v="1.53"/>
    <n v="64.295000000000002"/>
    <n v="1093.0150000000001"/>
    <n v="469.30656934306569"/>
    <n v="312.87104622871044"/>
    <n v="19.127762500000003"/>
    <n v="63.75"/>
    <n v="1175.8927625000001"/>
    <n v="69.170162500000004"/>
    <n v="504.89169708029198"/>
    <n v="336.59446472019465"/>
  </r>
  <r>
    <s v="22/05/2026"/>
    <s v="M"/>
    <s v="[1062] RAMGADH"/>
    <s v="[8401] DURGAWATI"/>
    <x v="44"/>
    <x v="44"/>
    <x v="44"/>
    <s v="C"/>
    <n v="8"/>
    <n v="3.4"/>
    <n v="8.1"/>
    <n v="0.27200000000000002"/>
    <n v="0.64800000000000002"/>
    <n v="34.849069200000002"/>
    <n v="278.79255360000002"/>
    <n v="396.01215000000008"/>
    <n v="264.00810000000007"/>
    <n v="4.8788696880000009"/>
    <n v="30"/>
    <n v="313.67142328800003"/>
    <n v="39.208927911000004"/>
    <n v="445.55599898863642"/>
    <n v="297.03733265909096"/>
  </r>
  <r>
    <s v="22/05/2026"/>
    <s v="E"/>
    <s v="[1062] RAMGADH"/>
    <s v="[8401] DURGAWATI"/>
    <x v="44"/>
    <x v="44"/>
    <x v="44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22/05/2026"/>
    <s v="E"/>
    <s v="[1062] RAMGADH"/>
    <s v="[8401] DURGAWATI"/>
    <x v="44"/>
    <x v="44"/>
    <x v="44"/>
    <s v="C"/>
    <n v="4"/>
    <n v="4"/>
    <n v="8.1999999999999993"/>
    <n v="0.16"/>
    <n v="0.32799999999999996"/>
    <n v="37.489082400000001"/>
    <n v="149.9563296"/>
    <n v="396.01143380281695"/>
    <n v="264.00762253521128"/>
    <n v="2.6242357680000001"/>
    <n v="15"/>
    <n v="167.58056536800001"/>
    <n v="41.895141342000002"/>
    <n v="442.55430995070429"/>
    <n v="295.03620663380286"/>
  </r>
  <r>
    <s v="23/05/2026"/>
    <s v="M"/>
    <s v="[1062] RAMGADH"/>
    <s v="[8401] DURGAWATI"/>
    <x v="44"/>
    <x v="44"/>
    <x v="44"/>
    <s v="B"/>
    <n v="13"/>
    <n v="8"/>
    <n v="8.8000000000000007"/>
    <n v="1.04"/>
    <n v="1.1440000000000001"/>
    <n v="66.131999999999991"/>
    <n v="859.71599999999989"/>
    <n v="476.91346153846149"/>
    <n v="317.94230769230768"/>
    <n v="15.045029999999999"/>
    <n v="48.75"/>
    <n v="923.51102999999989"/>
    <n v="71.039309999999986"/>
    <n v="512.30271634615372"/>
    <n v="341.53514423076916"/>
  </r>
  <r>
    <s v="23/05/2026"/>
    <s v="M"/>
    <s v="[1062] RAMGADH"/>
    <s v="[8401] DURGAWATI"/>
    <x v="44"/>
    <x v="44"/>
    <x v="44"/>
    <s v="C"/>
    <n v="10"/>
    <n v="3.5"/>
    <n v="8"/>
    <n v="0.35"/>
    <n v="0.8"/>
    <n v="34.981056000000002"/>
    <n v="349.81056000000001"/>
    <n v="396.01195471698111"/>
    <n v="264.00796981132072"/>
    <n v="6.1216848000000006"/>
    <n v="37.5"/>
    <n v="393.43224480000003"/>
    <n v="39.343224480000003"/>
    <n v="445.39499411320753"/>
    <n v="296.92999607547171"/>
  </r>
  <r>
    <s v="23/05/2026"/>
    <s v="E"/>
    <s v="[1062] RAMGADH"/>
    <s v="[8401] DURGAWATI"/>
    <x v="44"/>
    <x v="44"/>
    <x v="44"/>
    <s v="B"/>
    <n v="14"/>
    <n v="7.2"/>
    <n v="8.8000000000000007"/>
    <n v="1.008"/>
    <n v="1.2320000000000002"/>
    <n v="59.518800000000006"/>
    <n v="833.2632000000001"/>
    <n v="455.50102040816324"/>
    <n v="303.66734693877549"/>
    <n v="14.582106000000003"/>
    <n v="52.5"/>
    <n v="900.34530600000016"/>
    <n v="64.310379000000012"/>
    <n v="492.17126785714288"/>
    <n v="328.11417857142857"/>
  </r>
  <r>
    <s v="23/05/2026"/>
    <s v="E"/>
    <s v="[1062] RAMGADH"/>
    <s v="[8401] DURGAWATI"/>
    <x v="44"/>
    <x v="44"/>
    <x v="44"/>
    <s v="C"/>
    <n v="5"/>
    <n v="3.8"/>
    <n v="8.1999999999999993"/>
    <n v="0.19"/>
    <n v="0.41"/>
    <n v="36.697082399999999"/>
    <n v="183.485412"/>
    <n v="396.01168057553957"/>
    <n v="264.0077870503597"/>
    <n v="3.21099471"/>
    <n v="18.75"/>
    <n v="205.44640670999999"/>
    <n v="41.089281342"/>
    <n v="443.40951088489209"/>
    <n v="295.60634058992804"/>
  </r>
  <r>
    <s v="24/05/2026"/>
    <s v="M"/>
    <s v="[1062] RAMGADH"/>
    <s v="[8401] DURGAWATI"/>
    <x v="44"/>
    <x v="44"/>
    <x v="44"/>
    <s v="B"/>
    <n v="14"/>
    <n v="7.3"/>
    <n v="8.8000000000000007"/>
    <n v="1.022"/>
    <n v="1.2320000000000002"/>
    <n v="60.34545"/>
    <n v="844.83629999999994"/>
    <n v="458.31987341772157"/>
    <n v="305.54658227848103"/>
    <n v="14.784635250000001"/>
    <n v="52.5"/>
    <n v="912.12093525"/>
    <n v="65.151495374999996"/>
    <n v="494.82148386075949"/>
    <n v="329.88098924050632"/>
  </r>
  <r>
    <s v="24/05/2026"/>
    <s v="M"/>
    <s v="[1062] RAMGADH"/>
    <s v="[8401] DURGAWATI"/>
    <x v="44"/>
    <x v="44"/>
    <x v="44"/>
    <s v="C"/>
    <n v="3"/>
    <n v="4"/>
    <n v="8.4"/>
    <n v="0.12"/>
    <n v="0.252"/>
    <n v="38.017108800000003"/>
    <n v="114.05132640000001"/>
    <n v="396.01155"/>
    <n v="264.0077"/>
    <n v="1.9958982120000004"/>
    <n v="11.25"/>
    <n v="127.29722461200001"/>
    <n v="42.432408204000005"/>
    <n v="442.00425212500005"/>
    <n v="294.66950141666672"/>
  </r>
  <r>
    <s v="24/05/2026"/>
    <s v="E"/>
    <s v="[1062] RAMGADH"/>
    <s v="[8401] DURGAWATI"/>
    <x v="44"/>
    <x v="44"/>
    <x v="44"/>
    <s v="B"/>
    <n v="9"/>
    <n v="7.5"/>
    <n v="8.8000000000000007"/>
    <n v="0.67500000000000004"/>
    <n v="0.79200000000000004"/>
    <n v="61.998750000000001"/>
    <n v="557.98874999999998"/>
    <n v="463.83104738154617"/>
    <n v="309.22069825436409"/>
    <n v="9.7648031250000003"/>
    <n v="33.75"/>
    <n v="601.50355312499994"/>
    <n v="66.833728124999993"/>
    <n v="500.00295355361595"/>
    <n v="333.33530236907728"/>
  </r>
  <r>
    <s v="25/05/2026"/>
    <s v="M"/>
    <s v="[1062] RAMGADH"/>
    <s v="[8401] DURGAWATI"/>
    <x v="44"/>
    <x v="44"/>
    <x v="44"/>
    <s v="B"/>
    <n v="16"/>
    <n v="8.1"/>
    <n v="9"/>
    <n v="1.296"/>
    <n v="1.44"/>
    <n v="67.635000000000005"/>
    <n v="1082.1600000000001"/>
    <n v="479.68085106382978"/>
    <n v="319.78723404255317"/>
    <n v="18.937800000000003"/>
    <n v="60"/>
    <n v="1161.0978"/>
    <n v="72.5686125"/>
    <n v="514.67101063829784"/>
    <n v="343.11400709219856"/>
  </r>
  <r>
    <s v="25/05/2026"/>
    <s v="M"/>
    <s v="[1062] RAMGADH"/>
    <s v="[8401] DURGAWATI"/>
    <x v="44"/>
    <x v="44"/>
    <x v="44"/>
    <s v="C"/>
    <n v="5"/>
    <n v="3.2"/>
    <n v="8.1"/>
    <n v="0.16"/>
    <n v="0.40500000000000003"/>
    <n v="34.057069200000001"/>
    <n v="170.285346"/>
    <n v="396.01243255813955"/>
    <n v="264.00828837209303"/>
    <n v="2.9799935550000005"/>
    <n v="18.75"/>
    <n v="192.015339555"/>
    <n v="38.403067911000001"/>
    <n v="446.5473012906977"/>
    <n v="297.69820086046514"/>
  </r>
  <r>
    <s v="25/05/2026"/>
    <s v="E"/>
    <s v="[1062] RAMGADH"/>
    <s v="[8401] DURGAWATI"/>
    <x v="44"/>
    <x v="44"/>
    <x v="44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26/05/2026"/>
    <s v="M"/>
    <s v="[1062] RAMGADH"/>
    <s v="[8401] DURGAWATI"/>
    <x v="44"/>
    <x v="44"/>
    <x v="44"/>
    <s v="B"/>
    <n v="18"/>
    <n v="7.6"/>
    <n v="8.8000000000000007"/>
    <n v="1.3679999999999999"/>
    <n v="1.5840000000000001"/>
    <n v="62.825400000000002"/>
    <n v="1130.8571999999999"/>
    <n v="466.5252475247525"/>
    <n v="311.01683168316833"/>
    <n v="19.790001"/>
    <n v="67.5"/>
    <n v="1218.147201"/>
    <n v="67.674844500000006"/>
    <n v="502.53597400990105"/>
    <n v="335.02398267326737"/>
  </r>
  <r>
    <s v="26/05/2026"/>
    <s v="M"/>
    <s v="[1062] RAMGADH"/>
    <s v="[8401] DURGAWATI"/>
    <x v="44"/>
    <x v="44"/>
    <x v="44"/>
    <s v="C"/>
    <n v="7"/>
    <n v="4"/>
    <n v="8.1999999999999993"/>
    <n v="0.28000000000000003"/>
    <n v="0.57399999999999995"/>
    <n v="39.477139800000003"/>
    <n v="276.33997859999999"/>
    <n v="417.0120401408451"/>
    <n v="278.00802676056338"/>
    <n v="4.8359496255000005"/>
    <n v="26.25"/>
    <n v="307.4259282255"/>
    <n v="43.917989746499998"/>
    <n v="463.92242689964786"/>
    <n v="309.28161793309857"/>
  </r>
  <r>
    <s v="26/05/2026"/>
    <s v="E"/>
    <s v="[1062] RAMGADH"/>
    <s v="[8401] DURGAWATI"/>
    <x v="44"/>
    <x v="44"/>
    <x v="44"/>
    <s v="B"/>
    <n v="18"/>
    <n v="7.8"/>
    <n v="9"/>
    <n v="1.4040000000000001"/>
    <n v="1.62"/>
    <n v="65.13"/>
    <n v="1172.3399999999999"/>
    <n v="471.95652173913038"/>
    <n v="314.63768115942025"/>
    <n v="20.51595"/>
    <n v="67.5"/>
    <n v="1260.3559499999999"/>
    <n v="70.019774999999996"/>
    <n v="507.3896739130434"/>
    <n v="338.25978260869562"/>
  </r>
  <r>
    <s v="27/05/2026"/>
    <s v="M"/>
    <s v="[1062] RAMGADH"/>
    <s v="[8401] DURGAWATI"/>
    <x v="44"/>
    <x v="44"/>
    <x v="44"/>
    <s v="B"/>
    <n v="14"/>
    <n v="8.3000000000000007"/>
    <n v="9"/>
    <n v="1.1620000000000001"/>
    <n v="1.26"/>
    <n v="69.305000000000007"/>
    <n v="970.2700000000001"/>
    <n v="484.65034965034965"/>
    <n v="323.10023310023308"/>
    <n v="16.979725000000002"/>
    <n v="52.5"/>
    <n v="1039.7497250000001"/>
    <n v="74.267837500000013"/>
    <n v="519.355506993007"/>
    <n v="346.23700466200467"/>
  </r>
  <r>
    <s v="27/05/2026"/>
    <s v="M"/>
    <s v="[1062] RAMGADH"/>
    <s v="[8401] DURGAWATI"/>
    <x v="44"/>
    <x v="44"/>
    <x v="44"/>
    <s v="C"/>
    <n v="10"/>
    <n v="4.2"/>
    <n v="8.4"/>
    <n v="0.42"/>
    <n v="0.84"/>
    <n v="40.867167600000002"/>
    <n v="408.67167600000005"/>
    <n v="417.01191428571428"/>
    <n v="278.00794285714284"/>
    <n v="7.1517543300000019"/>
    <n v="37.5"/>
    <n v="453.32343033000006"/>
    <n v="45.332343033000008"/>
    <n v="462.57492890816332"/>
    <n v="308.38328593877554"/>
  </r>
  <r>
    <s v="27/05/2026"/>
    <s v="E"/>
    <s v="[1062] RAMGADH"/>
    <s v="[8401] DURGAWATI"/>
    <x v="44"/>
    <x v="44"/>
    <x v="44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7/05/2026"/>
    <s v="E"/>
    <s v="[1062] RAMGADH"/>
    <s v="[8401] DURGAWATI"/>
    <x v="44"/>
    <x v="44"/>
    <x v="44"/>
    <s v="C"/>
    <n v="6"/>
    <n v="4.0999999999999996"/>
    <n v="8.5"/>
    <n v="0.24599999999999997"/>
    <n v="0.51"/>
    <n v="40.728181500000005"/>
    <n v="244.36908900000003"/>
    <n v="417.01209726962463"/>
    <n v="278.0080648464164"/>
    <n v="4.2764590575000012"/>
    <n v="22.5"/>
    <n v="271.14554805750004"/>
    <n v="45.190924676250006"/>
    <n v="462.70571340870316"/>
    <n v="308.47047560580211"/>
  </r>
  <r>
    <s v="28/05/2026"/>
    <s v="M"/>
    <s v="[1062] RAMGADH"/>
    <s v="[8401] DURGAWATI"/>
    <x v="44"/>
    <x v="44"/>
    <x v="44"/>
    <s v="B"/>
    <n v="11"/>
    <n v="8.4"/>
    <n v="9"/>
    <n v="0.92400000000000004"/>
    <n v="0.99"/>
    <n v="70.14"/>
    <n v="771.54"/>
    <n v="487.08333333333326"/>
    <n v="324.72222222222217"/>
    <n v="13.501950000000001"/>
    <n v="41.25"/>
    <n v="826.29194999999993"/>
    <n v="75.117449999999991"/>
    <n v="521.64895833333321"/>
    <n v="347.76597222222216"/>
  </r>
  <r>
    <s v="28/05/2026"/>
    <s v="M"/>
    <s v="[1062] RAMGADH"/>
    <s v="[8401] DURGAWATI"/>
    <x v="44"/>
    <x v="44"/>
    <x v="44"/>
    <s v="C"/>
    <n v="9"/>
    <n v="3.7"/>
    <n v="8.1"/>
    <n v="0.33300000000000002"/>
    <n v="0.72899999999999987"/>
    <n v="37.948125900000008"/>
    <n v="341.5331331000001"/>
    <n v="417.01237252747262"/>
    <n v="278.00824835164843"/>
    <n v="5.9768298292500024"/>
    <n v="33.75"/>
    <n v="381.25996292925009"/>
    <n v="42.362218103250008"/>
    <n v="465.51888025549459"/>
    <n v="310.34592017032975"/>
  </r>
  <r>
    <s v="28/05/2026"/>
    <s v="E"/>
    <s v="[1062] RAMGADH"/>
    <s v="[8401] DURGAWATI"/>
    <x v="44"/>
    <x v="44"/>
    <x v="44"/>
    <s v="B"/>
    <n v="15"/>
    <n v="7.2"/>
    <n v="8.8000000000000007"/>
    <n v="1.08"/>
    <n v="1.32"/>
    <n v="59.518800000000006"/>
    <n v="892.78200000000004"/>
    <n v="455.50102040816324"/>
    <n v="303.66734693877549"/>
    <n v="15.623685000000002"/>
    <n v="56.25"/>
    <n v="964.65568500000006"/>
    <n v="64.310378999999998"/>
    <n v="492.17126785714277"/>
    <n v="328.11417857142851"/>
  </r>
  <r>
    <s v="28/05/2026"/>
    <s v="E"/>
    <s v="[1062] RAMGADH"/>
    <s v="[8401] DURGAWATI"/>
    <x v="44"/>
    <x v="44"/>
    <x v="44"/>
    <s v="C"/>
    <n v="8"/>
    <n v="4.0999999999999996"/>
    <n v="8.1"/>
    <n v="0.32799999999999996"/>
    <n v="0.64800000000000002"/>
    <n v="39.6161259"/>
    <n v="316.9290072"/>
    <n v="417.01185157894736"/>
    <n v="278.00790105263155"/>
    <n v="5.5462576260000009"/>
    <n v="30"/>
    <n v="352.475264826"/>
    <n v="44.05940810325"/>
    <n v="463.78324319210526"/>
    <n v="309.18882879473682"/>
  </r>
  <r>
    <s v="22/05/2026"/>
    <s v="M"/>
    <s v="[1062] RAMGADH"/>
    <s v="[8402] RAMPUR"/>
    <x v="45"/>
    <x v="45"/>
    <x v="45"/>
    <s v="B"/>
    <n v="18"/>
    <n v="7.8"/>
    <n v="8.8000000000000007"/>
    <n v="1.4040000000000001"/>
    <n v="1.5840000000000001"/>
    <n v="64.478699999999989"/>
    <n v="1160.6165999999998"/>
    <n v="471.7953658536585"/>
    <n v="314.530243902439"/>
    <n v="20.3107905"/>
    <n v="67.5"/>
    <n v="1248.4273904999998"/>
    <n v="69.357077249999989"/>
    <n v="507.49080914634141"/>
    <n v="338.32720609756092"/>
  </r>
  <r>
    <s v="22/05/2026"/>
    <s v="M"/>
    <s v="[1062] RAMGADH"/>
    <s v="[8402] RAMPUR"/>
    <x v="45"/>
    <x v="45"/>
    <x v="45"/>
    <s v="C"/>
    <n v="30"/>
    <n v="5.0999999999999996"/>
    <n v="8.5"/>
    <n v="1.53"/>
    <n v="2.5499999999999998"/>
    <n v="42.637122000000005"/>
    <n v="1279.1136600000002"/>
    <n v="396.01042105263167"/>
    <n v="264.00694736842109"/>
    <n v="22.384489050000006"/>
    <n v="112.5"/>
    <n v="1413.9981490500002"/>
    <n v="47.133271635000007"/>
    <n v="437.77032478328181"/>
    <n v="291.84688318885452"/>
  </r>
  <r>
    <s v="22/05/2026"/>
    <s v="E"/>
    <s v="[1062] RAMGADH"/>
    <s v="[8402] RAMPUR"/>
    <x v="45"/>
    <x v="45"/>
    <x v="45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22/05/2026"/>
    <s v="E"/>
    <s v="[1062] RAMGADH"/>
    <s v="[8402] RAMPUR"/>
    <x v="45"/>
    <x v="45"/>
    <x v="45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23/05/2026"/>
    <s v="M"/>
    <s v="[1062] RAMGADH"/>
    <s v="[8402] RAMPUR"/>
    <x v="45"/>
    <x v="45"/>
    <x v="45"/>
    <s v="B"/>
    <n v="29"/>
    <n v="7.3"/>
    <n v="8.8000000000000007"/>
    <n v="2.117"/>
    <n v="2.552"/>
    <n v="60.34545"/>
    <n v="1750.0180499999999"/>
    <n v="458.31987341772157"/>
    <n v="305.54658227848103"/>
    <n v="30.625315875000002"/>
    <n v="108.75"/>
    <n v="1889.393365875"/>
    <n v="65.151495374999996"/>
    <n v="494.82148386075949"/>
    <n v="329.88098924050632"/>
  </r>
  <r>
    <s v="23/05/2026"/>
    <s v="M"/>
    <s v="[1062] RAMGADH"/>
    <s v="[8402] RAMPUR"/>
    <x v="45"/>
    <x v="45"/>
    <x v="45"/>
    <s v="C"/>
    <n v="32"/>
    <n v="4"/>
    <n v="8.1999999999999993"/>
    <n v="1.28"/>
    <n v="2.6239999999999997"/>
    <n v="37.489082400000001"/>
    <n v="1199.6506368"/>
    <n v="396.01143380281695"/>
    <n v="264.00762253521128"/>
    <n v="20.993886144000001"/>
    <n v="120"/>
    <n v="1340.6445229440001"/>
    <n v="41.895141342000002"/>
    <n v="442.55430995070429"/>
    <n v="295.03620663380286"/>
  </r>
  <r>
    <s v="23/05/2026"/>
    <s v="E"/>
    <s v="[1062] RAMGADH"/>
    <s v="[8402] RAMPUR"/>
    <x v="45"/>
    <x v="45"/>
    <x v="45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23/05/2026"/>
    <s v="E"/>
    <s v="[1062] RAMGADH"/>
    <s v="[8402] RAMPUR"/>
    <x v="45"/>
    <x v="45"/>
    <x v="45"/>
    <s v="C"/>
    <n v="31"/>
    <n v="3.5"/>
    <n v="8.1"/>
    <n v="1.085"/>
    <n v="2.5110000000000001"/>
    <n v="35.245069200000003"/>
    <n v="1092.5971452000001"/>
    <n v="396.01201348314612"/>
    <n v="264.00800898876406"/>
    <n v="19.120450041000005"/>
    <n v="116.25"/>
    <n v="1227.967595241"/>
    <n v="39.611857911000001"/>
    <n v="445.0770551797753"/>
    <n v="296.71803678651685"/>
  </r>
  <r>
    <s v="24/05/2026"/>
    <s v="M"/>
    <s v="[1062] RAMGADH"/>
    <s v="[8402] RAMPUR"/>
    <x v="45"/>
    <x v="45"/>
    <x v="45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24/05/2026"/>
    <s v="M"/>
    <s v="[1062] RAMGADH"/>
    <s v="[8402] RAMPUR"/>
    <x v="45"/>
    <x v="45"/>
    <x v="45"/>
    <s v="C"/>
    <n v="39"/>
    <n v="4.3"/>
    <n v="8.1999999999999993"/>
    <n v="1.6769999999999998"/>
    <n v="3.1979999999999995"/>
    <n v="38.677082400000003"/>
    <n v="1508.4062136000002"/>
    <n v="396.01108259385677"/>
    <n v="264.00738839590451"/>
    <n v="26.397108738000007"/>
    <n v="146.25"/>
    <n v="1681.0533223380003"/>
    <n v="43.10393134200001"/>
    <n v="441.33718097610938"/>
    <n v="294.22478731740625"/>
  </r>
  <r>
    <s v="24/05/2026"/>
    <s v="E"/>
    <s v="[1062] RAMGADH"/>
    <s v="[8402] RAMPUR"/>
    <x v="45"/>
    <x v="45"/>
    <x v="45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24/05/2026"/>
    <s v="E"/>
    <s v="[1062] RAMGADH"/>
    <s v="[8402] RAMPUR"/>
    <x v="45"/>
    <x v="45"/>
    <x v="45"/>
    <s v="C"/>
    <n v="41"/>
    <n v="3.7"/>
    <n v="8.1999999999999993"/>
    <n v="1.5170000000000001"/>
    <n v="3.3620000000000001"/>
    <n v="36.301082400000006"/>
    <n v="1488.3443784000003"/>
    <n v="396.01180800000003"/>
    <n v="264.00787200000002"/>
    <n v="26.046026622000007"/>
    <n v="153.75"/>
    <n v="1668.1404050220003"/>
    <n v="40.686351342000009"/>
    <n v="443.85110554909096"/>
    <n v="295.90073703272731"/>
  </r>
  <r>
    <s v="25/05/2026"/>
    <s v="M"/>
    <s v="[1062] RAMGADH"/>
    <s v="[8402] RAMPUR"/>
    <x v="45"/>
    <x v="45"/>
    <x v="45"/>
    <s v="B"/>
    <n v="21"/>
    <n v="7.7"/>
    <n v="9"/>
    <n v="1.6170000000000002"/>
    <n v="1.89"/>
    <n v="64.295000000000002"/>
    <n v="1350.1949999999999"/>
    <n v="469.30656934306569"/>
    <n v="312.87104622871044"/>
    <n v="23.6284125"/>
    <n v="78.75"/>
    <n v="1452.5734124999999"/>
    <n v="69.170162499999989"/>
    <n v="504.89169708029186"/>
    <n v="336.59446472019459"/>
  </r>
  <r>
    <s v="25/05/2026"/>
    <s v="M"/>
    <s v="[1062] RAMGADH"/>
    <s v="[8402] RAMPUR"/>
    <x v="45"/>
    <x v="45"/>
    <x v="45"/>
    <s v="C"/>
    <n v="36"/>
    <n v="4.4000000000000004"/>
    <n v="8.1"/>
    <n v="1.5840000000000001"/>
    <n v="2.9159999999999995"/>
    <n v="38.80906920000001"/>
    <n v="1397.1264912000004"/>
    <n v="396.01091020408171"/>
    <n v="264.00727346938783"/>
    <n v="24.449713596000009"/>
    <n v="135"/>
    <n v="1556.5762047960004"/>
    <n v="43.23822791100001"/>
    <n v="441.20640725510214"/>
    <n v="294.13760483673474"/>
  </r>
  <r>
    <s v="25/05/2026"/>
    <s v="E"/>
    <s v="[1062] RAMGADH"/>
    <s v="[8402] RAMPUR"/>
    <x v="45"/>
    <x v="45"/>
    <x v="45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25/05/2026"/>
    <s v="E"/>
    <s v="[1062] RAMGADH"/>
    <s v="[8402] RAMPUR"/>
    <x v="45"/>
    <x v="45"/>
    <x v="45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26/05/2026"/>
    <s v="M"/>
    <s v="[1062] RAMGADH"/>
    <s v="[8402] RAMPUR"/>
    <x v="45"/>
    <x v="45"/>
    <x v="45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26/05/2026"/>
    <s v="M"/>
    <s v="[1062] RAMGADH"/>
    <s v="[8402] RAMPUR"/>
    <x v="45"/>
    <x v="45"/>
    <x v="45"/>
    <s v="C"/>
    <n v="33"/>
    <n v="4.3"/>
    <n v="8.3000000000000007"/>
    <n v="1.419"/>
    <n v="2.7390000000000003"/>
    <n v="41.006153699999999"/>
    <n v="1353.2030720999999"/>
    <n v="417.0117325423729"/>
    <n v="278.00782169491526"/>
    <n v="23.68105376175"/>
    <n v="123.75"/>
    <n v="1500.6341258617499"/>
    <n v="45.473761389749995"/>
    <n v="462.44503108220334"/>
    <n v="308.29668738813558"/>
  </r>
  <r>
    <s v="26/05/2026"/>
    <s v="E"/>
    <s v="[1062] RAMGADH"/>
    <s v="[8402] RAMPUR"/>
    <x v="45"/>
    <x v="45"/>
    <x v="45"/>
    <s v="B"/>
    <n v="7"/>
    <n v="6.6"/>
    <n v="9"/>
    <n v="0.46199999999999997"/>
    <n v="0.63"/>
    <n v="55.11"/>
    <n v="385.77"/>
    <n v="437.38095238095235"/>
    <n v="291.58730158730157"/>
    <n v="6.7509750000000004"/>
    <n v="26.25"/>
    <n v="418.77097499999996"/>
    <n v="59.824424999999998"/>
    <n v="474.79702380952381"/>
    <n v="316.5313492063492"/>
  </r>
  <r>
    <s v="26/05/2026"/>
    <s v="E"/>
    <s v="[1062] RAMGADH"/>
    <s v="[8402] RAMPUR"/>
    <x v="45"/>
    <x v="45"/>
    <x v="45"/>
    <s v="C"/>
    <n v="36"/>
    <n v="3.6"/>
    <n v="8.5"/>
    <n v="1.296"/>
    <n v="3.06"/>
    <n v="38.643181500000004"/>
    <n v="1391.1545340000002"/>
    <n v="417.01274999999998"/>
    <n v="278.00849999999997"/>
    <n v="24.345204345000006"/>
    <n v="135"/>
    <n v="1550.4997383450002"/>
    <n v="43.069437176250005"/>
    <n v="464.77809902428061"/>
    <n v="309.85206601618705"/>
  </r>
  <r>
    <s v="27/05/2026"/>
    <s v="M"/>
    <s v="[1062] RAMGADH"/>
    <s v="[8402] RAMPUR"/>
    <x v="45"/>
    <x v="45"/>
    <x v="45"/>
    <s v="B"/>
    <n v="27"/>
    <n v="7.8"/>
    <n v="9"/>
    <n v="2.1059999999999999"/>
    <n v="2.4300000000000002"/>
    <n v="65.13"/>
    <n v="1758.5099999999998"/>
    <n v="471.95652173913038"/>
    <n v="314.63768115942025"/>
    <n v="30.773924999999998"/>
    <n v="101.25"/>
    <n v="1890.5339249999997"/>
    <n v="70.019774999999996"/>
    <n v="507.3896739130434"/>
    <n v="338.25978260869562"/>
  </r>
  <r>
    <s v="27/05/2026"/>
    <s v="E"/>
    <s v="[1062] RAMGADH"/>
    <s v="[8402] RAMPUR"/>
    <x v="45"/>
    <x v="45"/>
    <x v="45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27/05/2026"/>
    <s v="E"/>
    <s v="[1062] RAMGADH"/>
    <s v="[8402] RAMPUR"/>
    <x v="45"/>
    <x v="45"/>
    <x v="45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28/05/2026"/>
    <s v="M"/>
    <s v="[1062] RAMGADH"/>
    <s v="[8402] RAMPUR"/>
    <x v="45"/>
    <x v="45"/>
    <x v="45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28/05/2026"/>
    <s v="M"/>
    <s v="[1062] RAMGADH"/>
    <s v="[8402] RAMPUR"/>
    <x v="45"/>
    <x v="45"/>
    <x v="45"/>
    <s v="C"/>
    <n v="16"/>
    <n v="3.9"/>
    <n v="8.1999999999999993"/>
    <n v="0.624"/>
    <n v="1.3119999999999998"/>
    <n v="39.060139800000002"/>
    <n v="624.96223680000003"/>
    <n v="417.01216868327407"/>
    <n v="278.00811245551603"/>
    <n v="10.936839144000002"/>
    <n v="60"/>
    <n v="695.89907594400006"/>
    <n v="43.493692246500004"/>
    <n v="464.34546882384348"/>
    <n v="309.5636458825623"/>
  </r>
  <r>
    <s v="28/05/2026"/>
    <s v="E"/>
    <s v="[1062] RAMGADH"/>
    <s v="[8402] RAMPUR"/>
    <x v="45"/>
    <x v="45"/>
    <x v="45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28/05/2026"/>
    <s v="E"/>
    <s v="[1062] RAMGADH"/>
    <s v="[8402] RAMPUR"/>
    <x v="45"/>
    <x v="45"/>
    <x v="45"/>
    <s v="C"/>
    <n v="38"/>
    <n v="3.5"/>
    <n v="8.1999999999999993"/>
    <n v="1.33"/>
    <n v="3.1159999999999997"/>
    <n v="37.392139800000002"/>
    <n v="1420.9013124000001"/>
    <n v="417.01271152416359"/>
    <n v="278.00847434944239"/>
    <n v="24.865772967000002"/>
    <n v="142.5"/>
    <n v="1588.2670853670002"/>
    <n v="41.796502246500005"/>
    <n v="466.13199531412641"/>
    <n v="310.75466354275096"/>
  </r>
  <r>
    <s v="22/05/2026"/>
    <s v="M"/>
    <s v="[1062] RAMGADH"/>
    <s v="[8405] RAMGADH"/>
    <x v="46"/>
    <x v="46"/>
    <x v="46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22/05/2026"/>
    <s v="M"/>
    <s v="[1062] RAMGADH"/>
    <s v="[8405] RAMGADH"/>
    <x v="46"/>
    <x v="46"/>
    <x v="46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22/05/2026"/>
    <s v="E"/>
    <s v="[1062] RAMGADH"/>
    <s v="[8405] RAMGADH"/>
    <x v="46"/>
    <x v="46"/>
    <x v="46"/>
    <s v="C"/>
    <n v="25"/>
    <n v="4.0999999999999996"/>
    <n v="8.1999999999999993"/>
    <n v="1.0249999999999999"/>
    <n v="2.0499999999999998"/>
    <n v="37.885082400000002"/>
    <n v="947.12706000000003"/>
    <n v="396.01131428571438"/>
    <n v="264.00754285714294"/>
    <n v="16.574723550000002"/>
    <n v="93.75"/>
    <n v="1057.4517835500001"/>
    <n v="42.298071342"/>
    <n v="442.14011855749135"/>
    <n v="294.76007903832755"/>
  </r>
  <r>
    <s v="23/05/2026"/>
    <s v="M"/>
    <s v="[1062] RAMGADH"/>
    <s v="[8405] RAMGADH"/>
    <x v="46"/>
    <x v="46"/>
    <x v="46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23/05/2026"/>
    <s v="M"/>
    <s v="[1062] RAMGADH"/>
    <s v="[8405] RAMGADH"/>
    <x v="46"/>
    <x v="46"/>
    <x v="46"/>
    <s v="C"/>
    <n v="23"/>
    <n v="3.5"/>
    <n v="8"/>
    <n v="0.80500000000000005"/>
    <n v="1.84"/>
    <n v="34.981056000000002"/>
    <n v="804.56428800000003"/>
    <n v="396.01195471698111"/>
    <n v="264.00796981132072"/>
    <n v="14.079875040000003"/>
    <n v="86.25"/>
    <n v="904.89416304000008"/>
    <n v="39.343224480000003"/>
    <n v="445.39499411320753"/>
    <n v="296.92999607547171"/>
  </r>
  <r>
    <s v="23/05/2026"/>
    <s v="E"/>
    <s v="[1062] RAMGADH"/>
    <s v="[8405] RAMGADH"/>
    <x v="46"/>
    <x v="46"/>
    <x v="46"/>
    <s v="C"/>
    <n v="23"/>
    <n v="3.7"/>
    <n v="8.1"/>
    <n v="0.85100000000000009"/>
    <n v="1.8629999999999998"/>
    <n v="36.037069200000005"/>
    <n v="828.8525916000001"/>
    <n v="396.01174945054953"/>
    <n v="264.00783296703304"/>
    <n v="14.504920353000003"/>
    <n v="86.25"/>
    <n v="929.60751195300008"/>
    <n v="40.417717911000004"/>
    <n v="444.15074627472535"/>
    <n v="296.10049751648359"/>
  </r>
  <r>
    <s v="24/05/2026"/>
    <s v="M"/>
    <s v="[1062] RAMGADH"/>
    <s v="[8405] RAMGADH"/>
    <x v="46"/>
    <x v="46"/>
    <x v="46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24/05/2026"/>
    <s v="E"/>
    <s v="[1062] RAMGADH"/>
    <s v="[8405] RAMGADH"/>
    <x v="46"/>
    <x v="46"/>
    <x v="46"/>
    <s v="C"/>
    <n v="22"/>
    <n v="3.8"/>
    <n v="8.1"/>
    <n v="0.83599999999999997"/>
    <n v="1.7819999999999998"/>
    <n v="36.433069200000006"/>
    <n v="801.52752240000018"/>
    <n v="396.01162173913048"/>
    <n v="264.00774782608698"/>
    <n v="14.026731642000005"/>
    <n v="82.5"/>
    <n v="898.05425404200014"/>
    <n v="40.820647911000009"/>
    <n v="443.70269468478273"/>
    <n v="295.8017964565218"/>
  </r>
  <r>
    <s v="25/05/2026"/>
    <s v="M"/>
    <s v="[1062] RAMGADH"/>
    <s v="[8405] RAMGADH"/>
    <x v="46"/>
    <x v="46"/>
    <x v="46"/>
    <s v="C"/>
    <n v="20"/>
    <n v="3.9"/>
    <n v="8"/>
    <n v="0.78"/>
    <n v="1.6"/>
    <n v="36.565056000000006"/>
    <n v="731.30112000000008"/>
    <n v="396.01143682310476"/>
    <n v="264.00762454873649"/>
    <n v="12.797769600000002"/>
    <n v="75"/>
    <n v="819.09888960000012"/>
    <n v="40.954944480000009"/>
    <n v="443.55535537906144"/>
    <n v="295.70357025270761"/>
  </r>
  <r>
    <s v="25/05/2026"/>
    <s v="E"/>
    <s v="[1062] RAMGADH"/>
    <s v="[8405] RAMGADH"/>
    <x v="46"/>
    <x v="46"/>
    <x v="46"/>
    <s v="C"/>
    <n v="20"/>
    <n v="3.8"/>
    <n v="8.1999999999999993"/>
    <n v="0.76"/>
    <n v="1.64"/>
    <n v="36.697082399999999"/>
    <n v="733.94164799999999"/>
    <n v="396.01168057553957"/>
    <n v="264.0077870503597"/>
    <n v="12.84397884"/>
    <n v="75"/>
    <n v="821.78562683999996"/>
    <n v="41.089281342"/>
    <n v="443.40951088489209"/>
    <n v="295.60634058992804"/>
  </r>
  <r>
    <s v="26/05/2026"/>
    <s v="M"/>
    <s v="[1062] RAMGADH"/>
    <s v="[8405] RAMGADH"/>
    <x v="46"/>
    <x v="46"/>
    <x v="46"/>
    <s v="C"/>
    <n v="20"/>
    <n v="3.6"/>
    <n v="8.1999999999999993"/>
    <n v="0.72"/>
    <n v="1.64"/>
    <n v="37.809139800000004"/>
    <n v="756.18279600000005"/>
    <n v="417.01257132352941"/>
    <n v="278.00838088235292"/>
    <n v="13.233198930000002"/>
    <n v="75"/>
    <n v="844.41599493000001"/>
    <n v="42.220799746499999"/>
    <n v="465.6705854393382"/>
    <n v="310.44705695955878"/>
  </r>
  <r>
    <s v="27/05/2026"/>
    <s v="M"/>
    <s v="[1062] RAMGADH"/>
    <s v="[8405] RAMGADH"/>
    <x v="46"/>
    <x v="46"/>
    <x v="46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27/05/2026"/>
    <s v="M"/>
    <s v="[1062] RAMGADH"/>
    <s v="[8405] RAMGADH"/>
    <x v="46"/>
    <x v="46"/>
    <x v="46"/>
    <s v="C"/>
    <n v="17"/>
    <n v="3.4"/>
    <n v="8.5"/>
    <n v="0.57799999999999996"/>
    <n v="1.4450000000000001"/>
    <n v="37.809181500000008"/>
    <n v="642.75608550000015"/>
    <n v="417.01303125000004"/>
    <n v="278.00868750000001"/>
    <n v="11.248231496250003"/>
    <n v="63.75"/>
    <n v="717.75431699625017"/>
    <n v="42.220842176250009"/>
    <n v="465.67105341452213"/>
    <n v="310.44736894301474"/>
  </r>
  <r>
    <s v="27/05/2026"/>
    <s v="E"/>
    <s v="[1062] RAMGADH"/>
    <s v="[8405] RAMGADH"/>
    <x v="46"/>
    <x v="46"/>
    <x v="46"/>
    <s v="C"/>
    <n v="21"/>
    <n v="4.0999999999999996"/>
    <n v="8.5"/>
    <n v="0.86099999999999999"/>
    <n v="1.7849999999999999"/>
    <n v="40.728181500000005"/>
    <n v="855.29181150000011"/>
    <n v="417.01209726962463"/>
    <n v="278.0080648464164"/>
    <n v="14.967606701250004"/>
    <n v="78.75"/>
    <n v="949.00941820125013"/>
    <n v="45.190924676250006"/>
    <n v="462.70571340870316"/>
    <n v="308.47047560580211"/>
  </r>
  <r>
    <s v="28/05/2026"/>
    <s v="M"/>
    <s v="[1062] RAMGADH"/>
    <s v="[8405] RAMGADH"/>
    <x v="46"/>
    <x v="46"/>
    <x v="46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28/05/2026"/>
    <s v="M"/>
    <s v="[1062] RAMGADH"/>
    <s v="[8405] RAMGADH"/>
    <x v="46"/>
    <x v="46"/>
    <x v="46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8/05/2026"/>
    <s v="E"/>
    <s v="[1062] RAMGADH"/>
    <s v="[8405] RAMGADH"/>
    <x v="46"/>
    <x v="46"/>
    <x v="46"/>
    <s v="C"/>
    <n v="20"/>
    <n v="3.5"/>
    <n v="8.1999999999999993"/>
    <n v="0.7"/>
    <n v="1.64"/>
    <n v="37.392139800000002"/>
    <n v="747.84279600000002"/>
    <n v="417.01271152416359"/>
    <n v="278.00847434944239"/>
    <n v="13.087248930000001"/>
    <n v="75"/>
    <n v="835.93004493000001"/>
    <n v="41.796502246499998"/>
    <n v="466.13199531412636"/>
    <n v="310.7546635427509"/>
  </r>
  <r>
    <s v="22/05/2026"/>
    <s v="M"/>
    <s v="[1062] RAMGADH"/>
    <s v="[8403] MOHANIA"/>
    <x v="47"/>
    <x v="47"/>
    <x v="47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2/05/2026"/>
    <s v="M"/>
    <s v="[1062] RAMGADH"/>
    <s v="[8403] MOHANIA"/>
    <x v="47"/>
    <x v="47"/>
    <x v="47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s v="22/05/2026"/>
    <s v="E"/>
    <s v="[1062] RAMGADH"/>
    <s v="[8403] MOHANIA"/>
    <x v="47"/>
    <x v="47"/>
    <x v="47"/>
    <s v="C"/>
    <n v="13"/>
    <n v="3.7"/>
    <n v="8.1"/>
    <n v="0.48100000000000004"/>
    <n v="1.0529999999999999"/>
    <n v="36.037069200000005"/>
    <n v="468.48189960000008"/>
    <n v="396.01174945054953"/>
    <n v="264.00783296703304"/>
    <n v="8.198433243000002"/>
    <n v="48.75"/>
    <n v="525.43033284300009"/>
    <n v="40.417717911000004"/>
    <n v="444.15074627472535"/>
    <n v="296.10049751648359"/>
  </r>
  <r>
    <s v="23/05/2026"/>
    <s v="M"/>
    <s v="[1062] RAMGADH"/>
    <s v="[8403] MOHANIA"/>
    <x v="47"/>
    <x v="47"/>
    <x v="47"/>
    <s v="B"/>
    <n v="23"/>
    <n v="6.2"/>
    <n v="8.6"/>
    <n v="1.4259999999999999"/>
    <n v="1.9779999999999998"/>
    <n v="50.7346"/>
    <n v="1166.8958"/>
    <n v="425.15027932960902"/>
    <n v="283.4335195530727"/>
    <n v="20.420676500000003"/>
    <n v="86.25"/>
    <n v="1273.5664764999999"/>
    <n v="55.372455499999994"/>
    <n v="464.01499022346371"/>
    <n v="309.34332681564246"/>
  </r>
  <r>
    <s v="23/05/2026"/>
    <s v="M"/>
    <s v="[1062] RAMGADH"/>
    <s v="[8403] MOHANIA"/>
    <x v="47"/>
    <x v="47"/>
    <x v="47"/>
    <s v="C"/>
    <n v="17"/>
    <n v="3.7"/>
    <n v="8"/>
    <n v="0.629"/>
    <n v="1.36"/>
    <n v="35.773056000000004"/>
    <n v="608.14195200000006"/>
    <n v="396.01169003690035"/>
    <n v="264.00779335793356"/>
    <n v="10.642484160000002"/>
    <n v="63.75"/>
    <n v="682.53443616000004"/>
    <n v="40.149084479999999"/>
    <n v="444.45480974169732"/>
    <n v="296.30320649446486"/>
  </r>
  <r>
    <s v="23/05/2026"/>
    <s v="E"/>
    <s v="[1062] RAMGADH"/>
    <s v="[8403] MOHANIA"/>
    <x v="47"/>
    <x v="47"/>
    <x v="47"/>
    <s v="C"/>
    <n v="18"/>
    <n v="4.7"/>
    <n v="8.3000000000000007"/>
    <n v="0.84600000000000009"/>
    <n v="1.494"/>
    <n v="40.5250956"/>
    <n v="729.45172079999998"/>
    <n v="396.0107061889251"/>
    <n v="264.0071374592834"/>
    <n v="12.765405114"/>
    <n v="67.5"/>
    <n v="809.71712591400001"/>
    <n v="44.984284772999999"/>
    <n v="439.5858446872964"/>
    <n v="293.05722979153092"/>
  </r>
  <r>
    <s v="24/05/2026"/>
    <s v="M"/>
    <s v="[1062] RAMGADH"/>
    <s v="[8403] MOHANIA"/>
    <x v="47"/>
    <x v="47"/>
    <x v="47"/>
    <s v="B"/>
    <n v="24"/>
    <n v="6.1"/>
    <n v="8.4"/>
    <n v="1.4639999999999997"/>
    <n v="2.016"/>
    <n v="49.406950000000002"/>
    <n v="1185.7668000000001"/>
    <n v="422.28162393162398"/>
    <n v="281.52108262108266"/>
    <n v="20.750919000000003"/>
    <n v="90"/>
    <n v="1296.5177190000002"/>
    <n v="54.021571625000007"/>
    <n v="461.72283440170946"/>
    <n v="307.81522293447296"/>
  </r>
  <r>
    <s v="24/05/2026"/>
    <s v="M"/>
    <s v="[1062] RAMGADH"/>
    <s v="[8403] MOHANIA"/>
    <x v="47"/>
    <x v="47"/>
    <x v="47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24/05/2026"/>
    <s v="E"/>
    <s v="[1062] RAMGADH"/>
    <s v="[8403] MOHANIA"/>
    <x v="47"/>
    <x v="47"/>
    <x v="47"/>
    <s v="C"/>
    <n v="16"/>
    <n v="4.2"/>
    <n v="8.3000000000000007"/>
    <n v="0.67200000000000004"/>
    <n v="1.3280000000000001"/>
    <n v="38.54509560000001"/>
    <n v="616.72152960000017"/>
    <n v="396.01125616438361"/>
    <n v="264.00750410958909"/>
    <n v="10.792626768000003"/>
    <n v="60"/>
    <n v="687.51415636800016"/>
    <n v="42.96963477300001"/>
    <n v="441.46885040753432"/>
    <n v="294.31256693835621"/>
  </r>
  <r>
    <s v="25/05/2026"/>
    <s v="M"/>
    <s v="[1062] RAMGADH"/>
    <s v="[8403] MOHANIA"/>
    <x v="47"/>
    <x v="47"/>
    <x v="47"/>
    <s v="B"/>
    <n v="24"/>
    <n v="6.1"/>
    <n v="8.4"/>
    <n v="1.4639999999999997"/>
    <n v="2.016"/>
    <n v="49.406950000000002"/>
    <n v="1185.7668000000001"/>
    <n v="422.28162393162398"/>
    <n v="281.52108262108266"/>
    <n v="20.750919000000003"/>
    <n v="90"/>
    <n v="1296.5177190000002"/>
    <n v="54.021571625000007"/>
    <n v="461.72283440170946"/>
    <n v="307.81522293447296"/>
  </r>
  <r>
    <s v="25/05/2026"/>
    <s v="M"/>
    <s v="[1062] RAMGADH"/>
    <s v="[8403] MOHANIA"/>
    <x v="47"/>
    <x v="47"/>
    <x v="47"/>
    <s v="C"/>
    <n v="11"/>
    <n v="3.6"/>
    <n v="8"/>
    <n v="0.39600000000000002"/>
    <n v="0.88"/>
    <n v="35.377056000000003"/>
    <n v="389.14761600000003"/>
    <n v="396.01182089552236"/>
    <n v="264.00788059701489"/>
    <n v="6.8100832800000015"/>
    <n v="41.25"/>
    <n v="437.20769928000004"/>
    <n v="39.746154480000001"/>
    <n v="444.91963970149249"/>
    <n v="296.61309313432832"/>
  </r>
  <r>
    <s v="25/05/2026"/>
    <s v="E"/>
    <s v="[1062] RAMGADH"/>
    <s v="[8403] MOHANIA"/>
    <x v="47"/>
    <x v="47"/>
    <x v="47"/>
    <s v="C"/>
    <n v="21"/>
    <n v="4.0999999999999996"/>
    <n v="8.1999999999999993"/>
    <n v="0.86099999999999999"/>
    <n v="1.722"/>
    <n v="37.885082400000002"/>
    <n v="795.58673040000008"/>
    <n v="396.01131428571438"/>
    <n v="264.00754285714294"/>
    <n v="13.922767782000003"/>
    <n v="78.75"/>
    <n v="888.25949818200013"/>
    <n v="42.298071342000007"/>
    <n v="442.14011855749146"/>
    <n v="294.76007903832766"/>
  </r>
  <r>
    <s v="26/05/2026"/>
    <s v="M"/>
    <s v="[1062] RAMGADH"/>
    <s v="[8403] MOHANIA"/>
    <x v="47"/>
    <x v="47"/>
    <x v="47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26/05/2026"/>
    <s v="M"/>
    <s v="[1062] RAMGADH"/>
    <s v="[8403] MOHANIA"/>
    <x v="47"/>
    <x v="47"/>
    <x v="47"/>
    <s v="C"/>
    <n v="11"/>
    <n v="3.6"/>
    <n v="8.1"/>
    <n v="0.39600000000000002"/>
    <n v="0.8909999999999999"/>
    <n v="37.531125900000006"/>
    <n v="412.84238490000007"/>
    <n v="417.01251000000008"/>
    <n v="278.00834000000003"/>
    <n v="7.2247417357500021"/>
    <n v="41.25"/>
    <n v="461.31712663575007"/>
    <n v="41.937920603250006"/>
    <n v="465.97689559166673"/>
    <n v="310.6512637277778"/>
  </r>
  <r>
    <s v="26/05/2026"/>
    <s v="E"/>
    <s v="[1062] RAMGADH"/>
    <s v="[8403] MOHANIA"/>
    <x v="47"/>
    <x v="47"/>
    <x v="47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27/05/2026"/>
    <s v="M"/>
    <s v="[1062] RAMGADH"/>
    <s v="[8403] MOHANIA"/>
    <x v="47"/>
    <x v="47"/>
    <x v="47"/>
    <s v="B"/>
    <n v="26"/>
    <n v="6.2"/>
    <n v="8.8000000000000007"/>
    <n v="1.6120000000000001"/>
    <n v="2.2880000000000003"/>
    <n v="51.252300000000005"/>
    <n v="1332.5598000000002"/>
    <n v="424.74281767955802"/>
    <n v="283.1618784530387"/>
    <n v="23.319796500000006"/>
    <n v="97.5"/>
    <n v="1453.3795965000002"/>
    <n v="55.899215250000005"/>
    <n v="463.25316505524864"/>
    <n v="308.83544337016576"/>
  </r>
  <r>
    <s v="27/05/2026"/>
    <s v="M"/>
    <s v="[1062] RAMGADH"/>
    <s v="[8403] MOHANIA"/>
    <x v="47"/>
    <x v="47"/>
    <x v="47"/>
    <s v="C"/>
    <n v="12"/>
    <n v="3.9"/>
    <n v="8.3000000000000007"/>
    <n v="0.46799999999999997"/>
    <n v="0.99600000000000011"/>
    <n v="39.338153700000007"/>
    <n v="472.05784440000008"/>
    <n v="417.01223003533573"/>
    <n v="278.00815335689049"/>
    <n v="8.2610122770000025"/>
    <n v="45"/>
    <n v="525.3188566770001"/>
    <n v="43.776571389750011"/>
    <n v="464.0625942376326"/>
    <n v="309.37506282508838"/>
  </r>
  <r>
    <s v="27/05/2026"/>
    <s v="E"/>
    <s v="[1062] RAMGADH"/>
    <s v="[8403] MOHANIA"/>
    <x v="47"/>
    <x v="47"/>
    <x v="47"/>
    <s v="C"/>
    <n v="15"/>
    <n v="4.5"/>
    <n v="8.5"/>
    <n v="0.67500000000000004"/>
    <n v="1.2749999999999999"/>
    <n v="42.396181500000004"/>
    <n v="635.94272250000006"/>
    <n v="417.01162131147544"/>
    <n v="278.00774754098364"/>
    <n v="11.128997643750003"/>
    <n v="56.25"/>
    <n v="703.3217201437501"/>
    <n v="46.888114676250005"/>
    <n v="461.19457058606559"/>
    <n v="307.46304705737708"/>
  </r>
  <r>
    <s v="28/05/2026"/>
    <s v="M"/>
    <s v="[1062] RAMGADH"/>
    <s v="[8403] MOHANIA"/>
    <x v="47"/>
    <x v="47"/>
    <x v="47"/>
    <s v="B"/>
    <n v="25"/>
    <n v="5.9"/>
    <n v="8.6"/>
    <n v="1.4750000000000001"/>
    <n v="2.15"/>
    <n v="48.279699999999998"/>
    <n v="1206.9925000000001"/>
    <n v="415.01174785100284"/>
    <n v="276.67449856733521"/>
    <n v="21.122368750000003"/>
    <n v="93.75"/>
    <n v="1321.8648687500001"/>
    <n v="52.874594750000007"/>
    <n v="454.50941045845281"/>
    <n v="303.00627363896854"/>
  </r>
  <r>
    <s v="28/05/2026"/>
    <s v="M"/>
    <s v="[1062] RAMGADH"/>
    <s v="[8403] MOHANIA"/>
    <x v="47"/>
    <x v="47"/>
    <x v="47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28/05/2026"/>
    <s v="E"/>
    <s v="[1062] RAMGADH"/>
    <s v="[8403] MOHANIA"/>
    <x v="47"/>
    <x v="47"/>
    <x v="47"/>
    <s v="C"/>
    <n v="15"/>
    <n v="4.5"/>
    <n v="8.3000000000000007"/>
    <n v="0.67500000000000004"/>
    <n v="1.2450000000000001"/>
    <n v="41.840153700000002"/>
    <n v="627.60230550000006"/>
    <n v="417.01149867109638"/>
    <n v="278.00766578073092"/>
    <n v="10.983040346250002"/>
    <n v="56.25"/>
    <n v="694.83534584625011"/>
    <n v="46.322356389750006"/>
    <n v="461.68461518023264"/>
    <n v="307.78974345348843"/>
  </r>
  <r>
    <s v="22/05/2026"/>
    <s v="M"/>
    <s v="[1062] RAMGADH"/>
    <s v="[8401] DURGAWATI"/>
    <x v="48"/>
    <x v="48"/>
    <x v="48"/>
    <s v="B"/>
    <n v="27"/>
    <n v="7.1"/>
    <n v="8.8000000000000007"/>
    <n v="1.9169999999999998"/>
    <n v="2.3760000000000003"/>
    <n v="58.692149999999998"/>
    <n v="1584.68805"/>
    <n v="452.63868894601546"/>
    <n v="301.75912596401031"/>
    <n v="27.732040875000003"/>
    <n v="101.25"/>
    <n v="1713.6700908749999"/>
    <n v="63.469262624999999"/>
    <n v="489.48017448586126"/>
    <n v="326.32011632390748"/>
  </r>
  <r>
    <s v="22/05/2026"/>
    <s v="M"/>
    <s v="[1062] RAMGADH"/>
    <s v="[8401] DURGAWATI"/>
    <x v="48"/>
    <x v="48"/>
    <x v="48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22/05/2026"/>
    <s v="E"/>
    <s v="[1062] RAMGADH"/>
    <s v="[8401] DURGAWATI"/>
    <x v="48"/>
    <x v="48"/>
    <x v="48"/>
    <s v="C"/>
    <n v="28"/>
    <n v="4.5"/>
    <n v="8.3000000000000007"/>
    <n v="1.26"/>
    <n v="2.3240000000000003"/>
    <n v="39.733095600000006"/>
    <n v="1112.5266768000001"/>
    <n v="396.01091960132896"/>
    <n v="264.00727973421931"/>
    <n v="19.469216844000005"/>
    <n v="105"/>
    <n v="1236.995893644"/>
    <n v="44.178424773000003"/>
    <n v="440.31652597674423"/>
    <n v="293.5443506511628"/>
  </r>
  <r>
    <s v="23/05/2026"/>
    <s v="M"/>
    <s v="[1062] RAMGADH"/>
    <s v="[8401] DURGAWATI"/>
    <x v="48"/>
    <x v="48"/>
    <x v="48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23/05/2026"/>
    <s v="M"/>
    <s v="[1062] RAMGADH"/>
    <s v="[8401] DURGAWATI"/>
    <x v="48"/>
    <x v="48"/>
    <x v="48"/>
    <s v="C"/>
    <n v="38"/>
    <n v="3.7"/>
    <n v="8"/>
    <n v="1.4059999999999999"/>
    <n v="3.04"/>
    <n v="35.773056000000004"/>
    <n v="1359.3761280000001"/>
    <n v="396.01169003690035"/>
    <n v="264.00779335793356"/>
    <n v="23.789082240000003"/>
    <n v="142.5"/>
    <n v="1525.6652102400001"/>
    <n v="40.149084479999999"/>
    <n v="444.45480974169732"/>
    <n v="296.30320649446486"/>
  </r>
  <r>
    <s v="23/05/2026"/>
    <s v="E"/>
    <s v="[1062] RAMGADH"/>
    <s v="[8401] DURGAWATI"/>
    <x v="48"/>
    <x v="48"/>
    <x v="48"/>
    <s v="C"/>
    <n v="21"/>
    <n v="4.8"/>
    <n v="8.1999999999999993"/>
    <n v="1.008"/>
    <n v="1.722"/>
    <n v="40.6570824"/>
    <n v="853.79873039999995"/>
    <n v="396.01054285714292"/>
    <n v="264.00702857142863"/>
    <n v="14.941477782"/>
    <n v="78.75"/>
    <n v="947.49020818199995"/>
    <n v="45.118581341999999"/>
    <n v="439.46670138311691"/>
    <n v="292.97780092207796"/>
  </r>
  <r>
    <s v="24/05/2026"/>
    <s v="M"/>
    <s v="[1062] RAMGADH"/>
    <s v="[8401] DURGAWATI"/>
    <x v="48"/>
    <x v="48"/>
    <x v="48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24/05/2026"/>
    <s v="M"/>
    <s v="[1062] RAMGADH"/>
    <s v="[8401] DURGAWATI"/>
    <x v="48"/>
    <x v="48"/>
    <x v="48"/>
    <s v="C"/>
    <n v="41"/>
    <n v="3.4"/>
    <n v="8"/>
    <n v="1.3940000000000001"/>
    <n v="3.28"/>
    <n v="34.585056000000002"/>
    <n v="1417.987296"/>
    <n v="396.01209160305342"/>
    <n v="264.00806106870226"/>
    <n v="24.814777680000002"/>
    <n v="153.75"/>
    <n v="1596.5520736799999"/>
    <n v="38.940294479999999"/>
    <n v="445.8812345038167"/>
    <n v="297.25415633587778"/>
  </r>
  <r>
    <s v="24/05/2026"/>
    <s v="E"/>
    <s v="[1062] RAMGADH"/>
    <s v="[8401] DURGAWATI"/>
    <x v="48"/>
    <x v="48"/>
    <x v="48"/>
    <s v="C"/>
    <n v="17"/>
    <n v="4.5"/>
    <n v="8.1"/>
    <n v="0.76500000000000001"/>
    <n v="1.3769999999999998"/>
    <n v="39.205069200000004"/>
    <n v="666.48617640000009"/>
    <n v="396.01080000000002"/>
    <n v="264.00720000000001"/>
    <n v="11.663508087000002"/>
    <n v="63.75"/>
    <n v="741.89968448700006"/>
    <n v="43.641157911000001"/>
    <n v="440.81977687878788"/>
    <n v="293.87985125252527"/>
  </r>
  <r>
    <s v="25/05/2026"/>
    <s v="M"/>
    <s v="[1062] RAMGADH"/>
    <s v="[8401] DURGAWATI"/>
    <x v="48"/>
    <x v="48"/>
    <x v="48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25/05/2026"/>
    <s v="M"/>
    <s v="[1062] RAMGADH"/>
    <s v="[8401] DURGAWATI"/>
    <x v="48"/>
    <x v="48"/>
    <x v="48"/>
    <s v="C"/>
    <n v="38"/>
    <n v="3.4"/>
    <n v="8"/>
    <n v="1.2919999999999998"/>
    <n v="3.04"/>
    <n v="34.585056000000002"/>
    <n v="1314.2321280000001"/>
    <n v="396.01209160305342"/>
    <n v="264.00806106870226"/>
    <n v="22.999062240000004"/>
    <n v="142.5"/>
    <n v="1479.7311902400002"/>
    <n v="38.940294480000006"/>
    <n v="445.88123450381681"/>
    <n v="297.25415633587789"/>
  </r>
  <r>
    <s v="25/05/2026"/>
    <s v="E"/>
    <s v="[1062] RAMGADH"/>
    <s v="[8401] DURGAWATI"/>
    <x v="48"/>
    <x v="48"/>
    <x v="48"/>
    <s v="C"/>
    <n v="26"/>
    <n v="4.9000000000000004"/>
    <n v="8.4"/>
    <n v="1.274"/>
    <n v="2.1840000000000002"/>
    <n v="41.58110880000001"/>
    <n v="1081.1088288000003"/>
    <n v="396.01056000000005"/>
    <n v="264.00704000000002"/>
    <n v="18.919404504000006"/>
    <n v="97.5"/>
    <n v="1197.5282333040004"/>
    <n v="46.058778204000014"/>
    <n v="438.65503051428578"/>
    <n v="292.43668700952384"/>
  </r>
  <r>
    <s v="26/05/2026"/>
    <s v="M"/>
    <s v="[1062] RAMGADH"/>
    <s v="[8401] DURGAWATI"/>
    <x v="48"/>
    <x v="48"/>
    <x v="48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26/05/2026"/>
    <s v="M"/>
    <s v="[1062] RAMGADH"/>
    <s v="[8401] DURGAWATI"/>
    <x v="48"/>
    <x v="48"/>
    <x v="48"/>
    <s v="C"/>
    <n v="40"/>
    <n v="3.3"/>
    <n v="8.1999999999999993"/>
    <n v="1.32"/>
    <n v="3.28"/>
    <n v="36.558139799999999"/>
    <n v="1462.3255919999999"/>
    <n v="417.0130015209125"/>
    <n v="278.00866768060831"/>
    <n v="25.590697860000002"/>
    <n v="150"/>
    <n v="1637.91628986"/>
    <n v="40.947907246500002"/>
    <n v="467.08639444676805"/>
    <n v="311.39092963117872"/>
  </r>
  <r>
    <s v="26/05/2026"/>
    <s v="E"/>
    <s v="[1062] RAMGADH"/>
    <s v="[8401] DURGAWATI"/>
    <x v="48"/>
    <x v="48"/>
    <x v="48"/>
    <s v="C"/>
    <n v="28"/>
    <n v="4.4000000000000004"/>
    <n v="8.5"/>
    <n v="1.2320000000000002"/>
    <n v="2.38"/>
    <n v="41.97918150000001"/>
    <n v="1175.4170820000004"/>
    <n v="417.01173675496693"/>
    <n v="278.00782450331127"/>
    <n v="20.569798935000009"/>
    <n v="105"/>
    <n v="1300.9868809350005"/>
    <n v="46.463817176250018"/>
    <n v="461.56109777731797"/>
    <n v="307.70739851821196"/>
  </r>
  <r>
    <s v="27/05/2026"/>
    <s v="M"/>
    <s v="[1062] RAMGADH"/>
    <s v="[8401] DURGAWATI"/>
    <x v="48"/>
    <x v="48"/>
    <x v="48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27/05/2026"/>
    <s v="M"/>
    <s v="[1062] RAMGADH"/>
    <s v="[8401] DURGAWATI"/>
    <x v="48"/>
    <x v="48"/>
    <x v="48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27/05/2026"/>
    <s v="E"/>
    <s v="[1062] RAMGADH"/>
    <s v="[8401] DURGAWATI"/>
    <x v="48"/>
    <x v="48"/>
    <x v="48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28/05/2026"/>
    <s v="M"/>
    <s v="[1062] RAMGADH"/>
    <s v="[8401] DURGAWATI"/>
    <x v="48"/>
    <x v="48"/>
    <x v="48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28/05/2026"/>
    <s v="M"/>
    <s v="[1062] RAMGADH"/>
    <s v="[8401] DURGAWATI"/>
    <x v="48"/>
    <x v="48"/>
    <x v="48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8/05/2026"/>
    <s v="E"/>
    <s v="[1062] RAMGADH"/>
    <s v="[8401] DURGAWATI"/>
    <x v="48"/>
    <x v="48"/>
    <x v="48"/>
    <s v="C"/>
    <n v="20"/>
    <n v="3.9"/>
    <n v="8.1999999999999993"/>
    <n v="0.78"/>
    <n v="1.64"/>
    <n v="39.060139800000002"/>
    <n v="781.20279600000003"/>
    <n v="417.01216868327407"/>
    <n v="278.00811245551603"/>
    <n v="13.671048930000001"/>
    <n v="75"/>
    <n v="869.87384493000002"/>
    <n v="43.493692246500004"/>
    <n v="464.34546882384348"/>
    <n v="309.5636458825623"/>
  </r>
  <r>
    <s v="22/05/2026"/>
    <s v="M"/>
    <s v="[1062] RAMGADH"/>
    <s v="[8404] CHANDESH"/>
    <x v="49"/>
    <x v="49"/>
    <x v="49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22/05/2026"/>
    <s v="M"/>
    <s v="[1062] RAMGADH"/>
    <s v="[8404] CHANDESH"/>
    <x v="49"/>
    <x v="49"/>
    <x v="49"/>
    <s v="C"/>
    <n v="40"/>
    <n v="3.1"/>
    <n v="8"/>
    <n v="1.24"/>
    <n v="3.2"/>
    <n v="33.397056000000006"/>
    <n v="1335.8822400000004"/>
    <n v="396.01252173913048"/>
    <n v="264.008347826087"/>
    <n v="23.377939200000007"/>
    <n v="150"/>
    <n v="1509.2601792000005"/>
    <n v="37.731504480000012"/>
    <n v="447.40914403162066"/>
    <n v="298.2727626877471"/>
  </r>
  <r>
    <s v="22/05/2026"/>
    <s v="E"/>
    <s v="[1062] RAMGADH"/>
    <s v="[8404] CHANDESH"/>
    <x v="49"/>
    <x v="49"/>
    <x v="49"/>
    <s v="B"/>
    <n v="44"/>
    <n v="5.9"/>
    <n v="8.4"/>
    <n v="2.5960000000000001"/>
    <n v="3.6960000000000002"/>
    <n v="47.787050000000001"/>
    <n v="2102.6302000000001"/>
    <n v="415.53956521739127"/>
    <n v="277.02637681159416"/>
    <n v="36.796028500000006"/>
    <n v="165"/>
    <n v="2304.4262285"/>
    <n v="52.373323374999998"/>
    <n v="455.42020326086953"/>
    <n v="303.61346884057969"/>
  </r>
  <r>
    <s v="22/05/2026"/>
    <s v="E"/>
    <s v="[1062] RAMGADH"/>
    <s v="[8404] CHANDESH"/>
    <x v="49"/>
    <x v="49"/>
    <x v="49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23/05/2026"/>
    <s v="M"/>
    <s v="[1062] RAMGADH"/>
    <s v="[8404] CHANDESH"/>
    <x v="49"/>
    <x v="49"/>
    <x v="49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23/05/2026"/>
    <s v="M"/>
    <s v="[1062] RAMGADH"/>
    <s v="[8404] CHANDESH"/>
    <x v="49"/>
    <x v="49"/>
    <x v="49"/>
    <s v="C"/>
    <n v="59"/>
    <n v="3.5"/>
    <n v="8"/>
    <n v="2.0649999999999999"/>
    <n v="4.72"/>
    <n v="34.981056000000002"/>
    <n v="2063.8823040000002"/>
    <n v="396.01195471698111"/>
    <n v="264.00796981132072"/>
    <n v="36.11794032000001"/>
    <n v="221.25"/>
    <n v="2321.2502443200001"/>
    <n v="39.343224480000003"/>
    <n v="445.39499411320753"/>
    <n v="296.92999607547171"/>
  </r>
  <r>
    <s v="23/05/2026"/>
    <s v="E"/>
    <s v="[1062] RAMGADH"/>
    <s v="[8404] CHANDESH"/>
    <x v="49"/>
    <x v="49"/>
    <x v="49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23/05/2026"/>
    <s v="E"/>
    <s v="[1062] RAMGADH"/>
    <s v="[8404] CHANDESH"/>
    <x v="49"/>
    <x v="49"/>
    <x v="49"/>
    <s v="C"/>
    <n v="47"/>
    <n v="3.4"/>
    <n v="8"/>
    <n v="1.5979999999999999"/>
    <n v="3.76"/>
    <n v="34.585056000000002"/>
    <n v="1625.4976320000001"/>
    <n v="396.01209160305342"/>
    <n v="264.00806106870226"/>
    <n v="28.446208560000002"/>
    <n v="176.25"/>
    <n v="1830.1938405600001"/>
    <n v="38.940294480000006"/>
    <n v="445.88123450381681"/>
    <n v="297.25415633587789"/>
  </r>
  <r>
    <s v="24/05/2026"/>
    <s v="M"/>
    <s v="[1062] RAMGADH"/>
    <s v="[8404] CHANDESH"/>
    <x v="49"/>
    <x v="49"/>
    <x v="49"/>
    <s v="B"/>
    <n v="35"/>
    <n v="7.1"/>
    <n v="8.6"/>
    <n v="2.4849999999999999"/>
    <n v="3.01"/>
    <n v="58.099299999999992"/>
    <n v="2033.4754999999998"/>
    <n v="452.72181818181815"/>
    <n v="301.81454545454545"/>
    <n v="35.585821250000002"/>
    <n v="131.25"/>
    <n v="2200.3113212499998"/>
    <n v="62.866037749999997"/>
    <n v="489.86522922077921"/>
    <n v="326.57681948051948"/>
  </r>
  <r>
    <s v="24/05/2026"/>
    <s v="M"/>
    <s v="[1062] RAMGADH"/>
    <s v="[8404] CHANDESH"/>
    <x v="49"/>
    <x v="49"/>
    <x v="49"/>
    <s v="C"/>
    <n v="53"/>
    <n v="3.3"/>
    <n v="8"/>
    <n v="1.7489999999999997"/>
    <n v="4.24"/>
    <n v="34.189056000000008"/>
    <n v="1812.0199680000005"/>
    <n v="396.01223166023169"/>
    <n v="264.00815444015444"/>
    <n v="31.710349440000012"/>
    <n v="198.75"/>
    <n v="2042.4803174400006"/>
    <n v="38.537364480000008"/>
    <n v="446.37873915057918"/>
    <n v="297.5858261003861"/>
  </r>
  <r>
    <s v="24/05/2026"/>
    <s v="E"/>
    <s v="[1062] RAMGADH"/>
    <s v="[8404] CHANDESH"/>
    <x v="49"/>
    <x v="49"/>
    <x v="49"/>
    <s v="B"/>
    <n v="31"/>
    <n v="6.5"/>
    <n v="8.8000000000000007"/>
    <n v="2.0150000000000001"/>
    <n v="2.7280000000000002"/>
    <n v="53.732250000000001"/>
    <n v="1665.69975"/>
    <n v="434.49258760107813"/>
    <n v="289.66172506738542"/>
    <n v="29.149745625000001"/>
    <n v="116.25"/>
    <n v="1811.0994956249999"/>
    <n v="58.422564375"/>
    <n v="472.41965801886789"/>
    <n v="314.94643867924526"/>
  </r>
  <r>
    <s v="24/05/2026"/>
    <s v="E"/>
    <s v="[1062] RAMGADH"/>
    <s v="[8404] CHANDESH"/>
    <x v="49"/>
    <x v="49"/>
    <x v="49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25/05/2026"/>
    <s v="M"/>
    <s v="[1062] RAMGADH"/>
    <s v="[8404] CHANDESH"/>
    <x v="49"/>
    <x v="49"/>
    <x v="49"/>
    <s v="B"/>
    <n v="40"/>
    <n v="6.9"/>
    <n v="8.8000000000000007"/>
    <n v="2.76"/>
    <n v="3.52"/>
    <n v="57.038850000000004"/>
    <n v="2281.5540000000001"/>
    <n v="446.77950391644907"/>
    <n v="297.85300261096603"/>
    <n v="39.927195000000005"/>
    <n v="150"/>
    <n v="2471.4811950000003"/>
    <n v="61.787029875000009"/>
    <n v="483.97151338120108"/>
    <n v="322.6476755874674"/>
  </r>
  <r>
    <s v="25/05/2026"/>
    <s v="E"/>
    <s v="[1062] RAMGADH"/>
    <s v="[8404] CHANDESH"/>
    <x v="49"/>
    <x v="49"/>
    <x v="49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25/05/2026"/>
    <s v="E"/>
    <s v="[1062] RAMGADH"/>
    <s v="[8404] CHANDESH"/>
    <x v="49"/>
    <x v="49"/>
    <x v="49"/>
    <s v="C"/>
    <n v="41"/>
    <n v="3.3"/>
    <n v="8.1999999999999993"/>
    <n v="1.3529999999999998"/>
    <n v="3.3620000000000001"/>
    <n v="34.717082400000002"/>
    <n v="1423.4003784000001"/>
    <n v="396.01234676806087"/>
    <n v="264.00823117870726"/>
    <n v="24.909506622000006"/>
    <n v="153.75"/>
    <n v="1602.0598850220001"/>
    <n v="39.074631342000004"/>
    <n v="445.71822823574149"/>
    <n v="297.14548549049431"/>
  </r>
  <r>
    <s v="26/05/2026"/>
    <s v="M"/>
    <s v="[1062] RAMGADH"/>
    <s v="[8404] CHANDESH"/>
    <x v="49"/>
    <x v="49"/>
    <x v="49"/>
    <s v="C"/>
    <n v="52"/>
    <n v="3.6"/>
    <n v="8.1999999999999993"/>
    <n v="1.8720000000000001"/>
    <n v="4.2639999999999993"/>
    <n v="37.809139800000004"/>
    <n v="1966.0752696000002"/>
    <n v="417.01257132352941"/>
    <n v="278.00838088235292"/>
    <n v="34.406317218000005"/>
    <n v="195"/>
    <n v="2195.4815868180003"/>
    <n v="42.220799746500006"/>
    <n v="465.67058543933825"/>
    <n v="310.44705695955884"/>
  </r>
  <r>
    <s v="26/05/2026"/>
    <s v="E"/>
    <s v="[1062] RAMGADH"/>
    <s v="[8404] CHANDESH"/>
    <x v="49"/>
    <x v="49"/>
    <x v="49"/>
    <s v="B"/>
    <n v="22"/>
    <n v="6.8"/>
    <n v="9"/>
    <n v="1.496"/>
    <n v="1.98"/>
    <n v="56.78"/>
    <n v="1249.1600000000001"/>
    <n v="443.59375"/>
    <n v="295.72916666666669"/>
    <n v="21.860300000000002"/>
    <n v="82.5"/>
    <n v="1353.5203000000001"/>
    <n v="61.523650000000004"/>
    <n v="480.65351562500001"/>
    <n v="320.43567708333336"/>
  </r>
  <r>
    <s v="26/05/2026"/>
    <s v="E"/>
    <s v="[1062] RAMGADH"/>
    <s v="[8404] CHANDESH"/>
    <x v="49"/>
    <x v="49"/>
    <x v="49"/>
    <s v="C"/>
    <n v="47"/>
    <n v="3.2"/>
    <n v="8.1999999999999993"/>
    <n v="1.504"/>
    <n v="3.8539999999999996"/>
    <n v="36.141139799999998"/>
    <n v="1698.6335706"/>
    <n v="417.0131515384615"/>
    <n v="278.00876769230769"/>
    <n v="29.726087485500003"/>
    <n v="176.25"/>
    <n v="1904.6096580855001"/>
    <n v="40.5236097465"/>
    <n v="467.58011245961535"/>
    <n v="311.72007497307692"/>
  </r>
  <r>
    <s v="27/05/2026"/>
    <s v="M"/>
    <s v="[1062] RAMGADH"/>
    <s v="[8404] CHANDESH"/>
    <x v="49"/>
    <x v="49"/>
    <x v="49"/>
    <s v="B"/>
    <n v="40"/>
    <n v="7.3"/>
    <n v="9"/>
    <n v="2.92"/>
    <n v="3.6"/>
    <n v="60.954999999999998"/>
    <n v="2438.1999999999998"/>
    <n v="458.30827067669168"/>
    <n v="305.53884711779443"/>
    <n v="42.668500000000002"/>
    <n v="150"/>
    <n v="2630.8684999999996"/>
    <n v="65.771712499999992"/>
    <n v="494.52415413533828"/>
    <n v="329.68276942355885"/>
  </r>
  <r>
    <s v="27/05/2026"/>
    <s v="M"/>
    <s v="[1062] RAMGADH"/>
    <s v="[8404] CHANDESH"/>
    <x v="49"/>
    <x v="49"/>
    <x v="49"/>
    <s v="C"/>
    <n v="46"/>
    <n v="3.9"/>
    <n v="8.1999999999999993"/>
    <n v="1.794"/>
    <n v="3.7719999999999998"/>
    <n v="39.060139800000002"/>
    <n v="1796.7664308000001"/>
    <n v="417.01216868327407"/>
    <n v="278.00811245551603"/>
    <n v="31.443412539000004"/>
    <n v="172.5"/>
    <n v="2000.7098433390001"/>
    <n v="43.493692246500004"/>
    <n v="464.34546882384348"/>
    <n v="309.5636458825623"/>
  </r>
  <r>
    <s v="27/05/2026"/>
    <s v="E"/>
    <s v="[1062] RAMGADH"/>
    <s v="[8404] CHANDESH"/>
    <x v="49"/>
    <x v="49"/>
    <x v="49"/>
    <s v="B"/>
    <n v="12"/>
    <n v="6.7"/>
    <n v="8.5"/>
    <n v="0.80400000000000005"/>
    <n v="1.02"/>
    <n v="54.266649999999998"/>
    <n v="651.19979999999998"/>
    <n v="438.81388140161721"/>
    <n v="292.54258760107814"/>
    <n v="11.395996500000001"/>
    <n v="45"/>
    <n v="707.59579650000001"/>
    <n v="58.966316374999998"/>
    <n v="476.8165744609164"/>
    <n v="317.87771630727758"/>
  </r>
  <r>
    <s v="28/05/2026"/>
    <s v="M"/>
    <s v="[1062] RAMGADH"/>
    <s v="[8404] CHANDESH"/>
    <x v="49"/>
    <x v="49"/>
    <x v="49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8/05/2026"/>
    <s v="E"/>
    <s v="[1062] RAMGADH"/>
    <s v="[8404] CHANDESH"/>
    <x v="49"/>
    <x v="49"/>
    <x v="49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28/05/2026"/>
    <s v="E"/>
    <s v="[1062] RAMGADH"/>
    <s v="[8404] CHANDESH"/>
    <x v="49"/>
    <x v="49"/>
    <x v="49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2/05/2026"/>
    <s v="M"/>
    <s v="[1062] RAMGADH"/>
    <s v="[8401] DURGAWATI"/>
    <x v="50"/>
    <x v="50"/>
    <x v="50"/>
    <s v="C"/>
    <n v="15"/>
    <n v="3.8"/>
    <n v="8.1"/>
    <n v="0.56999999999999995"/>
    <n v="1.2150000000000001"/>
    <n v="36.433069200000006"/>
    <n v="546.49603800000011"/>
    <n v="396.01162173913048"/>
    <n v="264.00774782608698"/>
    <n v="9.5636806650000032"/>
    <n v="56.25"/>
    <n v="612.3097186650001"/>
    <n v="40.820647911000009"/>
    <n v="443.70269468478273"/>
    <n v="295.8017964565218"/>
  </r>
  <r>
    <s v="22/05/2026"/>
    <s v="E"/>
    <s v="[1062] RAMGADH"/>
    <s v="[8401] DURGAWATI"/>
    <x v="50"/>
    <x v="50"/>
    <x v="50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22/05/2026"/>
    <s v="E"/>
    <s v="[1062] RAMGADH"/>
    <s v="[8401] DURGAWATI"/>
    <x v="50"/>
    <x v="50"/>
    <x v="50"/>
    <s v="C"/>
    <n v="12"/>
    <n v="3.1"/>
    <n v="8"/>
    <n v="0.37200000000000005"/>
    <n v="0.96"/>
    <n v="33.397056000000006"/>
    <n v="400.76467200000008"/>
    <n v="396.01252173913048"/>
    <n v="264.008347826087"/>
    <n v="7.0133817600000024"/>
    <n v="45"/>
    <n v="452.77805376000009"/>
    <n v="37.731504480000005"/>
    <n v="447.40914403162054"/>
    <n v="298.27276268774705"/>
  </r>
  <r>
    <s v="23/05/2026"/>
    <s v="M"/>
    <s v="[1062] RAMGADH"/>
    <s v="[8401] DURGAWATI"/>
    <x v="50"/>
    <x v="50"/>
    <x v="50"/>
    <s v="C"/>
    <n v="20"/>
    <n v="3.7"/>
    <n v="8"/>
    <n v="0.74"/>
    <n v="1.6"/>
    <n v="35.773056000000004"/>
    <n v="715.46112000000005"/>
    <n v="396.01169003690035"/>
    <n v="264.00779335793356"/>
    <n v="12.520569600000002"/>
    <n v="75"/>
    <n v="802.9816896000001"/>
    <n v="40.149084480000006"/>
    <n v="444.45480974169743"/>
    <n v="296.30320649446497"/>
  </r>
  <r>
    <s v="23/05/2026"/>
    <s v="E"/>
    <s v="[1062] RAMGADH"/>
    <s v="[8401] DURGAWATI"/>
    <x v="50"/>
    <x v="50"/>
    <x v="50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23/05/2026"/>
    <s v="E"/>
    <s v="[1062] RAMGADH"/>
    <s v="[8401] DURGAWATI"/>
    <x v="50"/>
    <x v="50"/>
    <x v="50"/>
    <s v="C"/>
    <n v="10"/>
    <n v="3.3"/>
    <n v="8"/>
    <n v="0.33"/>
    <n v="0.8"/>
    <n v="34.189056000000008"/>
    <n v="341.89056000000005"/>
    <n v="396.01223166023169"/>
    <n v="264.00815444015444"/>
    <n v="5.9830848000000012"/>
    <n v="37.5"/>
    <n v="385.37364480000008"/>
    <n v="38.537364480000008"/>
    <n v="446.37873915057918"/>
    <n v="297.5858261003861"/>
  </r>
  <r>
    <s v="24/05/2026"/>
    <s v="M"/>
    <s v="[1062] RAMGADH"/>
    <s v="[8401] DURGAWATI"/>
    <x v="50"/>
    <x v="50"/>
    <x v="50"/>
    <s v="C"/>
    <n v="18"/>
    <n v="3.4"/>
    <n v="8"/>
    <n v="0.61199999999999999"/>
    <n v="1.44"/>
    <n v="34.585056000000002"/>
    <n v="622.53100800000004"/>
    <n v="396.01209160305342"/>
    <n v="264.00806106870226"/>
    <n v="10.894292640000002"/>
    <n v="67.5"/>
    <n v="700.92530064000005"/>
    <n v="38.940294480000006"/>
    <n v="445.88123450381681"/>
    <n v="297.25415633587789"/>
  </r>
  <r>
    <s v="24/05/2026"/>
    <s v="E"/>
    <s v="[1062] RAMGADH"/>
    <s v="[8401] DURGAWATI"/>
    <x v="50"/>
    <x v="50"/>
    <x v="50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24/05/2026"/>
    <s v="E"/>
    <s v="[1062] RAMGADH"/>
    <s v="[8401] DURGAWATI"/>
    <x v="50"/>
    <x v="50"/>
    <x v="50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5/05/2026"/>
    <s v="M"/>
    <s v="[1062] RAMGADH"/>
    <s v="[8401] DURGAWATI"/>
    <x v="50"/>
    <x v="50"/>
    <x v="50"/>
    <s v="C"/>
    <n v="17"/>
    <n v="3.2"/>
    <n v="8"/>
    <n v="0.54400000000000004"/>
    <n v="1.36"/>
    <n v="33.793056000000007"/>
    <n v="574.48195200000009"/>
    <n v="396.01237500000002"/>
    <n v="264.00825000000003"/>
    <n v="10.053434160000002"/>
    <n v="63.75"/>
    <n v="648.28538616000014"/>
    <n v="38.13443448000001"/>
    <n v="446.88790406250007"/>
    <n v="297.92526937500003"/>
  </r>
  <r>
    <s v="25/05/2026"/>
    <s v="E"/>
    <s v="[1062] RAMGADH"/>
    <s v="[8401] DURGAWATI"/>
    <x v="50"/>
    <x v="50"/>
    <x v="50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26/05/2026"/>
    <s v="M"/>
    <s v="[1062] RAMGADH"/>
    <s v="[8401] DURGAWATI"/>
    <x v="50"/>
    <x v="50"/>
    <x v="50"/>
    <s v="C"/>
    <n v="14"/>
    <n v="3.5"/>
    <n v="8.1999999999999993"/>
    <n v="0.49"/>
    <n v="1.1479999999999999"/>
    <n v="37.392139800000002"/>
    <n v="523.48995720000005"/>
    <n v="417.01271152416359"/>
    <n v="278.00847434944239"/>
    <n v="9.1610742510000023"/>
    <n v="52.5"/>
    <n v="585.15103145100011"/>
    <n v="41.796502246500005"/>
    <n v="466.13199531412641"/>
    <n v="310.75466354275096"/>
  </r>
  <r>
    <s v="26/05/2026"/>
    <s v="E"/>
    <s v="[1062] RAMGADH"/>
    <s v="[8401] DURGAWATI"/>
    <x v="50"/>
    <x v="50"/>
    <x v="50"/>
    <s v="B"/>
    <n v="6"/>
    <n v="6.7"/>
    <n v="9"/>
    <n v="0.40200000000000002"/>
    <n v="0.54"/>
    <n v="55.945"/>
    <n v="335.67"/>
    <n v="440.51181102362204"/>
    <n v="293.67454068241472"/>
    <n v="5.8742250000000009"/>
    <n v="22.5"/>
    <n v="364.04422500000004"/>
    <n v="60.674037500000004"/>
    <n v="477.74832677165358"/>
    <n v="318.4988845144357"/>
  </r>
  <r>
    <s v="26/05/2026"/>
    <s v="E"/>
    <s v="[1062] RAMGADH"/>
    <s v="[8401] DURGAWATI"/>
    <x v="50"/>
    <x v="50"/>
    <x v="50"/>
    <s v="C"/>
    <n v="11"/>
    <n v="3.2"/>
    <n v="8.4"/>
    <n v="0.35200000000000004"/>
    <n v="0.92400000000000004"/>
    <n v="36.697167600000007"/>
    <n v="403.66884360000006"/>
    <n v="417.01326818181826"/>
    <n v="278.00884545454551"/>
    <n v="7.064204763000002"/>
    <n v="41.25"/>
    <n v="451.98304836300008"/>
    <n v="41.089368033000007"/>
    <n v="466.92463673863648"/>
    <n v="311.28309115909099"/>
  </r>
  <r>
    <s v="27/05/2026"/>
    <s v="M"/>
    <s v="[1062] RAMGADH"/>
    <s v="[8401] DURGAWATI"/>
    <x v="50"/>
    <x v="50"/>
    <x v="50"/>
    <s v="C"/>
    <n v="12"/>
    <n v="4.4000000000000004"/>
    <n v="8.4"/>
    <n v="0.52800000000000002"/>
    <n v="1.008"/>
    <n v="41.701167600000005"/>
    <n v="500.41401120000006"/>
    <n v="417.01167600000002"/>
    <n v="278.00778400000002"/>
    <n v="8.7572451960000013"/>
    <n v="45"/>
    <n v="554.1712563960001"/>
    <n v="46.180938033000011"/>
    <n v="461.80938033000007"/>
    <n v="307.87292022000003"/>
  </r>
  <r>
    <s v="27/05/2026"/>
    <s v="E"/>
    <s v="[1062] RAMGADH"/>
    <s v="[8401] DURGAWATI"/>
    <x v="50"/>
    <x v="50"/>
    <x v="50"/>
    <s v="B"/>
    <n v="9"/>
    <n v="6.4"/>
    <n v="9"/>
    <n v="0.57600000000000007"/>
    <n v="0.81"/>
    <n v="53.44"/>
    <n v="480.96"/>
    <n v="430.96774193548384"/>
    <n v="287.31182795698925"/>
    <n v="8.4168000000000003"/>
    <n v="33.75"/>
    <n v="523.1268"/>
    <n v="58.1252"/>
    <n v="468.7516129032258"/>
    <n v="312.5010752688172"/>
  </r>
  <r>
    <s v="28/05/2026"/>
    <s v="M"/>
    <s v="[1062] RAMGADH"/>
    <s v="[8401] DURGAWATI"/>
    <x v="50"/>
    <x v="50"/>
    <x v="50"/>
    <s v="C"/>
    <n v="8"/>
    <n v="3.5"/>
    <n v="8.1"/>
    <n v="0.28000000000000003"/>
    <n v="0.64800000000000002"/>
    <n v="37.114125900000005"/>
    <n v="296.91300720000004"/>
    <n v="417.01265056179784"/>
    <n v="278.00843370786521"/>
    <n v="5.1959776260000012"/>
    <n v="30"/>
    <n v="332.10898482600004"/>
    <n v="41.513623103250005"/>
    <n v="466.44520340730344"/>
    <n v="310.96346893820231"/>
  </r>
  <r>
    <s v="28/05/2026"/>
    <s v="E"/>
    <s v="[1062] RAMGADH"/>
    <s v="[8401] DURGAWATI"/>
    <x v="50"/>
    <x v="50"/>
    <x v="50"/>
    <s v="C"/>
    <n v="13"/>
    <n v="5.2"/>
    <n v="8.5"/>
    <n v="0.67600000000000005"/>
    <n v="1.105"/>
    <n v="45.315181500000008"/>
    <n v="589.09735950000015"/>
    <n v="417.01087269938654"/>
    <n v="278.00724846625769"/>
    <n v="10.309203791250004"/>
    <n v="48.75"/>
    <n v="648.15656329125011"/>
    <n v="49.858197176250009"/>
    <n v="458.81776542561352"/>
    <n v="305.87851028374234"/>
  </r>
  <r>
    <s v="22/05/2026"/>
    <s v="M"/>
    <s v="[1062] RAMGADH"/>
    <s v="[8404] CHANDESH"/>
    <x v="51"/>
    <x v="51"/>
    <x v="51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22/05/2026"/>
    <s v="E"/>
    <s v="[1062] RAMGADH"/>
    <s v="[8404] CHANDESH"/>
    <x v="51"/>
    <x v="51"/>
    <x v="51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23/05/2026"/>
    <s v="M"/>
    <s v="[1062] RAMGADH"/>
    <s v="[8404] CHANDESH"/>
    <x v="51"/>
    <x v="51"/>
    <x v="51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23/05/2026"/>
    <s v="E"/>
    <s v="[1062] RAMGADH"/>
    <s v="[8404] CHANDESH"/>
    <x v="51"/>
    <x v="51"/>
    <x v="51"/>
    <s v="B"/>
    <n v="18"/>
    <n v="7.8"/>
    <n v="9"/>
    <n v="1.4040000000000001"/>
    <n v="1.62"/>
    <n v="65.13"/>
    <n v="1172.3399999999999"/>
    <n v="471.95652173913038"/>
    <n v="314.63768115942025"/>
    <n v="20.51595"/>
    <n v="67.5"/>
    <n v="1260.3559499999999"/>
    <n v="70.019774999999996"/>
    <n v="507.3896739130434"/>
    <n v="338.25978260869562"/>
  </r>
  <r>
    <s v="24/05/2026"/>
    <s v="M"/>
    <s v="[1062] RAMGADH"/>
    <s v="[8404] CHANDESH"/>
    <x v="51"/>
    <x v="51"/>
    <x v="51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24/05/2026"/>
    <s v="E"/>
    <s v="[1062] RAMGADH"/>
    <s v="[8404] CHANDESH"/>
    <x v="51"/>
    <x v="51"/>
    <x v="51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25/05/2026"/>
    <s v="M"/>
    <s v="[1062] RAMGADH"/>
    <s v="[8404] CHANDESH"/>
    <x v="51"/>
    <x v="51"/>
    <x v="51"/>
    <s v="B"/>
    <n v="29"/>
    <n v="7.9"/>
    <n v="9"/>
    <n v="2.2910000000000004"/>
    <n v="2.61"/>
    <n v="65.965000000000003"/>
    <n v="1912.9850000000001"/>
    <n v="474.56834532374097"/>
    <n v="316.37889688249396"/>
    <n v="33.477237500000008"/>
    <n v="108.75"/>
    <n v="2055.2122374999999"/>
    <n v="70.869387500000002"/>
    <n v="509.85170863309349"/>
    <n v="339.901139088729"/>
  </r>
  <r>
    <s v="25/05/2026"/>
    <s v="E"/>
    <s v="[1062] RAMGADH"/>
    <s v="[8404] CHANDESH"/>
    <x v="51"/>
    <x v="51"/>
    <x v="51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26/05/2026"/>
    <s v="M"/>
    <s v="[1062] RAMGADH"/>
    <s v="[8404] CHANDESH"/>
    <x v="51"/>
    <x v="51"/>
    <x v="51"/>
    <s v="B"/>
    <n v="27"/>
    <n v="8.1"/>
    <n v="9"/>
    <n v="2.1869999999999998"/>
    <n v="2.4300000000000002"/>
    <n v="67.635000000000005"/>
    <n v="1826.1450000000002"/>
    <n v="479.68085106382978"/>
    <n v="319.78723404255317"/>
    <n v="31.957537500000008"/>
    <n v="101.25"/>
    <n v="1959.3525375000002"/>
    <n v="72.5686125"/>
    <n v="514.67101063829784"/>
    <n v="343.11400709219856"/>
  </r>
  <r>
    <s v="26/05/2026"/>
    <s v="E"/>
    <s v="[1062] RAMGADH"/>
    <s v="[8404] CHANDESH"/>
    <x v="51"/>
    <x v="51"/>
    <x v="51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27/05/2026"/>
    <s v="M"/>
    <s v="[1062] RAMGADH"/>
    <s v="[8404] CHANDESH"/>
    <x v="51"/>
    <x v="51"/>
    <x v="51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27/05/2026"/>
    <s v="E"/>
    <s v="[1062] RAMGADH"/>
    <s v="[8404] CHANDESH"/>
    <x v="51"/>
    <x v="51"/>
    <x v="51"/>
    <s v="B"/>
    <n v="13"/>
    <n v="8.3000000000000007"/>
    <n v="9"/>
    <n v="1.079"/>
    <n v="1.17"/>
    <n v="69.305000000000007"/>
    <n v="900.96500000000015"/>
    <n v="484.65034965034965"/>
    <n v="323.10023310023308"/>
    <n v="15.766887500000005"/>
    <n v="48.75"/>
    <n v="965.4818875000002"/>
    <n v="74.267837500000013"/>
    <n v="519.355506993007"/>
    <n v="346.23700466200467"/>
  </r>
  <r>
    <s v="27/05/2026"/>
    <s v="E"/>
    <s v="[1062] RAMGADH"/>
    <s v="[8404] CHANDESH"/>
    <x v="51"/>
    <x v="51"/>
    <x v="51"/>
    <s v="C"/>
    <n v="33"/>
    <n v="4.0999999999999996"/>
    <n v="8.5"/>
    <n v="1.3529999999999998"/>
    <n v="2.8050000000000002"/>
    <n v="40.728181500000005"/>
    <n v="1344.0299895000003"/>
    <n v="417.01209726962463"/>
    <n v="278.0080648464164"/>
    <n v="23.520524816250006"/>
    <n v="123.75"/>
    <n v="1491.3005143162502"/>
    <n v="45.190924676250006"/>
    <n v="462.70571340870316"/>
    <n v="308.47047560580211"/>
  </r>
  <r>
    <s v="28/05/2026"/>
    <s v="M"/>
    <s v="[1062] RAMGADH"/>
    <s v="[8404] CHANDESH"/>
    <x v="51"/>
    <x v="51"/>
    <x v="51"/>
    <s v="B"/>
    <n v="22"/>
    <n v="8"/>
    <n v="9"/>
    <n v="1.76"/>
    <n v="1.98"/>
    <n v="66.8"/>
    <n v="1469.6"/>
    <n v="477.14285714285705"/>
    <n v="318.09523809523802"/>
    <n v="25.718"/>
    <n v="82.5"/>
    <n v="1577.818"/>
    <n v="71.718999999999994"/>
    <n v="512.27857142857135"/>
    <n v="341.51904761904757"/>
  </r>
  <r>
    <s v="28/05/2026"/>
    <s v="M"/>
    <s v="[1062] RAMGADH"/>
    <s v="[8404] CHANDESH"/>
    <x v="51"/>
    <x v="51"/>
    <x v="51"/>
    <s v="C"/>
    <n v="32"/>
    <n v="4.3"/>
    <n v="8.5"/>
    <n v="1.3759999999999999"/>
    <n v="2.72"/>
    <n v="41.562181500000001"/>
    <n v="1329.989808"/>
    <n v="417.01185451505017"/>
    <n v="278.00790301003343"/>
    <n v="23.274821640000003"/>
    <n v="120"/>
    <n v="1473.2646296400001"/>
    <n v="46.039519676250002"/>
    <n v="461.93498002926424"/>
    <n v="307.95665335284281"/>
  </r>
  <r>
    <s v="28/05/2026"/>
    <s v="E"/>
    <s v="[1062] RAMGADH"/>
    <s v="[8404] CHANDESH"/>
    <x v="51"/>
    <x v="51"/>
    <x v="51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28/05/2026"/>
    <s v="E"/>
    <s v="[1062] RAMGADH"/>
    <s v="[8404] CHANDESH"/>
    <x v="51"/>
    <x v="51"/>
    <x v="51"/>
    <s v="C"/>
    <n v="37"/>
    <n v="3.9"/>
    <n v="8.5"/>
    <n v="1.4429999999999998"/>
    <n v="3.145"/>
    <n v="39.894181500000002"/>
    <n v="1476.0847155000001"/>
    <n v="417.01235017421601"/>
    <n v="278.00823344947736"/>
    <n v="25.831482521250006"/>
    <n v="138.75"/>
    <n v="1640.6661980212502"/>
    <n v="44.342329676250003"/>
    <n v="463.50867257404178"/>
    <n v="309.00578171602785"/>
  </r>
  <r>
    <s v="22/05/2026"/>
    <s v="M"/>
    <s v="[1062] RAMGADH"/>
    <s v="[8404] CHANDESH"/>
    <x v="52"/>
    <x v="52"/>
    <x v="52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2/05/2026"/>
    <s v="E"/>
    <s v="[1062] RAMGADH"/>
    <s v="[8404] CHANDESH"/>
    <x v="52"/>
    <x v="52"/>
    <x v="52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3/05/2026"/>
    <s v="M"/>
    <s v="[1062] RAMGADH"/>
    <s v="[8404] CHANDESH"/>
    <x v="52"/>
    <x v="52"/>
    <x v="52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3/05/2026"/>
    <s v="E"/>
    <s v="[1062] RAMGADH"/>
    <s v="[8404] CHANDESH"/>
    <x v="52"/>
    <x v="52"/>
    <x v="52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s v="24/05/2026"/>
    <s v="M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4/05/2026"/>
    <s v="E"/>
    <s v="[1062] RAMGADH"/>
    <s v="[8404] CHANDESH"/>
    <x v="52"/>
    <x v="52"/>
    <x v="52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4/05/2026"/>
    <s v="E"/>
    <s v="[1062] RAMGADH"/>
    <s v="[8404] CHANDESH"/>
    <x v="52"/>
    <x v="52"/>
    <x v="52"/>
    <s v="C"/>
    <n v="6000"/>
    <n v="3.8"/>
    <n v="8"/>
    <n v="228"/>
    <n v="480"/>
    <n v="36.169056000000005"/>
    <n v="217014.33600000004"/>
    <n v="396.01156204379566"/>
    <n v="264.00770802919709"/>
    <n v="3797.750880000001"/>
    <n v="22500"/>
    <n v="243312.08688000005"/>
    <n v="40.552014480000011"/>
    <n v="444.00015854014612"/>
    <n v="296.00010569343073"/>
  </r>
  <r>
    <s v="25/05/2026"/>
    <s v="M"/>
    <s v="[1062] RAMGADH"/>
    <s v="[8404] CHANDESH"/>
    <x v="52"/>
    <x v="52"/>
    <x v="52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25/05/2026"/>
    <s v="M"/>
    <s v="[1062] RAMGADH"/>
    <s v="[8404] CHANDESH"/>
    <x v="52"/>
    <x v="52"/>
    <x v="52"/>
    <s v="C"/>
    <n v="6000"/>
    <n v="3.8"/>
    <n v="8"/>
    <n v="228"/>
    <n v="480"/>
    <n v="36.169056000000005"/>
    <n v="217014.33600000004"/>
    <n v="396.01156204379566"/>
    <n v="264.00770802919709"/>
    <n v="3797.750880000001"/>
    <n v="22500"/>
    <n v="243312.08688000005"/>
    <n v="40.552014480000011"/>
    <n v="444.00015854014612"/>
    <n v="296.00010569343073"/>
  </r>
  <r>
    <s v="25/05/2026"/>
    <s v="E"/>
    <s v="[1062] RAMGADH"/>
    <s v="[8404] CHANDESH"/>
    <x v="52"/>
    <x v="52"/>
    <x v="52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5/05/2026"/>
    <s v="E"/>
    <s v="[1062] RAMGADH"/>
    <s v="[8404] CHANDESH"/>
    <x v="52"/>
    <x v="52"/>
    <x v="52"/>
    <s v="C"/>
    <n v="4000"/>
    <n v="3.8"/>
    <n v="8"/>
    <n v="152"/>
    <n v="320"/>
    <n v="36.169056000000005"/>
    <n v="144676.22400000002"/>
    <n v="396.01156204379566"/>
    <n v="264.00770802919709"/>
    <n v="2531.8339200000005"/>
    <n v="15000"/>
    <n v="162208.05792000002"/>
    <n v="40.552014480000004"/>
    <n v="444.000158540146"/>
    <n v="296.00010569343067"/>
  </r>
  <r>
    <s v="26/05/2026"/>
    <s v="M"/>
    <s v="[1062] RAMGADH"/>
    <s v="[8404] CHANDESH"/>
    <x v="52"/>
    <x v="52"/>
    <x v="52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26/05/2026"/>
    <s v="M"/>
    <s v="[1062] RAMGADH"/>
    <s v="[8404] CHANDESH"/>
    <x v="52"/>
    <x v="52"/>
    <x v="52"/>
    <s v="C"/>
    <n v="2000"/>
    <n v="3.8"/>
    <n v="8"/>
    <n v="76"/>
    <n v="160"/>
    <n v="38.087112000000005"/>
    <n v="76174.224000000017"/>
    <n v="417.01217518248177"/>
    <n v="278.00811678832116"/>
    <n v="1333.0489200000004"/>
    <n v="7500"/>
    <n v="85007.272920000018"/>
    <n v="42.50363646000001"/>
    <n v="465.36828240875923"/>
    <n v="310.24552160583949"/>
  </r>
  <r>
    <s v="26/05/2026"/>
    <s v="E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7/05/2026"/>
    <s v="M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7/05/2026"/>
    <s v="E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7/05/2026"/>
    <s v="E"/>
    <s v="[1062] RAMGADH"/>
    <s v="[8404] CHANDESH"/>
    <x v="52"/>
    <x v="52"/>
    <x v="52"/>
    <s v="C"/>
    <n v="7260"/>
    <n v="3.9"/>
    <n v="8.1"/>
    <n v="283.14"/>
    <n v="588.05999999999995"/>
    <n v="38.782125900000004"/>
    <n v="281558.23403400002"/>
    <n v="417.01210645161296"/>
    <n v="278.00807096774196"/>
    <n v="4927.2690955950011"/>
    <n v="27225"/>
    <n v="313710.50312959502"/>
    <n v="43.210813103250004"/>
    <n v="464.63239895967746"/>
    <n v="309.75493263978495"/>
  </r>
  <r>
    <s v="28/05/2026"/>
    <s v="M"/>
    <s v="[1062] RAMGADH"/>
    <s v="[8404] CHANDESH"/>
    <x v="52"/>
    <x v="52"/>
    <x v="52"/>
    <s v="B"/>
    <n v="65"/>
    <n v="6.9"/>
    <n v="9"/>
    <n v="4.4850000000000003"/>
    <n v="5.85"/>
    <n v="57.615000000000002"/>
    <n v="3744.9749999999999"/>
    <n v="446.62790697674421"/>
    <n v="297.75193798449612"/>
    <n v="65.537062500000005"/>
    <n v="243.75"/>
    <n v="4054.2620625"/>
    <n v="62.373262500000003"/>
    <n v="483.51366279069771"/>
    <n v="322.34244186046516"/>
  </r>
  <r>
    <s v="28/05/2026"/>
    <s v="M"/>
    <s v="[1062] RAMGADH"/>
    <s v="[8404] CHANDESH"/>
    <x v="52"/>
    <x v="52"/>
    <x v="52"/>
    <s v="C"/>
    <n v="7000"/>
    <n v="4.0999999999999996"/>
    <n v="8"/>
    <n v="286.99999999999994"/>
    <n v="560"/>
    <n v="39.338112000000002"/>
    <n v="275366.78400000004"/>
    <n v="417.01178798586579"/>
    <n v="278.00785865724384"/>
    <n v="4818.9187200000015"/>
    <n v="26250"/>
    <n v="306435.70272000006"/>
    <n v="43.776528960000007"/>
    <n v="464.06214445229693"/>
    <n v="309.37476296819796"/>
  </r>
  <r>
    <s v="28/05/2026"/>
    <s v="E"/>
    <s v="[1062] RAMGADH"/>
    <s v="[8404] CHANDESH"/>
    <x v="52"/>
    <x v="52"/>
    <x v="52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28/05/2026"/>
    <s v="E"/>
    <s v="[1062] RAMGADH"/>
    <s v="[8404] CHANDESH"/>
    <x v="52"/>
    <x v="52"/>
    <x v="52"/>
    <s v="C"/>
    <n v="8220"/>
    <n v="3.8"/>
    <n v="8"/>
    <n v="312.36"/>
    <n v="657.6"/>
    <n v="38.087112000000005"/>
    <n v="313076.06064000004"/>
    <n v="417.01217518248177"/>
    <n v="278.00811678832116"/>
    <n v="5478.8310612000014"/>
    <n v="30825"/>
    <n v="349379.89170120005"/>
    <n v="42.503636460000003"/>
    <n v="465.36828240875911"/>
    <n v="310.24552160583943"/>
  </r>
  <r>
    <s v="22/05/2026"/>
    <s v="M"/>
    <s v="[1062] RAMGADH"/>
    <s v="[8402] RAMPUR"/>
    <x v="53"/>
    <x v="53"/>
    <x v="53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22/05/2026"/>
    <s v="M"/>
    <s v="[1062] RAMGADH"/>
    <s v="[8402] RAMPUR"/>
    <x v="53"/>
    <x v="53"/>
    <x v="53"/>
    <s v="C"/>
    <n v="18"/>
    <n v="3.2"/>
    <n v="8"/>
    <n v="0.57600000000000007"/>
    <n v="1.44"/>
    <n v="33.793056000000007"/>
    <n v="608.27500800000007"/>
    <n v="396.01237500000002"/>
    <n v="264.00825000000003"/>
    <n v="10.644812640000001"/>
    <n v="67.5"/>
    <n v="686.41982064000013"/>
    <n v="38.13443448000001"/>
    <n v="446.88790406250007"/>
    <n v="297.92526937500003"/>
  </r>
  <r>
    <s v="22/05/2026"/>
    <s v="E"/>
    <s v="[1062] RAMGADH"/>
    <s v="[8402] RAMPUR"/>
    <x v="53"/>
    <x v="53"/>
    <x v="53"/>
    <s v="B"/>
    <n v="99"/>
    <n v="5.8"/>
    <n v="8.4"/>
    <n v="5.7419999999999991"/>
    <n v="8.3160000000000007"/>
    <n v="46.9771"/>
    <n v="4650.7329"/>
    <n v="412.07982456140354"/>
    <n v="274.71988304093571"/>
    <n v="81.387825750000005"/>
    <n v="371.25"/>
    <n v="5103.37072575"/>
    <n v="51.549199250000001"/>
    <n v="452.18595833333336"/>
    <n v="301.45730555555559"/>
  </r>
  <r>
    <s v="22/05/2026"/>
    <s v="E"/>
    <s v="[1062] RAMGADH"/>
    <s v="[8402] RAMPUR"/>
    <x v="53"/>
    <x v="53"/>
    <x v="53"/>
    <s v="C"/>
    <n v="27"/>
    <n v="3.1"/>
    <n v="8"/>
    <n v="0.83700000000000008"/>
    <n v="2.16"/>
    <n v="33.397056000000006"/>
    <n v="901.72051200000021"/>
    <n v="396.01252173913048"/>
    <n v="264.008347826087"/>
    <n v="15.780108960000005"/>
    <n v="101.25"/>
    <n v="1018.7506209600002"/>
    <n v="37.731504480000005"/>
    <n v="447.40914403162054"/>
    <n v="298.27276268774705"/>
  </r>
  <r>
    <s v="23/05/2026"/>
    <s v="M"/>
    <s v="[1062] RAMGADH"/>
    <s v="[8402] RAMPUR"/>
    <x v="53"/>
    <x v="53"/>
    <x v="53"/>
    <s v="B"/>
    <n v="40"/>
    <n v="6.7"/>
    <n v="8.6"/>
    <n v="2.68"/>
    <n v="3.44"/>
    <n v="54.826099999999997"/>
    <n v="2193.0439999999999"/>
    <n v="440.96058981233244"/>
    <n v="293.97372654155498"/>
    <n v="38.378270000000001"/>
    <n v="150"/>
    <n v="2381.42227"/>
    <n v="59.535556749999998"/>
    <n v="478.83825804289546"/>
    <n v="319.22550536193029"/>
  </r>
  <r>
    <s v="23/05/2026"/>
    <s v="M"/>
    <s v="[1062] RAMGADH"/>
    <s v="[8402] RAMPUR"/>
    <x v="53"/>
    <x v="53"/>
    <x v="53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23/05/2026"/>
    <s v="E"/>
    <s v="[1062] RAMGADH"/>
    <s v="[8402] RAMPUR"/>
    <x v="53"/>
    <x v="53"/>
    <x v="53"/>
    <s v="B"/>
    <n v="87"/>
    <n v="5.6"/>
    <n v="8.4"/>
    <n v="4.8719999999999999"/>
    <n v="7.3080000000000007"/>
    <n v="45.357199999999999"/>
    <n v="3946.0763999999999"/>
    <n v="404.97500000000002"/>
    <n v="269.98333333333335"/>
    <n v="69.056336999999999"/>
    <n v="326.25"/>
    <n v="4341.3827369999999"/>
    <n v="49.900950999999999"/>
    <n v="445.54420535714291"/>
    <n v="297.02947023809526"/>
  </r>
  <r>
    <s v="23/05/2026"/>
    <s v="E"/>
    <s v="[1062] RAMGADH"/>
    <s v="[8402] RAMPUR"/>
    <x v="53"/>
    <x v="53"/>
    <x v="53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24/05/2026"/>
    <s v="M"/>
    <s v="[1062] RAMGADH"/>
    <s v="[8402] RAMPUR"/>
    <x v="53"/>
    <x v="53"/>
    <x v="53"/>
    <s v="B"/>
    <n v="91"/>
    <n v="6.1"/>
    <n v="8.6"/>
    <n v="5.5510000000000002"/>
    <n v="7.8260000000000005"/>
    <n v="49.9163"/>
    <n v="4542.3833000000004"/>
    <n v="421.82788732394374"/>
    <n v="281.21859154929581"/>
    <n v="79.491707750000018"/>
    <n v="341.25"/>
    <n v="4963.1250077500008"/>
    <n v="54.53983525000001"/>
    <n v="460.90001619718322"/>
    <n v="307.26667746478881"/>
  </r>
  <r>
    <s v="24/05/2026"/>
    <s v="M"/>
    <s v="[1062] RAMGADH"/>
    <s v="[8402] RAMPUR"/>
    <x v="53"/>
    <x v="53"/>
    <x v="53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4/05/2026"/>
    <s v="E"/>
    <s v="[1062] RAMGADH"/>
    <s v="[8402] RAMPUR"/>
    <x v="53"/>
    <x v="53"/>
    <x v="53"/>
    <s v="C"/>
    <n v="109"/>
    <n v="4.5999999999999996"/>
    <n v="8.3000000000000007"/>
    <n v="5.0139999999999993"/>
    <n v="9.0470000000000006"/>
    <n v="40.129095600000007"/>
    <n v="4374.0714204000005"/>
    <n v="396.01081184210534"/>
    <n v="264.00720789473689"/>
    <n v="76.546249857000021"/>
    <n v="408.75"/>
    <n v="4859.367670257001"/>
    <n v="44.581354773000008"/>
    <n v="439.9475799967106"/>
    <n v="293.29838666447375"/>
  </r>
  <r>
    <s v="25/05/2026"/>
    <s v="M"/>
    <s v="[1062] RAMGADH"/>
    <s v="[8402] RAMPUR"/>
    <x v="53"/>
    <x v="53"/>
    <x v="53"/>
    <s v="B"/>
    <n v="126"/>
    <n v="5.7"/>
    <n v="8.4"/>
    <n v="7.1820000000000004"/>
    <n v="10.584000000000001"/>
    <n v="46.167149999999999"/>
    <n v="5817.0608999999995"/>
    <n v="408.55884955752208"/>
    <n v="272.37256637168139"/>
    <n v="101.79856574999999"/>
    <n v="472.5"/>
    <n v="6391.3594657499998"/>
    <n v="50.725075124999996"/>
    <n v="448.89447013274332"/>
    <n v="299.26298008849557"/>
  </r>
  <r>
    <s v="25/05/2026"/>
    <s v="M"/>
    <s v="[1062] RAMGADH"/>
    <s v="[8402] RAMPUR"/>
    <x v="53"/>
    <x v="53"/>
    <x v="53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25/05/2026"/>
    <s v="E"/>
    <s v="[1062] RAMGADH"/>
    <s v="[8402] RAMPUR"/>
    <x v="53"/>
    <x v="53"/>
    <x v="53"/>
    <s v="B"/>
    <n v="94"/>
    <n v="5.6"/>
    <n v="8.4"/>
    <n v="5.2639999999999993"/>
    <n v="7.8959999999999999"/>
    <n v="45.357199999999999"/>
    <n v="4263.5767999999998"/>
    <n v="404.97500000000002"/>
    <n v="269.98333333333335"/>
    <n v="74.612594000000001"/>
    <n v="352.5"/>
    <n v="4690.689394"/>
    <n v="49.900950999999999"/>
    <n v="445.54420535714291"/>
    <n v="297.02947023809526"/>
  </r>
  <r>
    <s v="25/05/2026"/>
    <s v="E"/>
    <s v="[1062] RAMGADH"/>
    <s v="[8402] RAMPUR"/>
    <x v="53"/>
    <x v="53"/>
    <x v="53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26/05/2026"/>
    <s v="M"/>
    <s v="[1062] RAMGADH"/>
    <s v="[8402] RAMPUR"/>
    <x v="53"/>
    <x v="53"/>
    <x v="53"/>
    <s v="B"/>
    <n v="39"/>
    <n v="6.5"/>
    <n v="8.8000000000000007"/>
    <n v="2.5350000000000001"/>
    <n v="3.4320000000000004"/>
    <n v="53.732250000000001"/>
    <n v="2095.5577499999999"/>
    <n v="434.49258760107813"/>
    <n v="289.66172506738542"/>
    <n v="36.672260625"/>
    <n v="146.25"/>
    <n v="2278.480010625"/>
    <n v="58.422564375"/>
    <n v="472.41965801886789"/>
    <n v="314.94643867924526"/>
  </r>
  <r>
    <s v="26/05/2026"/>
    <s v="M"/>
    <s v="[1062] RAMGADH"/>
    <s v="[8402] RAMPUR"/>
    <x v="53"/>
    <x v="53"/>
    <x v="53"/>
    <s v="C"/>
    <n v="13"/>
    <n v="3.6"/>
    <n v="8.1"/>
    <n v="0.46800000000000003"/>
    <n v="1.0529999999999999"/>
    <n v="37.531125900000006"/>
    <n v="487.90463670000008"/>
    <n v="417.01251000000008"/>
    <n v="278.00834000000003"/>
    <n v="8.5383311422500014"/>
    <n v="48.75"/>
    <n v="545.19296784225003"/>
    <n v="41.937920603249999"/>
    <n v="465.97689559166668"/>
    <n v="310.6512637277778"/>
  </r>
  <r>
    <s v="26/05/2026"/>
    <s v="E"/>
    <s v="[1062] RAMGADH"/>
    <s v="[8402] RAMPUR"/>
    <x v="53"/>
    <x v="53"/>
    <x v="53"/>
    <s v="B"/>
    <n v="74"/>
    <n v="6"/>
    <n v="9"/>
    <n v="4.4400000000000004"/>
    <n v="6.66"/>
    <n v="50.1"/>
    <n v="3707.4"/>
    <n v="417.5"/>
    <n v="278.33333333333331"/>
    <n v="64.879500000000007"/>
    <n v="277.5"/>
    <n v="4049.7795000000001"/>
    <n v="54.726750000000003"/>
    <n v="456.05625000000003"/>
    <n v="304.03750000000002"/>
  </r>
  <r>
    <s v="26/05/2026"/>
    <s v="E"/>
    <s v="[1062] RAMGADH"/>
    <s v="[8402] RAMPUR"/>
    <x v="53"/>
    <x v="53"/>
    <x v="5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7/05/2026"/>
    <s v="M"/>
    <s v="[1062] RAMGADH"/>
    <s v="[8402] RAMPUR"/>
    <x v="53"/>
    <x v="53"/>
    <x v="53"/>
    <s v="B"/>
    <n v="137"/>
    <n v="6.4"/>
    <n v="9"/>
    <n v="8.7680000000000007"/>
    <n v="12.33"/>
    <n v="53.44"/>
    <n v="7321.28"/>
    <n v="430.96774193548384"/>
    <n v="287.31182795698925"/>
    <n v="128.1224"/>
    <n v="513.75"/>
    <n v="7963.1523999999999"/>
    <n v="58.1252"/>
    <n v="468.7516129032258"/>
    <n v="312.5010752688172"/>
  </r>
  <r>
    <s v="27/05/2026"/>
    <s v="M"/>
    <s v="[1062] RAMGADH"/>
    <s v="[8402] RAMPUR"/>
    <x v="53"/>
    <x v="53"/>
    <x v="53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7/05/2026"/>
    <s v="E"/>
    <s v="[1062] RAMGADH"/>
    <s v="[8402] RAMPUR"/>
    <x v="53"/>
    <x v="53"/>
    <x v="53"/>
    <s v="B"/>
    <n v="76"/>
    <n v="5.7"/>
    <n v="8.8000000000000007"/>
    <n v="4.3319999999999999"/>
    <n v="6.6880000000000006"/>
    <n v="47.119050000000001"/>
    <n v="3581.0478000000003"/>
    <n v="407.3693083573487"/>
    <n v="271.57953890489915"/>
    <n v="62.668336500000009"/>
    <n v="285"/>
    <n v="3928.7161365000002"/>
    <n v="51.693633375000005"/>
    <n v="446.91902053314124"/>
    <n v="297.94601368876084"/>
  </r>
  <r>
    <s v="27/05/2026"/>
    <s v="E"/>
    <s v="[1062] RAMGADH"/>
    <s v="[8402] RAMPUR"/>
    <x v="53"/>
    <x v="53"/>
    <x v="53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8/05/2026"/>
    <s v="M"/>
    <s v="[1062] RAMGADH"/>
    <s v="[8402] RAMPUR"/>
    <x v="53"/>
    <x v="53"/>
    <x v="53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28/05/2026"/>
    <s v="E"/>
    <s v="[1062] RAMGADH"/>
    <s v="[8402] RAMPUR"/>
    <x v="53"/>
    <x v="53"/>
    <x v="53"/>
    <s v="B"/>
    <n v="73"/>
    <n v="6"/>
    <n v="8.6"/>
    <n v="4.38"/>
    <n v="6.2779999999999996"/>
    <n v="49.097999999999999"/>
    <n v="3584.154"/>
    <n v="418.44886363636368"/>
    <n v="278.96590909090912"/>
    <n v="62.722695000000009"/>
    <n v="273.75"/>
    <n v="3920.6266949999999"/>
    <n v="53.707214999999998"/>
    <n v="457.7319460227273"/>
    <n v="305.15463068181822"/>
  </r>
  <r>
    <s v="28/05/2026"/>
    <s v="E"/>
    <s v="[1062] RAMGADH"/>
    <s v="[8402] RAMPUR"/>
    <x v="53"/>
    <x v="53"/>
    <x v="5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2/05/2026"/>
    <s v="M"/>
    <s v="[1062] RAMGADH"/>
    <s v="[8401] DURGAWATI"/>
    <x v="54"/>
    <x v="54"/>
    <x v="54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22/05/2026"/>
    <s v="E"/>
    <s v="[1062] RAMGADH"/>
    <s v="[8401] DURGAWATI"/>
    <x v="54"/>
    <x v="54"/>
    <x v="54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3/05/2026"/>
    <s v="M"/>
    <s v="[1062] RAMGADH"/>
    <s v="[8401] DURGAWATI"/>
    <x v="54"/>
    <x v="54"/>
    <x v="54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23/05/2026"/>
    <s v="E"/>
    <s v="[1062] RAMGADH"/>
    <s v="[8401] DURGAWATI"/>
    <x v="54"/>
    <x v="54"/>
    <x v="54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24/05/2026"/>
    <s v="M"/>
    <s v="[1062] RAMGADH"/>
    <s v="[8401] DURGAWATI"/>
    <x v="54"/>
    <x v="54"/>
    <x v="54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24/05/2026"/>
    <s v="E"/>
    <s v="[1062] RAMGADH"/>
    <s v="[8401] DURGAWATI"/>
    <x v="54"/>
    <x v="54"/>
    <x v="54"/>
    <s v="B"/>
    <n v="11"/>
    <n v="7.1"/>
    <n v="8.8000000000000007"/>
    <n v="0.78099999999999992"/>
    <n v="0.96800000000000008"/>
    <n v="58.692149999999998"/>
    <n v="645.61365000000001"/>
    <n v="452.63868894601546"/>
    <n v="301.75912596401031"/>
    <n v="11.298238875000001"/>
    <n v="41.25"/>
    <n v="698.16188887500005"/>
    <n v="63.469262625000006"/>
    <n v="489.48017448586126"/>
    <n v="326.32011632390748"/>
  </r>
  <r>
    <s v="25/05/2026"/>
    <s v="M"/>
    <s v="[1062] RAMGADH"/>
    <s v="[8401] DURGAWATI"/>
    <x v="54"/>
    <x v="54"/>
    <x v="54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25/05/2026"/>
    <s v="E"/>
    <s v="[1062] RAMGADH"/>
    <s v="[8401] DURGAWATI"/>
    <x v="54"/>
    <x v="54"/>
    <x v="54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26/05/2026"/>
    <s v="M"/>
    <s v="[1062] RAMGADH"/>
    <s v="[8401] DURGAWATI"/>
    <x v="54"/>
    <x v="54"/>
    <x v="54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26/05/2026"/>
    <s v="E"/>
    <s v="[1062] RAMGADH"/>
    <s v="[8401] DURGAWATI"/>
    <x v="54"/>
    <x v="54"/>
    <x v="54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28/05/2026"/>
    <s v="E"/>
    <s v="[1062] RAMGADH"/>
    <s v="[8401] DURGAWATI"/>
    <x v="54"/>
    <x v="54"/>
    <x v="5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s v="22/05/2026"/>
    <s v="M"/>
    <s v="[1062] RAMGADH"/>
    <s v="[8402] RAMPUR"/>
    <x v="55"/>
    <x v="55"/>
    <x v="55"/>
    <s v="B"/>
    <n v="52"/>
    <n v="7.4"/>
    <n v="8.8000000000000007"/>
    <n v="3.8480000000000003"/>
    <n v="4.5760000000000005"/>
    <n v="61.172100000000007"/>
    <n v="3180.9492000000005"/>
    <n v="461.09623115577887"/>
    <n v="307.39748743718593"/>
    <n v="55.66661100000001"/>
    <n v="195"/>
    <n v="3431.6158110000006"/>
    <n v="65.992611750000009"/>
    <n v="497.43174685929648"/>
    <n v="331.6211645728643"/>
  </r>
  <r>
    <s v="22/05/2026"/>
    <s v="E"/>
    <s v="[1062] RAMGADH"/>
    <s v="[8402] RAMPUR"/>
    <x v="55"/>
    <x v="55"/>
    <x v="55"/>
    <s v="C"/>
    <n v="21"/>
    <n v="4.7"/>
    <n v="8.1999999999999993"/>
    <n v="0.98699999999999999"/>
    <n v="1.722"/>
    <n v="40.261082399999999"/>
    <n v="845.48273040000004"/>
    <n v="396.01064655737707"/>
    <n v="264.00709770491807"/>
    <n v="14.795947782000002"/>
    <n v="78.75"/>
    <n v="939.02867818200002"/>
    <n v="44.715651342000001"/>
    <n v="439.82607877377058"/>
    <n v="293.2173858491804"/>
  </r>
  <r>
    <s v="23/05/2026"/>
    <s v="M"/>
    <s v="[1062] RAMGADH"/>
    <s v="[8402] RAMPUR"/>
    <x v="55"/>
    <x v="55"/>
    <x v="55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s v="23/05/2026"/>
    <s v="E"/>
    <s v="[1062] RAMGADH"/>
    <s v="[8402] RAMPUR"/>
    <x v="55"/>
    <x v="55"/>
    <x v="55"/>
    <s v="C"/>
    <n v="16"/>
    <n v="4.8"/>
    <n v="8.1999999999999993"/>
    <n v="0.76800000000000002"/>
    <n v="1.3119999999999998"/>
    <n v="40.6570824"/>
    <n v="650.5133184"/>
    <n v="396.01054285714292"/>
    <n v="264.00702857142863"/>
    <n v="11.383983072000001"/>
    <n v="60"/>
    <n v="721.89730147199998"/>
    <n v="45.118581341999999"/>
    <n v="439.46670138311691"/>
    <n v="292.97780092207796"/>
  </r>
  <r>
    <s v="24/05/2026"/>
    <s v="M"/>
    <s v="[1062] RAMGADH"/>
    <s v="[8402] RAMPUR"/>
    <x v="55"/>
    <x v="55"/>
    <x v="55"/>
    <s v="B"/>
    <n v="53"/>
    <n v="7.2"/>
    <n v="8.8000000000000007"/>
    <n v="3.8160000000000003"/>
    <n v="4.6640000000000006"/>
    <n v="59.518800000000006"/>
    <n v="3154.4964000000004"/>
    <n v="455.50102040816324"/>
    <n v="303.66734693877549"/>
    <n v="55.203687000000016"/>
    <n v="198.75"/>
    <n v="3408.4500870000006"/>
    <n v="64.310379000000012"/>
    <n v="492.17126785714288"/>
    <n v="328.11417857142857"/>
  </r>
  <r>
    <s v="24/05/2026"/>
    <s v="E"/>
    <s v="[1062] RAMGADH"/>
    <s v="[8402] RAMPUR"/>
    <x v="55"/>
    <x v="55"/>
    <x v="55"/>
    <s v="C"/>
    <n v="21"/>
    <n v="4.3"/>
    <n v="8.1999999999999993"/>
    <n v="0.90300000000000002"/>
    <n v="1.722"/>
    <n v="38.677082400000003"/>
    <n v="812.21873040000003"/>
    <n v="396.01108259385677"/>
    <n v="264.00738839590451"/>
    <n v="14.213827782000001"/>
    <n v="78.75"/>
    <n v="905.18255818199998"/>
    <n v="43.103931341999996"/>
    <n v="441.33718097610927"/>
    <n v="294.2247873174062"/>
  </r>
  <r>
    <s v="25/05/2026"/>
    <s v="M"/>
    <s v="[1062] RAMGADH"/>
    <s v="[8402] RAMPUR"/>
    <x v="55"/>
    <x v="55"/>
    <x v="55"/>
    <s v="B"/>
    <n v="58"/>
    <n v="7"/>
    <n v="8.8000000000000007"/>
    <n v="4.0599999999999996"/>
    <n v="5.1040000000000001"/>
    <n v="57.865500000000004"/>
    <n v="3356.1990000000001"/>
    <n v="449.73186528497411"/>
    <n v="299.82124352331607"/>
    <n v="58.733482500000008"/>
    <n v="217.5"/>
    <n v="3632.4324825000003"/>
    <n v="62.628146250000007"/>
    <n v="486.74725064766841"/>
    <n v="324.49816709844561"/>
  </r>
  <r>
    <s v="25/05/2026"/>
    <s v="E"/>
    <s v="[1062] RAMGADH"/>
    <s v="[8402] RAMPUR"/>
    <x v="55"/>
    <x v="55"/>
    <x v="55"/>
    <s v="C"/>
    <n v="20"/>
    <n v="5.3"/>
    <n v="8.5"/>
    <n v="1.06"/>
    <n v="1.7"/>
    <n v="43.429122000000007"/>
    <n v="868.58244000000013"/>
    <n v="396.01023100303956"/>
    <n v="264.00682066869302"/>
    <n v="15.200192700000004"/>
    <n v="75"/>
    <n v="958.78263270000014"/>
    <n v="47.93913163500001"/>
    <n v="437.13493892097273"/>
    <n v="291.4232926139818"/>
  </r>
  <r>
    <s v="26/05/2026"/>
    <s v="M"/>
    <s v="[1062] RAMGADH"/>
    <s v="[8402] RAMPUR"/>
    <x v="55"/>
    <x v="55"/>
    <x v="55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6/05/2026"/>
    <s v="E"/>
    <s v="[1062] RAMGADH"/>
    <s v="[8402] RAMPUR"/>
    <x v="55"/>
    <x v="55"/>
    <x v="55"/>
    <s v="B"/>
    <n v="23"/>
    <n v="5.6"/>
    <n v="8.8000000000000007"/>
    <n v="1.2879999999999998"/>
    <n v="2.024"/>
    <n v="46.292400000000001"/>
    <n v="1064.7252000000001"/>
    <n v="403.71279069767445"/>
    <n v="269.14186046511628"/>
    <n v="18.632691000000005"/>
    <n v="86.25"/>
    <n v="1169.6078910000001"/>
    <n v="50.852517000000006"/>
    <n v="443.48125290697681"/>
    <n v="295.6541686046512"/>
  </r>
  <r>
    <s v="27/05/2026"/>
    <s v="M"/>
    <s v="[1062] RAMGADH"/>
    <s v="[8402] RAMPUR"/>
    <x v="55"/>
    <x v="55"/>
    <x v="55"/>
    <s v="B"/>
    <n v="43"/>
    <n v="7.6"/>
    <n v="9"/>
    <n v="3.2680000000000002"/>
    <n v="3.87"/>
    <n v="63.46"/>
    <n v="2728.78"/>
    <n v="466.61764705882348"/>
    <n v="311.07843137254901"/>
    <n v="47.753650000000007"/>
    <n v="161.25"/>
    <n v="2937.7836500000003"/>
    <n v="68.320550000000011"/>
    <n v="502.35698529411769"/>
    <n v="334.90465686274513"/>
  </r>
  <r>
    <s v="27/05/2026"/>
    <s v="E"/>
    <s v="[1062] RAMGADH"/>
    <s v="[8402] RAMPUR"/>
    <x v="55"/>
    <x v="55"/>
    <x v="55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28/05/2026"/>
    <s v="M"/>
    <s v="[1062] RAMGADH"/>
    <s v="[8402] RAMPUR"/>
    <x v="55"/>
    <x v="55"/>
    <x v="55"/>
    <s v="B"/>
    <n v="53"/>
    <n v="7"/>
    <n v="9"/>
    <n v="3.71"/>
    <n v="4.7699999999999996"/>
    <n v="58.45"/>
    <n v="3097.8500000000004"/>
    <n v="449.61538461538464"/>
    <n v="299.74358974358978"/>
    <n v="54.212375000000009"/>
    <n v="198.75"/>
    <n v="3350.8123750000004"/>
    <n v="63.222875000000009"/>
    <n v="486.32980769230772"/>
    <n v="324.21987179487184"/>
  </r>
  <r>
    <s v="28/05/2026"/>
    <s v="E"/>
    <s v="[1062] RAMGADH"/>
    <s v="[8402] RAMPUR"/>
    <x v="55"/>
    <x v="55"/>
    <x v="55"/>
    <s v="C"/>
    <n v="10"/>
    <n v="4.3"/>
    <n v="8.1999999999999993"/>
    <n v="0.43"/>
    <n v="0.82"/>
    <n v="40.728139799999994"/>
    <n v="407.28139799999997"/>
    <n v="417.01167030716726"/>
    <n v="278.00778020477816"/>
    <n v="7.1274244649999998"/>
    <n v="37.5"/>
    <n v="451.90882246499996"/>
    <n v="45.190882246499996"/>
    <n v="462.70527897440275"/>
    <n v="308.47018598293516"/>
  </r>
  <r>
    <s v="22/05/2026"/>
    <s v="M"/>
    <s v="[1062] RAMGADH"/>
    <s v="[8405] RAMGADH"/>
    <x v="56"/>
    <x v="56"/>
    <x v="56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2/05/2026"/>
    <s v="E"/>
    <s v="[1062] RAMGADH"/>
    <s v="[8405] RAMGADH"/>
    <x v="56"/>
    <x v="56"/>
    <x v="56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3/05/2026"/>
    <s v="M"/>
    <s v="[1062] RAMGADH"/>
    <s v="[8405] RAMGADH"/>
    <x v="56"/>
    <x v="56"/>
    <x v="56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23/05/2026"/>
    <s v="E"/>
    <s v="[1062] RAMGADH"/>
    <s v="[8405] RAMGADH"/>
    <x v="56"/>
    <x v="56"/>
    <x v="56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4/05/2026"/>
    <s v="M"/>
    <s v="[1062] RAMGADH"/>
    <s v="[8405] RAMGADH"/>
    <x v="56"/>
    <x v="56"/>
    <x v="56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24/05/2026"/>
    <s v="E"/>
    <s v="[1062] RAMGADH"/>
    <s v="[8405] RAMGADH"/>
    <x v="56"/>
    <x v="56"/>
    <x v="56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5/05/2026"/>
    <s v="M"/>
    <s v="[1062] RAMGADH"/>
    <s v="[8405] RAMGADH"/>
    <x v="56"/>
    <x v="56"/>
    <x v="56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5/05/2026"/>
    <s v="E"/>
    <s v="[1062] RAMGADH"/>
    <s v="[8405] RAMGADH"/>
    <x v="56"/>
    <x v="56"/>
    <x v="56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26/05/2026"/>
    <s v="M"/>
    <s v="[1062] RAMGADH"/>
    <s v="[8405] RAMGADH"/>
    <x v="56"/>
    <x v="56"/>
    <x v="56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26/05/2026"/>
    <s v="E"/>
    <s v="[1062] RAMGADH"/>
    <s v="[8405] RAMGADH"/>
    <x v="56"/>
    <x v="56"/>
    <x v="56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27/05/2026"/>
    <s v="M"/>
    <s v="[1062] RAMGADH"/>
    <s v="[8405] RAMGADH"/>
    <x v="56"/>
    <x v="56"/>
    <x v="56"/>
    <s v="C"/>
    <n v="21"/>
    <n v="3.2"/>
    <n v="8"/>
    <n v="0.67200000000000004"/>
    <n v="1.68"/>
    <n v="35.585112000000002"/>
    <n v="747.28735200000006"/>
    <n v="417.01303124999998"/>
    <n v="278.00868750000001"/>
    <n v="13.077528660000002"/>
    <n v="78.75"/>
    <n v="839.11488066000004"/>
    <n v="39.957851460000001"/>
    <n v="468.25607179687495"/>
    <n v="312.17071453124998"/>
  </r>
  <r>
    <s v="27/05/2026"/>
    <s v="E"/>
    <s v="[1062] RAMGADH"/>
    <s v="[8405] RAMGADH"/>
    <x v="56"/>
    <x v="56"/>
    <x v="5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8/05/2026"/>
    <s v="M"/>
    <s v="[1062] RAMGADH"/>
    <s v="[8405] RAMGADH"/>
    <x v="56"/>
    <x v="56"/>
    <x v="56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8/05/2026"/>
    <s v="E"/>
    <s v="[1062] RAMGADH"/>
    <s v="[8405] RAMGADH"/>
    <x v="56"/>
    <x v="56"/>
    <x v="56"/>
    <s v="C"/>
    <n v="28"/>
    <n v="3.1"/>
    <n v="8"/>
    <n v="0.86799999999999999"/>
    <n v="2.2400000000000002"/>
    <n v="35.168112000000008"/>
    <n v="984.70713600000022"/>
    <n v="417.01318577075102"/>
    <n v="278.00879051383401"/>
    <n v="17.232374880000005"/>
    <n v="105"/>
    <n v="1106.9395108800002"/>
    <n v="39.533553960000006"/>
    <n v="468.77731968379447"/>
    <n v="312.51821312252963"/>
  </r>
  <r>
    <s v="22/05/2026"/>
    <s v="M"/>
    <s v="[1062] RAMGADH"/>
    <s v="[8401] DURGAWATI"/>
    <x v="57"/>
    <x v="57"/>
    <x v="57"/>
    <s v="B"/>
    <n v="40"/>
    <n v="7.3"/>
    <n v="8.8000000000000007"/>
    <n v="2.92"/>
    <n v="3.52"/>
    <n v="60.34545"/>
    <n v="2413.8180000000002"/>
    <n v="458.31987341772157"/>
    <n v="305.54658227848103"/>
    <n v="42.24181500000001"/>
    <n v="150"/>
    <n v="2606.0598150000001"/>
    <n v="65.151495374999996"/>
    <n v="494.82148386075949"/>
    <n v="329.88098924050632"/>
  </r>
  <r>
    <s v="22/05/2026"/>
    <s v="E"/>
    <s v="[1062] RAMGADH"/>
    <s v="[8401] DURGAWATI"/>
    <x v="57"/>
    <x v="57"/>
    <x v="57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23/05/2026"/>
    <s v="M"/>
    <s v="[1062] RAMGADH"/>
    <s v="[8401] DURGAWATI"/>
    <x v="57"/>
    <x v="57"/>
    <x v="57"/>
    <s v="B"/>
    <n v="39"/>
    <n v="7.2"/>
    <n v="9"/>
    <n v="2.8080000000000003"/>
    <n v="3.51"/>
    <n v="60.120000000000005"/>
    <n v="2344.6800000000003"/>
    <n v="455.4545454545455"/>
    <n v="303.63636363636368"/>
    <n v="41.031900000000007"/>
    <n v="146.25"/>
    <n v="2531.9619000000002"/>
    <n v="64.9221"/>
    <n v="491.83409090909089"/>
    <n v="327.88939393939393"/>
  </r>
  <r>
    <s v="23/05/2026"/>
    <s v="M"/>
    <s v="[1062] RAMGADH"/>
    <s v="[8401] DURGAWATI"/>
    <x v="57"/>
    <x v="57"/>
    <x v="57"/>
    <s v="C"/>
    <n v="7"/>
    <n v="3.5"/>
    <n v="8.3000000000000007"/>
    <n v="0.245"/>
    <n v="0.58100000000000007"/>
    <n v="35.773095600000005"/>
    <n v="250.41166920000003"/>
    <n v="396.01212841328413"/>
    <n v="264.00808560885611"/>
    <n v="4.3822042110000012"/>
    <n v="26.25"/>
    <n v="281.04387341100005"/>
    <n v="40.149124773000004"/>
    <n v="444.45525578966789"/>
    <n v="296.30350385977857"/>
  </r>
  <r>
    <s v="23/05/2026"/>
    <s v="E"/>
    <s v="[1062] RAMGADH"/>
    <s v="[8401] DURGAWATI"/>
    <x v="57"/>
    <x v="57"/>
    <x v="57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24/05/2026"/>
    <s v="M"/>
    <s v="[1062] RAMGADH"/>
    <s v="[8401] DURGAWATI"/>
    <x v="57"/>
    <x v="57"/>
    <x v="57"/>
    <s v="B"/>
    <n v="28"/>
    <n v="8.1999999999999993"/>
    <n v="9"/>
    <n v="2.2959999999999998"/>
    <n v="2.52"/>
    <n v="68.469999999999985"/>
    <n v="1917.1599999999996"/>
    <n v="482.18309859154925"/>
    <n v="321.45539906103284"/>
    <n v="33.5503"/>
    <n v="105"/>
    <n v="2055.7102999999997"/>
    <n v="73.418224999999993"/>
    <n v="517.02975352112674"/>
    <n v="344.68650234741784"/>
  </r>
  <r>
    <s v="24/05/2026"/>
    <s v="E"/>
    <s v="[1062] RAMGADH"/>
    <s v="[8401] DURGAWATI"/>
    <x v="57"/>
    <x v="57"/>
    <x v="57"/>
    <s v="B"/>
    <n v="25"/>
    <n v="6.9"/>
    <n v="9"/>
    <n v="1.7250000000000001"/>
    <n v="2.25"/>
    <n v="57.615000000000002"/>
    <n v="1440.375"/>
    <n v="446.62790697674421"/>
    <n v="297.75193798449612"/>
    <n v="25.206562500000004"/>
    <n v="93.75"/>
    <n v="1559.3315625"/>
    <n v="62.373262500000003"/>
    <n v="483.51366279069771"/>
    <n v="322.34244186046516"/>
  </r>
  <r>
    <s v="25/05/2026"/>
    <s v="M"/>
    <s v="[1062] RAMGADH"/>
    <s v="[8401] DURGAWATI"/>
    <x v="57"/>
    <x v="57"/>
    <x v="57"/>
    <s v="B"/>
    <n v="35"/>
    <n v="7.8"/>
    <n v="9"/>
    <n v="2.73"/>
    <n v="3.15"/>
    <n v="65.13"/>
    <n v="2279.5499999999997"/>
    <n v="471.95652173913038"/>
    <n v="314.63768115942025"/>
    <n v="39.892125"/>
    <n v="131.25"/>
    <n v="2450.6921249999996"/>
    <n v="70.019774999999981"/>
    <n v="507.38967391304328"/>
    <n v="338.2597826086955"/>
  </r>
  <r>
    <s v="25/05/2026"/>
    <s v="M"/>
    <s v="[1062] RAMGADH"/>
    <s v="[8401] DURGAWATI"/>
    <x v="57"/>
    <x v="57"/>
    <x v="57"/>
    <s v="C"/>
    <n v="13"/>
    <n v="3.7"/>
    <n v="8"/>
    <n v="0.48100000000000004"/>
    <n v="1.04"/>
    <n v="35.773056000000004"/>
    <n v="465.04972800000007"/>
    <n v="396.01169003690035"/>
    <n v="264.00779335793356"/>
    <n v="8.1383702400000022"/>
    <n v="48.75"/>
    <n v="521.93809824000004"/>
    <n v="40.149084480000006"/>
    <n v="444.45480974169743"/>
    <n v="296.30320649446497"/>
  </r>
  <r>
    <s v="25/05/2026"/>
    <s v="E"/>
    <s v="[1062] RAMGADH"/>
    <s v="[8401] DURGAWATI"/>
    <x v="57"/>
    <x v="57"/>
    <x v="57"/>
    <s v="B"/>
    <n v="21"/>
    <n v="6.9"/>
    <n v="9"/>
    <n v="1.4490000000000001"/>
    <n v="1.89"/>
    <n v="57.615000000000002"/>
    <n v="1209.915"/>
    <n v="446.62790697674421"/>
    <n v="297.75193798449612"/>
    <n v="21.173512500000001"/>
    <n v="78.75"/>
    <n v="1309.8385125"/>
    <n v="62.373262499999996"/>
    <n v="483.51366279069765"/>
    <n v="322.3424418604651"/>
  </r>
  <r>
    <s v="26/05/2026"/>
    <s v="M"/>
    <s v="[1062] RAMGADH"/>
    <s v="[8401] DURGAWATI"/>
    <x v="57"/>
    <x v="57"/>
    <x v="57"/>
    <s v="B"/>
    <n v="38"/>
    <n v="7.8"/>
    <n v="9"/>
    <n v="2.964"/>
    <n v="3.42"/>
    <n v="65.13"/>
    <n v="2474.9399999999996"/>
    <n v="471.95652173913038"/>
    <n v="314.63768115942025"/>
    <n v="43.311449999999994"/>
    <n v="142.5"/>
    <n v="2660.7514499999997"/>
    <n v="70.019774999999996"/>
    <n v="507.3896739130434"/>
    <n v="338.25978260869562"/>
  </r>
  <r>
    <s v="26/05/2026"/>
    <s v="E"/>
    <s v="[1062] RAMGADH"/>
    <s v="[8401] DURGAWATI"/>
    <x v="57"/>
    <x v="57"/>
    <x v="57"/>
    <s v="B"/>
    <n v="26"/>
    <n v="6.4"/>
    <n v="9"/>
    <n v="1.6640000000000001"/>
    <n v="2.34"/>
    <n v="53.44"/>
    <n v="1389.44"/>
    <n v="430.96774193548384"/>
    <n v="287.31182795698925"/>
    <n v="24.315200000000004"/>
    <n v="97.5"/>
    <n v="1511.2552000000001"/>
    <n v="58.1252"/>
    <n v="468.7516129032258"/>
    <n v="312.5010752688172"/>
  </r>
  <r>
    <s v="27/05/2026"/>
    <s v="M"/>
    <s v="[1062] RAMGADH"/>
    <s v="[8401] DURGAWATI"/>
    <x v="57"/>
    <x v="57"/>
    <x v="57"/>
    <s v="B"/>
    <n v="34"/>
    <n v="7.8"/>
    <n v="9"/>
    <n v="2.6519999999999997"/>
    <n v="3.06"/>
    <n v="65.13"/>
    <n v="2214.42"/>
    <n v="471.95652173913038"/>
    <n v="314.63768115942025"/>
    <n v="38.752350000000007"/>
    <n v="127.5"/>
    <n v="2380.6723500000003"/>
    <n v="70.01977500000001"/>
    <n v="507.38967391304351"/>
    <n v="338.25978260869567"/>
  </r>
  <r>
    <s v="27/05/2026"/>
    <s v="M"/>
    <s v="[1062] RAMGADH"/>
    <s v="[8401] DURGAWATI"/>
    <x v="57"/>
    <x v="57"/>
    <x v="57"/>
    <s v="C"/>
    <n v="13"/>
    <n v="3.6"/>
    <n v="8.1999999999999993"/>
    <n v="0.46800000000000003"/>
    <n v="1.0659999999999998"/>
    <n v="37.809139800000004"/>
    <n v="491.51881740000005"/>
    <n v="417.01257132352941"/>
    <n v="278.00838088235292"/>
    <n v="8.6015793045000013"/>
    <n v="48.75"/>
    <n v="548.87039670450008"/>
    <n v="42.220799746500006"/>
    <n v="465.67058543933825"/>
    <n v="310.44705695955884"/>
  </r>
  <r>
    <s v="27/05/2026"/>
    <s v="E"/>
    <s v="[1062] RAMGADH"/>
    <s v="[8401] DURGAWATI"/>
    <x v="57"/>
    <x v="57"/>
    <x v="57"/>
    <s v="B"/>
    <n v="24"/>
    <n v="6.6"/>
    <n v="9"/>
    <n v="1.5839999999999999"/>
    <n v="2.16"/>
    <n v="55.11"/>
    <n v="1322.6399999999999"/>
    <n v="437.38095238095235"/>
    <n v="291.58730158730157"/>
    <n v="23.1462"/>
    <n v="90"/>
    <n v="1435.7861999999998"/>
    <n v="59.824424999999991"/>
    <n v="474.79702380952375"/>
    <n v="316.53134920634915"/>
  </r>
  <r>
    <s v="28/05/2026"/>
    <s v="M"/>
    <s v="[1062] RAMGADH"/>
    <s v="[8401] DURGAWATI"/>
    <x v="57"/>
    <x v="57"/>
    <x v="57"/>
    <s v="B"/>
    <n v="40"/>
    <n v="7.8"/>
    <n v="9"/>
    <n v="3.12"/>
    <n v="3.6"/>
    <n v="65.13"/>
    <n v="2605.1999999999998"/>
    <n v="471.95652173913038"/>
    <n v="314.63768115942025"/>
    <n v="45.591000000000001"/>
    <n v="150"/>
    <n v="2800.7909999999997"/>
    <n v="70.019774999999996"/>
    <n v="507.3896739130434"/>
    <n v="338.25978260869562"/>
  </r>
  <r>
    <s v="28/05/2026"/>
    <s v="M"/>
    <s v="[1062] RAMGADH"/>
    <s v="[8401] DURGAWATI"/>
    <x v="57"/>
    <x v="57"/>
    <x v="57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28/05/2026"/>
    <s v="E"/>
    <s v="[1062] RAMGADH"/>
    <s v="[8401] DURGAWATI"/>
    <x v="57"/>
    <x v="57"/>
    <x v="57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28/05/2026"/>
    <s v="E"/>
    <s v="[1062] RAMGADH"/>
    <s v="[8401] DURGAWATI"/>
    <x v="57"/>
    <x v="57"/>
    <x v="57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2/05/2026"/>
    <s v="M"/>
    <s v="[1062] RAMGADH"/>
    <s v="[8403] MOHANIA"/>
    <x v="58"/>
    <x v="58"/>
    <x v="58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22/05/2026"/>
    <s v="M"/>
    <s v="[1062] RAMGADH"/>
    <s v="[8403] MOHANIA"/>
    <x v="58"/>
    <x v="58"/>
    <x v="58"/>
    <s v="C"/>
    <n v="62"/>
    <n v="3"/>
    <n v="8"/>
    <n v="1.86"/>
    <n v="4.96"/>
    <n v="33.001056000000005"/>
    <n v="2046.0654720000002"/>
    <n v="396.01267200000001"/>
    <n v="264.00844799999999"/>
    <n v="35.806145760000007"/>
    <n v="232.5"/>
    <n v="2314.3716177600004"/>
    <n v="37.328574480000007"/>
    <n v="447.94289376000006"/>
    <n v="298.62859584000006"/>
  </r>
  <r>
    <s v="22/05/2026"/>
    <s v="E"/>
    <s v="[1062] RAMGADH"/>
    <s v="[8403] MOHANIA"/>
    <x v="58"/>
    <x v="58"/>
    <x v="58"/>
    <s v="B"/>
    <n v="40"/>
    <n v="5.9"/>
    <n v="8.4"/>
    <n v="2.36"/>
    <n v="3.36"/>
    <n v="47.787050000000001"/>
    <n v="1911.482"/>
    <n v="415.53956521739127"/>
    <n v="277.02637681159416"/>
    <n v="33.450935000000001"/>
    <n v="150"/>
    <n v="2094.9329349999998"/>
    <n v="52.373323374999998"/>
    <n v="455.42020326086953"/>
    <n v="303.61346884057969"/>
  </r>
  <r>
    <s v="22/05/2026"/>
    <s v="E"/>
    <s v="[1062] RAMGADH"/>
    <s v="[8403] MOHANIA"/>
    <x v="58"/>
    <x v="58"/>
    <x v="5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3/05/2026"/>
    <s v="M"/>
    <s v="[1062] RAMGADH"/>
    <s v="[8403] MOHANIA"/>
    <x v="58"/>
    <x v="58"/>
    <x v="58"/>
    <s v="B"/>
    <n v="40"/>
    <n v="6.4"/>
    <n v="8.6"/>
    <n v="2.56"/>
    <n v="3.44"/>
    <n v="52.371199999999995"/>
    <n v="2094.848"/>
    <n v="431.6307692307692"/>
    <n v="287.75384615384615"/>
    <n v="36.659840000000003"/>
    <n v="150"/>
    <n v="2281.5078399999998"/>
    <n v="57.037695999999997"/>
    <n v="470.0909010989011"/>
    <n v="313.39393406593405"/>
  </r>
  <r>
    <s v="23/05/2026"/>
    <s v="M"/>
    <s v="[1062] RAMGADH"/>
    <s v="[8403] MOHANIA"/>
    <x v="58"/>
    <x v="58"/>
    <x v="58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23/05/2026"/>
    <s v="E"/>
    <s v="[1062] RAMGADH"/>
    <s v="[8403] MOHANIA"/>
    <x v="58"/>
    <x v="58"/>
    <x v="58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23/05/2026"/>
    <s v="E"/>
    <s v="[1062] RAMGADH"/>
    <s v="[8403] MOHANIA"/>
    <x v="58"/>
    <x v="58"/>
    <x v="58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4/05/2026"/>
    <s v="M"/>
    <s v="[1062] RAMGADH"/>
    <s v="[8403] MOHANIA"/>
    <x v="58"/>
    <x v="58"/>
    <x v="58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24/05/2026"/>
    <s v="M"/>
    <s v="[1062] RAMGADH"/>
    <s v="[8403] MOHANIA"/>
    <x v="58"/>
    <x v="58"/>
    <x v="5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4/05/2026"/>
    <s v="E"/>
    <s v="[1062] RAMGADH"/>
    <s v="[8403] MOHANIA"/>
    <x v="58"/>
    <x v="58"/>
    <x v="58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24/05/2026"/>
    <s v="E"/>
    <s v="[1062] RAMGADH"/>
    <s v="[8403] MOHANIA"/>
    <x v="58"/>
    <x v="58"/>
    <x v="58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25/05/2026"/>
    <s v="M"/>
    <s v="[1062] RAMGADH"/>
    <s v="[8403] MOHANIA"/>
    <x v="58"/>
    <x v="58"/>
    <x v="58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5/05/2026"/>
    <s v="E"/>
    <s v="[1062] RAMGADH"/>
    <s v="[8403] MOHANIA"/>
    <x v="58"/>
    <x v="58"/>
    <x v="58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25/05/2026"/>
    <s v="E"/>
    <s v="[1062] RAMGADH"/>
    <s v="[8403] MOHANIA"/>
    <x v="58"/>
    <x v="58"/>
    <x v="58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6/05/2026"/>
    <s v="M"/>
    <s v="[1062] RAMGADH"/>
    <s v="[8403] MOHANIA"/>
    <x v="58"/>
    <x v="58"/>
    <x v="58"/>
    <s v="B"/>
    <n v="32"/>
    <n v="7"/>
    <n v="8.8000000000000007"/>
    <n v="2.2400000000000002"/>
    <n v="2.8160000000000003"/>
    <n v="57.865500000000004"/>
    <n v="1851.6960000000001"/>
    <n v="449.73186528497411"/>
    <n v="299.82124352331607"/>
    <n v="32.404680000000006"/>
    <n v="120"/>
    <n v="2004.1006800000002"/>
    <n v="62.628146250000007"/>
    <n v="486.74725064766841"/>
    <n v="324.49816709844561"/>
  </r>
  <r>
    <s v="26/05/2026"/>
    <s v="E"/>
    <s v="[1062] RAMGADH"/>
    <s v="[8403] MOHANIA"/>
    <x v="58"/>
    <x v="58"/>
    <x v="58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26/05/2026"/>
    <s v="E"/>
    <s v="[1062] RAMGADH"/>
    <s v="[8403] MOHANIA"/>
    <x v="58"/>
    <x v="58"/>
    <x v="5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7/05/2026"/>
    <s v="M"/>
    <s v="[1062] RAMGADH"/>
    <s v="[8403] MOHANIA"/>
    <x v="58"/>
    <x v="58"/>
    <x v="58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27/05/2026"/>
    <s v="M"/>
    <s v="[1062] RAMGADH"/>
    <s v="[8403] MOHANIA"/>
    <x v="58"/>
    <x v="58"/>
    <x v="58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27/05/2026"/>
    <s v="E"/>
    <s v="[1062] RAMGADH"/>
    <s v="[8403] MOHANIA"/>
    <x v="58"/>
    <x v="58"/>
    <x v="58"/>
    <s v="B"/>
    <n v="38"/>
    <n v="6.5"/>
    <n v="9"/>
    <n v="2.4700000000000002"/>
    <n v="3.42"/>
    <n v="54.274999999999999"/>
    <n v="2062.4499999999998"/>
    <n v="434.2"/>
    <n v="289.46666666666664"/>
    <n v="36.092874999999999"/>
    <n v="142.5"/>
    <n v="2241.0428749999996"/>
    <n v="58.974812499999992"/>
    <n v="471.79849999999993"/>
    <n v="314.53233333333327"/>
  </r>
  <r>
    <s v="27/05/2026"/>
    <s v="E"/>
    <s v="[1062] RAMGADH"/>
    <s v="[8403] MOHANIA"/>
    <x v="58"/>
    <x v="58"/>
    <x v="58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8/05/2026"/>
    <s v="M"/>
    <s v="[1062] RAMGADH"/>
    <s v="[8403] MOHANIA"/>
    <x v="58"/>
    <x v="58"/>
    <x v="58"/>
    <s v="B"/>
    <n v="40"/>
    <n v="6.4"/>
    <n v="8.8000000000000007"/>
    <n v="2.56"/>
    <n v="3.52"/>
    <n v="52.9056"/>
    <n v="2116.2240000000002"/>
    <n v="431.29565217391303"/>
    <n v="287.53043478260867"/>
    <n v="37.033920000000009"/>
    <n v="150"/>
    <n v="2303.25792"/>
    <n v="57.581448000000002"/>
    <n v="469.41397826086956"/>
    <n v="312.94265217391302"/>
  </r>
  <r>
    <s v="28/05/2026"/>
    <s v="M"/>
    <s v="[1062] RAMGADH"/>
    <s v="[8403] MOHANIA"/>
    <x v="58"/>
    <x v="58"/>
    <x v="5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8/05/2026"/>
    <s v="E"/>
    <s v="[1062] RAMGADH"/>
    <s v="[8403] MOHANIA"/>
    <x v="58"/>
    <x v="58"/>
    <x v="58"/>
    <s v="B"/>
    <n v="36"/>
    <n v="6.4"/>
    <n v="8.4"/>
    <n v="2.3040000000000003"/>
    <n v="3.0240000000000005"/>
    <n v="51.836799999999997"/>
    <n v="1866.1247999999998"/>
    <n v="431.9733333333333"/>
    <n v="287.98222222222222"/>
    <n v="32.657184000000001"/>
    <n v="135"/>
    <n v="2033.7819839999997"/>
    <n v="56.493943999999992"/>
    <n v="470.78286666666662"/>
    <n v="313.85524444444439"/>
  </r>
  <r>
    <s v="28/05/2026"/>
    <s v="E"/>
    <s v="[1062] RAMGADH"/>
    <s v="[8403] MOHANIA"/>
    <x v="58"/>
    <x v="58"/>
    <x v="5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2/05/2026"/>
    <s v="M"/>
    <s v="[1062] RAMGADH"/>
    <s v="[8403] MOHANIA"/>
    <x v="59"/>
    <x v="59"/>
    <x v="59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23/05/2026"/>
    <s v="M"/>
    <s v="[1062] RAMGADH"/>
    <s v="[8403] MOHANIA"/>
    <x v="59"/>
    <x v="59"/>
    <x v="59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24/05/2026"/>
    <s v="M"/>
    <s v="[1062] RAMGADH"/>
    <s v="[8403] MOHANIA"/>
    <x v="59"/>
    <x v="59"/>
    <x v="59"/>
    <s v="C"/>
    <n v="11"/>
    <n v="4.5"/>
    <n v="8.1999999999999993"/>
    <n v="0.495"/>
    <n v="0.90199999999999991"/>
    <n v="39.469082400000005"/>
    <n v="434.15990640000007"/>
    <n v="396.01086020066901"/>
    <n v="264.00724013377936"/>
    <n v="7.5977983620000016"/>
    <n v="41.25"/>
    <n v="483.00770476200006"/>
    <n v="43.909791342000005"/>
    <n v="440.56646831438138"/>
    <n v="293.71097887625427"/>
  </r>
  <r>
    <s v="25/05/2026"/>
    <s v="M"/>
    <s v="[1062] RAMGADH"/>
    <s v="[8403] MOHANIA"/>
    <x v="59"/>
    <x v="59"/>
    <x v="59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26/05/2026"/>
    <s v="M"/>
    <s v="[1062] RAMGADH"/>
    <s v="[8403] MOHANIA"/>
    <x v="59"/>
    <x v="59"/>
    <x v="59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7/05/2026"/>
    <s v="M"/>
    <s v="[1062] RAMGADH"/>
    <s v="[8403] MOHANIA"/>
    <x v="59"/>
    <x v="59"/>
    <x v="59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28/05/2026"/>
    <s v="M"/>
    <s v="[1062] RAMGADH"/>
    <s v="[8403] MOHANIA"/>
    <x v="59"/>
    <x v="59"/>
    <x v="59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22/05/2026"/>
    <s v="M"/>
    <s v="[1062] RAMGADH"/>
    <s v="[8402] RAMPUR"/>
    <x v="60"/>
    <x v="60"/>
    <x v="60"/>
    <s v="B"/>
    <n v="28"/>
    <n v="7.4"/>
    <n v="8.8000000000000007"/>
    <n v="2.0720000000000001"/>
    <n v="2.4640000000000004"/>
    <n v="61.172100000000007"/>
    <n v="1712.8188000000002"/>
    <n v="461.09623115577887"/>
    <n v="307.39748743718593"/>
    <n v="29.974329000000008"/>
    <n v="105"/>
    <n v="1847.7931290000001"/>
    <n v="65.992611750000009"/>
    <n v="497.43174685929648"/>
    <n v="331.6211645728643"/>
  </r>
  <r>
    <s v="22/05/2026"/>
    <s v="M"/>
    <s v="[1062] RAMGADH"/>
    <s v="[8402] RAMPUR"/>
    <x v="60"/>
    <x v="60"/>
    <x v="60"/>
    <s v="C"/>
    <n v="41"/>
    <n v="3.7"/>
    <n v="8"/>
    <n v="1.5170000000000001"/>
    <n v="3.28"/>
    <n v="35.773056000000004"/>
    <n v="1466.6952960000001"/>
    <n v="396.01169003690035"/>
    <n v="264.00779335793356"/>
    <n v="25.667167680000006"/>
    <n v="153.75"/>
    <n v="1646.11246368"/>
    <n v="40.149084479999999"/>
    <n v="444.45480974169732"/>
    <n v="296.30320649446486"/>
  </r>
  <r>
    <s v="22/05/2026"/>
    <s v="E"/>
    <s v="[1062] RAMGADH"/>
    <s v="[8402] RAMPUR"/>
    <x v="60"/>
    <x v="60"/>
    <x v="60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22/05/2026"/>
    <s v="E"/>
    <s v="[1062] RAMGADH"/>
    <s v="[8402] RAMPUR"/>
    <x v="60"/>
    <x v="60"/>
    <x v="60"/>
    <s v="C"/>
    <n v="27"/>
    <n v="3.4"/>
    <n v="8"/>
    <n v="0.91799999999999993"/>
    <n v="2.16"/>
    <n v="34.585056000000002"/>
    <n v="933.79651200000001"/>
    <n v="396.01209160305342"/>
    <n v="264.00806106870226"/>
    <n v="16.341438960000001"/>
    <n v="101.25"/>
    <n v="1051.3879509600001"/>
    <n v="38.940294480000006"/>
    <n v="445.88123450381681"/>
    <n v="297.25415633587789"/>
  </r>
  <r>
    <s v="23/05/2026"/>
    <s v="M"/>
    <s v="[1062] RAMGADH"/>
    <s v="[8402] RAMPUR"/>
    <x v="60"/>
    <x v="60"/>
    <x v="60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23/05/2026"/>
    <s v="M"/>
    <s v="[1062] RAMGADH"/>
    <s v="[8402] RAMPUR"/>
    <x v="60"/>
    <x v="60"/>
    <x v="60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23/05/2026"/>
    <s v="E"/>
    <s v="[1062] RAMGADH"/>
    <s v="[8402] RAMPUR"/>
    <x v="60"/>
    <x v="60"/>
    <x v="60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s v="23/05/2026"/>
    <s v="E"/>
    <s v="[1062] RAMGADH"/>
    <s v="[8402] RAMPUR"/>
    <x v="60"/>
    <x v="60"/>
    <x v="60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s v="24/05/2026"/>
    <s v="M"/>
    <s v="[1062] RAMGADH"/>
    <s v="[8402] RAMPUR"/>
    <x v="60"/>
    <x v="60"/>
    <x v="60"/>
    <s v="B"/>
    <n v="37"/>
    <n v="6.7"/>
    <n v="8.8000000000000007"/>
    <n v="2.4790000000000001"/>
    <n v="3.2560000000000002"/>
    <n v="55.385550000000002"/>
    <n v="2049.2653500000001"/>
    <n v="440.73381962864721"/>
    <n v="293.82254641909816"/>
    <n v="35.862143625000009"/>
    <n v="138.75"/>
    <n v="2223.8774936250002"/>
    <n v="60.104797125000005"/>
    <n v="478.28751027851456"/>
    <n v="318.85834018567635"/>
  </r>
  <r>
    <s v="24/05/2026"/>
    <s v="M"/>
    <s v="[1062] RAMGADH"/>
    <s v="[8402] RAMPUR"/>
    <x v="60"/>
    <x v="60"/>
    <x v="60"/>
    <s v="C"/>
    <n v="35"/>
    <n v="3.4"/>
    <n v="8"/>
    <n v="1.19"/>
    <n v="2.8"/>
    <n v="34.585056000000002"/>
    <n v="1210.47696"/>
    <n v="396.01209160305342"/>
    <n v="264.00806106870226"/>
    <n v="21.183346800000002"/>
    <n v="131.25"/>
    <n v="1362.9103067999999"/>
    <n v="38.940294479999999"/>
    <n v="445.8812345038167"/>
    <n v="297.25415633587778"/>
  </r>
  <r>
    <s v="24/05/2026"/>
    <s v="E"/>
    <s v="[1062] RAMGADH"/>
    <s v="[8402] RAMPUR"/>
    <x v="60"/>
    <x v="60"/>
    <x v="60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24/05/2026"/>
    <s v="E"/>
    <s v="[1062] RAMGADH"/>
    <s v="[8402] RAMPUR"/>
    <x v="60"/>
    <x v="60"/>
    <x v="60"/>
    <s v="C"/>
    <n v="15"/>
    <n v="3.8"/>
    <n v="8.1"/>
    <n v="0.56999999999999995"/>
    <n v="1.2150000000000001"/>
    <n v="36.433069200000006"/>
    <n v="546.49603800000011"/>
    <n v="396.01162173913048"/>
    <n v="264.00774782608698"/>
    <n v="9.5636806650000032"/>
    <n v="56.25"/>
    <n v="612.3097186650001"/>
    <n v="40.820647911000009"/>
    <n v="443.70269468478273"/>
    <n v="295.8017964565218"/>
  </r>
  <r>
    <s v="25/05/2026"/>
    <s v="M"/>
    <s v="[1062] RAMGADH"/>
    <s v="[8402] RAMPUR"/>
    <x v="60"/>
    <x v="60"/>
    <x v="60"/>
    <s v="B"/>
    <n v="31"/>
    <n v="6.2"/>
    <n v="8.8000000000000007"/>
    <n v="1.9220000000000002"/>
    <n v="2.7280000000000002"/>
    <n v="51.252300000000005"/>
    <n v="1588.8213000000001"/>
    <n v="424.74281767955802"/>
    <n v="283.1618784530387"/>
    <n v="27.804372750000002"/>
    <n v="116.25"/>
    <n v="1732.8756727500001"/>
    <n v="55.899215250000005"/>
    <n v="463.25316505524864"/>
    <n v="308.83544337016576"/>
  </r>
  <r>
    <s v="25/05/2026"/>
    <s v="M"/>
    <s v="[1062] RAMGADH"/>
    <s v="[8402] RAMPUR"/>
    <x v="60"/>
    <x v="60"/>
    <x v="60"/>
    <s v="C"/>
    <n v="34"/>
    <n v="3.2"/>
    <n v="8"/>
    <n v="1.0880000000000001"/>
    <n v="2.72"/>
    <n v="33.793056000000007"/>
    <n v="1148.9639040000002"/>
    <n v="396.01237500000002"/>
    <n v="264.00825000000003"/>
    <n v="20.106868320000004"/>
    <n v="127.5"/>
    <n v="1296.5707723200003"/>
    <n v="38.13443448000001"/>
    <n v="446.88790406250007"/>
    <n v="297.92526937500003"/>
  </r>
  <r>
    <s v="25/05/2026"/>
    <s v="E"/>
    <s v="[1062] RAMGADH"/>
    <s v="[8402] RAMPUR"/>
    <x v="60"/>
    <x v="60"/>
    <x v="60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25/05/2026"/>
    <s v="E"/>
    <s v="[1062] RAMGADH"/>
    <s v="[8402] RAMPUR"/>
    <x v="60"/>
    <x v="60"/>
    <x v="60"/>
    <s v="C"/>
    <n v="29"/>
    <n v="3.3"/>
    <n v="8.1"/>
    <n v="0.95699999999999985"/>
    <n v="2.3489999999999998"/>
    <n v="34.453069200000002"/>
    <n v="999.13900680000006"/>
    <n v="396.01228965517248"/>
    <n v="264.00819310344832"/>
    <n v="17.484932619000002"/>
    <n v="108.75"/>
    <n v="1125.3739394190002"/>
    <n v="38.805997911000006"/>
    <n v="446.04595300000011"/>
    <n v="297.36396866666672"/>
  </r>
  <r>
    <s v="26/05/2026"/>
    <s v="M"/>
    <s v="[1062] RAMGADH"/>
    <s v="[8402] RAMPUR"/>
    <x v="60"/>
    <x v="60"/>
    <x v="60"/>
    <s v="B"/>
    <n v="33"/>
    <n v="7.2"/>
    <n v="8.8000000000000007"/>
    <n v="2.3759999999999999"/>
    <n v="2.9040000000000004"/>
    <n v="59.518800000000006"/>
    <n v="1964.1204000000002"/>
    <n v="455.50102040816324"/>
    <n v="303.66734693877549"/>
    <n v="34.372107000000007"/>
    <n v="123.75"/>
    <n v="2122.2425070000004"/>
    <n v="64.310379000000012"/>
    <n v="492.17126785714288"/>
    <n v="328.11417857142857"/>
  </r>
  <r>
    <s v="26/05/2026"/>
    <s v="M"/>
    <s v="[1062] RAMGADH"/>
    <s v="[8402] RAMPUR"/>
    <x v="60"/>
    <x v="60"/>
    <x v="60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26/05/2026"/>
    <s v="E"/>
    <s v="[1062] RAMGADH"/>
    <s v="[8402] RAMPUR"/>
    <x v="60"/>
    <x v="60"/>
    <x v="60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6/05/2026"/>
    <s v="E"/>
    <s v="[1062] RAMGADH"/>
    <s v="[8402] RAMPUR"/>
    <x v="60"/>
    <x v="60"/>
    <x v="60"/>
    <s v="C"/>
    <n v="28"/>
    <n v="3.2"/>
    <n v="8.4"/>
    <n v="0.89600000000000013"/>
    <n v="2.3520000000000003"/>
    <n v="36.697167600000007"/>
    <n v="1027.5206928000002"/>
    <n v="417.01326818181826"/>
    <n v="278.00884545454551"/>
    <n v="17.981612124000005"/>
    <n v="105"/>
    <n v="1150.5023049240003"/>
    <n v="41.089368033000014"/>
    <n v="466.92463673863654"/>
    <n v="311.28309115909104"/>
  </r>
  <r>
    <s v="27/05/2026"/>
    <s v="M"/>
    <s v="[1062] RAMGADH"/>
    <s v="[8402] RAMPUR"/>
    <x v="60"/>
    <x v="60"/>
    <x v="60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27/05/2026"/>
    <s v="M"/>
    <s v="[1062] RAMGADH"/>
    <s v="[8402] RAMPUR"/>
    <x v="60"/>
    <x v="60"/>
    <x v="60"/>
    <s v="C"/>
    <n v="44"/>
    <n v="3.6"/>
    <n v="8.5"/>
    <n v="1.5840000000000001"/>
    <n v="3.74"/>
    <n v="38.643181500000004"/>
    <n v="1700.2999860000002"/>
    <n v="417.01274999999998"/>
    <n v="278.00849999999997"/>
    <n v="29.755249755000008"/>
    <n v="165"/>
    <n v="1895.0552357550002"/>
    <n v="43.069437176250005"/>
    <n v="464.77809902428061"/>
    <n v="309.85206601618705"/>
  </r>
  <r>
    <s v="27/05/2026"/>
    <s v="E"/>
    <s v="[1062] RAMGADH"/>
    <s v="[8402] RAMPUR"/>
    <x v="60"/>
    <x v="60"/>
    <x v="60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27/05/2026"/>
    <s v="E"/>
    <s v="[1062] RAMGADH"/>
    <s v="[8402] RAMPUR"/>
    <x v="60"/>
    <x v="60"/>
    <x v="60"/>
    <s v="C"/>
    <n v="37"/>
    <n v="3.2"/>
    <n v="8.4"/>
    <n v="1.1840000000000002"/>
    <n v="3.1080000000000001"/>
    <n v="36.697167600000007"/>
    <n v="1357.7952012000003"/>
    <n v="417.01326818181826"/>
    <n v="278.00884545454551"/>
    <n v="23.761416021000006"/>
    <n v="138.75"/>
    <n v="1520.3066172210004"/>
    <n v="41.089368033000007"/>
    <n v="466.92463673863648"/>
    <n v="311.28309115909099"/>
  </r>
  <r>
    <s v="28/05/2026"/>
    <s v="M"/>
    <s v="[1062] RAMGADH"/>
    <s v="[8402] RAMPUR"/>
    <x v="60"/>
    <x v="60"/>
    <x v="60"/>
    <s v="B"/>
    <n v="36"/>
    <n v="6.7"/>
    <n v="8.8000000000000007"/>
    <n v="2.4120000000000004"/>
    <n v="3.1680000000000001"/>
    <n v="55.385550000000002"/>
    <n v="1993.8798000000002"/>
    <n v="440.73381962864721"/>
    <n v="293.82254641909816"/>
    <n v="34.892896500000006"/>
    <n v="135"/>
    <n v="2163.7726965000002"/>
    <n v="60.104797125000005"/>
    <n v="478.28751027851456"/>
    <n v="318.85834018567635"/>
  </r>
  <r>
    <s v="28/05/2026"/>
    <s v="M"/>
    <s v="[1062] RAMGADH"/>
    <s v="[8402] RAMPUR"/>
    <x v="60"/>
    <x v="60"/>
    <x v="60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28/05/2026"/>
    <s v="E"/>
    <s v="[1062] RAMGADH"/>
    <s v="[8402] RAMPUR"/>
    <x v="60"/>
    <x v="60"/>
    <x v="60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28/05/2026"/>
    <s v="E"/>
    <s v="[1062] RAMGADH"/>
    <s v="[8402] RAMPUR"/>
    <x v="60"/>
    <x v="60"/>
    <x v="6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2/05/2026"/>
    <s v="M"/>
    <s v="[1062] RAMGADH"/>
    <s v="[8403] MOHANIA"/>
    <x v="61"/>
    <x v="61"/>
    <x v="61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22/05/2026"/>
    <s v="M"/>
    <s v="[1062] RAMGADH"/>
    <s v="[8403] MOHANIA"/>
    <x v="61"/>
    <x v="61"/>
    <x v="61"/>
    <s v="C"/>
    <n v="32"/>
    <n v="3.5"/>
    <n v="8.1"/>
    <n v="1.1200000000000001"/>
    <n v="2.5920000000000001"/>
    <n v="35.245069200000003"/>
    <n v="1127.8422144000001"/>
    <n v="396.01201348314612"/>
    <n v="264.00800898876406"/>
    <n v="19.737238752000003"/>
    <n v="120"/>
    <n v="1267.579453152"/>
    <n v="39.611857911000001"/>
    <n v="445.0770551797753"/>
    <n v="296.71803678651685"/>
  </r>
  <r>
    <s v="22/05/2026"/>
    <s v="E"/>
    <s v="[1062] RAMGADH"/>
    <s v="[8403] MOHANIA"/>
    <x v="61"/>
    <x v="61"/>
    <x v="61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2/05/2026"/>
    <s v="E"/>
    <s v="[1062] RAMGADH"/>
    <s v="[8403] MOHANIA"/>
    <x v="61"/>
    <x v="61"/>
    <x v="61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3/05/2026"/>
    <s v="M"/>
    <s v="[1062] RAMGADH"/>
    <s v="[8403] MOHANIA"/>
    <x v="61"/>
    <x v="61"/>
    <x v="61"/>
    <s v="B"/>
    <n v="14"/>
    <n v="6.9"/>
    <n v="8.8000000000000007"/>
    <n v="0.96600000000000008"/>
    <n v="1.2320000000000002"/>
    <n v="57.038850000000004"/>
    <n v="798.54390000000001"/>
    <n v="446.77950391644907"/>
    <n v="297.85300261096603"/>
    <n v="13.974518250000001"/>
    <n v="52.5"/>
    <n v="865.01841824999997"/>
    <n v="61.787029874999995"/>
    <n v="483.97151338120096"/>
    <n v="322.64767558746729"/>
  </r>
  <r>
    <s v="23/05/2026"/>
    <s v="M"/>
    <s v="[1062] RAMGADH"/>
    <s v="[8403] MOHANIA"/>
    <x v="61"/>
    <x v="61"/>
    <x v="61"/>
    <s v="C"/>
    <n v="36"/>
    <n v="3.3"/>
    <n v="8"/>
    <n v="1.1879999999999999"/>
    <n v="2.88"/>
    <n v="34.189056000000008"/>
    <n v="1230.8060160000002"/>
    <n v="396.01223166023169"/>
    <n v="264.00815444015444"/>
    <n v="21.539105280000005"/>
    <n v="135"/>
    <n v="1387.3451212800003"/>
    <n v="38.537364480000008"/>
    <n v="446.37873915057918"/>
    <n v="297.5858261003861"/>
  </r>
  <r>
    <s v="23/05/2026"/>
    <s v="E"/>
    <s v="[1062] RAMGADH"/>
    <s v="[8403] MOHANIA"/>
    <x v="61"/>
    <x v="61"/>
    <x v="61"/>
    <s v="B"/>
    <n v="19"/>
    <n v="7.8"/>
    <n v="8.8000000000000007"/>
    <n v="1.482"/>
    <n v="1.6720000000000002"/>
    <n v="64.478699999999989"/>
    <n v="1225.0952999999997"/>
    <n v="471.7953658536585"/>
    <n v="314.530243902439"/>
    <n v="21.439167749999996"/>
    <n v="71.25"/>
    <n v="1317.7844677499997"/>
    <n v="69.357077249999989"/>
    <n v="507.49080914634141"/>
    <n v="338.32720609756092"/>
  </r>
  <r>
    <s v="23/05/2026"/>
    <s v="E"/>
    <s v="[1062] RAMGADH"/>
    <s v="[8403] MOHANIA"/>
    <x v="61"/>
    <x v="61"/>
    <x v="61"/>
    <s v="C"/>
    <n v="33"/>
    <n v="3.3"/>
    <n v="8.1"/>
    <n v="1.089"/>
    <n v="2.673"/>
    <n v="34.453069200000002"/>
    <n v="1136.9512836000001"/>
    <n v="396.01228965517248"/>
    <n v="264.00819310344832"/>
    <n v="19.896647463000004"/>
    <n v="123.75"/>
    <n v="1280.597931063"/>
    <n v="38.805997910999999"/>
    <n v="446.045953"/>
    <n v="297.36396866666666"/>
  </r>
  <r>
    <s v="24/05/2026"/>
    <s v="M"/>
    <s v="[1062] RAMGADH"/>
    <s v="[8403] MOHANIA"/>
    <x v="61"/>
    <x v="61"/>
    <x v="61"/>
    <s v="B"/>
    <n v="17"/>
    <n v="6.9"/>
    <n v="8.8000000000000007"/>
    <n v="1.173"/>
    <n v="1.4960000000000002"/>
    <n v="57.038850000000004"/>
    <n v="969.66045000000008"/>
    <n v="446.77950391644907"/>
    <n v="297.85300261096603"/>
    <n v="16.969057875000004"/>
    <n v="63.75"/>
    <n v="1050.3795078750002"/>
    <n v="61.787029875000009"/>
    <n v="483.97151338120108"/>
    <n v="322.6476755874674"/>
  </r>
  <r>
    <s v="24/05/2026"/>
    <s v="M"/>
    <s v="[1062] RAMGADH"/>
    <s v="[8403] MOHANIA"/>
    <x v="61"/>
    <x v="61"/>
    <x v="61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4/05/2026"/>
    <s v="E"/>
    <s v="[1062] RAMGADH"/>
    <s v="[8403] MOHANIA"/>
    <x v="61"/>
    <x v="61"/>
    <x v="61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24/05/2026"/>
    <s v="E"/>
    <s v="[1062] RAMGADH"/>
    <s v="[8403] MOHANIA"/>
    <x v="61"/>
    <x v="61"/>
    <x v="61"/>
    <s v="C"/>
    <n v="48"/>
    <n v="5"/>
    <n v="8.5"/>
    <n v="2.4"/>
    <n v="4.08"/>
    <n v="42.241122000000004"/>
    <n v="2027.5738560000002"/>
    <n v="396.01051875000002"/>
    <n v="264.00701250000003"/>
    <n v="35.482542480000006"/>
    <n v="180"/>
    <n v="2243.0563984800001"/>
    <n v="46.730341635000002"/>
    <n v="438.09695282812498"/>
    <n v="292.06463521874997"/>
  </r>
  <r>
    <s v="25/05/2026"/>
    <s v="M"/>
    <s v="[1062] RAMGADH"/>
    <s v="[8403] MOHANIA"/>
    <x v="61"/>
    <x v="61"/>
    <x v="61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5/05/2026"/>
    <s v="M"/>
    <s v="[1062] RAMGADH"/>
    <s v="[8403] MOHANIA"/>
    <x v="61"/>
    <x v="61"/>
    <x v="61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s v="25/05/2026"/>
    <s v="E"/>
    <s v="[1062] RAMGADH"/>
    <s v="[8403] MOHANIA"/>
    <x v="61"/>
    <x v="61"/>
    <x v="61"/>
    <s v="B"/>
    <n v="40"/>
    <n v="6.1"/>
    <n v="8.8000000000000007"/>
    <n v="2.44"/>
    <n v="3.52"/>
    <n v="50.425650000000005"/>
    <n v="2017.0260000000003"/>
    <n v="421.38426183844012"/>
    <n v="280.92284122562677"/>
    <n v="35.297955000000009"/>
    <n v="150"/>
    <n v="2202.3239550000003"/>
    <n v="55.058098875000006"/>
    <n v="460.09553377437328"/>
    <n v="306.73035584958217"/>
  </r>
  <r>
    <s v="25/05/2026"/>
    <s v="E"/>
    <s v="[1062] RAMGADH"/>
    <s v="[8403] MOHANIA"/>
    <x v="61"/>
    <x v="61"/>
    <x v="61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6/05/2026"/>
    <s v="M"/>
    <s v="[1062] RAMGADH"/>
    <s v="[8403] MOHANIA"/>
    <x v="61"/>
    <x v="61"/>
    <x v="61"/>
    <s v="B"/>
    <n v="17"/>
    <n v="7.5"/>
    <n v="8.8000000000000007"/>
    <n v="1.2749999999999999"/>
    <n v="1.4960000000000002"/>
    <n v="61.998750000000001"/>
    <n v="1053.97875"/>
    <n v="463.83104738154617"/>
    <n v="309.22069825436409"/>
    <n v="18.444628125000001"/>
    <n v="63.75"/>
    <n v="1136.173378125"/>
    <n v="66.833728124999993"/>
    <n v="500.00295355361595"/>
    <n v="333.33530236907728"/>
  </r>
  <r>
    <s v="26/05/2026"/>
    <s v="M"/>
    <s v="[1062] RAMGADH"/>
    <s v="[8403] MOHANIA"/>
    <x v="61"/>
    <x v="61"/>
    <x v="61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6/05/2026"/>
    <s v="E"/>
    <s v="[1062] RAMGADH"/>
    <s v="[8403] MOHANIA"/>
    <x v="61"/>
    <x v="61"/>
    <x v="61"/>
    <s v="B"/>
    <n v="35"/>
    <n v="6.8"/>
    <n v="9"/>
    <n v="2.38"/>
    <n v="3.15"/>
    <n v="56.78"/>
    <n v="1987.3"/>
    <n v="443.59375"/>
    <n v="295.72916666666669"/>
    <n v="34.777750000000005"/>
    <n v="131.25"/>
    <n v="2153.3277499999999"/>
    <n v="61.523649999999996"/>
    <n v="480.65351562499995"/>
    <n v="320.4356770833333"/>
  </r>
  <r>
    <s v="26/05/2026"/>
    <s v="E"/>
    <s v="[1062] RAMGADH"/>
    <s v="[8403] MOHANIA"/>
    <x v="61"/>
    <x v="61"/>
    <x v="61"/>
    <s v="C"/>
    <n v="31"/>
    <n v="3.3"/>
    <n v="8.4"/>
    <n v="1.0229999999999999"/>
    <n v="2.6040000000000005"/>
    <n v="37.114167600000009"/>
    <n v="1150.5391956000003"/>
    <n v="417.01311910112372"/>
    <n v="278.00874606741581"/>
    <n v="20.134435923000009"/>
    <n v="116.25"/>
    <n v="1286.9236315230003"/>
    <n v="41.513665533000008"/>
    <n v="466.4456801460675"/>
    <n v="310.96378676404498"/>
  </r>
  <r>
    <s v="27/05/2026"/>
    <s v="M"/>
    <s v="[1062] RAMGADH"/>
    <s v="[8403] MOHANIA"/>
    <x v="61"/>
    <x v="61"/>
    <x v="61"/>
    <s v="B"/>
    <n v="17"/>
    <n v="7.4"/>
    <n v="9"/>
    <n v="1.258"/>
    <n v="1.53"/>
    <n v="61.790000000000006"/>
    <n v="1050.43"/>
    <n v="461.11940298507466"/>
    <n v="307.41293532338312"/>
    <n v="18.382525000000001"/>
    <n v="63.75"/>
    <n v="1132.5625250000001"/>
    <n v="66.621324999999999"/>
    <n v="497.17406716417906"/>
    <n v="331.44937810945271"/>
  </r>
  <r>
    <s v="27/05/2026"/>
    <s v="E"/>
    <s v="[1062] RAMGADH"/>
    <s v="[8403] MOHANIA"/>
    <x v="61"/>
    <x v="61"/>
    <x v="61"/>
    <s v="B"/>
    <n v="37"/>
    <n v="7.3"/>
    <n v="9"/>
    <n v="2.7009999999999996"/>
    <n v="3.33"/>
    <n v="60.954999999999998"/>
    <n v="2255.335"/>
    <n v="458.30827067669168"/>
    <n v="305.53884711779443"/>
    <n v="39.468362500000005"/>
    <n v="138.75"/>
    <n v="2433.5533624999998"/>
    <n v="65.771712499999992"/>
    <n v="494.52415413533828"/>
    <n v="329.68276942355885"/>
  </r>
  <r>
    <s v="27/05/2026"/>
    <s v="E"/>
    <s v="[1062] RAMGADH"/>
    <s v="[8403] MOHANIA"/>
    <x v="61"/>
    <x v="61"/>
    <x v="61"/>
    <s v="C"/>
    <n v="30"/>
    <n v="3"/>
    <n v="8.3000000000000007"/>
    <n v="0.9"/>
    <n v="2.4900000000000002"/>
    <n v="35.585153700000006"/>
    <n v="1067.5546110000002"/>
    <n v="417.013519921875"/>
    <n v="278.00901328125002"/>
    <n v="18.682205692500006"/>
    <n v="112.5"/>
    <n v="1198.7368166925003"/>
    <n v="39.957893889750011"/>
    <n v="468.25656902050787"/>
    <n v="312.17104601367191"/>
  </r>
  <r>
    <s v="28/05/2026"/>
    <s v="M"/>
    <s v="[1062] RAMGADH"/>
    <s v="[8403] MOHANIA"/>
    <x v="61"/>
    <x v="61"/>
    <x v="61"/>
    <s v="B"/>
    <n v="15"/>
    <n v="6.1"/>
    <n v="8.8000000000000007"/>
    <n v="0.91500000000000004"/>
    <n v="1.32"/>
    <n v="50.425650000000005"/>
    <n v="756.38475000000005"/>
    <n v="421.38426183844012"/>
    <n v="280.92284122562677"/>
    <n v="13.236733125000002"/>
    <n v="56.25"/>
    <n v="825.87148312500005"/>
    <n v="55.058098875000006"/>
    <n v="460.09553377437328"/>
    <n v="306.73035584958217"/>
  </r>
  <r>
    <s v="28/05/2026"/>
    <s v="M"/>
    <s v="[1062] RAMGADH"/>
    <s v="[8403] MOHANIA"/>
    <x v="61"/>
    <x v="61"/>
    <x v="61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28/05/2026"/>
    <s v="E"/>
    <s v="[1062] RAMGADH"/>
    <s v="[8403] MOHANIA"/>
    <x v="61"/>
    <x v="61"/>
    <x v="61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28/05/2026"/>
    <s v="E"/>
    <s v="[1062] RAMGADH"/>
    <s v="[8403] MOHANIA"/>
    <x v="61"/>
    <x v="61"/>
    <x v="6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2/05/2026"/>
    <s v="M"/>
    <s v="[1062] RAMGADH"/>
    <s v="[8401] DURGAWATI"/>
    <x v="62"/>
    <x v="62"/>
    <x v="62"/>
    <s v="B"/>
    <n v="102"/>
    <n v="7.4"/>
    <n v="8.8000000000000007"/>
    <n v="7.5480000000000009"/>
    <n v="8.9760000000000009"/>
    <n v="61.172100000000007"/>
    <n v="6239.5542000000005"/>
    <n v="461.09623115577887"/>
    <n v="307.39748743718593"/>
    <n v="109.19219850000002"/>
    <n v="382.5"/>
    <n v="6731.2463985000004"/>
    <n v="65.992611750000009"/>
    <n v="497.43174685929648"/>
    <n v="331.6211645728643"/>
  </r>
  <r>
    <s v="22/05/2026"/>
    <s v="M"/>
    <s v="[1062] RAMGADH"/>
    <s v="[8401] DURGAWATI"/>
    <x v="62"/>
    <x v="62"/>
    <x v="62"/>
    <s v="C"/>
    <n v="44"/>
    <n v="3.9"/>
    <n v="8.1"/>
    <n v="1.716"/>
    <n v="3.5639999999999996"/>
    <n v="36.829069200000006"/>
    <n v="1620.4790448000003"/>
    <n v="396.01149677419363"/>
    <n v="264.00766451612907"/>
    <n v="28.358383284000009"/>
    <n v="165"/>
    <n v="1813.8374280840003"/>
    <n v="41.223577911000007"/>
    <n v="443.2642786129033"/>
    <n v="295.50951907526888"/>
  </r>
  <r>
    <s v="22/05/2026"/>
    <s v="E"/>
    <s v="[1062] RAMGADH"/>
    <s v="[8401] DURGAWATI"/>
    <x v="62"/>
    <x v="62"/>
    <x v="62"/>
    <s v="B"/>
    <n v="30"/>
    <n v="6.1"/>
    <n v="8.8000000000000007"/>
    <n v="1.83"/>
    <n v="2.64"/>
    <n v="50.425650000000005"/>
    <n v="1512.7695000000001"/>
    <n v="421.38426183844012"/>
    <n v="280.92284122562677"/>
    <n v="26.473466250000005"/>
    <n v="112.5"/>
    <n v="1651.7429662500001"/>
    <n v="55.058098875000006"/>
    <n v="460.09553377437328"/>
    <n v="306.73035584958217"/>
  </r>
  <r>
    <s v="22/05/2026"/>
    <s v="E"/>
    <s v="[1062] RAMGADH"/>
    <s v="[8401] DURGAWATI"/>
    <x v="62"/>
    <x v="62"/>
    <x v="62"/>
    <s v="C"/>
    <n v="21"/>
    <n v="4"/>
    <n v="8.3000000000000007"/>
    <n v="0.84"/>
    <n v="1.7430000000000001"/>
    <n v="37.753095600000009"/>
    <n v="792.81500760000017"/>
    <n v="396.01149230769238"/>
    <n v="264.0076615384616"/>
    <n v="13.874262633000004"/>
    <n v="78.75"/>
    <n v="885.43927023300012"/>
    <n v="42.163774773000007"/>
    <n v="442.27735775874129"/>
    <n v="294.85157183916084"/>
  </r>
  <r>
    <s v="23/05/2026"/>
    <s v="M"/>
    <s v="[1062] RAMGADH"/>
    <s v="[8401] DURGAWATI"/>
    <x v="62"/>
    <x v="62"/>
    <x v="62"/>
    <s v="B"/>
    <n v="72"/>
    <n v="6.2"/>
    <n v="8.4"/>
    <n v="4.4640000000000004"/>
    <n v="6.0480000000000009"/>
    <n v="50.216900000000003"/>
    <n v="3615.6168000000002"/>
    <n v="425.56694915254241"/>
    <n v="283.71129943502825"/>
    <n v="63.273294000000007"/>
    <n v="270"/>
    <n v="3948.8900940000003"/>
    <n v="54.845695750000004"/>
    <n v="464.79403177966105"/>
    <n v="309.86268785310739"/>
  </r>
  <r>
    <s v="23/05/2026"/>
    <s v="M"/>
    <s v="[1062] RAMGADH"/>
    <s v="[8401] DURGAWATI"/>
    <x v="62"/>
    <x v="62"/>
    <x v="62"/>
    <s v="C"/>
    <n v="77"/>
    <n v="3.5"/>
    <n v="8"/>
    <n v="2.6949999999999998"/>
    <n v="6.16"/>
    <n v="34.981056000000002"/>
    <n v="2693.5413120000003"/>
    <n v="396.01195471698111"/>
    <n v="264.00796981132072"/>
    <n v="47.136972960000008"/>
    <n v="288.75"/>
    <n v="3029.4282849600004"/>
    <n v="39.343224480000003"/>
    <n v="445.39499411320753"/>
    <n v="296.92999607547171"/>
  </r>
  <r>
    <s v="23/05/2026"/>
    <s v="E"/>
    <s v="[1062] RAMGADH"/>
    <s v="[8401] DURGAWATI"/>
    <x v="62"/>
    <x v="62"/>
    <x v="62"/>
    <s v="C"/>
    <n v="51"/>
    <n v="3.4"/>
    <n v="8"/>
    <n v="1.734"/>
    <n v="4.08"/>
    <n v="34.585056000000002"/>
    <n v="1763.8378560000001"/>
    <n v="396.01209160305342"/>
    <n v="264.00806106870226"/>
    <n v="30.867162480000005"/>
    <n v="191.25"/>
    <n v="1985.95501848"/>
    <n v="38.940294479999999"/>
    <n v="445.8812345038167"/>
    <n v="297.25415633587778"/>
  </r>
  <r>
    <s v="24/05/2026"/>
    <s v="M"/>
    <s v="[1062] RAMGADH"/>
    <s v="[8401] DURGAWATI"/>
    <x v="62"/>
    <x v="62"/>
    <x v="62"/>
    <s v="B"/>
    <n v="112"/>
    <n v="7"/>
    <n v="8.8000000000000007"/>
    <n v="7.84"/>
    <n v="9.8560000000000016"/>
    <n v="57.865500000000004"/>
    <n v="6480.9360000000006"/>
    <n v="449.73186528497411"/>
    <n v="299.82124352331607"/>
    <n v="113.41638000000002"/>
    <n v="420"/>
    <n v="7014.3523800000003"/>
    <n v="62.62814625"/>
    <n v="486.74725064766835"/>
    <n v="324.49816709844555"/>
  </r>
  <r>
    <s v="24/05/2026"/>
    <s v="M"/>
    <s v="[1062] RAMGADH"/>
    <s v="[8401] DURGAWATI"/>
    <x v="62"/>
    <x v="62"/>
    <x v="62"/>
    <s v="C"/>
    <n v="81"/>
    <n v="3.5"/>
    <n v="8"/>
    <n v="2.835"/>
    <n v="6.48"/>
    <n v="34.981056000000002"/>
    <n v="2833.4655360000002"/>
    <n v="396.01195471698111"/>
    <n v="264.00796981132072"/>
    <n v="49.585646880000006"/>
    <n v="303.75"/>
    <n v="3186.8011828799999"/>
    <n v="39.343224479999996"/>
    <n v="445.39499411320742"/>
    <n v="296.92999607547159"/>
  </r>
  <r>
    <s v="24/05/2026"/>
    <s v="E"/>
    <s v="[1062] RAMGADH"/>
    <s v="[8401] DURGAWATI"/>
    <x v="62"/>
    <x v="62"/>
    <x v="62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24/05/2026"/>
    <s v="E"/>
    <s v="[1062] RAMGADH"/>
    <s v="[8401] DURGAWATI"/>
    <x v="62"/>
    <x v="62"/>
    <x v="62"/>
    <s v="C"/>
    <n v="49"/>
    <n v="3.1"/>
    <n v="8.1"/>
    <n v="1.5190000000000001"/>
    <n v="3.9689999999999999"/>
    <n v="33.6610692"/>
    <n v="1649.3923907999999"/>
    <n v="396.01257882352945"/>
    <n v="264.00838588235297"/>
    <n v="28.864366839000002"/>
    <n v="183.75"/>
    <n v="1862.0067576389999"/>
    <n v="38.000137910999996"/>
    <n v="447.06044601176472"/>
    <n v="298.04029734117648"/>
  </r>
  <r>
    <s v="25/05/2026"/>
    <s v="M"/>
    <s v="[1062] RAMGADH"/>
    <s v="[8401] DURGAWATI"/>
    <x v="62"/>
    <x v="62"/>
    <x v="62"/>
    <s v="B"/>
    <n v="80"/>
    <n v="7.6"/>
    <n v="8.8000000000000007"/>
    <n v="6.08"/>
    <n v="7.04"/>
    <n v="62.825400000000002"/>
    <n v="5026.0320000000002"/>
    <n v="466.5252475247525"/>
    <n v="311.01683168316833"/>
    <n v="87.955560000000006"/>
    <n v="300"/>
    <n v="5413.9875600000005"/>
    <n v="67.674844500000006"/>
    <n v="502.53597400990105"/>
    <n v="335.02398267326737"/>
  </r>
  <r>
    <s v="25/05/2026"/>
    <s v="E"/>
    <s v="[1062] RAMGADH"/>
    <s v="[8401] DURGAWATI"/>
    <x v="62"/>
    <x v="62"/>
    <x v="62"/>
    <s v="B"/>
    <n v="18"/>
    <n v="5.9"/>
    <n v="8.6999999999999993"/>
    <n v="1.0620000000000001"/>
    <n v="1.5659999999999998"/>
    <n v="48.279699999999998"/>
    <n v="869.03459999999995"/>
    <n v="412.64700854700857"/>
    <n v="275.09800569800569"/>
    <n v="15.2081055"/>
    <n v="67.5"/>
    <n v="951.74270549999994"/>
    <n v="52.87459475"/>
    <n v="451.91961324786325"/>
    <n v="301.27974216524217"/>
  </r>
  <r>
    <s v="25/05/2026"/>
    <s v="E"/>
    <s v="[1062] RAMGADH"/>
    <s v="[8401] DURGAWATI"/>
    <x v="62"/>
    <x v="62"/>
    <x v="62"/>
    <s v="C"/>
    <n v="25"/>
    <n v="3.4"/>
    <n v="8.1999999999999993"/>
    <n v="0.85"/>
    <n v="2.0499999999999998"/>
    <n v="35.113082400000003"/>
    <n v="877.82706000000007"/>
    <n v="396.01220751879703"/>
    <n v="264.00813834586467"/>
    <n v="15.361973550000004"/>
    <n v="93.75"/>
    <n v="986.93903355000009"/>
    <n v="39.477561342000001"/>
    <n v="445.2356542330827"/>
    <n v="296.82376948872178"/>
  </r>
  <r>
    <s v="26/05/2026"/>
    <s v="M"/>
    <s v="[1062] RAMGADH"/>
    <s v="[8401] DURGAWATI"/>
    <x v="62"/>
    <x v="62"/>
    <x v="62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26/05/2026"/>
    <s v="M"/>
    <s v="[1062] RAMGADH"/>
    <s v="[8401] DURGAWATI"/>
    <x v="62"/>
    <x v="62"/>
    <x v="62"/>
    <s v="C"/>
    <n v="13"/>
    <n v="3.4"/>
    <n v="8.1999999999999993"/>
    <n v="0.44199999999999995"/>
    <n v="1.0659999999999998"/>
    <n v="36.975139800000001"/>
    <n v="480.6768174"/>
    <n v="417.01285488721805"/>
    <n v="278.00856992481204"/>
    <n v="8.4118443045000006"/>
    <n v="48.75"/>
    <n v="537.83866170450005"/>
    <n v="41.372204746500003"/>
    <n v="466.60381293045111"/>
    <n v="311.06920862030074"/>
  </r>
  <r>
    <s v="26/05/2026"/>
    <s v="E"/>
    <s v="[1062] RAMGADH"/>
    <s v="[8401] DURGAWATI"/>
    <x v="62"/>
    <x v="62"/>
    <x v="62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6/05/2026"/>
    <s v="E"/>
    <s v="[1062] RAMGADH"/>
    <s v="[8401] DURGAWATI"/>
    <x v="62"/>
    <x v="62"/>
    <x v="62"/>
    <s v="C"/>
    <n v="21"/>
    <n v="3.5"/>
    <n v="8.5"/>
    <n v="0.73499999999999999"/>
    <n v="1.7849999999999999"/>
    <n v="38.226181500000003"/>
    <n v="802.74981150000008"/>
    <n v="417.01288909090908"/>
    <n v="278.00859272727274"/>
    <n v="14.048121701250002"/>
    <n v="78.75"/>
    <n v="895.54793320125009"/>
    <n v="42.645139676250004"/>
    <n v="465.21970555909093"/>
    <n v="310.14647037272726"/>
  </r>
  <r>
    <s v="27/05/2026"/>
    <s v="M"/>
    <s v="[1062] RAMGADH"/>
    <s v="[8401] DURGAWATI"/>
    <x v="62"/>
    <x v="62"/>
    <x v="62"/>
    <s v="C"/>
    <n v="24"/>
    <n v="4.3"/>
    <n v="8.5"/>
    <n v="1.0319999999999998"/>
    <n v="2.04"/>
    <n v="41.562181500000001"/>
    <n v="997.49235599999997"/>
    <n v="417.01185451505017"/>
    <n v="278.00790301003343"/>
    <n v="17.456116230000003"/>
    <n v="90"/>
    <n v="1104.9484722299999"/>
    <n v="46.039519676249995"/>
    <n v="461.93498002926418"/>
    <n v="307.95665335284281"/>
  </r>
  <r>
    <s v="28/05/2026"/>
    <s v="M"/>
    <s v="[1062] RAMGADH"/>
    <s v="[8401] DURGAWATI"/>
    <x v="62"/>
    <x v="62"/>
    <x v="62"/>
    <s v="B"/>
    <n v="59"/>
    <n v="6.2"/>
    <n v="8.8000000000000007"/>
    <n v="3.6579999999999999"/>
    <n v="5.1920000000000002"/>
    <n v="51.252300000000005"/>
    <n v="3023.8857000000003"/>
    <n v="424.74281767955802"/>
    <n v="283.1618784530387"/>
    <n v="52.917999750000007"/>
    <n v="221.25"/>
    <n v="3298.0536997500003"/>
    <n v="55.899215250000005"/>
    <n v="463.25316505524864"/>
    <n v="308.83544337016576"/>
  </r>
  <r>
    <s v="28/05/2026"/>
    <s v="M"/>
    <s v="[1062] RAMGADH"/>
    <s v="[8401] DURGAWATI"/>
    <x v="62"/>
    <x v="62"/>
    <x v="62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28/05/2026"/>
    <s v="E"/>
    <s v="[1062] RAMGADH"/>
    <s v="[8401] DURGAWATI"/>
    <x v="62"/>
    <x v="62"/>
    <x v="62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28/05/2026"/>
    <s v="E"/>
    <s v="[1062] RAMGADH"/>
    <s v="[8401] DURGAWATI"/>
    <x v="62"/>
    <x v="62"/>
    <x v="62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2/05/2026"/>
    <s v="M"/>
    <s v="[1062] RAMGADH"/>
    <s v="[8401] DURGAWATI"/>
    <x v="63"/>
    <x v="63"/>
    <x v="63"/>
    <s v="B"/>
    <n v="34"/>
    <n v="7.7"/>
    <n v="9"/>
    <n v="2.6180000000000003"/>
    <n v="3.06"/>
    <n v="64.295000000000002"/>
    <n v="2186.0300000000002"/>
    <n v="469.30656934306569"/>
    <n v="312.87104622871044"/>
    <n v="38.255525000000006"/>
    <n v="127.5"/>
    <n v="2351.7855250000002"/>
    <n v="69.170162500000004"/>
    <n v="504.89169708029198"/>
    <n v="336.59446472019465"/>
  </r>
  <r>
    <s v="22/05/2026"/>
    <s v="M"/>
    <s v="[1062] RAMGADH"/>
    <s v="[8401] DURGAWATI"/>
    <x v="63"/>
    <x v="63"/>
    <x v="63"/>
    <s v="C"/>
    <n v="31"/>
    <n v="4"/>
    <n v="8.1999999999999993"/>
    <n v="1.24"/>
    <n v="2.5419999999999998"/>
    <n v="37.489082400000001"/>
    <n v="1162.1615544000001"/>
    <n v="396.01143380281695"/>
    <n v="264.00762253521128"/>
    <n v="20.337827202000003"/>
    <n v="116.25"/>
    <n v="1298.7493816020001"/>
    <n v="41.895141342000002"/>
    <n v="442.55430995070429"/>
    <n v="295.03620663380286"/>
  </r>
  <r>
    <s v="22/05/2026"/>
    <s v="E"/>
    <s v="[1062] RAMGADH"/>
    <s v="[8401] DURGAWATI"/>
    <x v="63"/>
    <x v="63"/>
    <x v="63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22/05/2026"/>
    <s v="E"/>
    <s v="[1062] RAMGADH"/>
    <s v="[8401] DURGAWATI"/>
    <x v="63"/>
    <x v="63"/>
    <x v="63"/>
    <s v="C"/>
    <n v="39"/>
    <n v="3.3"/>
    <n v="8.1"/>
    <n v="1.2869999999999999"/>
    <n v="3.1589999999999998"/>
    <n v="34.453069200000002"/>
    <n v="1343.6696988000001"/>
    <n v="396.01228965517248"/>
    <n v="264.00819310344832"/>
    <n v="23.514219729000004"/>
    <n v="146.25"/>
    <n v="1513.433918529"/>
    <n v="38.805997910999999"/>
    <n v="446.045953"/>
    <n v="297.36396866666666"/>
  </r>
  <r>
    <s v="23/05/2026"/>
    <s v="M"/>
    <s v="[1062] RAMGADH"/>
    <s v="[8401] DURGAWATI"/>
    <x v="63"/>
    <x v="63"/>
    <x v="63"/>
    <s v="B"/>
    <n v="33"/>
    <n v="7.8"/>
    <n v="8.8000000000000007"/>
    <n v="2.5739999999999998"/>
    <n v="2.9040000000000004"/>
    <n v="64.478699999999989"/>
    <n v="2127.7970999999998"/>
    <n v="471.7953658536585"/>
    <n v="314.530243902439"/>
    <n v="37.23644925"/>
    <n v="123.75"/>
    <n v="2288.7835492499999"/>
    <n v="69.357077249999989"/>
    <n v="507.49080914634141"/>
    <n v="338.32720609756092"/>
  </r>
  <r>
    <s v="23/05/2026"/>
    <s v="M"/>
    <s v="[1062] RAMGADH"/>
    <s v="[8401] DURGAWATI"/>
    <x v="63"/>
    <x v="63"/>
    <x v="63"/>
    <s v="C"/>
    <n v="54"/>
    <n v="4.4000000000000004"/>
    <n v="8.1999999999999993"/>
    <n v="2.3760000000000003"/>
    <n v="4.4279999999999999"/>
    <n v="39.073082400000004"/>
    <n v="2109.9464496000001"/>
    <n v="396.01097027027032"/>
    <n v="264.00731351351357"/>
    <n v="36.924062868000007"/>
    <n v="202.5"/>
    <n v="2349.370512468"/>
    <n v="43.506861342000001"/>
    <n v="440.94791900675676"/>
    <n v="293.96527933783784"/>
  </r>
  <r>
    <s v="23/05/2026"/>
    <s v="E"/>
    <s v="[1062] RAMGADH"/>
    <s v="[8401] DURGAWATI"/>
    <x v="63"/>
    <x v="63"/>
    <x v="63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23/05/2026"/>
    <s v="E"/>
    <s v="[1062] RAMGADH"/>
    <s v="[8401] DURGAWATI"/>
    <x v="63"/>
    <x v="63"/>
    <x v="63"/>
    <s v="C"/>
    <n v="33"/>
    <n v="3.5"/>
    <n v="8.1"/>
    <n v="1.155"/>
    <n v="2.673"/>
    <n v="35.245069200000003"/>
    <n v="1163.0872836000001"/>
    <n v="396.01201348314612"/>
    <n v="264.00800898876406"/>
    <n v="20.354027463000005"/>
    <n v="123.75"/>
    <n v="1307.1913110630001"/>
    <n v="39.611857911000001"/>
    <n v="445.0770551797753"/>
    <n v="296.71803678651685"/>
  </r>
  <r>
    <s v="24/05/2026"/>
    <s v="M"/>
    <s v="[1062] RAMGADH"/>
    <s v="[8401] DURGAWATI"/>
    <x v="63"/>
    <x v="63"/>
    <x v="63"/>
    <s v="B"/>
    <n v="38"/>
    <n v="7.4"/>
    <n v="8.8000000000000007"/>
    <n v="2.8119999999999998"/>
    <n v="3.3440000000000003"/>
    <n v="61.172100000000007"/>
    <n v="2324.5398000000005"/>
    <n v="461.09623115577887"/>
    <n v="307.39748743718593"/>
    <n v="40.679446500000012"/>
    <n v="142.5"/>
    <n v="2507.7192465000003"/>
    <n v="65.992611750000009"/>
    <n v="497.43174685929648"/>
    <n v="331.6211645728643"/>
  </r>
  <r>
    <s v="24/05/2026"/>
    <s v="M"/>
    <s v="[1062] RAMGADH"/>
    <s v="[8401] DURGAWATI"/>
    <x v="63"/>
    <x v="63"/>
    <x v="63"/>
    <s v="C"/>
    <n v="55"/>
    <n v="3.6"/>
    <n v="8"/>
    <n v="1.98"/>
    <n v="4.4000000000000004"/>
    <n v="35.377056000000003"/>
    <n v="1945.7380800000001"/>
    <n v="396.01182089552236"/>
    <n v="264.00788059701489"/>
    <n v="34.050416400000003"/>
    <n v="206.25"/>
    <n v="2186.0384964"/>
    <n v="39.746154480000001"/>
    <n v="444.91963970149249"/>
    <n v="296.61309313432832"/>
  </r>
  <r>
    <s v="24/05/2026"/>
    <s v="E"/>
    <s v="[1062] RAMGADH"/>
    <s v="[8401] DURGAWATI"/>
    <x v="63"/>
    <x v="63"/>
    <x v="63"/>
    <s v="B"/>
    <n v="25"/>
    <n v="6.7"/>
    <n v="8.8000000000000007"/>
    <n v="1.675"/>
    <n v="2.2000000000000002"/>
    <n v="55.385550000000002"/>
    <n v="1384.6387500000001"/>
    <n v="440.73381962864721"/>
    <n v="293.82254641909816"/>
    <n v="24.231178125000003"/>
    <n v="93.75"/>
    <n v="1502.6199281250001"/>
    <n v="60.104797125000005"/>
    <n v="478.28751027851456"/>
    <n v="318.85834018567635"/>
  </r>
  <r>
    <s v="24/05/2026"/>
    <s v="E"/>
    <s v="[1062] RAMGADH"/>
    <s v="[8401] DURGAWATI"/>
    <x v="63"/>
    <x v="63"/>
    <x v="63"/>
    <s v="C"/>
    <n v="35"/>
    <n v="3.1"/>
    <n v="8.1"/>
    <n v="1.085"/>
    <n v="2.835"/>
    <n v="33.6610692"/>
    <n v="1178.137422"/>
    <n v="396.01257882352945"/>
    <n v="264.00838588235297"/>
    <n v="20.617404885000003"/>
    <n v="131.25"/>
    <n v="1330.0048268850001"/>
    <n v="38.000137911000003"/>
    <n v="447.06044601176478"/>
    <n v="298.04029734117654"/>
  </r>
  <r>
    <s v="25/05/2026"/>
    <s v="M"/>
    <s v="[1062] RAMGADH"/>
    <s v="[8401] DURGAWATI"/>
    <x v="63"/>
    <x v="63"/>
    <x v="63"/>
    <s v="B"/>
    <n v="40"/>
    <n v="7.6"/>
    <n v="8.8000000000000007"/>
    <n v="3.04"/>
    <n v="3.52"/>
    <n v="62.825400000000002"/>
    <n v="2513.0160000000001"/>
    <n v="466.5252475247525"/>
    <n v="311.01683168316833"/>
    <n v="43.977780000000003"/>
    <n v="150"/>
    <n v="2706.9937800000002"/>
    <n v="67.674844500000006"/>
    <n v="502.53597400990105"/>
    <n v="335.02398267326737"/>
  </r>
  <r>
    <s v="25/05/2026"/>
    <s v="M"/>
    <s v="[1062] RAMGADH"/>
    <s v="[8401] DURGAWATI"/>
    <x v="63"/>
    <x v="63"/>
    <x v="63"/>
    <s v="C"/>
    <n v="22"/>
    <n v="4.8"/>
    <n v="8.3000000000000007"/>
    <n v="1.056"/>
    <n v="1.8260000000000003"/>
    <n v="40.921095600000001"/>
    <n v="900.26410320000002"/>
    <n v="396.01060258064518"/>
    <n v="264.00706838709681"/>
    <n v="15.754621806000001"/>
    <n v="82.5"/>
    <n v="998.51872500600007"/>
    <n v="45.387214773000004"/>
    <n v="439.23111070645166"/>
    <n v="292.82074047096779"/>
  </r>
  <r>
    <s v="25/05/2026"/>
    <s v="E"/>
    <s v="[1062] RAMGADH"/>
    <s v="[8401] DURGAWATI"/>
    <x v="63"/>
    <x v="63"/>
    <x v="63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25/05/2026"/>
    <s v="E"/>
    <s v="[1062] RAMGADH"/>
    <s v="[8401] DURGAWATI"/>
    <x v="63"/>
    <x v="63"/>
    <x v="63"/>
    <s v="C"/>
    <n v="38"/>
    <n v="3"/>
    <n v="8.1"/>
    <n v="1.1399999999999999"/>
    <n v="3.0780000000000003"/>
    <n v="33.265069199999999"/>
    <n v="1264.0726296"/>
    <n v="396.01272857142862"/>
    <n v="264.00848571428577"/>
    <n v="22.121271018000002"/>
    <n v="142.5"/>
    <n v="1428.693900618"/>
    <n v="37.597207910999998"/>
    <n v="447.58580846428572"/>
    <n v="298.3905389761905"/>
  </r>
  <r>
    <s v="26/05/2026"/>
    <s v="M"/>
    <s v="[1062] RAMGADH"/>
    <s v="[8401] DURGAWATI"/>
    <x v="63"/>
    <x v="63"/>
    <x v="63"/>
    <s v="B"/>
    <n v="29"/>
    <n v="8.1"/>
    <n v="9"/>
    <n v="2.3489999999999998"/>
    <n v="2.61"/>
    <n v="67.635000000000005"/>
    <n v="1961.4150000000002"/>
    <n v="479.68085106382978"/>
    <n v="319.78723404255317"/>
    <n v="34.324762500000006"/>
    <n v="108.75"/>
    <n v="2104.4897625000003"/>
    <n v="72.568612500000015"/>
    <n v="514.67101063829796"/>
    <n v="343.11400709219862"/>
  </r>
  <r>
    <s v="26/05/2026"/>
    <s v="M"/>
    <s v="[1062] RAMGADH"/>
    <s v="[8401] DURGAWATI"/>
    <x v="63"/>
    <x v="63"/>
    <x v="63"/>
    <s v="C"/>
    <n v="28"/>
    <n v="4.0999999999999996"/>
    <n v="8.3000000000000007"/>
    <n v="1.1479999999999999"/>
    <n v="2.3240000000000003"/>
    <n v="40.172153700000003"/>
    <n v="1124.8203036"/>
    <n v="417.01197612456752"/>
    <n v="278.00798408304502"/>
    <n v="19.684355313000001"/>
    <n v="105"/>
    <n v="1249.504658913"/>
    <n v="44.625166389749999"/>
    <n v="463.23702134688585"/>
    <n v="308.82468089792388"/>
  </r>
  <r>
    <s v="26/05/2026"/>
    <s v="E"/>
    <s v="[1062] RAMGADH"/>
    <s v="[8401] DURGAWATI"/>
    <x v="63"/>
    <x v="63"/>
    <x v="63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26/05/2026"/>
    <s v="E"/>
    <s v="[1062] RAMGADH"/>
    <s v="[8401] DURGAWATI"/>
    <x v="63"/>
    <x v="63"/>
    <x v="63"/>
    <s v="C"/>
    <n v="29"/>
    <n v="3.8"/>
    <n v="8.5"/>
    <n v="1.1019999999999999"/>
    <n v="2.4649999999999999"/>
    <n v="39.4771815"/>
    <n v="1144.8382635"/>
    <n v="417.0124806338028"/>
    <n v="278.00832042253518"/>
    <n v="20.034669611250003"/>
    <n v="108.75"/>
    <n v="1273.6229331112499"/>
    <n v="43.918032176250001"/>
    <n v="463.92287510123236"/>
    <n v="309.28191673415489"/>
  </r>
  <r>
    <s v="27/05/2026"/>
    <s v="M"/>
    <s v="[1062] RAMGADH"/>
    <s v="[8401] DURGAWATI"/>
    <x v="63"/>
    <x v="63"/>
    <x v="63"/>
    <s v="B"/>
    <n v="31"/>
    <n v="8.1"/>
    <n v="9"/>
    <n v="2.5110000000000001"/>
    <n v="2.79"/>
    <n v="67.635000000000005"/>
    <n v="2096.6849999999999"/>
    <n v="479.68085106382978"/>
    <n v="319.78723404255317"/>
    <n v="36.691987500000003"/>
    <n v="116.25"/>
    <n v="2249.6269874999998"/>
    <n v="72.5686125"/>
    <n v="514.67101063829784"/>
    <n v="343.11400709219856"/>
  </r>
  <r>
    <s v="27/05/2026"/>
    <s v="M"/>
    <s v="[1062] RAMGADH"/>
    <s v="[8401] DURGAWATI"/>
    <x v="63"/>
    <x v="63"/>
    <x v="63"/>
    <s v="C"/>
    <n v="37"/>
    <n v="4.0999999999999996"/>
    <n v="8.4"/>
    <n v="1.5169999999999999"/>
    <n v="3.1080000000000001"/>
    <n v="40.4501676"/>
    <n v="1496.6562011999999"/>
    <n v="417.01203711340207"/>
    <n v="278.00802474226805"/>
    <n v="26.191483521000002"/>
    <n v="138.75"/>
    <n v="1661.597684721"/>
    <n v="44.908045532999999"/>
    <n v="462.96954157731955"/>
    <n v="308.64636105154636"/>
  </r>
  <r>
    <s v="28/05/2026"/>
    <s v="M"/>
    <s v="[1062] RAMGADH"/>
    <s v="[8401] DURGAWATI"/>
    <x v="63"/>
    <x v="63"/>
    <x v="63"/>
    <s v="B"/>
    <n v="30"/>
    <n v="8"/>
    <n v="9"/>
    <n v="2.4"/>
    <n v="2.7"/>
    <n v="66.8"/>
    <n v="2004"/>
    <n v="477.14285714285705"/>
    <n v="318.09523809523802"/>
    <n v="35.07"/>
    <n v="112.5"/>
    <n v="2151.5700000000002"/>
    <n v="71.719000000000008"/>
    <n v="512.27857142857147"/>
    <n v="341.51904761904763"/>
  </r>
  <r>
    <s v="28/05/2026"/>
    <s v="M"/>
    <s v="[1062] RAMGADH"/>
    <s v="[8401] DURGAWATI"/>
    <x v="63"/>
    <x v="63"/>
    <x v="63"/>
    <s v="C"/>
    <n v="13"/>
    <n v="4.5"/>
    <n v="8.3000000000000007"/>
    <n v="0.58499999999999996"/>
    <n v="1.079"/>
    <n v="41.840153700000002"/>
    <n v="543.9219981"/>
    <n v="417.01149867109638"/>
    <n v="278.00766578073092"/>
    <n v="9.5186349667500014"/>
    <n v="48.75"/>
    <n v="602.19063306675002"/>
    <n v="46.322356389749999"/>
    <n v="461.68461518023258"/>
    <n v="307.78974345348837"/>
  </r>
  <r>
    <s v="28/05/2026"/>
    <s v="E"/>
    <s v="[1062] RAMGADH"/>
    <s v="[8401] DURGAWATI"/>
    <x v="63"/>
    <x v="63"/>
    <x v="63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28/05/2026"/>
    <s v="E"/>
    <s v="[1062] RAMGADH"/>
    <s v="[8401] DURGAWATI"/>
    <x v="63"/>
    <x v="63"/>
    <x v="63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2/05/2026"/>
    <s v="M"/>
    <s v="[1062] RAMGADH"/>
    <s v="[8404] CHANDESH"/>
    <x v="64"/>
    <x v="64"/>
    <x v="64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22/05/2026"/>
    <s v="M"/>
    <s v="[1062] RAMGADH"/>
    <s v="[8404] CHANDESH"/>
    <x v="64"/>
    <x v="64"/>
    <x v="64"/>
    <s v="C"/>
    <n v="79"/>
    <n v="3.2"/>
    <n v="8"/>
    <n v="2.528"/>
    <n v="6.32"/>
    <n v="33.793056000000007"/>
    <n v="2669.6514240000006"/>
    <n v="396.01237500000002"/>
    <n v="264.00825000000003"/>
    <n v="46.718899920000013"/>
    <n v="296.25"/>
    <n v="3012.6203239200004"/>
    <n v="38.134434480000003"/>
    <n v="446.88790406249996"/>
    <n v="297.92526937499997"/>
  </r>
  <r>
    <s v="22/05/2026"/>
    <s v="E"/>
    <s v="[1062] RAMGADH"/>
    <s v="[8404] CHANDESH"/>
    <x v="64"/>
    <x v="64"/>
    <x v="64"/>
    <s v="C"/>
    <n v="50"/>
    <n v="3.3"/>
    <n v="8"/>
    <n v="1.65"/>
    <n v="4"/>
    <n v="34.189056000000008"/>
    <n v="1709.4528000000005"/>
    <n v="396.01223166023169"/>
    <n v="264.00815444015444"/>
    <n v="29.915424000000012"/>
    <n v="187.5"/>
    <n v="1926.8682240000005"/>
    <n v="38.537364480000008"/>
    <n v="446.37873915057918"/>
    <n v="297.5858261003861"/>
  </r>
  <r>
    <s v="23/05/2026"/>
    <s v="M"/>
    <s v="[1062] RAMGADH"/>
    <s v="[8404] CHANDESH"/>
    <x v="64"/>
    <x v="64"/>
    <x v="64"/>
    <s v="B"/>
    <n v="25"/>
    <n v="6"/>
    <n v="8.6"/>
    <n v="1.5"/>
    <n v="2.15"/>
    <n v="49.097999999999999"/>
    <n v="1227.45"/>
    <n v="418.44886363636368"/>
    <n v="278.96590909090912"/>
    <n v="21.480375000000002"/>
    <n v="93.75"/>
    <n v="1342.6803750000001"/>
    <n v="53.707215000000005"/>
    <n v="457.73194602272736"/>
    <n v="305.15463068181822"/>
  </r>
  <r>
    <s v="23/05/2026"/>
    <s v="M"/>
    <s v="[1062] RAMGADH"/>
    <s v="[8404] CHANDESH"/>
    <x v="64"/>
    <x v="64"/>
    <x v="64"/>
    <s v="C"/>
    <n v="73"/>
    <n v="3.4"/>
    <n v="8"/>
    <n v="2.4819999999999998"/>
    <n v="5.84"/>
    <n v="34.585056000000002"/>
    <n v="2524.7090880000001"/>
    <n v="396.01209160305342"/>
    <n v="264.00806106870226"/>
    <n v="44.182409040000003"/>
    <n v="273.75"/>
    <n v="2842.6414970400001"/>
    <n v="38.940294479999999"/>
    <n v="445.8812345038167"/>
    <n v="297.25415633587778"/>
  </r>
  <r>
    <s v="23/05/2026"/>
    <s v="E"/>
    <s v="[1062] RAMGADH"/>
    <s v="[8404] CHANDESH"/>
    <x v="64"/>
    <x v="64"/>
    <x v="64"/>
    <s v="B"/>
    <n v="14"/>
    <n v="5.6"/>
    <n v="8.5"/>
    <n v="0.78399999999999992"/>
    <n v="1.19"/>
    <n v="45.357199999999999"/>
    <n v="635.00080000000003"/>
    <n v="402.57869822485208"/>
    <n v="268.38579881656807"/>
    <n v="11.112514000000001"/>
    <n v="52.5"/>
    <n v="698.61331400000006"/>
    <n v="49.900951000000006"/>
    <n v="442.90784911242611"/>
    <n v="295.27189940828407"/>
  </r>
  <r>
    <s v="23/05/2026"/>
    <s v="E"/>
    <s v="[1062] RAMGADH"/>
    <s v="[8404] CHANDESH"/>
    <x v="64"/>
    <x v="64"/>
    <x v="64"/>
    <s v="C"/>
    <n v="61"/>
    <n v="3"/>
    <n v="8"/>
    <n v="1.83"/>
    <n v="4.88"/>
    <n v="33.001056000000005"/>
    <n v="2013.0644160000004"/>
    <n v="396.01267200000001"/>
    <n v="264.00844799999999"/>
    <n v="35.228627280000012"/>
    <n v="228.75"/>
    <n v="2277.0430432800003"/>
    <n v="37.328574480000007"/>
    <n v="447.94289376000006"/>
    <n v="298.62859584000006"/>
  </r>
  <r>
    <s v="24/05/2026"/>
    <s v="M"/>
    <s v="[1062] RAMGADH"/>
    <s v="[8404] CHANDESH"/>
    <x v="64"/>
    <x v="64"/>
    <x v="64"/>
    <s v="B"/>
    <n v="27"/>
    <n v="5.9"/>
    <n v="8.6"/>
    <n v="1.5930000000000002"/>
    <n v="2.3220000000000001"/>
    <n v="48.279699999999998"/>
    <n v="1303.5518999999999"/>
    <n v="415.01174785100284"/>
    <n v="276.67449856733521"/>
    <n v="22.81215825"/>
    <n v="101.25"/>
    <n v="1427.61405825"/>
    <n v="52.87459475"/>
    <n v="454.50941045845275"/>
    <n v="303.00627363896848"/>
  </r>
  <r>
    <s v="24/05/2026"/>
    <s v="M"/>
    <s v="[1062] RAMGADH"/>
    <s v="[8404] CHANDESH"/>
    <x v="64"/>
    <x v="64"/>
    <x v="64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24/05/2026"/>
    <s v="E"/>
    <s v="[1062] RAMGADH"/>
    <s v="[8404] CHANDESH"/>
    <x v="64"/>
    <x v="64"/>
    <x v="64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4/05/2026"/>
    <s v="E"/>
    <s v="[1062] RAMGADH"/>
    <s v="[8404] CHANDESH"/>
    <x v="64"/>
    <x v="64"/>
    <x v="64"/>
    <s v="C"/>
    <n v="58"/>
    <n v="3"/>
    <n v="8"/>
    <n v="1.74"/>
    <n v="4.6399999999999997"/>
    <n v="33.001056000000005"/>
    <n v="1914.0612480000004"/>
    <n v="396.01267200000001"/>
    <n v="264.00844799999999"/>
    <n v="33.496071840000013"/>
    <n v="217.5"/>
    <n v="2165.0573198400007"/>
    <n v="37.328574480000015"/>
    <n v="447.94289376000012"/>
    <n v="298.62859584000006"/>
  </r>
  <r>
    <s v="25/05/2026"/>
    <s v="M"/>
    <s v="[1062] RAMGADH"/>
    <s v="[8404] CHANDESH"/>
    <x v="64"/>
    <x v="64"/>
    <x v="64"/>
    <s v="B"/>
    <n v="30"/>
    <n v="6.2"/>
    <n v="8.8000000000000007"/>
    <n v="1.86"/>
    <n v="2.64"/>
    <n v="51.252300000000005"/>
    <n v="1537.5690000000002"/>
    <n v="424.74281767955802"/>
    <n v="283.1618784530387"/>
    <n v="26.907457500000007"/>
    <n v="112.5"/>
    <n v="1676.9764575000002"/>
    <n v="55.899215250000005"/>
    <n v="463.25316505524864"/>
    <n v="308.83544337016576"/>
  </r>
  <r>
    <s v="25/05/2026"/>
    <s v="M"/>
    <s v="[1062] RAMGADH"/>
    <s v="[8404] CHANDESH"/>
    <x v="64"/>
    <x v="64"/>
    <x v="64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5/05/2026"/>
    <s v="E"/>
    <s v="[1062] RAMGADH"/>
    <s v="[8404] CHANDESH"/>
    <x v="64"/>
    <x v="64"/>
    <x v="64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25/05/2026"/>
    <s v="E"/>
    <s v="[1062] RAMGADH"/>
    <s v="[8404] CHANDESH"/>
    <x v="64"/>
    <x v="64"/>
    <x v="64"/>
    <s v="C"/>
    <n v="54"/>
    <n v="3.1"/>
    <n v="8.1"/>
    <n v="1.6740000000000002"/>
    <n v="4.3739999999999997"/>
    <n v="33.6610692"/>
    <n v="1817.6977368"/>
    <n v="396.01257882352945"/>
    <n v="264.00838588235297"/>
    <n v="31.809710394000003"/>
    <n v="202.5"/>
    <n v="2052.0074471940002"/>
    <n v="38.000137911000003"/>
    <n v="447.06044601176478"/>
    <n v="298.04029734117654"/>
  </r>
  <r>
    <s v="26/05/2026"/>
    <s v="M"/>
    <s v="[1062] RAMGADH"/>
    <s v="[8404] CHANDESH"/>
    <x v="64"/>
    <x v="64"/>
    <x v="64"/>
    <s v="B"/>
    <n v="25"/>
    <n v="6"/>
    <n v="8.8000000000000007"/>
    <n v="1.5"/>
    <n v="2.2000000000000002"/>
    <n v="49.599000000000004"/>
    <n v="1239.9750000000001"/>
    <n v="417.96910112359552"/>
    <n v="278.64606741573033"/>
    <n v="21.699562500000006"/>
    <n v="93.75"/>
    <n v="1355.4245625000001"/>
    <n v="54.2169825"/>
    <n v="456.88468398876404"/>
    <n v="304.58978932584267"/>
  </r>
  <r>
    <s v="26/05/2026"/>
    <s v="M"/>
    <s v="[1062] RAMGADH"/>
    <s v="[8404] CHANDESH"/>
    <x v="64"/>
    <x v="64"/>
    <x v="64"/>
    <s v="C"/>
    <n v="76"/>
    <n v="3.2"/>
    <n v="8.1"/>
    <n v="2.4320000000000004"/>
    <n v="6.1560000000000006"/>
    <n v="35.8631259"/>
    <n v="2725.5975684"/>
    <n v="417.01309186046512"/>
    <n v="278.00872790697673"/>
    <n v="47.697957447000007"/>
    <n v="285"/>
    <n v="3058.2955258470001"/>
    <n v="40.24073060325"/>
    <n v="467.91547213081401"/>
    <n v="311.94364808720934"/>
  </r>
  <r>
    <s v="26/05/2026"/>
    <s v="E"/>
    <s v="[1062] RAMGADH"/>
    <s v="[8404] CHANDESH"/>
    <x v="64"/>
    <x v="64"/>
    <x v="64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27/05/2026"/>
    <s v="M"/>
    <s v="[1062] RAMGADH"/>
    <s v="[8404] CHANDESH"/>
    <x v="64"/>
    <x v="64"/>
    <x v="64"/>
    <s v="B"/>
    <n v="20"/>
    <n v="5.7"/>
    <n v="8.8000000000000007"/>
    <n v="1.1399999999999999"/>
    <n v="1.76"/>
    <n v="47.119050000000001"/>
    <n v="942.38100000000009"/>
    <n v="407.3693083573487"/>
    <n v="271.57953890489915"/>
    <n v="16.491667500000002"/>
    <n v="75"/>
    <n v="1033.8726675"/>
    <n v="51.693633375000005"/>
    <n v="446.91902053314124"/>
    <n v="297.94601368876084"/>
  </r>
  <r>
    <s v="27/05/2026"/>
    <s v="M"/>
    <s v="[1062] RAMGADH"/>
    <s v="[8404] CHANDESH"/>
    <x v="64"/>
    <x v="64"/>
    <x v="64"/>
    <s v="C"/>
    <n v="64"/>
    <n v="3.5"/>
    <n v="8.1999999999999993"/>
    <n v="2.2400000000000002"/>
    <n v="5.2479999999999993"/>
    <n v="37.392139800000002"/>
    <n v="2393.0969472000002"/>
    <n v="417.01271152416359"/>
    <n v="278.00847434944239"/>
    <n v="41.879196576000005"/>
    <n v="240"/>
    <n v="2674.9761437760003"/>
    <n v="41.796502246500005"/>
    <n v="466.13199531412641"/>
    <n v="310.75466354275096"/>
  </r>
  <r>
    <s v="27/05/2026"/>
    <s v="E"/>
    <s v="[1062] RAMGADH"/>
    <s v="[8404] CHANDESH"/>
    <x v="64"/>
    <x v="64"/>
    <x v="64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28/05/2026"/>
    <s v="M"/>
    <s v="[1062] RAMGADH"/>
    <s v="[8404] CHANDESH"/>
    <x v="64"/>
    <x v="64"/>
    <x v="64"/>
    <s v="B"/>
    <n v="17"/>
    <n v="5.9"/>
    <n v="8.8000000000000007"/>
    <n v="1.0030000000000001"/>
    <n v="1.4960000000000002"/>
    <n v="48.772350000000003"/>
    <n v="829.12995000000001"/>
    <n v="414.49589235127479"/>
    <n v="276.33059490084986"/>
    <n v="14.509774125000002"/>
    <n v="63.75"/>
    <n v="907.38972412500004"/>
    <n v="53.375866125000002"/>
    <n v="453.61925885269125"/>
    <n v="302.41283923512748"/>
  </r>
  <r>
    <s v="28/05/2026"/>
    <s v="M"/>
    <s v="[1062] RAMGADH"/>
    <s v="[8404] CHANDESH"/>
    <x v="64"/>
    <x v="64"/>
    <x v="64"/>
    <s v="C"/>
    <n v="53"/>
    <n v="3.2"/>
    <n v="8"/>
    <n v="1.6960000000000002"/>
    <n v="4.24"/>
    <n v="35.585112000000002"/>
    <n v="1886.0109360000001"/>
    <n v="417.01303124999998"/>
    <n v="278.00868750000001"/>
    <n v="33.005191380000007"/>
    <n v="198.75"/>
    <n v="2117.7661273799999"/>
    <n v="39.957851460000001"/>
    <n v="468.25607179687495"/>
    <n v="312.17071453124998"/>
  </r>
  <r>
    <s v="28/05/2026"/>
    <s v="E"/>
    <s v="[1062] RAMGADH"/>
    <s v="[8404] CHANDESH"/>
    <x v="64"/>
    <x v="64"/>
    <x v="64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28/05/2026"/>
    <s v="E"/>
    <s v="[1062] RAMGADH"/>
    <s v="[8404] CHANDESH"/>
    <x v="64"/>
    <x v="64"/>
    <x v="64"/>
    <s v="C"/>
    <n v="66"/>
    <n v="3.5"/>
    <n v="8.1"/>
    <n v="2.31"/>
    <n v="5.3460000000000001"/>
    <n v="37.114125900000005"/>
    <n v="2449.5323094000005"/>
    <n v="417.01265056179784"/>
    <n v="278.00843370786521"/>
    <n v="42.86681541450001"/>
    <n v="247.5"/>
    <n v="2739.8991248145003"/>
    <n v="41.513623103250005"/>
    <n v="466.44520340730344"/>
    <n v="310.96346893820231"/>
  </r>
  <r>
    <s v="22/05/2026"/>
    <s v="M"/>
    <s v="[1062] RAMGADH"/>
    <s v="[8404] CHANDESH"/>
    <x v="65"/>
    <x v="65"/>
    <x v="65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22/05/2026"/>
    <s v="M"/>
    <s v="[1062] RAMGADH"/>
    <s v="[8404] CHANDESH"/>
    <x v="65"/>
    <x v="65"/>
    <x v="65"/>
    <s v="C"/>
    <n v="33"/>
    <n v="3.7"/>
    <n v="8.1"/>
    <n v="1.2210000000000001"/>
    <n v="2.673"/>
    <n v="36.037069200000005"/>
    <n v="1189.2232836000001"/>
    <n v="396.01174945054953"/>
    <n v="264.00783296703304"/>
    <n v="20.811407463000002"/>
    <n v="123.75"/>
    <n v="1333.7846910630001"/>
    <n v="40.417717911000004"/>
    <n v="444.15074627472535"/>
    <n v="296.10049751648359"/>
  </r>
  <r>
    <s v="22/05/2026"/>
    <s v="E"/>
    <s v="[1062] RAMGADH"/>
    <s v="[8404] CHANDESH"/>
    <x v="65"/>
    <x v="65"/>
    <x v="65"/>
    <s v="C"/>
    <n v="55"/>
    <n v="3.8"/>
    <n v="8.1999999999999993"/>
    <n v="2.09"/>
    <n v="4.51"/>
    <n v="36.697082399999999"/>
    <n v="2018.339532"/>
    <n v="396.01168057553957"/>
    <n v="264.0077870503597"/>
    <n v="35.320941810000001"/>
    <n v="206.25"/>
    <n v="2259.91047381"/>
    <n v="41.089281342"/>
    <n v="443.40951088489209"/>
    <n v="295.60634058992804"/>
  </r>
  <r>
    <s v="23/05/2026"/>
    <s v="M"/>
    <s v="[1062] RAMGADH"/>
    <s v="[8404] CHANDESH"/>
    <x v="65"/>
    <x v="65"/>
    <x v="65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3/05/2026"/>
    <s v="M"/>
    <s v="[1062] RAMGADH"/>
    <s v="[8404] CHANDESH"/>
    <x v="65"/>
    <x v="65"/>
    <x v="65"/>
    <s v="C"/>
    <n v="32"/>
    <n v="3.6"/>
    <n v="8"/>
    <n v="1.1520000000000001"/>
    <n v="2.56"/>
    <n v="35.377056000000003"/>
    <n v="1132.0657920000001"/>
    <n v="396.01182089552236"/>
    <n v="264.00788059701489"/>
    <n v="19.811151360000004"/>
    <n v="120"/>
    <n v="1271.87694336"/>
    <n v="39.746154480000001"/>
    <n v="444.91963970149249"/>
    <n v="296.61309313432832"/>
  </r>
  <r>
    <s v="23/05/2026"/>
    <s v="E"/>
    <s v="[1062] RAMGADH"/>
    <s v="[8404] CHANDESH"/>
    <x v="65"/>
    <x v="65"/>
    <x v="65"/>
    <s v="B"/>
    <n v="6"/>
    <n v="8.5"/>
    <n v="9"/>
    <n v="0.51"/>
    <n v="0.54"/>
    <n v="70.975000000000009"/>
    <n v="425.85"/>
    <n v="489.48275862068965"/>
    <n v="326.32183908045977"/>
    <n v="7.4523750000000009"/>
    <n v="22.5"/>
    <n v="455.80237500000004"/>
    <n v="75.967062500000011"/>
    <n v="523.91077586206893"/>
    <n v="349.27385057471264"/>
  </r>
  <r>
    <s v="23/05/2026"/>
    <s v="E"/>
    <s v="[1062] RAMGADH"/>
    <s v="[8404] CHANDESH"/>
    <x v="65"/>
    <x v="65"/>
    <x v="6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24/05/2026"/>
    <s v="M"/>
    <s v="[1062] RAMGADH"/>
    <s v="[8404] CHANDESH"/>
    <x v="65"/>
    <x v="65"/>
    <x v="65"/>
    <s v="B"/>
    <n v="7"/>
    <n v="8"/>
    <n v="8.8000000000000007"/>
    <n v="0.56000000000000005"/>
    <n v="0.6160000000000001"/>
    <n v="66.131999999999991"/>
    <n v="462.92399999999992"/>
    <n v="476.91346153846149"/>
    <n v="317.94230769230768"/>
    <n v="8.1011699999999998"/>
    <n v="26.25"/>
    <n v="497.27516999999989"/>
    <n v="71.039309999999986"/>
    <n v="512.30271634615372"/>
    <n v="341.53514423076916"/>
  </r>
  <r>
    <s v="24/05/2026"/>
    <s v="M"/>
    <s v="[1062] RAMGADH"/>
    <s v="[8404] CHANDESH"/>
    <x v="65"/>
    <x v="65"/>
    <x v="65"/>
    <s v="C"/>
    <n v="36"/>
    <n v="3.7"/>
    <n v="8"/>
    <n v="1.3320000000000001"/>
    <n v="2.88"/>
    <n v="35.773056000000004"/>
    <n v="1287.8300160000001"/>
    <n v="396.01169003690035"/>
    <n v="264.00779335793356"/>
    <n v="22.537025280000005"/>
    <n v="135"/>
    <n v="1445.3670412800002"/>
    <n v="40.149084480000006"/>
    <n v="444.45480974169743"/>
    <n v="296.30320649446497"/>
  </r>
  <r>
    <s v="24/05/2026"/>
    <s v="E"/>
    <s v="[1062] RAMGADH"/>
    <s v="[8404] CHANDESH"/>
    <x v="65"/>
    <x v="65"/>
    <x v="65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4/05/2026"/>
    <s v="E"/>
    <s v="[1062] RAMGADH"/>
    <s v="[8404] CHANDESH"/>
    <x v="65"/>
    <x v="65"/>
    <x v="65"/>
    <s v="C"/>
    <n v="31"/>
    <n v="3.7"/>
    <n v="8"/>
    <n v="1.147"/>
    <n v="2.48"/>
    <n v="35.773056000000004"/>
    <n v="1108.9647360000001"/>
    <n v="396.01169003690035"/>
    <n v="264.00779335793356"/>
    <n v="19.406882880000005"/>
    <n v="116.25"/>
    <n v="1244.6216188800001"/>
    <n v="40.149084480000006"/>
    <n v="444.45480974169743"/>
    <n v="296.30320649446497"/>
  </r>
  <r>
    <s v="25/05/2026"/>
    <s v="M"/>
    <s v="[1062] RAMGADH"/>
    <s v="[8404] CHANDESH"/>
    <x v="65"/>
    <x v="65"/>
    <x v="65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25/05/2026"/>
    <s v="M"/>
    <s v="[1062] RAMGADH"/>
    <s v="[8404] CHANDESH"/>
    <x v="65"/>
    <x v="65"/>
    <x v="65"/>
    <s v="C"/>
    <n v="34"/>
    <n v="3.6"/>
    <n v="8"/>
    <n v="1.224"/>
    <n v="2.72"/>
    <n v="35.377056000000003"/>
    <n v="1202.8199040000002"/>
    <n v="396.01182089552236"/>
    <n v="264.00788059701489"/>
    <n v="21.049348320000004"/>
    <n v="127.5"/>
    <n v="1351.3692523200002"/>
    <n v="39.746154480000008"/>
    <n v="444.91963970149254"/>
    <n v="296.61309313432838"/>
  </r>
  <r>
    <s v="25/05/2026"/>
    <s v="E"/>
    <s v="[1062] RAMGADH"/>
    <s v="[8404] CHANDESH"/>
    <x v="65"/>
    <x v="65"/>
    <x v="65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25/05/2026"/>
    <s v="E"/>
    <s v="[1062] RAMGADH"/>
    <s v="[8404] CHANDESH"/>
    <x v="65"/>
    <x v="65"/>
    <x v="65"/>
    <s v="C"/>
    <n v="36"/>
    <n v="3.8"/>
    <n v="8.3000000000000007"/>
    <n v="1.3679999999999999"/>
    <n v="2.988"/>
    <n v="36.961095600000007"/>
    <n v="1330.5994416000003"/>
    <n v="396.01173857142862"/>
    <n v="264.00782571428573"/>
    <n v="23.285490228000008"/>
    <n v="135"/>
    <n v="1488.8849318280004"/>
    <n v="41.357914773000012"/>
    <n v="443.12051542500012"/>
    <n v="295.41367695000008"/>
  </r>
  <r>
    <s v="26/05/2026"/>
    <s v="M"/>
    <s v="[1062] RAMGADH"/>
    <s v="[8404] CHANDESH"/>
    <x v="65"/>
    <x v="65"/>
    <x v="65"/>
    <s v="B"/>
    <n v="9"/>
    <n v="6.8"/>
    <n v="8.8000000000000007"/>
    <n v="0.61199999999999999"/>
    <n v="0.79200000000000004"/>
    <n v="56.212200000000003"/>
    <n v="505.90980000000002"/>
    <n v="443.78052631578947"/>
    <n v="295.8536842105263"/>
    <n v="8.8534215000000014"/>
    <n v="33.75"/>
    <n v="548.51322149999999"/>
    <n v="60.945913499999996"/>
    <n v="481.15194868421048"/>
    <n v="320.76796578947364"/>
  </r>
  <r>
    <s v="26/05/2026"/>
    <s v="M"/>
    <s v="[1062] RAMGADH"/>
    <s v="[8404] CHANDESH"/>
    <x v="65"/>
    <x v="65"/>
    <x v="65"/>
    <s v="C"/>
    <n v="33"/>
    <n v="3.6"/>
    <n v="8.1999999999999993"/>
    <n v="1.1879999999999999"/>
    <n v="2.7059999999999995"/>
    <n v="37.809139800000004"/>
    <n v="1247.7016134"/>
    <n v="417.01257132352941"/>
    <n v="278.00838088235292"/>
    <n v="21.834778234500003"/>
    <n v="123.75"/>
    <n v="1393.2863916345"/>
    <n v="42.220799746499999"/>
    <n v="465.6705854393382"/>
    <n v="310.44705695955878"/>
  </r>
  <r>
    <s v="26/05/2026"/>
    <s v="E"/>
    <s v="[1062] RAMGADH"/>
    <s v="[8404] CHANDESH"/>
    <x v="65"/>
    <x v="65"/>
    <x v="65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6/05/2026"/>
    <s v="E"/>
    <s v="[1062] RAMGADH"/>
    <s v="[8404] CHANDESH"/>
    <x v="65"/>
    <x v="65"/>
    <x v="65"/>
    <s v="C"/>
    <n v="35"/>
    <n v="3.6"/>
    <n v="8.4"/>
    <n v="1.26"/>
    <n v="2.94"/>
    <n v="38.365167600000007"/>
    <n v="1342.7808660000003"/>
    <n v="417.01269130434792"/>
    <n v="278.00846086956528"/>
    <n v="23.498665155000008"/>
    <n v="131.25"/>
    <n v="1497.5295311550003"/>
    <n v="42.786558033000006"/>
    <n v="465.07128296739137"/>
    <n v="310.04752197826093"/>
  </r>
  <r>
    <s v="27/05/2026"/>
    <s v="M"/>
    <s v="[1062] RAMGADH"/>
    <s v="[8404] CHANDESH"/>
    <x v="65"/>
    <x v="65"/>
    <x v="65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27/05/2026"/>
    <s v="M"/>
    <s v="[1062] RAMGADH"/>
    <s v="[8404] CHANDESH"/>
    <x v="65"/>
    <x v="65"/>
    <x v="65"/>
    <s v="C"/>
    <n v="27"/>
    <n v="3.9"/>
    <n v="8.4"/>
    <n v="1.0529999999999999"/>
    <n v="2.2680000000000002"/>
    <n v="39.616167600000011"/>
    <n v="1069.6365252000003"/>
    <n v="417.01229052631589"/>
    <n v="278.0081936842106"/>
    <n v="18.718639191000008"/>
    <n v="101.25"/>
    <n v="1189.6051643910002"/>
    <n v="44.05945053300001"/>
    <n v="463.78368982105275"/>
    <n v="309.18912654736852"/>
  </r>
  <r>
    <s v="27/05/2026"/>
    <s v="E"/>
    <s v="[1062] RAMGADH"/>
    <s v="[8404] CHANDESH"/>
    <x v="65"/>
    <x v="65"/>
    <x v="65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7/05/2026"/>
    <s v="E"/>
    <s v="[1062] RAMGADH"/>
    <s v="[8404] CHANDESH"/>
    <x v="65"/>
    <x v="65"/>
    <x v="65"/>
    <s v="C"/>
    <n v="33"/>
    <n v="3.7"/>
    <n v="8.1999999999999993"/>
    <n v="1.2210000000000001"/>
    <n v="2.7059999999999995"/>
    <n v="38.226139799999999"/>
    <n v="1261.4626134"/>
    <n v="417.01243418181815"/>
    <n v="278.00828945454543"/>
    <n v="22.075595734500002"/>
    <n v="123.75"/>
    <n v="1407.2882091345"/>
    <n v="42.645097246500001"/>
    <n v="465.21924268909089"/>
    <n v="310.14616179272724"/>
  </r>
  <r>
    <s v="28/05/2026"/>
    <s v="M"/>
    <s v="[1062] RAMGADH"/>
    <s v="[8404] CHANDESH"/>
    <x v="65"/>
    <x v="65"/>
    <x v="65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28/05/2026"/>
    <s v="M"/>
    <s v="[1062] RAMGADH"/>
    <s v="[8404] CHANDESH"/>
    <x v="65"/>
    <x v="65"/>
    <x v="65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28/05/2026"/>
    <s v="E"/>
    <s v="[1062] RAMGADH"/>
    <s v="[8404] CHANDESH"/>
    <x v="65"/>
    <x v="65"/>
    <x v="65"/>
    <s v="B"/>
    <n v="13"/>
    <n v="6.1"/>
    <n v="8.8000000000000007"/>
    <n v="0.79299999999999993"/>
    <n v="1.1440000000000001"/>
    <n v="50.425650000000005"/>
    <n v="655.53345000000002"/>
    <n v="421.38426183844012"/>
    <n v="280.92284122562677"/>
    <n v="11.471835375000001"/>
    <n v="48.75"/>
    <n v="715.75528537499997"/>
    <n v="55.058098874999999"/>
    <n v="460.09553377437322"/>
    <n v="306.73035584958217"/>
  </r>
  <r>
    <s v="22/05/2026"/>
    <s v="M"/>
    <s v="[1062] RAMGADH"/>
    <s v="[8404] CHANDESH"/>
    <x v="66"/>
    <x v="66"/>
    <x v="66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2/05/2026"/>
    <s v="E"/>
    <s v="[1062] RAMGADH"/>
    <s v="[8404] CHANDESH"/>
    <x v="66"/>
    <x v="66"/>
    <x v="66"/>
    <s v="B"/>
    <n v="24"/>
    <n v="6.1"/>
    <n v="8.8000000000000007"/>
    <n v="1.4639999999999997"/>
    <n v="2.1120000000000001"/>
    <n v="50.425650000000005"/>
    <n v="1210.2156"/>
    <n v="421.38426183844012"/>
    <n v="280.92284122562677"/>
    <n v="21.178773000000003"/>
    <n v="90"/>
    <n v="1321.3943730000001"/>
    <n v="55.058098875000006"/>
    <n v="460.09553377437328"/>
    <n v="306.73035584958217"/>
  </r>
  <r>
    <s v="23/05/2026"/>
    <s v="M"/>
    <s v="[1062] RAMGADH"/>
    <s v="[8404] CHANDESH"/>
    <x v="66"/>
    <x v="66"/>
    <x v="66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3/05/2026"/>
    <s v="E"/>
    <s v="[1062] RAMGADH"/>
    <s v="[8404] CHANDESH"/>
    <x v="66"/>
    <x v="66"/>
    <x v="66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24/05/2026"/>
    <s v="M"/>
    <s v="[1062] RAMGADH"/>
    <s v="[8404] CHANDESH"/>
    <x v="66"/>
    <x v="66"/>
    <x v="66"/>
    <s v="C"/>
    <n v="12"/>
    <n v="4.9000000000000004"/>
    <n v="8.5"/>
    <n v="0.58800000000000008"/>
    <n v="1.02"/>
    <n v="41.845122000000003"/>
    <n v="502.14146400000004"/>
    <n v="396.01061829652997"/>
    <n v="264.00707886435333"/>
    <n v="8.7874756200000022"/>
    <n v="45"/>
    <n v="555.92893962000005"/>
    <n v="46.327411635000004"/>
    <n v="438.42976310725555"/>
    <n v="292.28650873817037"/>
  </r>
  <r>
    <s v="24/05/2026"/>
    <s v="E"/>
    <s v="[1062] RAMGADH"/>
    <s v="[8404] CHANDESH"/>
    <x v="66"/>
    <x v="66"/>
    <x v="66"/>
    <s v="B"/>
    <n v="33"/>
    <n v="6.4"/>
    <n v="8.8000000000000007"/>
    <n v="2.1120000000000001"/>
    <n v="2.9040000000000004"/>
    <n v="52.9056"/>
    <n v="1745.8848"/>
    <n v="431.29565217391303"/>
    <n v="287.53043478260867"/>
    <n v="30.552984000000002"/>
    <n v="123.75"/>
    <n v="1900.187784"/>
    <n v="57.581448000000002"/>
    <n v="469.41397826086956"/>
    <n v="312.94265217391302"/>
  </r>
  <r>
    <s v="25/05/2026"/>
    <s v="M"/>
    <s v="[1062] RAMGADH"/>
    <s v="[8404] CHANDESH"/>
    <x v="66"/>
    <x v="66"/>
    <x v="66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5/05/2026"/>
    <s v="E"/>
    <s v="[1062] RAMGADH"/>
    <s v="[8404] CHANDESH"/>
    <x v="66"/>
    <x v="66"/>
    <x v="66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25/05/2026"/>
    <s v="E"/>
    <s v="[1062] RAMGADH"/>
    <s v="[8404] CHANDESH"/>
    <x v="66"/>
    <x v="66"/>
    <x v="66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26/05/2026"/>
    <s v="M"/>
    <s v="[1062] RAMGADH"/>
    <s v="[8404] CHANDESH"/>
    <x v="66"/>
    <x v="66"/>
    <x v="66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26/05/2026"/>
    <s v="E"/>
    <s v="[1062] RAMGADH"/>
    <s v="[8404] CHANDESH"/>
    <x v="66"/>
    <x v="66"/>
    <x v="66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26/05/2026"/>
    <s v="E"/>
    <s v="[1062] RAMGADH"/>
    <s v="[8404] CHANDESH"/>
    <x v="66"/>
    <x v="66"/>
    <x v="66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27/05/2026"/>
    <s v="M"/>
    <s v="[1062] RAMGADH"/>
    <s v="[8404] CHANDESH"/>
    <x v="66"/>
    <x v="66"/>
    <x v="66"/>
    <s v="B"/>
    <n v="12"/>
    <n v="6.4"/>
    <n v="8.8000000000000007"/>
    <n v="0.76800000000000013"/>
    <n v="1.056"/>
    <n v="52.9056"/>
    <n v="634.86720000000003"/>
    <n v="431.29565217391303"/>
    <n v="287.53043478260867"/>
    <n v="11.110176000000001"/>
    <n v="45"/>
    <n v="690.97737600000005"/>
    <n v="57.581448000000002"/>
    <n v="469.41397826086956"/>
    <n v="312.94265217391302"/>
  </r>
  <r>
    <s v="27/05/2026"/>
    <s v="E"/>
    <s v="[1062] RAMGADH"/>
    <s v="[8404] CHANDESH"/>
    <x v="66"/>
    <x v="66"/>
    <x v="66"/>
    <s v="B"/>
    <n v="12"/>
    <n v="8.1999999999999993"/>
    <n v="9"/>
    <n v="0.98399999999999987"/>
    <n v="1.08"/>
    <n v="68.469999999999985"/>
    <n v="821.63999999999987"/>
    <n v="482.18309859154925"/>
    <n v="321.45539906103284"/>
    <n v="14.378699999999998"/>
    <n v="45"/>
    <n v="881.01869999999985"/>
    <n v="73.418224999999993"/>
    <n v="517.02975352112674"/>
    <n v="344.68650234741784"/>
  </r>
  <r>
    <s v="27/05/2026"/>
    <s v="E"/>
    <s v="[1062] RAMGADH"/>
    <s v="[8404] CHANDESH"/>
    <x v="66"/>
    <x v="66"/>
    <x v="66"/>
    <s v="C"/>
    <n v="12"/>
    <n v="3.2"/>
    <n v="8.1999999999999993"/>
    <n v="0.38400000000000006"/>
    <n v="0.98399999999999987"/>
    <n v="36.141139799999998"/>
    <n v="433.6936776"/>
    <n v="417.0131515384615"/>
    <n v="278.00876769230769"/>
    <n v="7.5896393580000003"/>
    <n v="45"/>
    <n v="486.283316958"/>
    <n v="40.5236097465"/>
    <n v="467.58011245961535"/>
    <n v="311.72007497307692"/>
  </r>
  <r>
    <s v="28/05/2026"/>
    <s v="M"/>
    <s v="[1062] RAMGADH"/>
    <s v="[8404] CHANDESH"/>
    <x v="66"/>
    <x v="66"/>
    <x v="66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28/05/2026"/>
    <s v="E"/>
    <s v="[1062] RAMGADH"/>
    <s v="[8404] CHANDESH"/>
    <x v="66"/>
    <x v="66"/>
    <x v="66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28/05/2026"/>
    <s v="E"/>
    <s v="[1062] RAMGADH"/>
    <s v="[8404] CHANDESH"/>
    <x v="66"/>
    <x v="66"/>
    <x v="66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2/05/2026"/>
    <s v="M"/>
    <s v="[1062] RAMGADH"/>
    <s v="[8401] DURGAWATI"/>
    <x v="67"/>
    <x v="67"/>
    <x v="67"/>
    <s v="B"/>
    <n v="17"/>
    <n v="5.8"/>
    <n v="8.5"/>
    <n v="0.98599999999999999"/>
    <n v="1.4450000000000001"/>
    <n v="46.9771"/>
    <n v="798.61069999999995"/>
    <n v="409.68401162790695"/>
    <n v="273.12267441860462"/>
    <n v="13.97568725"/>
    <n v="63.75"/>
    <n v="876.33638724999992"/>
    <n v="51.549199249999994"/>
    <n v="449.55697020348833"/>
    <n v="299.70464680232556"/>
  </r>
  <r>
    <s v="22/05/2026"/>
    <s v="M"/>
    <s v="[1062] RAMGADH"/>
    <s v="[8401] DURGAWATI"/>
    <x v="67"/>
    <x v="67"/>
    <x v="67"/>
    <s v="C"/>
    <n v="31"/>
    <n v="3.5"/>
    <n v="8.1"/>
    <n v="1.085"/>
    <n v="2.5110000000000001"/>
    <n v="35.245069200000003"/>
    <n v="1092.5971452000001"/>
    <n v="396.01201348314612"/>
    <n v="264.00800898876406"/>
    <n v="19.120450041000005"/>
    <n v="116.25"/>
    <n v="1227.967595241"/>
    <n v="39.611857911000001"/>
    <n v="445.0770551797753"/>
    <n v="296.71803678651685"/>
  </r>
  <r>
    <s v="22/05/2026"/>
    <s v="E"/>
    <s v="[1062] RAMGADH"/>
    <s v="[8401] DURGAWATI"/>
    <x v="67"/>
    <x v="67"/>
    <x v="67"/>
    <s v="B"/>
    <n v="4"/>
    <n v="6"/>
    <n v="9"/>
    <n v="0.24"/>
    <n v="0.36"/>
    <n v="50.1"/>
    <n v="200.4"/>
    <n v="417.5"/>
    <n v="278.33333333333331"/>
    <n v="3.5070000000000006"/>
    <n v="15"/>
    <n v="218.90700000000001"/>
    <n v="54.726750000000003"/>
    <n v="456.05625000000003"/>
    <n v="304.03750000000002"/>
  </r>
  <r>
    <s v="22/05/2026"/>
    <s v="E"/>
    <s v="[1062] RAMGADH"/>
    <s v="[8401] DURGAWATI"/>
    <x v="67"/>
    <x v="67"/>
    <x v="67"/>
    <s v="C"/>
    <n v="32"/>
    <n v="3.3"/>
    <n v="8.1"/>
    <n v="1.056"/>
    <n v="2.5920000000000001"/>
    <n v="34.453069200000002"/>
    <n v="1102.4982144000001"/>
    <n v="396.01228965517248"/>
    <n v="264.00819310344832"/>
    <n v="19.293718752000004"/>
    <n v="120"/>
    <n v="1241.7919331520002"/>
    <n v="38.805997911000006"/>
    <n v="446.04595300000011"/>
    <n v="297.36396866666672"/>
  </r>
  <r>
    <s v="23/05/2026"/>
    <s v="M"/>
    <s v="[1062] RAMGADH"/>
    <s v="[8401] DURGAWATI"/>
    <x v="67"/>
    <x v="67"/>
    <x v="67"/>
    <s v="B"/>
    <n v="6"/>
    <n v="7.5"/>
    <n v="9"/>
    <n v="0.45"/>
    <n v="0.54"/>
    <n v="62.625"/>
    <n v="375.75"/>
    <n v="463.88888888888886"/>
    <n v="309.25925925925924"/>
    <n v="6.5756250000000005"/>
    <n v="22.5"/>
    <n v="404.825625"/>
    <n v="67.470937500000005"/>
    <n v="499.78472222222223"/>
    <n v="333.18981481481484"/>
  </r>
  <r>
    <s v="23/05/2026"/>
    <s v="M"/>
    <s v="[1062] RAMGADH"/>
    <s v="[8401] DURGAWATI"/>
    <x v="67"/>
    <x v="67"/>
    <x v="67"/>
    <s v="C"/>
    <n v="40"/>
    <n v="3.8"/>
    <n v="8"/>
    <n v="1.52"/>
    <n v="3.2"/>
    <n v="36.169056000000005"/>
    <n v="1446.7622400000002"/>
    <n v="396.01156204379566"/>
    <n v="264.00770802919709"/>
    <n v="25.318339200000008"/>
    <n v="150"/>
    <n v="1622.0805792000003"/>
    <n v="40.552014480000011"/>
    <n v="444.00015854014612"/>
    <n v="296.00010569343073"/>
  </r>
  <r>
    <s v="23/05/2026"/>
    <s v="E"/>
    <s v="[1062] RAMGADH"/>
    <s v="[8401] DURGAWATI"/>
    <x v="67"/>
    <x v="67"/>
    <x v="67"/>
    <s v="B"/>
    <n v="5"/>
    <n v="6"/>
    <n v="9"/>
    <n v="0.3"/>
    <n v="0.45"/>
    <n v="50.1"/>
    <n v="250.5"/>
    <n v="417.5"/>
    <n v="278.33333333333331"/>
    <n v="4.38375"/>
    <n v="18.75"/>
    <n v="273.63375000000002"/>
    <n v="54.726750000000003"/>
    <n v="456.05625000000003"/>
    <n v="304.03750000000002"/>
  </r>
  <r>
    <s v="23/05/2026"/>
    <s v="E"/>
    <s v="[1062] RAMGADH"/>
    <s v="[8401] DURGAWATI"/>
    <x v="67"/>
    <x v="67"/>
    <x v="67"/>
    <s v="C"/>
    <n v="35"/>
    <n v="3.7"/>
    <n v="8"/>
    <n v="1.2949999999999999"/>
    <n v="2.8"/>
    <n v="35.773056000000004"/>
    <n v="1252.0569600000001"/>
    <n v="396.01169003690035"/>
    <n v="264.00779335793356"/>
    <n v="21.910996800000003"/>
    <n v="131.25"/>
    <n v="1405.2179568000001"/>
    <n v="40.149084480000006"/>
    <n v="444.45480974169743"/>
    <n v="296.30320649446497"/>
  </r>
  <r>
    <s v="24/05/2026"/>
    <s v="M"/>
    <s v="[1062] RAMGADH"/>
    <s v="[8401] DURGAWATI"/>
    <x v="67"/>
    <x v="67"/>
    <x v="67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24/05/2026"/>
    <s v="M"/>
    <s v="[1062] RAMGADH"/>
    <s v="[8401] DURGAWATI"/>
    <x v="67"/>
    <x v="67"/>
    <x v="67"/>
    <s v="C"/>
    <n v="38"/>
    <n v="3.9"/>
    <n v="8"/>
    <n v="1.482"/>
    <n v="3.04"/>
    <n v="36.565056000000006"/>
    <n v="1389.4721280000001"/>
    <n v="396.01143682310476"/>
    <n v="264.00762454873649"/>
    <n v="24.315762240000005"/>
    <n v="142.5"/>
    <n v="1556.28789024"/>
    <n v="40.954944480000002"/>
    <n v="443.55535537906138"/>
    <n v="295.70357025270761"/>
  </r>
  <r>
    <s v="24/05/2026"/>
    <s v="E"/>
    <s v="[1062] RAMGADH"/>
    <s v="[8401] DURGAWATI"/>
    <x v="67"/>
    <x v="67"/>
    <x v="67"/>
    <s v="B"/>
    <n v="4"/>
    <n v="5.9"/>
    <n v="8.8000000000000007"/>
    <n v="0.23600000000000002"/>
    <n v="0.35200000000000004"/>
    <n v="48.772350000000003"/>
    <n v="195.08940000000001"/>
    <n v="414.49589235127479"/>
    <n v="276.33059490084986"/>
    <n v="3.4140645000000007"/>
    <n v="15"/>
    <n v="213.50346450000001"/>
    <n v="53.375866125000002"/>
    <n v="453.61925885269125"/>
    <n v="302.41283923512748"/>
  </r>
  <r>
    <s v="24/05/2026"/>
    <s v="E"/>
    <s v="[1062] RAMGADH"/>
    <s v="[8401] DURGAWATI"/>
    <x v="67"/>
    <x v="67"/>
    <x v="67"/>
    <s v="C"/>
    <n v="33"/>
    <n v="3.3"/>
    <n v="8"/>
    <n v="1.089"/>
    <n v="2.64"/>
    <n v="34.189056000000008"/>
    <n v="1128.2388480000002"/>
    <n v="396.01223166023169"/>
    <n v="264.00815444015444"/>
    <n v="19.744179840000005"/>
    <n v="123.75"/>
    <n v="1271.7330278400002"/>
    <n v="38.537364480000008"/>
    <n v="446.37873915057918"/>
    <n v="297.5858261003861"/>
  </r>
  <r>
    <s v="25/05/2026"/>
    <s v="M"/>
    <s v="[1062] RAMGADH"/>
    <s v="[8401] DURGAWATI"/>
    <x v="67"/>
    <x v="67"/>
    <x v="67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25/05/2026"/>
    <s v="M"/>
    <s v="[1062] RAMGADH"/>
    <s v="[8401] DURGAWATI"/>
    <x v="67"/>
    <x v="67"/>
    <x v="67"/>
    <s v="C"/>
    <n v="41"/>
    <n v="3.8"/>
    <n v="8"/>
    <n v="1.5579999999999998"/>
    <n v="3.28"/>
    <n v="36.169056000000005"/>
    <n v="1482.9312960000002"/>
    <n v="396.01156204379566"/>
    <n v="264.00770802919709"/>
    <n v="25.951297680000007"/>
    <n v="153.75"/>
    <n v="1662.6325936800001"/>
    <n v="40.552014480000004"/>
    <n v="444.000158540146"/>
    <n v="296.00010569343067"/>
  </r>
  <r>
    <s v="25/05/2026"/>
    <s v="E"/>
    <s v="[1062] RAMGADH"/>
    <s v="[8401] DURGAWATI"/>
    <x v="67"/>
    <x v="67"/>
    <x v="67"/>
    <s v="B"/>
    <n v="5"/>
    <n v="6.6"/>
    <n v="9"/>
    <n v="0.33"/>
    <n v="0.45"/>
    <n v="55.11"/>
    <n v="275.55"/>
    <n v="437.38095238095235"/>
    <n v="291.58730158730157"/>
    <n v="4.8221250000000007"/>
    <n v="18.75"/>
    <n v="299.12212499999998"/>
    <n v="59.824424999999998"/>
    <n v="474.79702380952381"/>
    <n v="316.5313492063492"/>
  </r>
  <r>
    <s v="25/05/2026"/>
    <s v="E"/>
    <s v="[1062] RAMGADH"/>
    <s v="[8401] DURGAWATI"/>
    <x v="67"/>
    <x v="67"/>
    <x v="67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s v="26/05/2026"/>
    <s v="M"/>
    <s v="[1062] RAMGADH"/>
    <s v="[8401] DURGAWATI"/>
    <x v="67"/>
    <x v="67"/>
    <x v="67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26/05/2026"/>
    <s v="M"/>
    <s v="[1062] RAMGADH"/>
    <s v="[8401] DURGAWATI"/>
    <x v="67"/>
    <x v="67"/>
    <x v="67"/>
    <s v="C"/>
    <n v="39"/>
    <n v="4"/>
    <n v="8.4"/>
    <n v="1.56"/>
    <n v="3.2760000000000002"/>
    <n v="40.033167600000006"/>
    <n v="1561.2935364000002"/>
    <n v="417.01216250000004"/>
    <n v="278.00810833333338"/>
    <n v="27.322636887000005"/>
    <n v="146.25"/>
    <n v="1734.8661732870003"/>
    <n v="44.483748033000005"/>
    <n v="463.37237534375004"/>
    <n v="308.91491689583336"/>
  </r>
  <r>
    <s v="26/05/2026"/>
    <s v="E"/>
    <s v="[1062] RAMGADH"/>
    <s v="[8401] DURGAWATI"/>
    <x v="67"/>
    <x v="67"/>
    <x v="67"/>
    <s v="B"/>
    <n v="4"/>
    <n v="7"/>
    <n v="9"/>
    <n v="0.28000000000000003"/>
    <n v="0.36"/>
    <n v="58.45"/>
    <n v="233.8"/>
    <n v="449.61538461538464"/>
    <n v="299.74358974358978"/>
    <n v="4.0915000000000008"/>
    <n v="15"/>
    <n v="252.89150000000001"/>
    <n v="63.222875000000002"/>
    <n v="486.32980769230767"/>
    <n v="324.21987179487178"/>
  </r>
  <r>
    <s v="26/05/2026"/>
    <s v="E"/>
    <s v="[1062] RAMGADH"/>
    <s v="[8401] DURGAWATI"/>
    <x v="67"/>
    <x v="67"/>
    <x v="67"/>
    <s v="C"/>
    <n v="34"/>
    <n v="3.9"/>
    <n v="8.5"/>
    <n v="1.3259999999999998"/>
    <n v="2.89"/>
    <n v="39.894181500000002"/>
    <n v="1356.4021710000002"/>
    <n v="417.01235017421601"/>
    <n v="278.00823344947736"/>
    <n v="23.737037992500007"/>
    <n v="127.5"/>
    <n v="1507.6392089925002"/>
    <n v="44.34232967625001"/>
    <n v="463.50867257404184"/>
    <n v="309.00578171602791"/>
  </r>
  <r>
    <s v="27/05/2026"/>
    <s v="M"/>
    <s v="[1062] RAMGADH"/>
    <s v="[8401] DURGAWATI"/>
    <x v="67"/>
    <x v="67"/>
    <x v="67"/>
    <s v="B"/>
    <n v="6"/>
    <n v="6.5"/>
    <n v="9"/>
    <n v="0.39"/>
    <n v="0.54"/>
    <n v="54.274999999999999"/>
    <n v="325.64999999999998"/>
    <n v="434.2"/>
    <n v="289.46666666666664"/>
    <n v="5.6988750000000001"/>
    <n v="22.5"/>
    <n v="353.84887499999996"/>
    <n v="58.974812499999992"/>
    <n v="471.79849999999993"/>
    <n v="314.53233333333327"/>
  </r>
  <r>
    <s v="27/05/2026"/>
    <s v="M"/>
    <s v="[1062] RAMGADH"/>
    <s v="[8401] DURGAWATI"/>
    <x v="67"/>
    <x v="67"/>
    <x v="67"/>
    <s v="C"/>
    <n v="35"/>
    <n v="3.7"/>
    <n v="8.1999999999999993"/>
    <n v="1.2949999999999999"/>
    <n v="2.87"/>
    <n v="38.226139799999999"/>
    <n v="1337.9148929999999"/>
    <n v="417.01243418181815"/>
    <n v="278.00828945454543"/>
    <n v="23.413510627499999"/>
    <n v="131.25"/>
    <n v="1492.5784036274999"/>
    <n v="42.645097246500001"/>
    <n v="465.21924268909089"/>
    <n v="310.14616179272724"/>
  </r>
  <r>
    <s v="27/05/2026"/>
    <s v="E"/>
    <s v="[1062] RAMGADH"/>
    <s v="[8401] DURGAWATI"/>
    <x v="67"/>
    <x v="67"/>
    <x v="67"/>
    <s v="B"/>
    <n v="5"/>
    <n v="5.6"/>
    <n v="8.8000000000000007"/>
    <n v="0.28000000000000003"/>
    <n v="0.44"/>
    <n v="46.292400000000001"/>
    <n v="231.46199999999999"/>
    <n v="403.71279069767445"/>
    <n v="269.14186046511628"/>
    <n v="4.0505849999999999"/>
    <n v="18.75"/>
    <n v="254.262585"/>
    <n v="50.852516999999999"/>
    <n v="443.48125290697675"/>
    <n v="295.65416860465115"/>
  </r>
  <r>
    <s v="27/05/2026"/>
    <s v="E"/>
    <s v="[1062] RAMGADH"/>
    <s v="[8401] DURGAWATI"/>
    <x v="67"/>
    <x v="67"/>
    <x v="67"/>
    <s v="C"/>
    <n v="22"/>
    <n v="3.5"/>
    <n v="8.5"/>
    <n v="0.77"/>
    <n v="1.87"/>
    <n v="38.226181500000003"/>
    <n v="840.97599300000002"/>
    <n v="417.01288909090908"/>
    <n v="278.00859272727274"/>
    <n v="14.717079877500002"/>
    <n v="82.5"/>
    <n v="938.19307287750007"/>
    <n v="42.645139676250004"/>
    <n v="465.21970555909093"/>
    <n v="310.14647037272726"/>
  </r>
  <r>
    <s v="28/05/2026"/>
    <s v="M"/>
    <s v="[1062] RAMGADH"/>
    <s v="[8401] DURGAWATI"/>
    <x v="67"/>
    <x v="67"/>
    <x v="67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28/05/2026"/>
    <s v="M"/>
    <s v="[1062] RAMGADH"/>
    <s v="[8401] DURGAWATI"/>
    <x v="67"/>
    <x v="67"/>
    <x v="67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28/05/2026"/>
    <s v="E"/>
    <s v="[1062] RAMGADH"/>
    <s v="[8401] DURGAWATI"/>
    <x v="67"/>
    <x v="67"/>
    <x v="67"/>
    <s v="B"/>
    <n v="4"/>
    <n v="5.8"/>
    <n v="8.8000000000000007"/>
    <n v="0.23199999999999998"/>
    <n v="0.35200000000000004"/>
    <n v="47.945700000000002"/>
    <n v="191.78280000000001"/>
    <n v="410.96314285714288"/>
    <n v="273.97542857142861"/>
    <n v="3.3561990000000006"/>
    <n v="15"/>
    <n v="210.13899900000001"/>
    <n v="52.534749750000003"/>
    <n v="450.29785500000003"/>
    <n v="300.19857000000002"/>
  </r>
  <r>
    <s v="28/05/2026"/>
    <s v="E"/>
    <s v="[1062] RAMGADH"/>
    <s v="[8401] DURGAWATI"/>
    <x v="67"/>
    <x v="67"/>
    <x v="67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22/05/2026"/>
    <s v="E"/>
    <s v="[1062] RAMGADH"/>
    <s v="[8402] RAMPUR"/>
    <x v="68"/>
    <x v="68"/>
    <x v="68"/>
    <s v="C"/>
    <n v="54"/>
    <n v="4.5999999999999996"/>
    <n v="8.3000000000000007"/>
    <n v="2.484"/>
    <n v="4.4820000000000002"/>
    <n v="40.129095600000007"/>
    <n v="2166.9711624000001"/>
    <n v="396.01081184210534"/>
    <n v="264.00720789473689"/>
    <n v="37.92199534200001"/>
    <n v="202.5"/>
    <n v="2407.3931577420003"/>
    <n v="44.581354773000008"/>
    <n v="439.9475799967106"/>
    <n v="293.29838666447375"/>
  </r>
  <r>
    <s v="27/05/2026"/>
    <s v="E"/>
    <s v="[1062] RAMGADH"/>
    <s v="[8402] RAMPUR"/>
    <x v="68"/>
    <x v="68"/>
    <x v="68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22/05/2026"/>
    <s v="M"/>
    <s v="[1062] RAMGADH"/>
    <s v="[8401] DURGAWATI"/>
    <x v="69"/>
    <x v="69"/>
    <x v="69"/>
    <s v="B"/>
    <n v="36"/>
    <n v="5.9"/>
    <n v="8.8000000000000007"/>
    <n v="2.1240000000000001"/>
    <n v="3.1680000000000001"/>
    <n v="48.772350000000003"/>
    <n v="1755.8046000000002"/>
    <n v="414.49589235127479"/>
    <n v="276.33059490084986"/>
    <n v="30.726580500000004"/>
    <n v="135"/>
    <n v="1921.5311805000001"/>
    <n v="53.375866125000002"/>
    <n v="453.61925885269125"/>
    <n v="302.41283923512748"/>
  </r>
  <r>
    <s v="22/05/2026"/>
    <s v="M"/>
    <s v="[1062] RAMGADH"/>
    <s v="[8401] DURGAWATI"/>
    <x v="69"/>
    <x v="69"/>
    <x v="69"/>
    <s v="C"/>
    <n v="56"/>
    <n v="3.2"/>
    <n v="8.1"/>
    <n v="1.7920000000000003"/>
    <n v="4.5359999999999996"/>
    <n v="34.057069200000001"/>
    <n v="1907.1958752"/>
    <n v="396.01243255813955"/>
    <n v="264.00828837209303"/>
    <n v="33.375927816000001"/>
    <n v="210"/>
    <n v="2150.5718030160001"/>
    <n v="38.403067911000001"/>
    <n v="446.5473012906977"/>
    <n v="297.69820086046514"/>
  </r>
  <r>
    <s v="24/05/2026"/>
    <s v="M"/>
    <s v="[1062] RAMGADH"/>
    <s v="[8401] DURGAWATI"/>
    <x v="69"/>
    <x v="69"/>
    <x v="69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24/05/2026"/>
    <s v="M"/>
    <s v="[1062] RAMGADH"/>
    <s v="[8401] DURGAWATI"/>
    <x v="69"/>
    <x v="69"/>
    <x v="69"/>
    <s v="C"/>
    <n v="50"/>
    <n v="3.1"/>
    <n v="8"/>
    <n v="1.55"/>
    <n v="4"/>
    <n v="33.397056000000006"/>
    <n v="1669.8528000000003"/>
    <n v="396.01252173913048"/>
    <n v="264.008347826087"/>
    <n v="29.222424000000007"/>
    <n v="187.5"/>
    <n v="1886.5752240000004"/>
    <n v="37.731504480000005"/>
    <n v="447.40914403162054"/>
    <n v="298.27276268774705"/>
  </r>
  <r>
    <s v="24/05/2026"/>
    <s v="E"/>
    <s v="[1062] RAMGADH"/>
    <s v="[8401] DURGAWATI"/>
    <x v="69"/>
    <x v="69"/>
    <x v="69"/>
    <s v="C"/>
    <n v="42"/>
    <n v="4"/>
    <n v="8"/>
    <n v="1.68"/>
    <n v="3.36"/>
    <n v="36.961055999999999"/>
    <n v="1552.3643520000001"/>
    <n v="396.01131428571426"/>
    <n v="264.00754285714282"/>
    <n v="27.166376160000002"/>
    <n v="157.5"/>
    <n v="1737.0307281600001"/>
    <n v="41.35787448"/>
    <n v="443.12008371428567"/>
    <n v="295.41338914285711"/>
  </r>
  <r>
    <s v="25/05/2026"/>
    <s v="M"/>
    <s v="[1062] RAMGADH"/>
    <s v="[8401] DURGAWATI"/>
    <x v="69"/>
    <x v="69"/>
    <x v="69"/>
    <s v="B"/>
    <n v="38"/>
    <n v="5.9"/>
    <n v="8.8000000000000007"/>
    <n v="2.242"/>
    <n v="3.3440000000000003"/>
    <n v="48.772350000000003"/>
    <n v="1853.3493000000001"/>
    <n v="414.49589235127479"/>
    <n v="276.33059490084986"/>
    <n v="32.433612750000002"/>
    <n v="142.5"/>
    <n v="2028.2829127500002"/>
    <n v="53.375866125000002"/>
    <n v="453.61925885269125"/>
    <n v="302.41283923512748"/>
  </r>
  <r>
    <s v="25/05/2026"/>
    <s v="M"/>
    <s v="[1062] RAMGADH"/>
    <s v="[8401] DURGAWATI"/>
    <x v="69"/>
    <x v="69"/>
    <x v="69"/>
    <s v="C"/>
    <n v="56"/>
    <n v="3.3"/>
    <n v="8"/>
    <n v="1.8479999999999999"/>
    <n v="4.4800000000000004"/>
    <n v="34.189056000000008"/>
    <n v="1914.5871360000006"/>
    <n v="396.01223166023169"/>
    <n v="264.00815444015444"/>
    <n v="33.505274880000016"/>
    <n v="210"/>
    <n v="2158.0924108800004"/>
    <n v="38.537364480000008"/>
    <n v="446.37873915057918"/>
    <n v="297.5858261003861"/>
  </r>
  <r>
    <s v="26/05/2026"/>
    <s v="M"/>
    <s v="[1062] RAMGADH"/>
    <s v="[8401] DURGAWATI"/>
    <x v="69"/>
    <x v="69"/>
    <x v="69"/>
    <s v="B"/>
    <n v="39"/>
    <n v="6.1"/>
    <n v="8.8000000000000007"/>
    <n v="2.3789999999999996"/>
    <n v="3.4320000000000004"/>
    <n v="50.425650000000005"/>
    <n v="1966.6003500000002"/>
    <n v="421.38426183844012"/>
    <n v="280.92284122562677"/>
    <n v="34.415506125000007"/>
    <n v="146.25"/>
    <n v="2147.265856125"/>
    <n v="55.058098874999999"/>
    <n v="460.09553377437322"/>
    <n v="306.73035584958217"/>
  </r>
  <r>
    <s v="26/05/2026"/>
    <s v="M"/>
    <s v="[1062] RAMGADH"/>
    <s v="[8401] DURGAWATI"/>
    <x v="69"/>
    <x v="69"/>
    <x v="69"/>
    <s v="C"/>
    <n v="56"/>
    <n v="3.2"/>
    <n v="8.1999999999999993"/>
    <n v="1.7920000000000003"/>
    <n v="4.5919999999999996"/>
    <n v="36.141139799999998"/>
    <n v="2023.9038287999999"/>
    <n v="417.0131515384615"/>
    <n v="278.00876769230769"/>
    <n v="35.418317004000002"/>
    <n v="210"/>
    <n v="2269.3221458039998"/>
    <n v="40.523609746499993"/>
    <n v="467.58011245961529"/>
    <n v="311.720074973076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2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43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I3:AM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40">
      <pivotArea field="1" type="button" dataOnly="0" labelOnly="1" outline="0" axis="axisRow" fieldPosition="1"/>
    </format>
    <format dxfId="39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5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4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2">
      <pivotArea outline="0" collapsedLevelsAreSubtotals="1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578FE-A401-43F8-A813-E1F19BDD30F5}" name="PivotTable1" cacheId="44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B3:AF8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2"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0"/>
        <item x="1"/>
        <item x="5"/>
        <item x="8"/>
        <item x="32"/>
        <item x="2"/>
        <item x="3"/>
        <item x="7"/>
        <item x="10"/>
        <item x="11"/>
        <item x="4"/>
        <item x="12"/>
        <item x="13"/>
        <item x="35"/>
        <item x="68"/>
        <item x="69"/>
        <item x="14"/>
        <item m="1" x="70"/>
        <item x="23"/>
        <item x="51"/>
        <item x="6"/>
        <item x="9"/>
        <item t="default"/>
      </items>
    </pivotField>
    <pivotField axis="axisRow" compact="0" outline="0" showAll="0" defaultSubtotal="0">
      <items count="71"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0"/>
        <item x="1"/>
        <item x="5"/>
        <item x="8"/>
        <item x="32"/>
        <item x="2"/>
        <item x="3"/>
        <item x="7"/>
        <item x="10"/>
        <item x="11"/>
        <item x="4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12"/>
        <item x="13"/>
        <item x="35"/>
        <item x="68"/>
        <item x="69"/>
        <item x="14"/>
        <item m="1" x="70"/>
        <item x="23"/>
        <item x="51"/>
        <item x="6"/>
        <item x="9"/>
      </items>
    </pivotField>
    <pivotField axis="axisRow" compact="0" outline="0" showAll="0" sortType="ascending" defaultSubtotal="0">
      <items count="71">
        <item h="1" x="67"/>
        <item h="1" x="69"/>
        <item h="1" x="33"/>
        <item h="1" x="63"/>
        <item h="1" x="35"/>
        <item h="1" x="57"/>
        <item h="1" x="41"/>
        <item h="1" x="44"/>
        <item h="1" x="29"/>
        <item h="1" x="48"/>
        <item h="1" x="43"/>
        <item h="1" x="56"/>
        <item h="1" x="62"/>
        <item h="1" x="54"/>
        <item h="1" x="21"/>
        <item h="1" x="22"/>
        <item h="1" x="24"/>
        <item h="1" x="45"/>
        <item h="1" x="23"/>
        <item h="1" x="53"/>
        <item h="1" x="40"/>
        <item h="1" x="55"/>
        <item h="1" x="68"/>
        <item h="1" x="36"/>
        <item h="1" x="34"/>
        <item h="1" x="47"/>
        <item h="1" x="58"/>
        <item h="1" x="37"/>
        <item h="1" x="39"/>
        <item h="1" x="59"/>
        <item h="1" x="42"/>
        <item h="1" x="16"/>
        <item x="52"/>
        <item h="1" x="25"/>
        <item h="1" x="64"/>
        <item h="1" x="60"/>
        <item h="1" x="31"/>
        <item h="1" x="38"/>
        <item h="1" x="50"/>
        <item h="1" x="17"/>
        <item h="1" x="20"/>
        <item h="1" x="66"/>
        <item h="1" x="46"/>
        <item h="1" x="27"/>
        <item h="1" x="18"/>
        <item h="1" x="49"/>
        <item h="1" x="61"/>
        <item h="1" x="26"/>
        <item h="1" x="65"/>
        <item h="1" x="15"/>
        <item h="1" x="51"/>
        <item h="1" x="19"/>
        <item h="1" x="28"/>
        <item h="1" m="1" x="70"/>
        <item h="1" x="32"/>
        <item h="1" x="30"/>
        <item h="1" x="0"/>
        <item h="1" x="1"/>
        <item h="1" x="2"/>
        <item h="1" x="3"/>
        <item h="1" x="4"/>
        <item x="5"/>
        <item h="1" x="6"/>
        <item h="1" x="7"/>
        <item h="1" x="8"/>
        <item x="9"/>
        <item h="1" x="10"/>
        <item h="1" x="11"/>
        <item h="1" x="12"/>
        <item h="1" x="13"/>
        <item h="1" x="14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4">
    <i>
      <x v="32"/>
      <x v="33"/>
      <x v="33"/>
    </i>
    <i>
      <x v="61"/>
      <x v="36"/>
      <x v="51"/>
    </i>
    <i>
      <x v="65"/>
      <x v="70"/>
      <x v="7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44">
      <pivotArea collapsedLevelsAreSubtotals="1" fieldPosition="0">
        <references count="2">
          <reference field="4294967294" count="1" selected="0">
            <x v="1"/>
          </reference>
          <reference field="6" count="38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2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1"/>
          </reference>
          <reference field="6" count="48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1"/>
            <x v="52"/>
          </reference>
        </references>
      </pivotArea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L94"/>
  <sheetViews>
    <sheetView tabSelected="1" zoomScale="80" zoomScaleNormal="80" workbookViewId="0">
      <pane xSplit="3" ySplit="2" topLeftCell="D41" activePane="bottomRight" state="frozen"/>
      <selection activeCell="D2" sqref="D2"/>
      <selection pane="topRight" activeCell="D2" sqref="D2"/>
      <selection pane="bottomLeft" activeCell="D2" sqref="D2"/>
      <selection pane="bottomRight" activeCell="R54" sqref="R54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8" x14ac:dyDescent="0.25">
      <c r="S1" s="6"/>
      <c r="T1" s="6"/>
      <c r="U1" s="6"/>
    </row>
    <row r="2" spans="1:38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485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481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706</v>
      </c>
      <c r="AE2" s="227" t="s">
        <v>750</v>
      </c>
      <c r="AF2" s="226" t="s">
        <v>749</v>
      </c>
      <c r="AG2" s="226" t="s">
        <v>748</v>
      </c>
      <c r="AI2" s="43" t="s">
        <v>295</v>
      </c>
      <c r="AJ2" s="43" t="s">
        <v>296</v>
      </c>
    </row>
    <row r="3" spans="1:38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400</v>
      </c>
      <c r="H3" s="12">
        <v>587</v>
      </c>
      <c r="I3" s="12">
        <v>22783.938593000006</v>
      </c>
      <c r="J3" s="14">
        <f>I3</f>
        <v>22783.938593000006</v>
      </c>
      <c r="K3" s="13"/>
      <c r="L3" s="13"/>
      <c r="M3" s="13">
        <v>0</v>
      </c>
      <c r="N3" s="13"/>
      <c r="O3" s="13">
        <f>J3-SUM(K3:N3)</f>
        <v>22783.938593000006</v>
      </c>
      <c r="P3" s="13">
        <f>IF(R3="Yes",O3,0)</f>
        <v>0</v>
      </c>
      <c r="Q3" s="15">
        <f>O3-P3</f>
        <v>22783.938593000006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Payment_22-28 May-diff.xlsx</v>
      </c>
      <c r="U3" s="19"/>
      <c r="V3" s="36">
        <f>I3*1.75%</f>
        <v>398.71892537750017</v>
      </c>
      <c r="W3" s="20">
        <f>I3*0.25%</f>
        <v>56.959846482500019</v>
      </c>
      <c r="X3" s="59">
        <f>V3-W3</f>
        <v>341.75907889500013</v>
      </c>
      <c r="Y3" s="21">
        <v>0</v>
      </c>
      <c r="Z3" s="48">
        <f>X3-Y3</f>
        <v>341.75907889500013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22382.97</v>
      </c>
      <c r="AG3" s="5">
        <f>Q3-AF3</f>
        <v>400.96859300000506</v>
      </c>
      <c r="AI3" s="12">
        <v>587</v>
      </c>
      <c r="AJ3" s="12">
        <v>22382.140422800003</v>
      </c>
      <c r="AK3" s="30">
        <f>AI3-H3</f>
        <v>0</v>
      </c>
      <c r="AL3" s="30">
        <f t="shared" ref="AL3" si="0">AJ3-I3</f>
        <v>-401.79817020000337</v>
      </c>
    </row>
    <row r="4" spans="1:38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400</v>
      </c>
      <c r="H4" s="12">
        <v>407</v>
      </c>
      <c r="I4" s="12">
        <v>16386.236442000001</v>
      </c>
      <c r="J4" s="14">
        <f t="shared" ref="J4:J71" si="1">I4</f>
        <v>16386.236442000001</v>
      </c>
      <c r="K4" s="13"/>
      <c r="L4" s="13"/>
      <c r="M4" s="13">
        <v>0</v>
      </c>
      <c r="N4" s="13"/>
      <c r="O4" s="13">
        <f t="shared" ref="O4:O71" si="2">J4-SUM(K4:N4)</f>
        <v>16386.236442000001</v>
      </c>
      <c r="P4" s="13">
        <f t="shared" ref="P4:P71" si="3">IF(R4="Yes",O4,0)</f>
        <v>0</v>
      </c>
      <c r="Q4" s="15">
        <f t="shared" ref="Q4:Q71" si="4">O4-P4</f>
        <v>16386.236442000001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Payment_22-28 May-diff.xlsx</v>
      </c>
      <c r="U4" s="19"/>
      <c r="V4" s="36">
        <f t="shared" ref="V4:V71" si="5">I4*1.75%</f>
        <v>286.75913773500002</v>
      </c>
      <c r="W4" s="20">
        <f t="shared" ref="W4:W71" si="6">I4*0.25%</f>
        <v>40.965591105000001</v>
      </c>
      <c r="X4" s="59">
        <f t="shared" ref="X4:X71" si="7">V4-W4</f>
        <v>245.79354663000004</v>
      </c>
      <c r="Y4" s="21">
        <v>0</v>
      </c>
      <c r="Z4" s="48">
        <f t="shared" ref="Z4:Z71" si="8">X4-Y4</f>
        <v>245.79354663000004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16284.49</v>
      </c>
      <c r="AG4" s="5">
        <f t="shared" ref="AG4:AG71" si="9">Q4-AF4</f>
        <v>101.74644200000148</v>
      </c>
      <c r="AI4" s="12">
        <v>407</v>
      </c>
      <c r="AJ4" s="12">
        <v>16284.313227600001</v>
      </c>
      <c r="AK4" s="30">
        <f t="shared" ref="AK4:AK67" si="10">AI4-H4</f>
        <v>0</v>
      </c>
      <c r="AL4" s="30">
        <f t="shared" ref="AL4:AL67" si="11">AJ4-I4</f>
        <v>-101.92321439999978</v>
      </c>
    </row>
    <row r="5" spans="1:38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400</v>
      </c>
      <c r="H5" s="24">
        <v>656</v>
      </c>
      <c r="I5" s="24">
        <v>38144.525797000002</v>
      </c>
      <c r="J5" s="14">
        <f t="shared" si="1"/>
        <v>38144.525797000002</v>
      </c>
      <c r="K5" s="13"/>
      <c r="L5" s="13"/>
      <c r="M5" s="13">
        <v>0</v>
      </c>
      <c r="N5" s="13"/>
      <c r="O5" s="13">
        <f t="shared" si="2"/>
        <v>38144.525797000002</v>
      </c>
      <c r="P5" s="13">
        <f t="shared" si="3"/>
        <v>0</v>
      </c>
      <c r="Q5" s="15">
        <f t="shared" si="4"/>
        <v>38144.525797000002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Payment_22-28 May-diff.xlsx</v>
      </c>
      <c r="U5" s="19"/>
      <c r="V5" s="36">
        <f t="shared" si="5"/>
        <v>667.5292014475001</v>
      </c>
      <c r="W5" s="20">
        <f t="shared" si="6"/>
        <v>95.3613144925</v>
      </c>
      <c r="X5" s="59">
        <f t="shared" si="7"/>
        <v>572.16788695500009</v>
      </c>
      <c r="Y5" s="21">
        <v>0</v>
      </c>
      <c r="Z5" s="48">
        <f t="shared" si="8"/>
        <v>572.16788695500009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37918.21</v>
      </c>
      <c r="AG5" s="5">
        <f t="shared" si="9"/>
        <v>226.31579700000293</v>
      </c>
      <c r="AI5" s="24">
        <v>656</v>
      </c>
      <c r="AJ5" s="24">
        <v>37917.537397600012</v>
      </c>
      <c r="AK5" s="30">
        <f t="shared" si="10"/>
        <v>0</v>
      </c>
      <c r="AL5" s="30">
        <f t="shared" si="11"/>
        <v>-226.98839939999016</v>
      </c>
    </row>
    <row r="6" spans="1:38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400</v>
      </c>
      <c r="H6" s="24">
        <v>815</v>
      </c>
      <c r="I6" s="24">
        <v>39288.109370000006</v>
      </c>
      <c r="J6" s="14">
        <f t="shared" si="1"/>
        <v>39288.109370000006</v>
      </c>
      <c r="K6" s="13"/>
      <c r="L6" s="13"/>
      <c r="M6" s="13">
        <v>0</v>
      </c>
      <c r="N6" s="13"/>
      <c r="O6" s="13">
        <f t="shared" si="2"/>
        <v>39288.109370000006</v>
      </c>
      <c r="P6" s="13">
        <f t="shared" si="3"/>
        <v>0</v>
      </c>
      <c r="Q6" s="15">
        <f t="shared" si="4"/>
        <v>39288.109370000006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Payment_22-28 May-diff.xlsx</v>
      </c>
      <c r="U6" s="19"/>
      <c r="V6" s="36">
        <f t="shared" si="5"/>
        <v>687.54191397500017</v>
      </c>
      <c r="W6" s="20">
        <f t="shared" si="6"/>
        <v>98.220273425000016</v>
      </c>
      <c r="X6" s="59">
        <f t="shared" si="7"/>
        <v>589.32164055000021</v>
      </c>
      <c r="Y6" s="21">
        <v>0</v>
      </c>
      <c r="Z6" s="48">
        <f t="shared" si="8"/>
        <v>589.32164055000021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39006.01</v>
      </c>
      <c r="AG6" s="5">
        <f t="shared" si="9"/>
        <v>282.09937000000355</v>
      </c>
      <c r="AI6" s="24">
        <v>815</v>
      </c>
      <c r="AJ6" s="24">
        <v>39005.273045600006</v>
      </c>
      <c r="AK6" s="30">
        <f t="shared" si="10"/>
        <v>0</v>
      </c>
      <c r="AL6" s="30">
        <f t="shared" si="11"/>
        <v>-282.83632439999928</v>
      </c>
    </row>
    <row r="7" spans="1:38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400</v>
      </c>
      <c r="H7" s="24">
        <v>523</v>
      </c>
      <c r="I7" s="24">
        <v>28162.814910000001</v>
      </c>
      <c r="J7" s="14">
        <f t="shared" si="1"/>
        <v>28162.814910000001</v>
      </c>
      <c r="K7" s="13"/>
      <c r="L7" s="13"/>
      <c r="M7" s="13">
        <v>0</v>
      </c>
      <c r="N7" s="13"/>
      <c r="O7" s="13">
        <f t="shared" si="2"/>
        <v>28162.814910000001</v>
      </c>
      <c r="P7" s="13">
        <f t="shared" si="3"/>
        <v>0</v>
      </c>
      <c r="Q7" s="15">
        <f t="shared" si="4"/>
        <v>28162.814910000001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Payment_22-28 May-diff.xlsx</v>
      </c>
      <c r="U7" s="19"/>
      <c r="V7" s="36">
        <f t="shared" si="5"/>
        <v>492.84926092500007</v>
      </c>
      <c r="W7" s="20">
        <f t="shared" si="6"/>
        <v>70.407037275000008</v>
      </c>
      <c r="X7" s="59">
        <f t="shared" si="7"/>
        <v>422.44222365000007</v>
      </c>
      <c r="Y7" s="21">
        <v>0</v>
      </c>
      <c r="Z7" s="48">
        <f t="shared" si="8"/>
        <v>422.44222365000007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27976.38</v>
      </c>
      <c r="AG7" s="5">
        <f t="shared" si="9"/>
        <v>186.43490999999995</v>
      </c>
      <c r="AI7" s="24">
        <v>523</v>
      </c>
      <c r="AJ7" s="24">
        <v>27975.377536800002</v>
      </c>
      <c r="AK7" s="30">
        <f t="shared" si="10"/>
        <v>0</v>
      </c>
      <c r="AL7" s="30">
        <f t="shared" si="11"/>
        <v>-187.43737319999855</v>
      </c>
    </row>
    <row r="8" spans="1:38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400</v>
      </c>
      <c r="H8" s="24">
        <v>472</v>
      </c>
      <c r="I8" s="24">
        <v>27552.2064732</v>
      </c>
      <c r="J8" s="14">
        <f t="shared" si="1"/>
        <v>27552.2064732</v>
      </c>
      <c r="K8" s="13"/>
      <c r="L8" s="13"/>
      <c r="M8" s="13">
        <v>0</v>
      </c>
      <c r="N8" s="13"/>
      <c r="O8" s="13">
        <f t="shared" si="2"/>
        <v>27552.2064732</v>
      </c>
      <c r="P8" s="13">
        <f t="shared" si="3"/>
        <v>0</v>
      </c>
      <c r="Q8" s="15">
        <f t="shared" si="4"/>
        <v>27552.2064732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Payment_22-28 May-diff.xlsx</v>
      </c>
      <c r="U8" s="19"/>
      <c r="V8" s="36">
        <f t="shared" si="5"/>
        <v>482.16361328100004</v>
      </c>
      <c r="W8" s="20">
        <f t="shared" si="6"/>
        <v>68.880516182999997</v>
      </c>
      <c r="X8" s="59">
        <f t="shared" si="7"/>
        <v>413.28309709800004</v>
      </c>
      <c r="Y8" s="21">
        <v>0</v>
      </c>
      <c r="Z8" s="48">
        <f t="shared" si="8"/>
        <v>413.28309709800004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v>27487.54</v>
      </c>
      <c r="AG8" s="5">
        <f t="shared" si="9"/>
        <v>64.666473199999018</v>
      </c>
      <c r="AI8" s="24">
        <v>472</v>
      </c>
      <c r="AJ8" s="24">
        <v>27486.9924852</v>
      </c>
      <c r="AK8" s="30">
        <f t="shared" si="10"/>
        <v>0</v>
      </c>
      <c r="AL8" s="30">
        <f t="shared" si="11"/>
        <v>-65.213987999999517</v>
      </c>
    </row>
    <row r="9" spans="1:38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400</v>
      </c>
      <c r="H9" s="24">
        <v>919</v>
      </c>
      <c r="I9" s="24">
        <v>44244.896399700003</v>
      </c>
      <c r="J9" s="14">
        <f t="shared" si="1"/>
        <v>44244.896399700003</v>
      </c>
      <c r="K9" s="13"/>
      <c r="L9" s="13"/>
      <c r="M9" s="13">
        <v>0</v>
      </c>
      <c r="N9" s="13"/>
      <c r="O9" s="13">
        <f t="shared" si="2"/>
        <v>44244.896399700003</v>
      </c>
      <c r="P9" s="13">
        <f t="shared" si="3"/>
        <v>0</v>
      </c>
      <c r="Q9" s="15">
        <f t="shared" si="4"/>
        <v>44244.896399700003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Payment_22-28 May-diff.xlsx</v>
      </c>
      <c r="U9" s="19"/>
      <c r="V9" s="36">
        <f t="shared" si="5"/>
        <v>774.28568699475011</v>
      </c>
      <c r="W9" s="20">
        <f t="shared" si="6"/>
        <v>110.61224099925001</v>
      </c>
      <c r="X9" s="59">
        <f t="shared" si="7"/>
        <v>663.67344599550006</v>
      </c>
      <c r="Y9" s="21">
        <v>0</v>
      </c>
      <c r="Z9" s="48">
        <f t="shared" si="8"/>
        <v>663.67344599550006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44012.33</v>
      </c>
      <c r="AG9" s="5">
        <f t="shared" si="9"/>
        <v>232.56639970000106</v>
      </c>
      <c r="AI9" s="24">
        <v>919</v>
      </c>
      <c r="AJ9" s="24">
        <v>44011.80350400001</v>
      </c>
      <c r="AK9" s="30">
        <f t="shared" si="10"/>
        <v>0</v>
      </c>
      <c r="AL9" s="30">
        <f t="shared" si="11"/>
        <v>-233.09289569999237</v>
      </c>
    </row>
    <row r="10" spans="1:38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400</v>
      </c>
      <c r="H10" s="24">
        <v>276</v>
      </c>
      <c r="I10" s="24">
        <v>15437.8313115</v>
      </c>
      <c r="J10" s="14">
        <f t="shared" si="1"/>
        <v>15437.8313115</v>
      </c>
      <c r="K10" s="13"/>
      <c r="L10" s="13"/>
      <c r="M10" s="13">
        <v>0</v>
      </c>
      <c r="N10" s="13"/>
      <c r="O10" s="13">
        <f t="shared" si="2"/>
        <v>15437.8313115</v>
      </c>
      <c r="P10" s="13">
        <f t="shared" si="3"/>
        <v>0</v>
      </c>
      <c r="Q10" s="15">
        <f t="shared" si="4"/>
        <v>15437.8313115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Payment_22-28 May-diff.xlsx</v>
      </c>
      <c r="U10" s="19"/>
      <c r="V10" s="36">
        <f t="shared" si="5"/>
        <v>270.16204795125003</v>
      </c>
      <c r="W10" s="20">
        <f t="shared" si="6"/>
        <v>38.594578278749999</v>
      </c>
      <c r="X10" s="59">
        <f t="shared" si="7"/>
        <v>231.56746967250004</v>
      </c>
      <c r="Y10" s="21">
        <v>0</v>
      </c>
      <c r="Z10" s="48">
        <f t="shared" si="8"/>
        <v>231.56746967250004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15356.86</v>
      </c>
      <c r="AG10" s="5">
        <f t="shared" si="9"/>
        <v>80.971311499999501</v>
      </c>
      <c r="AI10" s="24">
        <v>276</v>
      </c>
      <c r="AJ10" s="24">
        <v>15357.868000800001</v>
      </c>
      <c r="AK10" s="30">
        <f t="shared" si="10"/>
        <v>0</v>
      </c>
      <c r="AL10" s="30">
        <f t="shared" si="11"/>
        <v>-79.963310699999056</v>
      </c>
    </row>
    <row r="11" spans="1:38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400</v>
      </c>
      <c r="H11" s="24">
        <v>410</v>
      </c>
      <c r="I11" s="24">
        <v>18398.607225900003</v>
      </c>
      <c r="J11" s="14">
        <f t="shared" si="1"/>
        <v>18398.607225900003</v>
      </c>
      <c r="K11" s="13"/>
      <c r="L11" s="13"/>
      <c r="M11" s="13">
        <v>0</v>
      </c>
      <c r="N11" s="13"/>
      <c r="O11" s="13">
        <f t="shared" si="2"/>
        <v>18398.607225900003</v>
      </c>
      <c r="P11" s="13">
        <f t="shared" si="3"/>
        <v>0</v>
      </c>
      <c r="Q11" s="15">
        <f t="shared" si="4"/>
        <v>18398.607225900003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Payment_22-28 May-diff.xlsx</v>
      </c>
      <c r="U11" s="19"/>
      <c r="V11" s="36">
        <f t="shared" si="5"/>
        <v>321.97562645325007</v>
      </c>
      <c r="W11" s="20">
        <f t="shared" si="6"/>
        <v>45.996518064750006</v>
      </c>
      <c r="X11" s="59">
        <f t="shared" si="7"/>
        <v>275.97910838850009</v>
      </c>
      <c r="Y11" s="21">
        <v>0</v>
      </c>
      <c r="Z11" s="48">
        <f t="shared" si="8"/>
        <v>275.97910838850009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18162.400000000001</v>
      </c>
      <c r="AG11" s="5">
        <f t="shared" si="9"/>
        <v>236.2072259000015</v>
      </c>
      <c r="AI11" s="24">
        <v>410</v>
      </c>
      <c r="AJ11" s="24">
        <v>18162.105446400004</v>
      </c>
      <c r="AK11" s="30">
        <f t="shared" si="10"/>
        <v>0</v>
      </c>
      <c r="AL11" s="30">
        <f t="shared" si="11"/>
        <v>-236.50177949999852</v>
      </c>
    </row>
    <row r="12" spans="1:38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400</v>
      </c>
      <c r="H12" s="24">
        <v>626</v>
      </c>
      <c r="I12" s="24">
        <v>27445.259337900003</v>
      </c>
      <c r="J12" s="14">
        <f t="shared" si="1"/>
        <v>27445.259337900003</v>
      </c>
      <c r="K12" s="13"/>
      <c r="L12" s="13"/>
      <c r="M12" s="13">
        <v>0</v>
      </c>
      <c r="N12" s="13"/>
      <c r="O12" s="13">
        <f t="shared" si="2"/>
        <v>27445.259337900003</v>
      </c>
      <c r="P12" s="13">
        <f t="shared" si="3"/>
        <v>0</v>
      </c>
      <c r="Q12" s="15">
        <f t="shared" si="4"/>
        <v>27445.259337900003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Payment_22-28 May-diff.xlsx</v>
      </c>
      <c r="U12" s="19"/>
      <c r="V12" s="36">
        <f t="shared" si="5"/>
        <v>480.29203841325011</v>
      </c>
      <c r="W12" s="20">
        <f t="shared" si="6"/>
        <v>68.613148344750002</v>
      </c>
      <c r="X12" s="59">
        <f t="shared" si="7"/>
        <v>411.6788900685001</v>
      </c>
      <c r="Y12" s="21">
        <v>0</v>
      </c>
      <c r="Z12" s="48">
        <f t="shared" si="8"/>
        <v>411.6788900685001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27091.78</v>
      </c>
      <c r="AG12" s="5">
        <f t="shared" si="9"/>
        <v>353.47933790000388</v>
      </c>
      <c r="AI12" s="24">
        <v>626</v>
      </c>
      <c r="AJ12" s="24">
        <v>27090.824666400003</v>
      </c>
      <c r="AK12" s="30">
        <f t="shared" si="10"/>
        <v>0</v>
      </c>
      <c r="AL12" s="30">
        <f t="shared" si="11"/>
        <v>-354.43467149999924</v>
      </c>
    </row>
    <row r="13" spans="1:38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400</v>
      </c>
      <c r="H13" s="24">
        <v>258</v>
      </c>
      <c r="I13" s="24">
        <v>13245.179925499999</v>
      </c>
      <c r="J13" s="14">
        <f t="shared" si="1"/>
        <v>13245.179925499999</v>
      </c>
      <c r="K13" s="13"/>
      <c r="L13" s="13"/>
      <c r="M13" s="13">
        <v>0</v>
      </c>
      <c r="N13" s="13"/>
      <c r="O13" s="13">
        <f t="shared" si="2"/>
        <v>13245.179925499999</v>
      </c>
      <c r="P13" s="13">
        <f t="shared" si="3"/>
        <v>0</v>
      </c>
      <c r="Q13" s="15">
        <f t="shared" si="4"/>
        <v>13245.179925499999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Payment_22-28 May-diff.xlsx</v>
      </c>
      <c r="U13" s="19"/>
      <c r="V13" s="36">
        <f t="shared" si="5"/>
        <v>231.79064869625</v>
      </c>
      <c r="W13" s="20">
        <f t="shared" si="6"/>
        <v>33.112949813749999</v>
      </c>
      <c r="X13" s="59">
        <f t="shared" si="7"/>
        <v>198.67769888250001</v>
      </c>
      <c r="Y13" s="21">
        <v>0</v>
      </c>
      <c r="Z13" s="48">
        <f t="shared" si="8"/>
        <v>198.67769888250001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13156.58</v>
      </c>
      <c r="AG13" s="5">
        <f t="shared" si="9"/>
        <v>88.59992549999879</v>
      </c>
      <c r="AI13" s="24">
        <v>258</v>
      </c>
      <c r="AJ13" s="24">
        <v>13156.452458000003</v>
      </c>
      <c r="AK13" s="30">
        <f t="shared" si="10"/>
        <v>0</v>
      </c>
      <c r="AL13" s="30">
        <f t="shared" si="11"/>
        <v>-88.727467499995328</v>
      </c>
    </row>
    <row r="14" spans="1:38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400</v>
      </c>
      <c r="H14" s="24">
        <v>255</v>
      </c>
      <c r="I14" s="24">
        <v>8733.7569138000017</v>
      </c>
      <c r="J14" s="14">
        <f t="shared" si="1"/>
        <v>8733.7569138000017</v>
      </c>
      <c r="K14" s="13"/>
      <c r="L14" s="13"/>
      <c r="M14" s="13">
        <v>0</v>
      </c>
      <c r="N14" s="13"/>
      <c r="O14" s="13">
        <f t="shared" si="2"/>
        <v>8733.7569138000017</v>
      </c>
      <c r="P14" s="13">
        <f t="shared" si="3"/>
        <v>0</v>
      </c>
      <c r="Q14" s="15">
        <f t="shared" si="4"/>
        <v>8733.7569138000017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Payment_22-28 May-diff.xlsx</v>
      </c>
      <c r="U14" s="19"/>
      <c r="V14" s="36">
        <f t="shared" si="5"/>
        <v>152.84074599150006</v>
      </c>
      <c r="W14" s="20">
        <f t="shared" si="6"/>
        <v>21.834392284500005</v>
      </c>
      <c r="X14" s="59">
        <f t="shared" si="7"/>
        <v>131.00635370700005</v>
      </c>
      <c r="Y14" s="21">
        <v>0</v>
      </c>
      <c r="Z14" s="48">
        <f t="shared" si="8"/>
        <v>131.00635370700005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8532.27</v>
      </c>
      <c r="AG14" s="5">
        <f t="shared" si="9"/>
        <v>201.48691380000128</v>
      </c>
      <c r="AI14" s="24">
        <v>255</v>
      </c>
      <c r="AJ14" s="24">
        <v>8532.3535704000005</v>
      </c>
      <c r="AK14" s="30">
        <f t="shared" si="10"/>
        <v>0</v>
      </c>
      <c r="AL14" s="30">
        <f t="shared" si="11"/>
        <v>-201.40334340000118</v>
      </c>
    </row>
    <row r="15" spans="1:38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400</v>
      </c>
      <c r="H15" s="24">
        <v>1048</v>
      </c>
      <c r="I15" s="24">
        <v>49196.609631000014</v>
      </c>
      <c r="J15" s="14">
        <f t="shared" si="1"/>
        <v>49196.609631000014</v>
      </c>
      <c r="K15" s="13"/>
      <c r="L15" s="13"/>
      <c r="M15" s="13">
        <v>0</v>
      </c>
      <c r="N15" s="13"/>
      <c r="O15" s="13">
        <f t="shared" si="2"/>
        <v>49196.609631000014</v>
      </c>
      <c r="P15" s="13">
        <f t="shared" si="3"/>
        <v>0</v>
      </c>
      <c r="Q15" s="15">
        <f t="shared" si="4"/>
        <v>49196.609631000014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Payment_22-28 May-diff.xlsx</v>
      </c>
      <c r="U15" s="19"/>
      <c r="V15" s="36">
        <f t="shared" si="5"/>
        <v>860.94066854250036</v>
      </c>
      <c r="W15" s="20">
        <f t="shared" si="6"/>
        <v>122.99152407750003</v>
      </c>
      <c r="X15" s="59">
        <f t="shared" si="7"/>
        <v>737.94914446500036</v>
      </c>
      <c r="Y15" s="21">
        <v>0</v>
      </c>
      <c r="Z15" s="48">
        <f t="shared" si="8"/>
        <v>737.94914446500036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48950.44</v>
      </c>
      <c r="AG15" s="5">
        <f t="shared" si="9"/>
        <v>246.16963100001158</v>
      </c>
      <c r="AI15" s="24">
        <v>1048</v>
      </c>
      <c r="AJ15" s="24">
        <v>48949.418181600005</v>
      </c>
      <c r="AK15" s="30">
        <f t="shared" si="10"/>
        <v>0</v>
      </c>
      <c r="AL15" s="30">
        <f t="shared" si="11"/>
        <v>-247.19144940000842</v>
      </c>
    </row>
    <row r="16" spans="1:38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400</v>
      </c>
      <c r="H16" s="24">
        <v>121</v>
      </c>
      <c r="I16" s="24">
        <v>6531.4117500000011</v>
      </c>
      <c r="J16" s="14">
        <f t="shared" si="1"/>
        <v>6531.4117500000011</v>
      </c>
      <c r="K16" s="13"/>
      <c r="L16" s="13"/>
      <c r="M16" s="13">
        <v>0</v>
      </c>
      <c r="N16" s="13"/>
      <c r="O16" s="13">
        <f t="shared" si="2"/>
        <v>6531.4117500000011</v>
      </c>
      <c r="P16" s="13">
        <f t="shared" si="3"/>
        <v>0</v>
      </c>
      <c r="Q16" s="15">
        <f t="shared" si="4"/>
        <v>6531.4117500000011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Payment_22-28 May-diff.xlsx</v>
      </c>
      <c r="U16" s="19"/>
      <c r="V16" s="36">
        <f t="shared" si="5"/>
        <v>114.29970562500003</v>
      </c>
      <c r="W16" s="20">
        <f t="shared" si="6"/>
        <v>16.328529375000002</v>
      </c>
      <c r="X16" s="59">
        <f t="shared" si="7"/>
        <v>97.971176250000028</v>
      </c>
      <c r="Y16" s="21">
        <v>0</v>
      </c>
      <c r="Z16" s="48">
        <f t="shared" si="8"/>
        <v>97.971176250000028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6531.49</v>
      </c>
      <c r="AG16" s="5">
        <f t="shared" si="9"/>
        <v>-7.8249999998661224E-2</v>
      </c>
      <c r="AI16" s="24">
        <v>121</v>
      </c>
      <c r="AJ16" s="24">
        <v>6531.4117500000011</v>
      </c>
      <c r="AK16" s="30">
        <f t="shared" si="10"/>
        <v>0</v>
      </c>
      <c r="AL16" s="30">
        <f t="shared" si="11"/>
        <v>0</v>
      </c>
    </row>
    <row r="17" spans="1:38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400</v>
      </c>
      <c r="H17" s="24">
        <v>312</v>
      </c>
      <c r="I17" s="24">
        <v>14878.571589800002</v>
      </c>
      <c r="J17" s="14">
        <f t="shared" si="1"/>
        <v>14878.571589800002</v>
      </c>
      <c r="K17" s="13"/>
      <c r="L17" s="13"/>
      <c r="M17" s="13">
        <v>0</v>
      </c>
      <c r="N17" s="13"/>
      <c r="O17" s="13">
        <f t="shared" si="2"/>
        <v>14878.571589800002</v>
      </c>
      <c r="P17" s="13">
        <f t="shared" si="3"/>
        <v>0</v>
      </c>
      <c r="Q17" s="15">
        <f t="shared" si="4"/>
        <v>14878.571589800002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Payment_22-28 May-diff.xlsx</v>
      </c>
      <c r="U17" s="19"/>
      <c r="V17" s="36">
        <f t="shared" si="5"/>
        <v>260.37500282150006</v>
      </c>
      <c r="W17" s="20">
        <f t="shared" si="6"/>
        <v>37.196428974500002</v>
      </c>
      <c r="X17" s="59">
        <f t="shared" si="7"/>
        <v>223.17857384700005</v>
      </c>
      <c r="Y17" s="21">
        <v>0</v>
      </c>
      <c r="Z17" s="48">
        <f t="shared" si="8"/>
        <v>223.17857384700005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14816.02</v>
      </c>
      <c r="AG17" s="5">
        <f t="shared" si="9"/>
        <v>62.551589800001238</v>
      </c>
      <c r="AI17" s="24">
        <v>312</v>
      </c>
      <c r="AJ17" s="24">
        <v>14815.702726400001</v>
      </c>
      <c r="AK17" s="30">
        <f t="shared" si="10"/>
        <v>0</v>
      </c>
      <c r="AL17" s="30">
        <f t="shared" si="11"/>
        <v>-62.868863400000919</v>
      </c>
    </row>
    <row r="18" spans="1:38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400</v>
      </c>
      <c r="H18" s="24">
        <v>96</v>
      </c>
      <c r="I18" s="24">
        <v>3740.0268898000004</v>
      </c>
      <c r="J18" s="14">
        <f t="shared" si="1"/>
        <v>3740.0268898000004</v>
      </c>
      <c r="K18" s="13"/>
      <c r="L18" s="13"/>
      <c r="M18" s="13">
        <v>0</v>
      </c>
      <c r="N18" s="13"/>
      <c r="O18" s="13">
        <f t="shared" si="2"/>
        <v>3740.0268898000004</v>
      </c>
      <c r="P18" s="13">
        <f t="shared" si="3"/>
        <v>0</v>
      </c>
      <c r="Q18" s="15">
        <f t="shared" si="4"/>
        <v>3740.0268898000004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Payment_22-28 May-diff.xlsx</v>
      </c>
      <c r="U18" s="19"/>
      <c r="V18" s="36">
        <f t="shared" si="5"/>
        <v>65.45047057150002</v>
      </c>
      <c r="W18" s="20">
        <f t="shared" si="6"/>
        <v>9.3500672245000018</v>
      </c>
      <c r="X18" s="59">
        <f t="shared" si="7"/>
        <v>56.100403347000018</v>
      </c>
      <c r="Y18" s="21">
        <v>0</v>
      </c>
      <c r="Z18" s="48">
        <f t="shared" si="8"/>
        <v>56.100403347000018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3700.26</v>
      </c>
      <c r="AG18" s="5">
        <f t="shared" si="9"/>
        <v>39.766889800000172</v>
      </c>
      <c r="AI18" s="24">
        <v>96</v>
      </c>
      <c r="AJ18" s="24">
        <v>3700.3287460000001</v>
      </c>
      <c r="AK18" s="30">
        <f t="shared" si="10"/>
        <v>0</v>
      </c>
      <c r="AL18" s="30">
        <f t="shared" si="11"/>
        <v>-39.698143800000253</v>
      </c>
    </row>
    <row r="19" spans="1:38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400</v>
      </c>
      <c r="H19" s="24">
        <v>486</v>
      </c>
      <c r="I19" s="24">
        <v>20960.487513700002</v>
      </c>
      <c r="J19" s="14">
        <f t="shared" si="1"/>
        <v>20960.487513700002</v>
      </c>
      <c r="K19" s="13"/>
      <c r="L19" s="13"/>
      <c r="M19" s="13">
        <v>0</v>
      </c>
      <c r="N19" s="13"/>
      <c r="O19" s="13">
        <f t="shared" si="2"/>
        <v>20960.487513700002</v>
      </c>
      <c r="P19" s="13">
        <f t="shared" si="3"/>
        <v>0</v>
      </c>
      <c r="Q19" s="15">
        <f t="shared" si="4"/>
        <v>20960.487513700002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Payment_22-28 May-diff.xlsx</v>
      </c>
      <c r="U19" s="19"/>
      <c r="V19" s="36">
        <f t="shared" si="5"/>
        <v>366.80853148975007</v>
      </c>
      <c r="W19" s="20">
        <f t="shared" si="6"/>
        <v>52.401218784250005</v>
      </c>
      <c r="X19" s="59">
        <f t="shared" si="7"/>
        <v>314.40731270550009</v>
      </c>
      <c r="Y19" s="21">
        <v>0</v>
      </c>
      <c r="Z19" s="48">
        <f t="shared" si="8"/>
        <v>314.40731270550009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20534.22</v>
      </c>
      <c r="AG19" s="5">
        <f t="shared" si="9"/>
        <v>426.26751370000056</v>
      </c>
      <c r="AI19" s="24">
        <v>486</v>
      </c>
      <c r="AJ19" s="24">
        <v>20533.518031600001</v>
      </c>
      <c r="AK19" s="30">
        <f t="shared" si="10"/>
        <v>0</v>
      </c>
      <c r="AL19" s="30">
        <f t="shared" si="11"/>
        <v>-426.96948210000119</v>
      </c>
    </row>
    <row r="20" spans="1:38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400</v>
      </c>
      <c r="H20" s="24">
        <v>650</v>
      </c>
      <c r="I20" s="24">
        <v>29811.335957300002</v>
      </c>
      <c r="J20" s="14">
        <f t="shared" si="1"/>
        <v>29811.335957300002</v>
      </c>
      <c r="K20" s="13"/>
      <c r="L20" s="13"/>
      <c r="M20" s="13">
        <v>0</v>
      </c>
      <c r="N20" s="13"/>
      <c r="O20" s="13">
        <f t="shared" si="2"/>
        <v>29811.335957300002</v>
      </c>
      <c r="P20" s="13">
        <f t="shared" si="3"/>
        <v>0</v>
      </c>
      <c r="Q20" s="15">
        <f t="shared" si="4"/>
        <v>29811.335957300002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Payment_22-28 May-diff.xlsx</v>
      </c>
      <c r="U20" s="19"/>
      <c r="V20" s="36">
        <f t="shared" si="5"/>
        <v>521.6983792527501</v>
      </c>
      <c r="W20" s="20">
        <f t="shared" si="6"/>
        <v>74.528339893250006</v>
      </c>
      <c r="X20" s="59">
        <f t="shared" si="7"/>
        <v>447.17003935950009</v>
      </c>
      <c r="Y20" s="21">
        <v>0</v>
      </c>
      <c r="Z20" s="48">
        <f t="shared" si="8"/>
        <v>447.17003935950009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29520.99</v>
      </c>
      <c r="AG20" s="5">
        <f t="shared" si="9"/>
        <v>290.34595730000001</v>
      </c>
      <c r="AI20" s="24">
        <v>650</v>
      </c>
      <c r="AJ20" s="24">
        <v>29519.8682696</v>
      </c>
      <c r="AK20" s="30">
        <f t="shared" si="10"/>
        <v>0</v>
      </c>
      <c r="AL20" s="30">
        <f t="shared" si="11"/>
        <v>-291.46768770000199</v>
      </c>
    </row>
    <row r="21" spans="1:38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400</v>
      </c>
      <c r="H21" s="24">
        <v>48</v>
      </c>
      <c r="I21" s="24">
        <v>2097.5667120000003</v>
      </c>
      <c r="J21" s="14">
        <f t="shared" si="1"/>
        <v>2097.5667120000003</v>
      </c>
      <c r="K21" s="13"/>
      <c r="L21" s="13"/>
      <c r="M21" s="13">
        <v>0</v>
      </c>
      <c r="N21" s="13"/>
      <c r="O21" s="13">
        <f t="shared" si="2"/>
        <v>2097.5667120000003</v>
      </c>
      <c r="P21" s="13">
        <f t="shared" si="3"/>
        <v>0</v>
      </c>
      <c r="Q21" s="15">
        <f t="shared" si="4"/>
        <v>2097.5667120000003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Payment_22-28 May-diff.xlsx</v>
      </c>
      <c r="U21" s="19"/>
      <c r="V21" s="36">
        <f t="shared" si="5"/>
        <v>36.707417460000009</v>
      </c>
      <c r="W21" s="20">
        <f t="shared" si="6"/>
        <v>5.2439167800000011</v>
      </c>
      <c r="X21" s="59">
        <f t="shared" si="7"/>
        <v>31.46350068000001</v>
      </c>
      <c r="Y21" s="21">
        <v>0</v>
      </c>
      <c r="Z21" s="48">
        <f t="shared" si="8"/>
        <v>31.46350068000001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F21" s="3">
        <v>1991.98</v>
      </c>
      <c r="AG21" s="5">
        <f t="shared" si="9"/>
        <v>105.58671200000026</v>
      </c>
      <c r="AI21" s="24">
        <v>48</v>
      </c>
      <c r="AJ21" s="24">
        <v>1991.9338560000001</v>
      </c>
      <c r="AK21" s="30">
        <f t="shared" si="10"/>
        <v>0</v>
      </c>
      <c r="AL21" s="30">
        <f t="shared" si="11"/>
        <v>-105.63285600000017</v>
      </c>
    </row>
    <row r="22" spans="1:38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400</v>
      </c>
      <c r="H22" s="24">
        <v>1394</v>
      </c>
      <c r="I22" s="24">
        <v>63859.41036110001</v>
      </c>
      <c r="J22" s="14">
        <f t="shared" si="1"/>
        <v>63859.41036110001</v>
      </c>
      <c r="K22" s="13"/>
      <c r="L22" s="13"/>
      <c r="M22" s="13">
        <v>0</v>
      </c>
      <c r="N22" s="13"/>
      <c r="O22" s="13">
        <f t="shared" si="2"/>
        <v>63859.41036110001</v>
      </c>
      <c r="P22" s="13">
        <f t="shared" si="3"/>
        <v>0</v>
      </c>
      <c r="Q22" s="15">
        <f t="shared" si="4"/>
        <v>63859.41036110001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Payment_22-28 May-diff.xlsx</v>
      </c>
      <c r="U22" s="19"/>
      <c r="V22" s="36">
        <f t="shared" si="5"/>
        <v>1117.5396813192503</v>
      </c>
      <c r="W22" s="20">
        <f t="shared" si="6"/>
        <v>159.64852590275004</v>
      </c>
      <c r="X22" s="59">
        <f t="shared" si="7"/>
        <v>957.89115541650028</v>
      </c>
      <c r="Y22" s="21">
        <v>0</v>
      </c>
      <c r="Z22" s="48">
        <f t="shared" si="8"/>
        <v>957.89115541650028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F22" s="3">
        <v>63677.84</v>
      </c>
      <c r="AG22" s="5">
        <f t="shared" si="9"/>
        <v>181.57036110001354</v>
      </c>
      <c r="AI22" s="24">
        <v>1394</v>
      </c>
      <c r="AJ22" s="24">
        <v>63672.084416000012</v>
      </c>
      <c r="AK22" s="30">
        <f t="shared" si="10"/>
        <v>0</v>
      </c>
      <c r="AL22" s="30">
        <f t="shared" si="11"/>
        <v>-187.32594509999763</v>
      </c>
    </row>
    <row r="23" spans="1:38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400</v>
      </c>
      <c r="H23" s="24">
        <v>162</v>
      </c>
      <c r="I23" s="24">
        <v>9743.1557499999999</v>
      </c>
      <c r="J23" s="14">
        <f t="shared" si="1"/>
        <v>9743.1557499999999</v>
      </c>
      <c r="K23" s="13"/>
      <c r="L23" s="13"/>
      <c r="M23" s="13">
        <v>0</v>
      </c>
      <c r="N23" s="13"/>
      <c r="O23" s="13">
        <f t="shared" si="2"/>
        <v>9743.1557499999999</v>
      </c>
      <c r="P23" s="13">
        <f t="shared" si="3"/>
        <v>0</v>
      </c>
      <c r="Q23" s="15">
        <f t="shared" si="4"/>
        <v>9743.1557499999999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Payment_22-28 May-diff.xlsx</v>
      </c>
      <c r="U23" s="19"/>
      <c r="V23" s="36">
        <f t="shared" si="5"/>
        <v>170.50522562500001</v>
      </c>
      <c r="W23" s="20">
        <f t="shared" si="6"/>
        <v>24.357889374999999</v>
      </c>
      <c r="X23" s="59">
        <f t="shared" si="7"/>
        <v>146.14733625000002</v>
      </c>
      <c r="Y23" s="21">
        <v>0</v>
      </c>
      <c r="Z23" s="48">
        <f t="shared" si="8"/>
        <v>146.14733625000002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F23" s="3">
        <v>9743.39</v>
      </c>
      <c r="AG23" s="5">
        <f t="shared" si="9"/>
        <v>-0.23424999999951979</v>
      </c>
      <c r="AI23" s="24">
        <v>162</v>
      </c>
      <c r="AJ23" s="24">
        <v>9743.1557499999999</v>
      </c>
      <c r="AK23" s="30">
        <f t="shared" si="10"/>
        <v>0</v>
      </c>
      <c r="AL23" s="30">
        <f t="shared" si="11"/>
        <v>0</v>
      </c>
    </row>
    <row r="24" spans="1:38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400</v>
      </c>
      <c r="H24" s="24">
        <v>476</v>
      </c>
      <c r="I24" s="24">
        <v>25759.3656672</v>
      </c>
      <c r="J24" s="14">
        <f t="shared" si="1"/>
        <v>25759.3656672</v>
      </c>
      <c r="K24" s="13"/>
      <c r="L24" s="13"/>
      <c r="M24" s="13">
        <v>0</v>
      </c>
      <c r="N24" s="13"/>
      <c r="O24" s="13">
        <f t="shared" si="2"/>
        <v>25759.3656672</v>
      </c>
      <c r="P24" s="13">
        <f t="shared" si="3"/>
        <v>0</v>
      </c>
      <c r="Q24" s="15">
        <f t="shared" si="4"/>
        <v>25759.3656672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Payment_22-28 May-diff.xlsx</v>
      </c>
      <c r="U24" s="19"/>
      <c r="V24" s="36">
        <f t="shared" si="5"/>
        <v>450.78889917600003</v>
      </c>
      <c r="W24" s="20">
        <f t="shared" si="6"/>
        <v>64.398414168000002</v>
      </c>
      <c r="X24" s="59">
        <f t="shared" si="7"/>
        <v>386.39048500800004</v>
      </c>
      <c r="Y24" s="21">
        <v>0</v>
      </c>
      <c r="Z24" s="48">
        <f t="shared" si="8"/>
        <v>386.39048500800004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F24" s="3">
        <v>25739</v>
      </c>
      <c r="AG24" s="5">
        <f t="shared" si="9"/>
        <v>20.365667199999734</v>
      </c>
      <c r="AI24" s="24">
        <v>476</v>
      </c>
      <c r="AJ24" s="24">
        <v>25738.8550932</v>
      </c>
      <c r="AK24" s="30">
        <f t="shared" si="10"/>
        <v>0</v>
      </c>
      <c r="AL24" s="30">
        <f t="shared" si="11"/>
        <v>-20.510573999999906</v>
      </c>
    </row>
    <row r="25" spans="1:38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400</v>
      </c>
      <c r="H25" s="24">
        <v>82</v>
      </c>
      <c r="I25" s="24">
        <v>3354.0642444000005</v>
      </c>
      <c r="J25" s="14">
        <f t="shared" si="1"/>
        <v>3354.0642444000005</v>
      </c>
      <c r="K25" s="13"/>
      <c r="L25" s="13"/>
      <c r="M25" s="13">
        <v>0</v>
      </c>
      <c r="N25" s="13"/>
      <c r="O25" s="13">
        <f t="shared" si="2"/>
        <v>3354.0642444000005</v>
      </c>
      <c r="P25" s="13">
        <f t="shared" si="3"/>
        <v>0</v>
      </c>
      <c r="Q25" s="15">
        <f t="shared" si="4"/>
        <v>3354.0642444000005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Payment_22-28 May-diff.xlsx</v>
      </c>
      <c r="U25" s="19"/>
      <c r="V25" s="36">
        <f t="shared" si="5"/>
        <v>58.696124277000017</v>
      </c>
      <c r="W25" s="20">
        <f t="shared" si="6"/>
        <v>8.3851606110000017</v>
      </c>
      <c r="X25" s="59">
        <f t="shared" si="7"/>
        <v>50.310963666000013</v>
      </c>
      <c r="Y25" s="21">
        <v>0</v>
      </c>
      <c r="Z25" s="48">
        <f t="shared" si="8"/>
        <v>50.310963666000013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F25" s="3">
        <v>3294.3</v>
      </c>
      <c r="AG25" s="5">
        <f t="shared" si="9"/>
        <v>59.76424440000028</v>
      </c>
      <c r="AI25" s="24">
        <v>82</v>
      </c>
      <c r="AJ25" s="24">
        <v>3294.2825784000001</v>
      </c>
      <c r="AK25" s="30">
        <f t="shared" si="10"/>
        <v>0</v>
      </c>
      <c r="AL25" s="30">
        <f t="shared" si="11"/>
        <v>-59.781666000000314</v>
      </c>
    </row>
    <row r="26" spans="1:38" x14ac:dyDescent="0.25">
      <c r="A26" s="8">
        <v>1062</v>
      </c>
      <c r="B26" s="38" t="s">
        <v>320</v>
      </c>
      <c r="C26" s="9">
        <v>10620034</v>
      </c>
      <c r="D26" s="8">
        <f>VLOOKUP(C26,DSC_Master!$C$1:D124,2,0)</f>
        <v>64509</v>
      </c>
      <c r="E26" s="10" t="str">
        <f>VLOOKUP(C26,DSC_Master!$C$1:$K$200,4,0)</f>
        <v>CHHOTKI KULHARIYA</v>
      </c>
      <c r="F26" s="11" t="s">
        <v>304</v>
      </c>
      <c r="G26" s="11" t="s">
        <v>400</v>
      </c>
      <c r="H26" s="24">
        <v>641</v>
      </c>
      <c r="I26" s="24">
        <v>24054.404844000012</v>
      </c>
      <c r="J26" s="14">
        <f t="shared" si="1"/>
        <v>24054.404844000012</v>
      </c>
      <c r="K26" s="13"/>
      <c r="L26" s="13"/>
      <c r="M26" s="13">
        <v>0</v>
      </c>
      <c r="N26" s="13"/>
      <c r="O26" s="13">
        <f t="shared" si="2"/>
        <v>24054.404844000012</v>
      </c>
      <c r="P26" s="13">
        <f t="shared" si="3"/>
        <v>0</v>
      </c>
      <c r="Q26" s="15">
        <f t="shared" si="4"/>
        <v>24054.404844000012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Payment_22-28 May-diff.xlsx</v>
      </c>
      <c r="U26" s="19"/>
      <c r="V26" s="36">
        <f t="shared" si="5"/>
        <v>420.95208477000023</v>
      </c>
      <c r="W26" s="20">
        <f t="shared" si="6"/>
        <v>60.136012110000031</v>
      </c>
      <c r="X26" s="59">
        <f t="shared" si="7"/>
        <v>360.8160726600002</v>
      </c>
      <c r="Y26" s="21">
        <v>0</v>
      </c>
      <c r="Z26" s="48">
        <f t="shared" si="8"/>
        <v>360.8160726600002</v>
      </c>
      <c r="AA26" s="23"/>
      <c r="AB26" s="22" t="str">
        <f>VLOOKUP(C26,DSC_Master!$C$1:$K$200,9,0)</f>
        <v>ABHIMANYU KUMAR SINGH</v>
      </c>
      <c r="AC26" s="22" t="str">
        <f>VLOOKUP(C26,DSC_Master!$C$1:$J$201,8,0)</f>
        <v>50100492904593</v>
      </c>
      <c r="AD26" s="22" t="str">
        <f>VLOOKUP(C26,DSC_Master!$C$1:$J$201,7,0)</f>
        <v>HDFC0002625</v>
      </c>
      <c r="AE26" s="159"/>
      <c r="AF26" s="3">
        <v>23633.17</v>
      </c>
      <c r="AG26" s="5">
        <f t="shared" si="9"/>
        <v>421.23484400001325</v>
      </c>
      <c r="AI26" s="24">
        <v>641</v>
      </c>
      <c r="AJ26" s="24">
        <v>23635.063740000005</v>
      </c>
      <c r="AK26" s="30">
        <f t="shared" si="10"/>
        <v>0</v>
      </c>
      <c r="AL26" s="30">
        <f t="shared" si="11"/>
        <v>-419.34110400000645</v>
      </c>
    </row>
    <row r="27" spans="1:38" x14ac:dyDescent="0.25">
      <c r="A27" s="8">
        <v>1062</v>
      </c>
      <c r="B27" s="38" t="s">
        <v>320</v>
      </c>
      <c r="C27" s="9">
        <v>10620037</v>
      </c>
      <c r="D27" s="8">
        <f>VLOOKUP(C27,DSC_Master!$C$1:D125,2,0)</f>
        <v>64506</v>
      </c>
      <c r="E27" s="10" t="str">
        <f>VLOOKUP(C27,DSC_Master!$C$1:$K$200,4,0)</f>
        <v>KRESOPUR DSK</v>
      </c>
      <c r="F27" s="11" t="s">
        <v>304</v>
      </c>
      <c r="G27" s="11" t="s">
        <v>400</v>
      </c>
      <c r="H27" s="24">
        <v>1271</v>
      </c>
      <c r="I27" s="24">
        <v>56129.813687799986</v>
      </c>
      <c r="J27" s="14">
        <f t="shared" si="1"/>
        <v>56129.813687799986</v>
      </c>
      <c r="K27" s="13"/>
      <c r="L27" s="13"/>
      <c r="M27" s="13">
        <v>0</v>
      </c>
      <c r="N27" s="13"/>
      <c r="O27" s="13">
        <f t="shared" si="2"/>
        <v>56129.813687799986</v>
      </c>
      <c r="P27" s="13">
        <f t="shared" si="3"/>
        <v>0</v>
      </c>
      <c r="Q27" s="15">
        <f t="shared" si="4"/>
        <v>56129.813687799986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Payment_22-28 May-diff.xlsx</v>
      </c>
      <c r="U27" s="19"/>
      <c r="V27" s="36">
        <f t="shared" si="5"/>
        <v>982.27173953649981</v>
      </c>
      <c r="W27" s="20">
        <f t="shared" si="6"/>
        <v>140.32453421949998</v>
      </c>
      <c r="X27" s="59">
        <f t="shared" si="7"/>
        <v>841.94720531699977</v>
      </c>
      <c r="Y27" s="21">
        <v>0</v>
      </c>
      <c r="Z27" s="48">
        <f t="shared" si="8"/>
        <v>841.94720531699977</v>
      </c>
      <c r="AB27" s="22" t="str">
        <f>VLOOKUP(C27,DSC_Master!$C$1:$K$200,9,0)</f>
        <v>BRIJESH KUMAR</v>
      </c>
      <c r="AC27" s="22" t="str">
        <f>VLOOKUP(C27,DSC_Master!$C$1:$J$201,8,0)</f>
        <v>50100615862711</v>
      </c>
      <c r="AD27" s="22" t="str">
        <f>VLOOKUP(C27,DSC_Master!$C$1:$J$201,7,0)</f>
        <v>HDFC0002625</v>
      </c>
      <c r="AE27" s="159"/>
      <c r="AF27" s="3">
        <v>55500.42</v>
      </c>
      <c r="AG27" s="5">
        <f t="shared" si="9"/>
        <v>629.39368779998767</v>
      </c>
      <c r="AI27" s="24">
        <v>1271</v>
      </c>
      <c r="AJ27" s="24">
        <v>55487.970943599983</v>
      </c>
      <c r="AK27" s="30">
        <f t="shared" si="10"/>
        <v>0</v>
      </c>
      <c r="AL27" s="30">
        <f t="shared" si="11"/>
        <v>-641.84274420000293</v>
      </c>
    </row>
    <row r="28" spans="1:38" x14ac:dyDescent="0.25">
      <c r="A28" s="8">
        <v>1062</v>
      </c>
      <c r="B28" s="38" t="s">
        <v>320</v>
      </c>
      <c r="C28" s="9">
        <v>10620038</v>
      </c>
      <c r="D28" s="8">
        <f>VLOOKUP(C28,DSC_Master!$C$1:D126,2,0)</f>
        <v>64534</v>
      </c>
      <c r="E28" s="10" t="str">
        <f>VLOOKUP(C28,DSC_Master!$C$1:$K$200,4,0)</f>
        <v>MIRCHA DSK</v>
      </c>
      <c r="F28" s="11" t="s">
        <v>304</v>
      </c>
      <c r="G28" s="11" t="s">
        <v>400</v>
      </c>
      <c r="H28" s="24">
        <v>378</v>
      </c>
      <c r="I28" s="24">
        <v>16607.641374300005</v>
      </c>
      <c r="J28" s="14">
        <f t="shared" si="1"/>
        <v>16607.641374300005</v>
      </c>
      <c r="K28" s="13"/>
      <c r="L28" s="13"/>
      <c r="M28" s="13">
        <v>0</v>
      </c>
      <c r="N28" s="13"/>
      <c r="O28" s="13">
        <f t="shared" si="2"/>
        <v>16607.641374300005</v>
      </c>
      <c r="P28" s="13">
        <f t="shared" si="3"/>
        <v>0</v>
      </c>
      <c r="Q28" s="15">
        <f t="shared" si="4"/>
        <v>16607.641374300005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Payment_22-28 May-diff.xlsx</v>
      </c>
      <c r="U28" s="19"/>
      <c r="V28" s="36">
        <f t="shared" si="5"/>
        <v>290.63372405025012</v>
      </c>
      <c r="W28" s="20">
        <f t="shared" si="6"/>
        <v>41.519103435750011</v>
      </c>
      <c r="X28" s="59">
        <f t="shared" si="7"/>
        <v>249.1146206145001</v>
      </c>
      <c r="Y28" s="21">
        <v>0</v>
      </c>
      <c r="Z28" s="48">
        <f t="shared" si="8"/>
        <v>249.1146206145001</v>
      </c>
      <c r="AB28" s="22" t="str">
        <f>VLOOKUP(C28,DSC_Master!$C$1:$K$200,9,0)</f>
        <v>CHANDAN YADAV</v>
      </c>
      <c r="AC28" s="22" t="str">
        <f>VLOOKUP(C28,DSC_Master!$C$1:$J$201,8,0)</f>
        <v>40043294718</v>
      </c>
      <c r="AD28" s="22" t="str">
        <f>VLOOKUP(C28,DSC_Master!$C$1:$J$201,7,0)</f>
        <v>SBIN0006137</v>
      </c>
      <c r="AE28" s="159"/>
      <c r="AF28" s="3">
        <v>16432.34</v>
      </c>
      <c r="AG28" s="5">
        <f t="shared" si="9"/>
        <v>175.30137430000468</v>
      </c>
      <c r="AI28" s="24">
        <v>378</v>
      </c>
      <c r="AJ28" s="24">
        <v>16431.880305600003</v>
      </c>
      <c r="AK28" s="30">
        <f t="shared" si="10"/>
        <v>0</v>
      </c>
      <c r="AL28" s="30">
        <f t="shared" si="11"/>
        <v>-175.76106870000149</v>
      </c>
    </row>
    <row r="29" spans="1:38" x14ac:dyDescent="0.25">
      <c r="A29" s="8">
        <v>1062</v>
      </c>
      <c r="B29" s="38" t="s">
        <v>320</v>
      </c>
      <c r="C29" s="9">
        <v>10620042</v>
      </c>
      <c r="D29" s="8">
        <f>VLOOKUP(C29,DSC_Master!$C$1:D127,2,0)</f>
        <v>64559</v>
      </c>
      <c r="E29" s="10" t="str">
        <f>VLOOKUP(C29,DSC_Master!$C$1:$K$200,4,0)</f>
        <v>MUJAN DSK</v>
      </c>
      <c r="F29" s="11" t="s">
        <v>304</v>
      </c>
      <c r="G29" s="11" t="s">
        <v>400</v>
      </c>
      <c r="H29" s="24">
        <v>1006</v>
      </c>
      <c r="I29" s="24">
        <v>44392.14933</v>
      </c>
      <c r="J29" s="14">
        <f t="shared" si="1"/>
        <v>44392.14933</v>
      </c>
      <c r="K29" s="13"/>
      <c r="L29" s="13"/>
      <c r="M29" s="13">
        <v>0</v>
      </c>
      <c r="N29" s="13"/>
      <c r="O29" s="13">
        <f t="shared" si="2"/>
        <v>44392.14933</v>
      </c>
      <c r="P29" s="13">
        <f t="shared" si="3"/>
        <v>0</v>
      </c>
      <c r="Q29" s="15">
        <f t="shared" si="4"/>
        <v>44392.14933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Payment_22-28 May-diff.xlsx</v>
      </c>
      <c r="U29" s="19"/>
      <c r="V29" s="36">
        <f t="shared" si="5"/>
        <v>776.86261327500006</v>
      </c>
      <c r="W29" s="20">
        <f t="shared" si="6"/>
        <v>110.980373325</v>
      </c>
      <c r="X29" s="59">
        <f t="shared" si="7"/>
        <v>665.8822399500001</v>
      </c>
      <c r="Y29" s="21">
        <v>0</v>
      </c>
      <c r="Z29" s="48">
        <f t="shared" si="8"/>
        <v>665.8822399500001</v>
      </c>
      <c r="AB29" s="22" t="str">
        <f>VLOOKUP(C29,DSC_Master!$C$1:$K$200,9,0)</f>
        <v>HARI KISHUN TIWARI</v>
      </c>
      <c r="AC29" s="22" t="str">
        <f>VLOOKUP(C29,DSC_Master!$C$1:$J$201,8,0)</f>
        <v>50100292592830</v>
      </c>
      <c r="AD29" s="22" t="str">
        <f>VLOOKUP(C29,DSC_Master!$C$1:$J$201,7,0)</f>
        <v>HDFC0002625</v>
      </c>
      <c r="AE29" s="159"/>
      <c r="AF29" s="3">
        <v>44074.41</v>
      </c>
      <c r="AG29" s="5">
        <f t="shared" si="9"/>
        <v>317.7393299999967</v>
      </c>
      <c r="AI29" s="24">
        <v>1006</v>
      </c>
      <c r="AJ29" s="24">
        <v>44073.639137999999</v>
      </c>
      <c r="AK29" s="30">
        <f t="shared" si="10"/>
        <v>0</v>
      </c>
      <c r="AL29" s="30">
        <f t="shared" si="11"/>
        <v>-318.51019200000155</v>
      </c>
    </row>
    <row r="30" spans="1:38" x14ac:dyDescent="0.25">
      <c r="A30" s="8">
        <v>1062</v>
      </c>
      <c r="B30" s="38" t="s">
        <v>320</v>
      </c>
      <c r="C30" s="9">
        <v>10620043</v>
      </c>
      <c r="D30" s="8">
        <f>VLOOKUP(C30,DSC_Master!$C$1:D128,2,0)</f>
        <v>64510</v>
      </c>
      <c r="E30" s="10" t="str">
        <f>VLOOKUP(C30,DSC_Master!$C$1:$K$200,4,0)</f>
        <v>BHIRKHIRA DSK</v>
      </c>
      <c r="F30" s="11" t="s">
        <v>304</v>
      </c>
      <c r="G30" s="11" t="s">
        <v>400</v>
      </c>
      <c r="H30" s="24">
        <v>837</v>
      </c>
      <c r="I30" s="24">
        <v>34808.534657600008</v>
      </c>
      <c r="J30" s="14">
        <f t="shared" si="1"/>
        <v>34808.534657600008</v>
      </c>
      <c r="K30" s="13"/>
      <c r="L30" s="13"/>
      <c r="M30" s="13">
        <v>0</v>
      </c>
      <c r="N30" s="13"/>
      <c r="O30" s="13">
        <f t="shared" si="2"/>
        <v>34808.534657600008</v>
      </c>
      <c r="P30" s="13">
        <f t="shared" si="3"/>
        <v>0</v>
      </c>
      <c r="Q30" s="15">
        <f t="shared" si="4"/>
        <v>34808.534657600008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Payment_22-28 May-diff.xlsx</v>
      </c>
      <c r="U30" s="19"/>
      <c r="V30" s="36">
        <f t="shared" si="5"/>
        <v>609.14935650800021</v>
      </c>
      <c r="W30" s="20">
        <f t="shared" si="6"/>
        <v>87.021336644000016</v>
      </c>
      <c r="X30" s="59">
        <f t="shared" si="7"/>
        <v>522.12801986400018</v>
      </c>
      <c r="Y30" s="21">
        <v>0</v>
      </c>
      <c r="Z30" s="48">
        <f t="shared" si="8"/>
        <v>522.12801986400018</v>
      </c>
      <c r="AB30" s="22" t="str">
        <f>VLOOKUP(C30,DSC_Master!$C$1:$K$200,9,0)</f>
        <v>MANOJ KUMAR SINGH</v>
      </c>
      <c r="AC30" s="22" t="str">
        <f>VLOOKUP(C30,DSC_Master!$C$1:$J$201,8,0)</f>
        <v>2784000100083409</v>
      </c>
      <c r="AD30" s="22" t="str">
        <f>VLOOKUP(C30,DSC_Master!$C$1:$J$201,7,0)</f>
        <v>PUNB0278400</v>
      </c>
      <c r="AE30" s="159"/>
      <c r="AF30" s="3">
        <v>34327.08</v>
      </c>
      <c r="AG30" s="5">
        <f t="shared" si="9"/>
        <v>481.45465760000661</v>
      </c>
      <c r="AI30" s="24">
        <v>837</v>
      </c>
      <c r="AJ30" s="24">
        <v>34326.710195600004</v>
      </c>
      <c r="AK30" s="30">
        <f t="shared" si="10"/>
        <v>0</v>
      </c>
      <c r="AL30" s="30">
        <f t="shared" si="11"/>
        <v>-481.82446200000413</v>
      </c>
    </row>
    <row r="31" spans="1:38" x14ac:dyDescent="0.25">
      <c r="A31" s="8">
        <v>1062</v>
      </c>
      <c r="B31" s="38" t="s">
        <v>320</v>
      </c>
      <c r="C31" s="9">
        <v>10620044</v>
      </c>
      <c r="D31" s="8">
        <f>VLOOKUP(C31,DSC_Master!$C$1:D129,2,0)</f>
        <v>64513</v>
      </c>
      <c r="E31" s="10" t="str">
        <f>VLOOKUP(C31,DSC_Master!$C$1:$K$200,4,0)</f>
        <v>BHOKARI DSK</v>
      </c>
      <c r="F31" s="11" t="s">
        <v>304</v>
      </c>
      <c r="G31" s="11" t="s">
        <v>400</v>
      </c>
      <c r="H31" s="24">
        <v>887</v>
      </c>
      <c r="I31" s="24">
        <v>37715.467818100013</v>
      </c>
      <c r="J31" s="14">
        <f t="shared" si="1"/>
        <v>37715.467818100013</v>
      </c>
      <c r="K31" s="13"/>
      <c r="L31" s="13"/>
      <c r="M31" s="13">
        <v>0</v>
      </c>
      <c r="N31" s="13"/>
      <c r="O31" s="13">
        <f t="shared" si="2"/>
        <v>37715.467818100013</v>
      </c>
      <c r="P31" s="13">
        <f t="shared" si="3"/>
        <v>0</v>
      </c>
      <c r="Q31" s="15">
        <f t="shared" si="4"/>
        <v>37715.467818100013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Payment_22-28 May-diff.xlsx</v>
      </c>
      <c r="U31" s="19"/>
      <c r="V31" s="36">
        <f t="shared" si="5"/>
        <v>660.0206868167503</v>
      </c>
      <c r="W31" s="20">
        <f t="shared" si="6"/>
        <v>94.288669545250031</v>
      </c>
      <c r="X31" s="59">
        <f t="shared" si="7"/>
        <v>565.73201727150024</v>
      </c>
      <c r="Y31" s="21">
        <v>0</v>
      </c>
      <c r="Z31" s="48">
        <f t="shared" si="8"/>
        <v>565.73201727150024</v>
      </c>
      <c r="AB31" s="22" t="str">
        <f>VLOOKUP(C31,DSC_Master!$C$1:$K$200,9,0)</f>
        <v>NAGENDRA KUMAR YADAV</v>
      </c>
      <c r="AC31" s="22" t="str">
        <f>VLOOKUP(C31,DSC_Master!$C$1:$J$201,8,0)</f>
        <v>461910110002388</v>
      </c>
      <c r="AD31" s="22" t="str">
        <f>VLOOKUP(C31,DSC_Master!$C$1:$J$201,7,0)</f>
        <v>BKID0004619</v>
      </c>
      <c r="AE31" s="159"/>
      <c r="AF31" s="3">
        <v>37390.32</v>
      </c>
      <c r="AG31" s="5">
        <f t="shared" si="9"/>
        <v>325.14781810001296</v>
      </c>
      <c r="AI31" s="24">
        <v>887</v>
      </c>
      <c r="AJ31" s="24">
        <v>37389.782587600006</v>
      </c>
      <c r="AK31" s="30">
        <f t="shared" si="10"/>
        <v>0</v>
      </c>
      <c r="AL31" s="30">
        <f t="shared" si="11"/>
        <v>-325.68523050000658</v>
      </c>
    </row>
    <row r="32" spans="1:38" x14ac:dyDescent="0.25">
      <c r="A32" s="8">
        <v>1062</v>
      </c>
      <c r="B32" s="38" t="s">
        <v>320</v>
      </c>
      <c r="C32" s="9">
        <v>10620048</v>
      </c>
      <c r="D32" s="8">
        <f>VLOOKUP(C32,DSC_Master!$C$1:D130,2,0)</f>
        <v>64560</v>
      </c>
      <c r="E32" s="10" t="str">
        <f>VLOOKUP(C32,DSC_Master!$C$1:$K$200,4,0)</f>
        <v>SAHDULLAPUR DSK</v>
      </c>
      <c r="F32" s="11" t="s">
        <v>304</v>
      </c>
      <c r="G32" s="11" t="s">
        <v>400</v>
      </c>
      <c r="H32" s="24">
        <v>79</v>
      </c>
      <c r="I32" s="24">
        <v>3552.2665624000001</v>
      </c>
      <c r="J32" s="14">
        <f t="shared" si="1"/>
        <v>3552.2665624000001</v>
      </c>
      <c r="K32" s="13"/>
      <c r="L32" s="13"/>
      <c r="M32" s="13">
        <v>0</v>
      </c>
      <c r="N32" s="13"/>
      <c r="O32" s="13">
        <f t="shared" si="2"/>
        <v>3552.2665624000001</v>
      </c>
      <c r="P32" s="13">
        <f t="shared" si="3"/>
        <v>0</v>
      </c>
      <c r="Q32" s="15">
        <f t="shared" si="4"/>
        <v>3552.2665624000001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Payment_22-28 May-diff.xlsx</v>
      </c>
      <c r="U32" s="19"/>
      <c r="V32" s="36">
        <f t="shared" si="5"/>
        <v>62.164664842000008</v>
      </c>
      <c r="W32" s="20">
        <f t="shared" si="6"/>
        <v>8.8806664060000013</v>
      </c>
      <c r="X32" s="59">
        <f t="shared" si="7"/>
        <v>53.283998436000005</v>
      </c>
      <c r="Y32" s="21">
        <v>0</v>
      </c>
      <c r="Z32" s="48">
        <f t="shared" si="8"/>
        <v>53.283998436000005</v>
      </c>
      <c r="AB32" s="22" t="str">
        <f>VLOOKUP(C32,DSC_Master!$C$1:$K$200,9,0)</f>
        <v>UMESH BIND</v>
      </c>
      <c r="AC32" s="22" t="str">
        <f>VLOOKUP(C32,DSC_Master!$C$1:$J$201,8,0)</f>
        <v>00070100030318</v>
      </c>
      <c r="AD32" s="22" t="str">
        <f>VLOOKUP(C32,DSC_Master!$C$1:$J$201,7,0)</f>
        <v>BARB0MOHANI</v>
      </c>
      <c r="AE32" s="159"/>
      <c r="AF32" s="3">
        <v>3497.83</v>
      </c>
      <c r="AG32" s="5">
        <f t="shared" si="9"/>
        <v>54.436562400000184</v>
      </c>
      <c r="AI32" s="24">
        <v>79</v>
      </c>
      <c r="AJ32" s="24">
        <v>3497.7491344</v>
      </c>
      <c r="AK32" s="30">
        <f t="shared" si="10"/>
        <v>0</v>
      </c>
      <c r="AL32" s="30">
        <f t="shared" si="11"/>
        <v>-54.517428000000109</v>
      </c>
    </row>
    <row r="33" spans="1:38" x14ac:dyDescent="0.25">
      <c r="A33" s="8">
        <v>1062</v>
      </c>
      <c r="B33" s="38" t="s">
        <v>320</v>
      </c>
      <c r="C33" s="9">
        <v>10620049</v>
      </c>
      <c r="D33" s="8">
        <f>VLOOKUP(C33,DSC_Master!$C$1:D131,2,0)</f>
        <v>64517</v>
      </c>
      <c r="E33" s="10" t="str">
        <f>VLOOKUP(C33,DSC_Master!$C$1:$K$200,4,0)</f>
        <v>BHALUHI DSK</v>
      </c>
      <c r="F33" s="11" t="s">
        <v>304</v>
      </c>
      <c r="G33" s="11" t="s">
        <v>400</v>
      </c>
      <c r="H33" s="24">
        <v>509</v>
      </c>
      <c r="I33" s="24">
        <v>22028.978276399997</v>
      </c>
      <c r="J33" s="14">
        <f t="shared" si="1"/>
        <v>22028.978276399997</v>
      </c>
      <c r="K33" s="13"/>
      <c r="L33" s="13"/>
      <c r="M33" s="13">
        <v>0</v>
      </c>
      <c r="N33" s="13"/>
      <c r="O33" s="13">
        <f t="shared" si="2"/>
        <v>22028.978276399997</v>
      </c>
      <c r="P33" s="13">
        <f t="shared" si="3"/>
        <v>0</v>
      </c>
      <c r="Q33" s="15">
        <f t="shared" si="4"/>
        <v>22028.978276399997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Payment_22-28 May-diff.xlsx</v>
      </c>
      <c r="U33" s="19"/>
      <c r="V33" s="36">
        <f t="shared" si="5"/>
        <v>385.507119837</v>
      </c>
      <c r="W33" s="20">
        <f t="shared" si="6"/>
        <v>55.072445690999992</v>
      </c>
      <c r="X33" s="59">
        <f t="shared" si="7"/>
        <v>330.43467414600002</v>
      </c>
      <c r="Y33" s="21">
        <v>0</v>
      </c>
      <c r="Z33" s="48">
        <f t="shared" si="8"/>
        <v>330.43467414600002</v>
      </c>
      <c r="AB33" s="22" t="str">
        <f>VLOOKUP(C33,DSC_Master!$C$1:$K$200,9,0)</f>
        <v>VIJENDRA SINGH</v>
      </c>
      <c r="AC33" s="22" t="str">
        <f>VLOOKUP(C33,DSC_Master!$C$1:$J$201,8,0)</f>
        <v>603001010050830</v>
      </c>
      <c r="AD33" s="22" t="str">
        <f>VLOOKUP(C33,DSC_Master!$C$1:$J$201,7,0)</f>
        <v>UBIN0560308</v>
      </c>
      <c r="AE33" s="159"/>
      <c r="AF33" s="3">
        <v>21710.67</v>
      </c>
      <c r="AG33" s="5">
        <f t="shared" si="9"/>
        <v>318.30827639999916</v>
      </c>
      <c r="AI33" s="24">
        <v>509</v>
      </c>
      <c r="AJ33" s="24">
        <v>21710.230834800001</v>
      </c>
      <c r="AK33" s="30">
        <f t="shared" si="10"/>
        <v>0</v>
      </c>
      <c r="AL33" s="30">
        <f t="shared" si="11"/>
        <v>-318.74744159999682</v>
      </c>
    </row>
    <row r="34" spans="1:38" x14ac:dyDescent="0.25">
      <c r="A34" s="8">
        <v>1062</v>
      </c>
      <c r="B34" s="38" t="s">
        <v>320</v>
      </c>
      <c r="C34" s="9">
        <v>10620050</v>
      </c>
      <c r="D34" s="8">
        <f>VLOOKUP(C34,DSC_Master!$C$1:D132,2,0)</f>
        <v>60553</v>
      </c>
      <c r="E34" s="10" t="str">
        <f>VLOOKUP(C34,DSC_Master!$C$1:$K$200,4,0)</f>
        <v>PARASIYA DSK</v>
      </c>
      <c r="F34" s="11" t="s">
        <v>304</v>
      </c>
      <c r="G34" s="11" t="s">
        <v>400</v>
      </c>
      <c r="H34" s="24">
        <v>47</v>
      </c>
      <c r="I34" s="24">
        <v>1646.9616213000004</v>
      </c>
      <c r="J34" s="14">
        <f t="shared" si="1"/>
        <v>1646.9616213000004</v>
      </c>
      <c r="K34" s="13"/>
      <c r="L34" s="13"/>
      <c r="M34" s="13">
        <v>0</v>
      </c>
      <c r="N34" s="13"/>
      <c r="O34" s="13">
        <f t="shared" si="2"/>
        <v>1646.9616213000004</v>
      </c>
      <c r="P34" s="13">
        <f t="shared" si="3"/>
        <v>0</v>
      </c>
      <c r="Q34" s="15">
        <f t="shared" si="4"/>
        <v>1646.9616213000004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Payment_22-28 May-diff.xlsx</v>
      </c>
      <c r="U34" s="19"/>
      <c r="V34" s="36">
        <f t="shared" si="5"/>
        <v>28.821828372750009</v>
      </c>
      <c r="W34" s="20">
        <f t="shared" si="6"/>
        <v>4.1174040532500014</v>
      </c>
      <c r="X34" s="59">
        <f t="shared" si="7"/>
        <v>24.704424319500006</v>
      </c>
      <c r="Y34" s="21">
        <v>0</v>
      </c>
      <c r="Z34" s="48">
        <f t="shared" si="8"/>
        <v>24.704424319500006</v>
      </c>
      <c r="AA34" s="23"/>
      <c r="AB34" s="22" t="str">
        <f>VLOOKUP(C34,DSC_Master!$C$1:$K$200,9,0)</f>
        <v>ABHAY SINGH</v>
      </c>
      <c r="AC34" s="22" t="str">
        <f>VLOOKUP(C34,DSC_Master!$C$1:$J$201,8,0)</f>
        <v>625310110002460</v>
      </c>
      <c r="AD34" s="22" t="str">
        <f>VLOOKUP(C34,DSC_Master!$C$1:$J$201,7,0)</f>
        <v>BKID0006253</v>
      </c>
      <c r="AE34" s="159"/>
      <c r="AF34" s="3">
        <v>1622.58</v>
      </c>
      <c r="AG34" s="5">
        <f t="shared" si="9"/>
        <v>24.381621300000461</v>
      </c>
      <c r="AI34" s="24">
        <v>47</v>
      </c>
      <c r="AJ34" s="24">
        <v>1622.5938828000005</v>
      </c>
      <c r="AK34" s="30">
        <f t="shared" si="10"/>
        <v>0</v>
      </c>
      <c r="AL34" s="30">
        <f t="shared" si="11"/>
        <v>-24.367738499999859</v>
      </c>
    </row>
    <row r="35" spans="1:38" x14ac:dyDescent="0.25">
      <c r="A35" s="8">
        <v>1062</v>
      </c>
      <c r="B35" s="38" t="s">
        <v>320</v>
      </c>
      <c r="C35" s="9">
        <v>10620051</v>
      </c>
      <c r="D35" s="8">
        <f>VLOOKUP(C35,DSC_Master!$C$1:D133,2,0)</f>
        <v>64543</v>
      </c>
      <c r="E35" s="10" t="str">
        <f>VLOOKUP(C35,DSC_Master!$C$1:$K$200,4,0)</f>
        <v>SUHWAL DSK</v>
      </c>
      <c r="F35" s="11" t="s">
        <v>304</v>
      </c>
      <c r="G35" s="11" t="s">
        <v>400</v>
      </c>
      <c r="H35" s="24">
        <v>41405</v>
      </c>
      <c r="I35" s="24">
        <v>1578791.9736740005</v>
      </c>
      <c r="J35" s="14">
        <f t="shared" si="1"/>
        <v>1578791.9736740005</v>
      </c>
      <c r="K35" s="13"/>
      <c r="L35" s="13"/>
      <c r="M35" s="13">
        <v>0</v>
      </c>
      <c r="N35" s="13"/>
      <c r="O35" s="13">
        <f t="shared" si="2"/>
        <v>1578791.9736740005</v>
      </c>
      <c r="P35" s="13">
        <f t="shared" si="3"/>
        <v>0</v>
      </c>
      <c r="Q35" s="15">
        <f t="shared" si="4"/>
        <v>1578791.9736740005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Payment_22-28 May-diff.xlsx</v>
      </c>
      <c r="U35" s="19"/>
      <c r="V35" s="36">
        <f t="shared" si="5"/>
        <v>27628.859539295012</v>
      </c>
      <c r="W35" s="20">
        <f t="shared" si="6"/>
        <v>3946.9799341850012</v>
      </c>
      <c r="X35" s="59">
        <f t="shared" si="7"/>
        <v>23681.879605110011</v>
      </c>
      <c r="Y35" s="21">
        <v>0</v>
      </c>
      <c r="Z35" s="48">
        <f t="shared" si="8"/>
        <v>23681.879605110011</v>
      </c>
      <c r="AB35" s="22" t="str">
        <f>VLOOKUP(C35,DSC_Master!$C$1:$K$200,9,0)</f>
        <v>ADITI PANDEY</v>
      </c>
      <c r="AC35" s="22" t="str">
        <f>VLOOKUP(C35,DSC_Master!$C$1:$J$201,8,0)</f>
        <v>719210110003860</v>
      </c>
      <c r="AD35" s="22" t="str">
        <f>VLOOKUP(C35,DSC_Master!$C$1:$J$201,7,0)</f>
        <v>BKID0007192</v>
      </c>
      <c r="AE35" s="159"/>
      <c r="AF35" s="3">
        <v>1260209.5</v>
      </c>
      <c r="AG35" s="5">
        <f t="shared" si="9"/>
        <v>318582.47367400047</v>
      </c>
      <c r="AI35" s="24">
        <v>34145</v>
      </c>
      <c r="AJ35" s="24">
        <v>1263763.8153200001</v>
      </c>
      <c r="AK35" s="30">
        <f t="shared" si="10"/>
        <v>-7260</v>
      </c>
      <c r="AL35" s="30">
        <f t="shared" si="11"/>
        <v>-315028.15835400042</v>
      </c>
    </row>
    <row r="36" spans="1:38" x14ac:dyDescent="0.25">
      <c r="A36" s="8">
        <v>1062</v>
      </c>
      <c r="B36" s="38" t="s">
        <v>320</v>
      </c>
      <c r="C36" s="9">
        <v>10620052</v>
      </c>
      <c r="D36" s="8">
        <f>VLOOKUP(C36,DSC_Master!$C$1:D134,2,0)</f>
        <v>60614</v>
      </c>
      <c r="E36" s="10" t="str">
        <f>VLOOKUP(C36,DSC_Master!$C$1:$K$200,4,0)</f>
        <v>BAHPURA DSK</v>
      </c>
      <c r="F36" s="11" t="s">
        <v>304</v>
      </c>
      <c r="G36" s="11" t="s">
        <v>400</v>
      </c>
      <c r="H36" s="24">
        <v>1041</v>
      </c>
      <c r="I36" s="24">
        <v>43484.116262100004</v>
      </c>
      <c r="J36" s="14">
        <f t="shared" si="1"/>
        <v>43484.116262100004</v>
      </c>
      <c r="K36" s="13"/>
      <c r="L36" s="13"/>
      <c r="M36" s="13">
        <v>0</v>
      </c>
      <c r="N36" s="13"/>
      <c r="O36" s="13">
        <f t="shared" si="2"/>
        <v>43484.116262100004</v>
      </c>
      <c r="P36" s="13">
        <f t="shared" si="3"/>
        <v>0</v>
      </c>
      <c r="Q36" s="15">
        <f t="shared" si="4"/>
        <v>43484.116262100004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Payment_22-28 May-diff.xlsx</v>
      </c>
      <c r="U36" s="19"/>
      <c r="V36" s="36">
        <f t="shared" si="5"/>
        <v>760.97203458675017</v>
      </c>
      <c r="W36" s="20">
        <f t="shared" si="6"/>
        <v>108.71029065525001</v>
      </c>
      <c r="X36" s="59">
        <f t="shared" si="7"/>
        <v>652.26174393150018</v>
      </c>
      <c r="Y36" s="21">
        <v>0</v>
      </c>
      <c r="Z36" s="48">
        <f t="shared" si="8"/>
        <v>652.26174393150018</v>
      </c>
      <c r="AB36" s="22" t="str">
        <f>VLOOKUP(C36,DSC_Master!$C$1:$K$200,9,0)</f>
        <v>ARVIND SINGH</v>
      </c>
      <c r="AC36" s="22" t="str">
        <f>VLOOKUP(C36,DSC_Master!$C$1:$J$201,8,0)</f>
        <v>2784000100277129</v>
      </c>
      <c r="AD36" s="22" t="str">
        <f>VLOOKUP(C36,DSC_Master!$C$1:$J$201,7,0)</f>
        <v>PUNB0278400</v>
      </c>
      <c r="AE36" s="159"/>
      <c r="AF36" s="3">
        <v>43074.01</v>
      </c>
      <c r="AG36" s="5">
        <f t="shared" si="9"/>
        <v>410.10626210000191</v>
      </c>
      <c r="AI36" s="24">
        <v>1041</v>
      </c>
      <c r="AJ36" s="24">
        <v>43073.784576000005</v>
      </c>
      <c r="AK36" s="30">
        <f t="shared" si="10"/>
        <v>0</v>
      </c>
      <c r="AL36" s="30">
        <f t="shared" si="11"/>
        <v>-410.33168609999848</v>
      </c>
    </row>
    <row r="37" spans="1:38" x14ac:dyDescent="0.25">
      <c r="A37" s="8">
        <v>1062</v>
      </c>
      <c r="B37" s="38" t="s">
        <v>320</v>
      </c>
      <c r="C37" s="9">
        <v>10620053</v>
      </c>
      <c r="D37" s="8">
        <f>VLOOKUP(C37,DSC_Master!$C$1:D135,2,0)</f>
        <v>64573</v>
      </c>
      <c r="E37" s="10" t="str">
        <f>VLOOKUP(C37,DSC_Master!$C$1:$K$200,4,0)</f>
        <v>KAMHARI DSK</v>
      </c>
      <c r="F37" s="11" t="s">
        <v>304</v>
      </c>
      <c r="G37" s="11" t="s">
        <v>400</v>
      </c>
      <c r="H37" s="24">
        <v>1039</v>
      </c>
      <c r="I37" s="24">
        <v>39455.499365800009</v>
      </c>
      <c r="J37" s="14">
        <f t="shared" si="1"/>
        <v>39455.499365800009</v>
      </c>
      <c r="K37" s="13"/>
      <c r="L37" s="13"/>
      <c r="M37" s="13">
        <v>0</v>
      </c>
      <c r="N37" s="13"/>
      <c r="O37" s="13">
        <f t="shared" si="2"/>
        <v>39455.499365800009</v>
      </c>
      <c r="P37" s="13">
        <f t="shared" si="3"/>
        <v>0</v>
      </c>
      <c r="Q37" s="15">
        <f t="shared" si="4"/>
        <v>39455.499365800009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Payment_22-28 May-diff.xlsx</v>
      </c>
      <c r="U37" s="19"/>
      <c r="V37" s="36">
        <f t="shared" si="5"/>
        <v>690.47123890150021</v>
      </c>
      <c r="W37" s="20">
        <f t="shared" si="6"/>
        <v>98.638748414500029</v>
      </c>
      <c r="X37" s="59">
        <f t="shared" si="7"/>
        <v>591.8324904870002</v>
      </c>
      <c r="Y37" s="21">
        <v>0</v>
      </c>
      <c r="Z37" s="48">
        <f t="shared" si="8"/>
        <v>591.8324904870002</v>
      </c>
      <c r="AB37" s="22" t="str">
        <f>VLOOKUP(C37,DSC_Master!$C$1:$K$200,9,0)</f>
        <v>ARVIND SINGH</v>
      </c>
      <c r="AC37" s="22" t="str">
        <f>VLOOKUP(C37,DSC_Master!$C$1:$J$201,8,0)</f>
        <v>6008000100167773</v>
      </c>
      <c r="AD37" s="22" t="str">
        <f>VLOOKUP(C37,DSC_Master!$C$1:$J$201,7,0)</f>
        <v>PUNB0600800</v>
      </c>
      <c r="AE37" s="159"/>
      <c r="AF37" s="3">
        <v>38846.86</v>
      </c>
      <c r="AG37" s="5">
        <f t="shared" si="9"/>
        <v>608.63936580000882</v>
      </c>
      <c r="AI37" s="24">
        <v>1039</v>
      </c>
      <c r="AJ37" s="24">
        <v>38837.142080800018</v>
      </c>
      <c r="AK37" s="30">
        <f t="shared" si="10"/>
        <v>0</v>
      </c>
      <c r="AL37" s="30">
        <f t="shared" si="11"/>
        <v>-618.35728499999095</v>
      </c>
    </row>
    <row r="38" spans="1:38" x14ac:dyDescent="0.25">
      <c r="A38" s="8">
        <v>1062</v>
      </c>
      <c r="B38" s="38" t="s">
        <v>320</v>
      </c>
      <c r="C38" s="9">
        <v>10620054</v>
      </c>
      <c r="D38" s="8">
        <f>VLOOKUP(C38,DSC_Master!$C$1:D136,2,0)</f>
        <v>64562</v>
      </c>
      <c r="E38" s="10" t="str">
        <f>VLOOKUP(C38,DSC_Master!$C$1:$K$200,4,0)</f>
        <v>KAJARIYA DSK</v>
      </c>
      <c r="F38" s="11" t="s">
        <v>304</v>
      </c>
      <c r="G38" s="11" t="s">
        <v>400</v>
      </c>
      <c r="H38" s="24">
        <v>837</v>
      </c>
      <c r="I38" s="24">
        <v>37012.4130946</v>
      </c>
      <c r="J38" s="14">
        <f t="shared" si="1"/>
        <v>37012.4130946</v>
      </c>
      <c r="K38" s="13"/>
      <c r="L38" s="13"/>
      <c r="M38" s="13">
        <v>0</v>
      </c>
      <c r="N38" s="13"/>
      <c r="O38" s="13">
        <f t="shared" si="2"/>
        <v>37012.4130946</v>
      </c>
      <c r="P38" s="13">
        <f t="shared" si="3"/>
        <v>0</v>
      </c>
      <c r="Q38" s="15">
        <f t="shared" si="4"/>
        <v>37012.4130946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Payment_22-28 May-diff.xlsx</v>
      </c>
      <c r="U38" s="19"/>
      <c r="V38" s="36">
        <f t="shared" si="5"/>
        <v>647.71722915550004</v>
      </c>
      <c r="W38" s="20">
        <f t="shared" si="6"/>
        <v>92.531032736500009</v>
      </c>
      <c r="X38" s="59">
        <f t="shared" si="7"/>
        <v>555.186196419</v>
      </c>
      <c r="Y38" s="21">
        <v>0</v>
      </c>
      <c r="Z38" s="48">
        <f t="shared" si="8"/>
        <v>555.186196419</v>
      </c>
      <c r="AB38" s="22" t="str">
        <f>VLOOKUP(C38,DSC_Master!$C$1:$K$200,9,0)</f>
        <v>HARERAM KUMAR</v>
      </c>
      <c r="AC38" s="22" t="str">
        <f>VLOOKUP(C38,DSC_Master!$C$1:$J$201,8,0)</f>
        <v>924010015769691</v>
      </c>
      <c r="AD38" s="22" t="str">
        <f>VLOOKUP(C38,DSC_Master!$C$1:$J$201,7,0)</f>
        <v>UTIB0001816</v>
      </c>
      <c r="AE38" s="159"/>
      <c r="AF38" s="3">
        <v>36592.19</v>
      </c>
      <c r="AG38" s="5">
        <f t="shared" si="9"/>
        <v>420.22309459999815</v>
      </c>
      <c r="AI38" s="24">
        <v>837</v>
      </c>
      <c r="AJ38" s="24">
        <v>36591.6159052</v>
      </c>
      <c r="AK38" s="30">
        <f t="shared" si="10"/>
        <v>0</v>
      </c>
      <c r="AL38" s="30">
        <f t="shared" si="11"/>
        <v>-420.79718940000021</v>
      </c>
    </row>
    <row r="39" spans="1:38" x14ac:dyDescent="0.25">
      <c r="A39" s="8">
        <v>1062</v>
      </c>
      <c r="B39" s="38" t="s">
        <v>320</v>
      </c>
      <c r="C39" s="9">
        <v>10620056</v>
      </c>
      <c r="D39" s="8">
        <f>VLOOKUP(C39,DSC_Master!$C$1:D137,2,0)</f>
        <v>64501</v>
      </c>
      <c r="E39" s="10" t="str">
        <f>VLOOKUP(C39,DSC_Master!$C$1:$K$200,4,0)</f>
        <v>SAHUKA DSK</v>
      </c>
      <c r="F39" s="11" t="s">
        <v>304</v>
      </c>
      <c r="G39" s="11" t="s">
        <v>400</v>
      </c>
      <c r="H39" s="24">
        <v>232</v>
      </c>
      <c r="I39" s="24">
        <v>9321.0479694000005</v>
      </c>
      <c r="J39" s="14">
        <f t="shared" si="1"/>
        <v>9321.0479694000005</v>
      </c>
      <c r="K39" s="13"/>
      <c r="L39" s="13"/>
      <c r="M39" s="13">
        <v>0</v>
      </c>
      <c r="N39" s="13"/>
      <c r="O39" s="13">
        <f t="shared" si="2"/>
        <v>9321.0479694000005</v>
      </c>
      <c r="P39" s="13">
        <f t="shared" si="3"/>
        <v>0</v>
      </c>
      <c r="Q39" s="15">
        <f t="shared" si="4"/>
        <v>9321.0479694000005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Payment_22-28 May-diff.xlsx</v>
      </c>
      <c r="U39" s="19"/>
      <c r="V39" s="36">
        <f t="shared" si="5"/>
        <v>163.11833946450002</v>
      </c>
      <c r="W39" s="20">
        <f t="shared" si="6"/>
        <v>23.3026199235</v>
      </c>
      <c r="X39" s="59">
        <f t="shared" si="7"/>
        <v>139.81571954100002</v>
      </c>
      <c r="Y39" s="21">
        <v>0</v>
      </c>
      <c r="Z39" s="48">
        <f t="shared" si="8"/>
        <v>139.81571954100002</v>
      </c>
      <c r="AB39" s="22" t="str">
        <f>VLOOKUP(C39,DSC_Master!$C$1:$K$200,9,0)</f>
        <v>ISARAT PRAVIN</v>
      </c>
      <c r="AC39" s="22" t="str">
        <f>VLOOKUP(C39,DSC_Master!$C$1:$J$201,8,0)</f>
        <v>441810110004179</v>
      </c>
      <c r="AD39" s="22" t="str">
        <f>VLOOKUP(C39,DSC_Master!$C$1:$J$201,7,0)</f>
        <v>BKID0004418</v>
      </c>
      <c r="AE39" s="159"/>
      <c r="AF39" s="3">
        <v>9094.17</v>
      </c>
      <c r="AG39" s="5">
        <f t="shared" si="9"/>
        <v>226.87796940000044</v>
      </c>
      <c r="AI39" s="24">
        <v>232</v>
      </c>
      <c r="AJ39" s="24">
        <v>9093.8636316000011</v>
      </c>
      <c r="AK39" s="30">
        <f t="shared" si="10"/>
        <v>0</v>
      </c>
      <c r="AL39" s="30">
        <f t="shared" si="11"/>
        <v>-227.18433779999941</v>
      </c>
    </row>
    <row r="40" spans="1:38" x14ac:dyDescent="0.25">
      <c r="A40" s="8">
        <v>1062</v>
      </c>
      <c r="B40" s="38" t="s">
        <v>320</v>
      </c>
      <c r="C40" s="9">
        <v>10620057</v>
      </c>
      <c r="D40" s="8">
        <f>VLOOKUP(C40,DSC_Master!$C$1:D138,2,0)</f>
        <v>64511</v>
      </c>
      <c r="E40" s="10" t="str">
        <f>VLOOKUP(C40,DSC_Master!$C$1:$K$200,4,0)</f>
        <v>DAROLI DSK</v>
      </c>
      <c r="F40" s="11" t="s">
        <v>304</v>
      </c>
      <c r="G40" s="11" t="s">
        <v>400</v>
      </c>
      <c r="H40" s="24">
        <v>602</v>
      </c>
      <c r="I40" s="24">
        <v>29097.969023900001</v>
      </c>
      <c r="J40" s="14">
        <f t="shared" si="1"/>
        <v>29097.969023900001</v>
      </c>
      <c r="K40" s="13"/>
      <c r="L40" s="13"/>
      <c r="M40" s="13">
        <v>0</v>
      </c>
      <c r="N40" s="13"/>
      <c r="O40" s="13">
        <f t="shared" si="2"/>
        <v>29097.969023900001</v>
      </c>
      <c r="P40" s="13">
        <f t="shared" si="3"/>
        <v>0</v>
      </c>
      <c r="Q40" s="15">
        <f t="shared" si="4"/>
        <v>29097.969023900001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Payment_22-28 May-diff.xlsx</v>
      </c>
      <c r="U40" s="19"/>
      <c r="V40" s="36">
        <f t="shared" si="5"/>
        <v>509.21445791825005</v>
      </c>
      <c r="W40" s="20">
        <f t="shared" si="6"/>
        <v>72.744922559750009</v>
      </c>
      <c r="X40" s="59">
        <f t="shared" si="7"/>
        <v>436.46953535850002</v>
      </c>
      <c r="Y40" s="21">
        <v>0</v>
      </c>
      <c r="Z40" s="48">
        <f t="shared" si="8"/>
        <v>436.46953535850002</v>
      </c>
      <c r="AB40" s="22" t="str">
        <f>VLOOKUP(C40,DSC_Master!$C$1:$K$200,9,0)</f>
        <v>KAPIL MUNI SINGH</v>
      </c>
      <c r="AC40" s="22" t="str">
        <f>VLOOKUP(C40,DSC_Master!$C$1:$J$201,8,0)</f>
        <v>461110100003922</v>
      </c>
      <c r="AD40" s="22" t="str">
        <f>VLOOKUP(C40,DSC_Master!$C$1:$J$201,7,0)</f>
        <v>BKID0004611</v>
      </c>
      <c r="AE40" s="159"/>
      <c r="AF40" s="3">
        <v>28965.1</v>
      </c>
      <c r="AG40" s="5">
        <f t="shared" si="9"/>
        <v>132.8690239000025</v>
      </c>
      <c r="AI40" s="24">
        <v>602</v>
      </c>
      <c r="AJ40" s="24">
        <v>28964.1881564</v>
      </c>
      <c r="AK40" s="30">
        <f t="shared" si="10"/>
        <v>0</v>
      </c>
      <c r="AL40" s="30">
        <f t="shared" si="11"/>
        <v>-133.78086750000148</v>
      </c>
    </row>
    <row r="41" spans="1:38" x14ac:dyDescent="0.25">
      <c r="A41" s="8">
        <v>1062</v>
      </c>
      <c r="B41" s="38" t="s">
        <v>320</v>
      </c>
      <c r="C41" s="9">
        <v>10620058</v>
      </c>
      <c r="D41" s="8">
        <f>VLOOKUP(C41,DSC_Master!$C$1:D139,2,0)</f>
        <v>64541</v>
      </c>
      <c r="E41" s="10" t="str">
        <f>VLOOKUP(C41,DSC_Master!$C$1:$K$200,4,0)</f>
        <v>JALDHAH DSK</v>
      </c>
      <c r="F41" s="11" t="s">
        <v>304</v>
      </c>
      <c r="G41" s="11" t="s">
        <v>400</v>
      </c>
      <c r="H41" s="24">
        <v>203</v>
      </c>
      <c r="I41" s="24">
        <v>8133.720288700003</v>
      </c>
      <c r="J41" s="14">
        <f t="shared" si="1"/>
        <v>8133.720288700003</v>
      </c>
      <c r="K41" s="13"/>
      <c r="L41" s="13"/>
      <c r="M41" s="13">
        <v>0</v>
      </c>
      <c r="N41" s="13"/>
      <c r="O41" s="13">
        <f t="shared" si="2"/>
        <v>8133.720288700003</v>
      </c>
      <c r="P41" s="13">
        <f t="shared" si="3"/>
        <v>0</v>
      </c>
      <c r="Q41" s="15">
        <f t="shared" si="4"/>
        <v>8133.720288700003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Payment_22-28 May-diff.xlsx</v>
      </c>
      <c r="U41" s="19"/>
      <c r="V41" s="36">
        <f t="shared" si="5"/>
        <v>142.34010505225007</v>
      </c>
      <c r="W41" s="20">
        <f t="shared" si="6"/>
        <v>20.334300721750008</v>
      </c>
      <c r="X41" s="59">
        <f t="shared" si="7"/>
        <v>122.00580433050006</v>
      </c>
      <c r="Y41" s="21">
        <v>0</v>
      </c>
      <c r="Z41" s="48">
        <f t="shared" si="8"/>
        <v>122.00580433050006</v>
      </c>
      <c r="AB41" s="22" t="str">
        <f>VLOOKUP(C41,DSC_Master!$C$1:$K$200,9,0)</f>
        <v>KIRAN DEVI</v>
      </c>
      <c r="AC41" s="22" t="str">
        <f>VLOOKUP(C41,DSC_Master!$C$1:$J$201,8,0)</f>
        <v>00070100029906</v>
      </c>
      <c r="AD41" s="22" t="str">
        <f>VLOOKUP(C41,DSC_Master!$C$1:$J$201,7,0)</f>
        <v>BARB0MOHANI</v>
      </c>
      <c r="AE41" s="159"/>
      <c r="AF41" s="3">
        <v>8017.25</v>
      </c>
      <c r="AG41" s="5">
        <f t="shared" si="9"/>
        <v>116.47028870000304</v>
      </c>
      <c r="AI41" s="24">
        <v>203</v>
      </c>
      <c r="AJ41" s="24">
        <v>8017.2089056000023</v>
      </c>
      <c r="AK41" s="30">
        <f t="shared" si="10"/>
        <v>0</v>
      </c>
      <c r="AL41" s="30">
        <f t="shared" si="11"/>
        <v>-116.51138310000078</v>
      </c>
    </row>
    <row r="42" spans="1:38" x14ac:dyDescent="0.25">
      <c r="A42" s="8">
        <v>1062</v>
      </c>
      <c r="B42" s="38" t="s">
        <v>320</v>
      </c>
      <c r="C42" s="9">
        <v>10620059</v>
      </c>
      <c r="D42" s="8">
        <f>VLOOKUP(C42,DSC_Master!$C$1:D140,2,0)</f>
        <v>60566</v>
      </c>
      <c r="E42" s="10" t="str">
        <f>VLOOKUP(C42,DSC_Master!$C$1:$K$200,4,0)</f>
        <v>BARUNA DSK</v>
      </c>
      <c r="F42" s="11" t="s">
        <v>304</v>
      </c>
      <c r="G42" s="11" t="s">
        <v>400</v>
      </c>
      <c r="H42" s="24">
        <v>815</v>
      </c>
      <c r="I42" s="24">
        <v>32987.814172500002</v>
      </c>
      <c r="J42" s="14">
        <f t="shared" si="1"/>
        <v>32987.814172500002</v>
      </c>
      <c r="K42" s="13"/>
      <c r="L42" s="13"/>
      <c r="M42" s="13">
        <v>0</v>
      </c>
      <c r="N42" s="13"/>
      <c r="O42" s="13">
        <f t="shared" si="2"/>
        <v>32987.814172500002</v>
      </c>
      <c r="P42" s="13">
        <f t="shared" si="3"/>
        <v>0</v>
      </c>
      <c r="Q42" s="15">
        <f t="shared" si="4"/>
        <v>32987.814172500002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Payment_22-28 May-diff.xlsx</v>
      </c>
      <c r="U42" s="19"/>
      <c r="V42" s="36">
        <f t="shared" si="5"/>
        <v>577.28674801875013</v>
      </c>
      <c r="W42" s="20">
        <f t="shared" si="6"/>
        <v>82.469535431250009</v>
      </c>
      <c r="X42" s="59">
        <f t="shared" si="7"/>
        <v>494.81721258750014</v>
      </c>
      <c r="Y42" s="21">
        <v>0</v>
      </c>
      <c r="Z42" s="48">
        <f t="shared" si="8"/>
        <v>494.81721258750014</v>
      </c>
      <c r="AB42" s="22" t="str">
        <f>VLOOKUP(C42,DSC_Master!$C$1:$K$200,9,0)</f>
        <v>KRISHNA NAND SINGH</v>
      </c>
      <c r="AC42" s="22" t="str">
        <f>VLOOKUP(C42,DSC_Master!$C$1:$J$201,8,0)</f>
        <v>625310110006613</v>
      </c>
      <c r="AD42" s="22" t="str">
        <f>VLOOKUP(C42,DSC_Master!$C$1:$J$201,7,0)</f>
        <v>BKID0006253</v>
      </c>
      <c r="AE42" s="159"/>
      <c r="AF42" s="3">
        <v>32573.33</v>
      </c>
      <c r="AG42" s="5">
        <f t="shared" si="9"/>
        <v>414.48417250000057</v>
      </c>
      <c r="AI42" s="24">
        <v>815</v>
      </c>
      <c r="AJ42" s="24">
        <v>32573.800254000002</v>
      </c>
      <c r="AK42" s="30">
        <f t="shared" si="10"/>
        <v>0</v>
      </c>
      <c r="AL42" s="30">
        <f t="shared" si="11"/>
        <v>-414.01391850000073</v>
      </c>
    </row>
    <row r="43" spans="1:38" x14ac:dyDescent="0.25">
      <c r="A43" s="8">
        <v>1062</v>
      </c>
      <c r="B43" s="38" t="s">
        <v>320</v>
      </c>
      <c r="C43" s="9">
        <v>10620061</v>
      </c>
      <c r="D43" s="8">
        <f>VLOOKUP(C43,DSC_Master!$C$1:D141,2,0)</f>
        <v>60605</v>
      </c>
      <c r="E43" s="10" t="str">
        <f>VLOOKUP(C43,DSC_Master!$C$1:$K$200,4,0)</f>
        <v>BADORA DSK</v>
      </c>
      <c r="F43" s="11" t="s">
        <v>304</v>
      </c>
      <c r="G43" s="11" t="s">
        <v>400</v>
      </c>
      <c r="H43" s="24">
        <v>838</v>
      </c>
      <c r="I43" s="24">
        <v>37380.120620999995</v>
      </c>
      <c r="J43" s="14">
        <f t="shared" si="1"/>
        <v>37380.120620999995</v>
      </c>
      <c r="K43" s="13"/>
      <c r="L43" s="13"/>
      <c r="M43" s="13">
        <v>0</v>
      </c>
      <c r="N43" s="13"/>
      <c r="O43" s="13">
        <f t="shared" si="2"/>
        <v>37380.120620999995</v>
      </c>
      <c r="P43" s="13">
        <f t="shared" si="3"/>
        <v>0</v>
      </c>
      <c r="Q43" s="15">
        <f t="shared" si="4"/>
        <v>37380.120620999995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Payment_22-28 May-diff.xlsx</v>
      </c>
      <c r="U43" s="19"/>
      <c r="V43" s="36">
        <f t="shared" si="5"/>
        <v>654.15211086749991</v>
      </c>
      <c r="W43" s="20">
        <f t="shared" si="6"/>
        <v>93.450301552499994</v>
      </c>
      <c r="X43" s="59">
        <f t="shared" si="7"/>
        <v>560.70180931499988</v>
      </c>
      <c r="Y43" s="21">
        <v>0</v>
      </c>
      <c r="Z43" s="48">
        <f t="shared" si="8"/>
        <v>560.70180931499988</v>
      </c>
      <c r="AB43" s="22" t="str">
        <f>VLOOKUP(C43,DSC_Master!$C$1:$K$200,9,0)</f>
        <v>SUMAN DEVI</v>
      </c>
      <c r="AC43" s="22" t="str">
        <f>VLOOKUP(C43,DSC_Master!$C$1:$J$201,8,0)</f>
        <v>40819491150</v>
      </c>
      <c r="AD43" s="22" t="str">
        <f>VLOOKUP(C43,DSC_Master!$C$1:$J$201,7,0)</f>
        <v>SBIN0011251</v>
      </c>
      <c r="AE43" s="159"/>
      <c r="AF43" s="3">
        <v>37159.4</v>
      </c>
      <c r="AG43" s="5">
        <f t="shared" si="9"/>
        <v>220.72062099999312</v>
      </c>
      <c r="AI43" s="24">
        <v>838</v>
      </c>
      <c r="AJ43" s="24">
        <v>37181.685728399993</v>
      </c>
      <c r="AK43" s="30">
        <f t="shared" si="10"/>
        <v>0</v>
      </c>
      <c r="AL43" s="30">
        <f t="shared" si="11"/>
        <v>-198.43489260000206</v>
      </c>
    </row>
    <row r="44" spans="1:38" x14ac:dyDescent="0.25">
      <c r="A44" s="8">
        <v>1062</v>
      </c>
      <c r="B44" s="38" t="s">
        <v>320</v>
      </c>
      <c r="C44" s="9">
        <v>10620062</v>
      </c>
      <c r="D44" s="8">
        <f>VLOOKUP(C44,DSC_Master!$C$1:D142,2,0)</f>
        <v>64590</v>
      </c>
      <c r="E44" s="10" t="str">
        <f>VLOOKUP(C44,DSC_Master!$C$1:$K$200,4,0)</f>
        <v>CHATRA DSK</v>
      </c>
      <c r="F44" s="11" t="s">
        <v>304</v>
      </c>
      <c r="G44" s="11" t="s">
        <v>400</v>
      </c>
      <c r="H44" s="24">
        <v>276</v>
      </c>
      <c r="I44" s="24">
        <v>14150.887143800002</v>
      </c>
      <c r="J44" s="14">
        <f t="shared" si="1"/>
        <v>14150.887143800002</v>
      </c>
      <c r="K44" s="13"/>
      <c r="L44" s="13"/>
      <c r="M44" s="13">
        <v>0</v>
      </c>
      <c r="N44" s="13"/>
      <c r="O44" s="13">
        <f t="shared" si="2"/>
        <v>14150.887143800002</v>
      </c>
      <c r="P44" s="13">
        <f t="shared" si="3"/>
        <v>0</v>
      </c>
      <c r="Q44" s="15">
        <f t="shared" si="4"/>
        <v>14150.887143800002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Payment_22-28 May-diff.xlsx</v>
      </c>
      <c r="U44" s="19"/>
      <c r="V44" s="36">
        <f t="shared" si="5"/>
        <v>247.64052501650008</v>
      </c>
      <c r="W44" s="20">
        <f t="shared" si="6"/>
        <v>35.377217859500007</v>
      </c>
      <c r="X44" s="59">
        <f t="shared" si="7"/>
        <v>212.26330715700007</v>
      </c>
      <c r="Y44" s="21">
        <v>0</v>
      </c>
      <c r="Z44" s="48">
        <f t="shared" si="8"/>
        <v>212.26330715700007</v>
      </c>
      <c r="AB44" s="22" t="str">
        <f>VLOOKUP(C44,DSC_Master!$C$1:$K$200,9,0)</f>
        <v>USHA DEVI</v>
      </c>
      <c r="AC44" s="22" t="str">
        <f>VLOOKUP(C44,DSC_Master!$C$1:$J$201,8,0)</f>
        <v>39981585891</v>
      </c>
      <c r="AD44" s="22" t="str">
        <f>VLOOKUP(C44,DSC_Master!$C$1:$J$201,7,0)</f>
        <v>SBIN0002964</v>
      </c>
      <c r="AE44" s="159"/>
      <c r="AF44" s="3">
        <v>14065.24</v>
      </c>
      <c r="AG44" s="5">
        <f t="shared" si="9"/>
        <v>85.647143800002596</v>
      </c>
      <c r="AI44" s="24">
        <v>276</v>
      </c>
      <c r="AJ44" s="24">
        <v>14064.784552400002</v>
      </c>
      <c r="AK44" s="30">
        <f t="shared" si="10"/>
        <v>0</v>
      </c>
      <c r="AL44" s="30">
        <f t="shared" si="11"/>
        <v>-86.102591400000165</v>
      </c>
    </row>
    <row r="45" spans="1:38" x14ac:dyDescent="0.25">
      <c r="A45" s="8">
        <v>1062</v>
      </c>
      <c r="B45" s="38" t="s">
        <v>320</v>
      </c>
      <c r="C45" s="9">
        <v>10620063</v>
      </c>
      <c r="D45" s="8">
        <f>VLOOKUP(C45,DSC_Master!$C$1:D143,2,0)</f>
        <v>64532</v>
      </c>
      <c r="E45" s="10" t="str">
        <f>VLOOKUP(C45,DSC_Master!$C$1:$K$200,4,0)</f>
        <v>ASADE DSK</v>
      </c>
      <c r="F45" s="11" t="s">
        <v>304</v>
      </c>
      <c r="G45" s="11" t="s">
        <v>400</v>
      </c>
      <c r="H45" s="24">
        <v>313</v>
      </c>
      <c r="I45" s="24">
        <v>12110.283945000001</v>
      </c>
      <c r="J45" s="14">
        <f t="shared" si="1"/>
        <v>12110.283945000001</v>
      </c>
      <c r="K45" s="13"/>
      <c r="L45" s="13"/>
      <c r="M45" s="13">
        <v>0</v>
      </c>
      <c r="N45" s="13"/>
      <c r="O45" s="13">
        <f t="shared" si="2"/>
        <v>12110.283945000001</v>
      </c>
      <c r="P45" s="13">
        <f t="shared" si="3"/>
        <v>0</v>
      </c>
      <c r="Q45" s="15">
        <f t="shared" si="4"/>
        <v>12110.283945000001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Payment_22-28 May-diff.xlsx</v>
      </c>
      <c r="U45" s="19"/>
      <c r="V45" s="36">
        <f t="shared" si="5"/>
        <v>211.92996903750003</v>
      </c>
      <c r="W45" s="20">
        <f t="shared" si="6"/>
        <v>30.275709862500005</v>
      </c>
      <c r="X45" s="59">
        <f t="shared" si="7"/>
        <v>181.65425917500002</v>
      </c>
      <c r="Y45" s="21">
        <v>0</v>
      </c>
      <c r="Z45" s="48">
        <f t="shared" si="8"/>
        <v>181.65425917500002</v>
      </c>
      <c r="AB45" s="22" t="str">
        <f>VLOOKUP(C45,DSC_Master!$C$1:$K$200,9,0)</f>
        <v>SUNIL KUMAR SINGH</v>
      </c>
      <c r="AC45" s="22" t="str">
        <f>VLOOKUP(C45,DSC_Master!$C$1:$J$201,8,0)</f>
        <v>38205293083</v>
      </c>
      <c r="AD45" s="22" t="str">
        <f>VLOOKUP(C45,DSC_Master!$C$1:$J$201,7,0)</f>
        <v>SBIN0017163</v>
      </c>
      <c r="AE45" s="159"/>
      <c r="AF45" s="3">
        <v>11920.97</v>
      </c>
      <c r="AG45" s="5">
        <f t="shared" si="9"/>
        <v>189.3139450000017</v>
      </c>
      <c r="AI45" s="24">
        <v>313</v>
      </c>
      <c r="AJ45" s="24">
        <v>11920.599155999998</v>
      </c>
      <c r="AK45" s="30">
        <f t="shared" si="10"/>
        <v>0</v>
      </c>
      <c r="AL45" s="30">
        <f t="shared" si="11"/>
        <v>-189.68478900000264</v>
      </c>
    </row>
    <row r="46" spans="1:38" x14ac:dyDescent="0.25">
      <c r="A46" s="8">
        <v>1062</v>
      </c>
      <c r="B46" s="38" t="s">
        <v>320</v>
      </c>
      <c r="C46" s="9">
        <v>10620064</v>
      </c>
      <c r="D46" s="8">
        <f>VLOOKUP(C46,DSC_Master!$C$1:D144,2,0)</f>
        <v>60617</v>
      </c>
      <c r="E46" s="10" t="str">
        <f>VLOOKUP(C46,DSC_Master!$C$1:$K$200,4,0)</f>
        <v>NARHAN DSK</v>
      </c>
      <c r="F46" s="11" t="s">
        <v>304</v>
      </c>
      <c r="G46" s="11" t="s">
        <v>400</v>
      </c>
      <c r="H46" s="24">
        <v>1096</v>
      </c>
      <c r="I46" s="24">
        <v>52346.856122300007</v>
      </c>
      <c r="J46" s="14">
        <f t="shared" si="1"/>
        <v>52346.856122300007</v>
      </c>
      <c r="K46" s="13"/>
      <c r="L46" s="13"/>
      <c r="M46" s="13">
        <v>0</v>
      </c>
      <c r="N46" s="13"/>
      <c r="O46" s="13">
        <f t="shared" si="2"/>
        <v>52346.856122300007</v>
      </c>
      <c r="P46" s="13">
        <f t="shared" si="3"/>
        <v>0</v>
      </c>
      <c r="Q46" s="15">
        <f t="shared" si="4"/>
        <v>52346.856122300007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Payment_22-28 May-diff.xlsx</v>
      </c>
      <c r="U46" s="19"/>
      <c r="V46" s="36">
        <f t="shared" si="5"/>
        <v>916.0699821402502</v>
      </c>
      <c r="W46" s="20">
        <f t="shared" si="6"/>
        <v>130.86714030575001</v>
      </c>
      <c r="X46" s="59">
        <f t="shared" si="7"/>
        <v>785.20284183450019</v>
      </c>
      <c r="Y46" s="21">
        <v>0</v>
      </c>
      <c r="Z46" s="48">
        <f t="shared" si="8"/>
        <v>785.20284183450019</v>
      </c>
      <c r="AB46" s="22" t="str">
        <f>VLOOKUP(C46,DSC_Master!$C$1:$K$200,9,0)</f>
        <v>NARENDRA SINGH</v>
      </c>
      <c r="AC46" s="22" t="str">
        <f>VLOOKUP(C46,DSC_Master!$C$1:$J$201,8,0)</f>
        <v>2784001700058608</v>
      </c>
      <c r="AD46" s="22" t="str">
        <f>VLOOKUP(C46,DSC_Master!$C$1:$J$201,7,0)</f>
        <v>PUNB0278400</v>
      </c>
      <c r="AE46" s="159"/>
      <c r="AF46" s="3">
        <v>52036.09</v>
      </c>
      <c r="AG46" s="5">
        <f t="shared" si="9"/>
        <v>310.76612230001047</v>
      </c>
      <c r="AI46" s="24">
        <v>1096</v>
      </c>
      <c r="AJ46" s="24">
        <v>52033.645979600005</v>
      </c>
      <c r="AK46" s="30">
        <f t="shared" si="10"/>
        <v>0</v>
      </c>
      <c r="AL46" s="30">
        <f t="shared" si="11"/>
        <v>-313.2101427000016</v>
      </c>
    </row>
    <row r="47" spans="1:38" x14ac:dyDescent="0.25">
      <c r="A47" s="8">
        <v>1062</v>
      </c>
      <c r="B47" s="38" t="s">
        <v>320</v>
      </c>
      <c r="C47" s="9">
        <v>10620067</v>
      </c>
      <c r="D47" s="8">
        <f>VLOOKUP(C47,DSC_Master!$C$1:D145,2,0)</f>
        <v>60573</v>
      </c>
      <c r="E47" s="10" t="str">
        <f>VLOOKUP(C47,DSC_Master!$C$1:$K$200,4,0)</f>
        <v>PATKHOLIYA DSK</v>
      </c>
      <c r="F47" s="11" t="s">
        <v>304</v>
      </c>
      <c r="G47" s="11" t="s">
        <v>400</v>
      </c>
      <c r="H47" s="24">
        <v>1722</v>
      </c>
      <c r="I47" s="24">
        <v>78100.180491900028</v>
      </c>
      <c r="J47" s="14">
        <f t="shared" si="1"/>
        <v>78100.180491900028</v>
      </c>
      <c r="K47" s="13"/>
      <c r="L47" s="13"/>
      <c r="M47" s="13">
        <v>0</v>
      </c>
      <c r="N47" s="13"/>
      <c r="O47" s="13">
        <f t="shared" si="2"/>
        <v>78100.180491900028</v>
      </c>
      <c r="P47" s="13">
        <f t="shared" si="3"/>
        <v>0</v>
      </c>
      <c r="Q47" s="15">
        <f t="shared" si="4"/>
        <v>78100.180491900028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Payment_22-28 May-diff.xlsx</v>
      </c>
      <c r="U47" s="19"/>
      <c r="V47" s="36">
        <f t="shared" si="5"/>
        <v>1366.7531586082507</v>
      </c>
      <c r="W47" s="20">
        <f t="shared" si="6"/>
        <v>195.25045122975007</v>
      </c>
      <c r="X47" s="59">
        <f t="shared" si="7"/>
        <v>1171.5027073785006</v>
      </c>
      <c r="Y47" s="21">
        <v>0</v>
      </c>
      <c r="Z47" s="48">
        <f t="shared" si="8"/>
        <v>1171.5027073785006</v>
      </c>
      <c r="AB47" s="22" t="str">
        <f>VLOOKUP(C47,DSC_Master!$C$1:$K$200,9,0)</f>
        <v>RAMESH KUMAR KHARWAR</v>
      </c>
      <c r="AC47" s="22" t="str">
        <f>VLOOKUP(C47,DSC_Master!$C$1:$J$201,8,0)</f>
        <v>2784000100220723</v>
      </c>
      <c r="AD47" s="22" t="str">
        <f>VLOOKUP(C47,DSC_Master!$C$1:$J$201,7,0)</f>
        <v>PUNB0278400</v>
      </c>
      <c r="AE47" s="159"/>
      <c r="AF47" s="3">
        <v>77846.240000000005</v>
      </c>
      <c r="AG47" s="5">
        <f t="shared" si="9"/>
        <v>253.94049190002261</v>
      </c>
      <c r="AI47" s="24">
        <v>1722</v>
      </c>
      <c r="AJ47" s="24">
        <v>77845.484455200014</v>
      </c>
      <c r="AK47" s="30">
        <f t="shared" si="10"/>
        <v>0</v>
      </c>
      <c r="AL47" s="30">
        <f t="shared" si="11"/>
        <v>-254.69603670001379</v>
      </c>
    </row>
    <row r="48" spans="1:38" x14ac:dyDescent="0.25">
      <c r="A48" s="8">
        <v>1062</v>
      </c>
      <c r="B48" s="38" t="s">
        <v>320</v>
      </c>
      <c r="C48" s="9">
        <v>10620068</v>
      </c>
      <c r="D48" s="8">
        <f>VLOOKUP(C48,DSC_Master!$C$1:D146,2,0)</f>
        <v>64539</v>
      </c>
      <c r="E48" s="10" t="str">
        <f>VLOOKUP(C48,DSC_Master!$C$1:$K$200,4,0)</f>
        <v>MOHANPUR DSK</v>
      </c>
      <c r="F48" s="11" t="s">
        <v>304</v>
      </c>
      <c r="G48" s="11" t="s">
        <v>400</v>
      </c>
      <c r="H48" s="24">
        <v>934</v>
      </c>
      <c r="I48" s="24">
        <v>40699.019013400008</v>
      </c>
      <c r="J48" s="14">
        <f t="shared" si="1"/>
        <v>40699.019013400008</v>
      </c>
      <c r="K48" s="13"/>
      <c r="L48" s="13"/>
      <c r="M48" s="13">
        <v>0</v>
      </c>
      <c r="N48" s="13"/>
      <c r="O48" s="13">
        <f t="shared" si="2"/>
        <v>40699.019013400008</v>
      </c>
      <c r="P48" s="13">
        <f t="shared" si="3"/>
        <v>0</v>
      </c>
      <c r="Q48" s="15">
        <f t="shared" si="4"/>
        <v>40699.019013400008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Payment_22-28 May-diff.xlsx</v>
      </c>
      <c r="U48" s="19"/>
      <c r="V48" s="36">
        <f t="shared" si="5"/>
        <v>712.23283273450022</v>
      </c>
      <c r="W48" s="20">
        <f t="shared" si="6"/>
        <v>101.74754753350003</v>
      </c>
      <c r="X48" s="59">
        <f t="shared" si="7"/>
        <v>610.48528520100024</v>
      </c>
      <c r="Y48" s="21">
        <v>0</v>
      </c>
      <c r="Z48" s="48">
        <f t="shared" si="8"/>
        <v>610.48528520100024</v>
      </c>
      <c r="AB48" s="22" t="str">
        <f>VLOOKUP(C48,DSC_Master!$C$1:$K$200,9,0)</f>
        <v>RAS BIHARI SINGH</v>
      </c>
      <c r="AC48" s="22" t="str">
        <f>VLOOKUP(C48,DSC_Master!$C$1:$J$201,8,0)</f>
        <v>460610110004946</v>
      </c>
      <c r="AD48" s="22" t="str">
        <f>VLOOKUP(C48,DSC_Master!$C$1:$J$201,7,0)</f>
        <v>BKID0006253</v>
      </c>
      <c r="AE48" s="159"/>
      <c r="AF48" s="3">
        <v>40355.1</v>
      </c>
      <c r="AG48" s="5">
        <f t="shared" si="9"/>
        <v>343.91901340000913</v>
      </c>
      <c r="AI48" s="24">
        <v>934</v>
      </c>
      <c r="AJ48" s="24">
        <v>40353.978450400005</v>
      </c>
      <c r="AK48" s="30">
        <f t="shared" si="10"/>
        <v>0</v>
      </c>
      <c r="AL48" s="30">
        <f t="shared" si="11"/>
        <v>-345.04056300000229</v>
      </c>
    </row>
    <row r="49" spans="1:38" x14ac:dyDescent="0.25">
      <c r="A49" s="8">
        <v>1062</v>
      </c>
      <c r="B49" s="38" t="s">
        <v>320</v>
      </c>
      <c r="C49" s="9">
        <v>10620069</v>
      </c>
      <c r="D49" s="8">
        <f>VLOOKUP(C49,DSC_Master!$C$1:D147,2,0)</f>
        <v>64567</v>
      </c>
      <c r="E49" s="10" t="str">
        <f>VLOOKUP(C49,DSC_Master!$C$1:$K$200,4,0)</f>
        <v>CHANDDWA DSK</v>
      </c>
      <c r="F49" s="11" t="s">
        <v>304</v>
      </c>
      <c r="G49" s="11" t="s">
        <v>400</v>
      </c>
      <c r="H49" s="24">
        <v>737</v>
      </c>
      <c r="I49" s="24">
        <v>33217.894761299998</v>
      </c>
      <c r="J49" s="14">
        <f t="shared" si="1"/>
        <v>33217.894761299998</v>
      </c>
      <c r="K49" s="13"/>
      <c r="L49" s="13"/>
      <c r="M49" s="13">
        <v>0</v>
      </c>
      <c r="N49" s="13"/>
      <c r="O49" s="13">
        <f t="shared" si="2"/>
        <v>33217.894761299998</v>
      </c>
      <c r="P49" s="13">
        <f t="shared" si="3"/>
        <v>0</v>
      </c>
      <c r="Q49" s="15">
        <f t="shared" si="4"/>
        <v>33217.894761299998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Payment_22-28 May-diff.xlsx</v>
      </c>
      <c r="U49" s="19"/>
      <c r="V49" s="36">
        <f t="shared" si="5"/>
        <v>581.31315832275004</v>
      </c>
      <c r="W49" s="20">
        <f t="shared" si="6"/>
        <v>83.044736903249998</v>
      </c>
      <c r="X49" s="59">
        <f t="shared" si="7"/>
        <v>498.26842141950004</v>
      </c>
      <c r="Y49" s="21">
        <v>0</v>
      </c>
      <c r="Z49" s="48">
        <f t="shared" si="8"/>
        <v>498.26842141950004</v>
      </c>
      <c r="AA49" s="23"/>
      <c r="AB49" s="22" t="str">
        <f>VLOOKUP(C49,DSC_Master!$C$1:$K$200,9,0)</f>
        <v>RAVI KUMAR PATEL</v>
      </c>
      <c r="AC49" s="22" t="str">
        <f>VLOOKUP(C49,DSC_Master!$C$1:$J$201,8,0)</f>
        <v>21910100008905</v>
      </c>
      <c r="AD49" s="22" t="str">
        <f>VLOOKUP(C49,DSC_Master!$C$1:$J$201,7,0)</f>
        <v>BARB0DAMOHA</v>
      </c>
      <c r="AE49" s="159"/>
      <c r="AF49" s="3">
        <v>32940.93</v>
      </c>
      <c r="AG49" s="5">
        <f t="shared" si="9"/>
        <v>276.96476129999792</v>
      </c>
      <c r="AI49" s="24">
        <v>737</v>
      </c>
      <c r="AJ49" s="24">
        <v>32940.384941999997</v>
      </c>
      <c r="AK49" s="30">
        <f t="shared" si="10"/>
        <v>0</v>
      </c>
      <c r="AL49" s="30">
        <f t="shared" si="11"/>
        <v>-277.50981930000125</v>
      </c>
    </row>
    <row r="50" spans="1:38" x14ac:dyDescent="0.25">
      <c r="A50" s="8">
        <v>1062</v>
      </c>
      <c r="B50" s="38" t="s">
        <v>320</v>
      </c>
      <c r="C50" s="9">
        <v>10620070</v>
      </c>
      <c r="D50" s="8">
        <f>VLOOKUP(C50,DSC_Master!$C$1:D148,2,0)</f>
        <v>60616</v>
      </c>
      <c r="E50" s="10" t="str">
        <f>VLOOKUP(C50,DSC_Master!$C$1:$K$200,4,0)</f>
        <v>AKHOLI DSK</v>
      </c>
      <c r="F50" s="11" t="s">
        <v>304</v>
      </c>
      <c r="G50" s="11" t="s">
        <v>400</v>
      </c>
      <c r="H50" s="24">
        <v>990</v>
      </c>
      <c r="I50" s="24">
        <v>40921.4739998</v>
      </c>
      <c r="J50" s="14">
        <f t="shared" si="1"/>
        <v>40921.4739998</v>
      </c>
      <c r="K50" s="13"/>
      <c r="L50" s="13"/>
      <c r="M50" s="13">
        <v>0</v>
      </c>
      <c r="N50" s="13"/>
      <c r="O50" s="13">
        <f t="shared" si="2"/>
        <v>40921.4739998</v>
      </c>
      <c r="P50" s="13">
        <f t="shared" si="3"/>
        <v>0</v>
      </c>
      <c r="Q50" s="15">
        <f t="shared" si="4"/>
        <v>40921.4739998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Payment_22-28 May-diff.xlsx</v>
      </c>
      <c r="U50" s="19"/>
      <c r="V50" s="36">
        <f t="shared" si="5"/>
        <v>716.12579499650008</v>
      </c>
      <c r="W50" s="20">
        <f t="shared" si="6"/>
        <v>102.30368499950001</v>
      </c>
      <c r="X50" s="59">
        <f t="shared" si="7"/>
        <v>613.8221099970001</v>
      </c>
      <c r="Y50" s="21">
        <v>0</v>
      </c>
      <c r="Z50" s="48">
        <f t="shared" si="8"/>
        <v>613.8221099970001</v>
      </c>
      <c r="AB50" s="22" t="str">
        <f>VLOOKUP(C50,DSC_Master!$C$1:$K$200,9,0)</f>
        <v>RAVIKANT SINGH</v>
      </c>
      <c r="AC50" s="22" t="str">
        <f>VLOOKUP(C50,DSC_Master!$C$1:$J$201,8,0)</f>
        <v>441810110003058</v>
      </c>
      <c r="AD50" s="22" t="str">
        <f>VLOOKUP(C50,DSC_Master!$C$1:$J$201,7,0)</f>
        <v>BKID0004418</v>
      </c>
      <c r="AE50" s="159"/>
      <c r="AF50" s="3">
        <v>40343.81</v>
      </c>
      <c r="AG50" s="5">
        <f t="shared" si="9"/>
        <v>577.66399980000278</v>
      </c>
      <c r="AI50" s="24">
        <v>990</v>
      </c>
      <c r="AJ50" s="24">
        <v>40343.732369600009</v>
      </c>
      <c r="AK50" s="30">
        <f t="shared" si="10"/>
        <v>0</v>
      </c>
      <c r="AL50" s="30">
        <f t="shared" si="11"/>
        <v>-577.74163019999105</v>
      </c>
    </row>
    <row r="51" spans="1:38" x14ac:dyDescent="0.25">
      <c r="A51" s="8">
        <v>1062</v>
      </c>
      <c r="B51" s="38" t="s">
        <v>320</v>
      </c>
      <c r="C51" s="9">
        <v>10620071</v>
      </c>
      <c r="D51" s="8">
        <f>VLOOKUP(C51,DSC_Master!$C$1:D149,2,0)</f>
        <v>64586</v>
      </c>
      <c r="E51" s="10" t="str">
        <f>VLOOKUP(C51,DSC_Master!$C$1:$K$200,4,0)</f>
        <v>KUCHHALA DSK</v>
      </c>
      <c r="F51" s="11" t="s">
        <v>304</v>
      </c>
      <c r="G51" s="11" t="s">
        <v>400</v>
      </c>
      <c r="H51" s="24">
        <v>580</v>
      </c>
      <c r="I51" s="24">
        <v>24220.040124599993</v>
      </c>
      <c r="J51" s="14">
        <f t="shared" si="1"/>
        <v>24220.040124599993</v>
      </c>
      <c r="K51" s="13"/>
      <c r="L51" s="13"/>
      <c r="M51" s="13">
        <v>0</v>
      </c>
      <c r="N51" s="13"/>
      <c r="O51" s="13">
        <f t="shared" si="2"/>
        <v>24220.040124599993</v>
      </c>
      <c r="P51" s="13">
        <f t="shared" si="3"/>
        <v>0</v>
      </c>
      <c r="Q51" s="15">
        <f t="shared" si="4"/>
        <v>24220.040124599993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Payment_22-28 May-diff.xlsx</v>
      </c>
      <c r="U51" s="19"/>
      <c r="V51" s="36">
        <f t="shared" si="5"/>
        <v>423.85070218049992</v>
      </c>
      <c r="W51" s="20">
        <f t="shared" si="6"/>
        <v>60.550100311499982</v>
      </c>
      <c r="X51" s="59">
        <f t="shared" si="7"/>
        <v>363.30060186899993</v>
      </c>
      <c r="Y51" s="21">
        <v>0</v>
      </c>
      <c r="Z51" s="48">
        <f t="shared" si="8"/>
        <v>363.30060186899993</v>
      </c>
      <c r="AA51" s="23"/>
      <c r="AB51" s="22" t="str">
        <f>VLOOKUP(C51,DSC_Master!$C$1:$K$200,9,0)</f>
        <v>RAVISHANKAR RAI</v>
      </c>
      <c r="AC51" s="22" t="str">
        <f>VLOOKUP(C51,DSC_Master!$C$1:$J$201,8,0)</f>
        <v>2397000100564188</v>
      </c>
      <c r="AD51" s="22" t="str">
        <f>VLOOKUP(C51,DSC_Master!$C$1:$J$201,7,0)</f>
        <v>PUNB0239700</v>
      </c>
      <c r="AE51" s="159"/>
      <c r="AF51" s="3">
        <v>23921.39</v>
      </c>
      <c r="AG51" s="5">
        <f t="shared" si="9"/>
        <v>298.65012459999343</v>
      </c>
      <c r="AI51" s="24">
        <v>580</v>
      </c>
      <c r="AJ51" s="24">
        <v>23923.049216399999</v>
      </c>
      <c r="AK51" s="30">
        <f t="shared" si="10"/>
        <v>0</v>
      </c>
      <c r="AL51" s="30">
        <f t="shared" si="11"/>
        <v>-296.99090819999401</v>
      </c>
    </row>
    <row r="52" spans="1:38" x14ac:dyDescent="0.25">
      <c r="A52" s="8">
        <v>1062</v>
      </c>
      <c r="B52" s="38" t="s">
        <v>320</v>
      </c>
      <c r="C52" s="9">
        <v>10620072</v>
      </c>
      <c r="D52" s="8">
        <f>VLOOKUP(C52,DSC_Master!$C$1:D150,2,0)</f>
        <v>60526</v>
      </c>
      <c r="E52" s="10" t="str">
        <f>VLOOKUP(C52,DSC_Master!$C$1:$K$200,4,0)</f>
        <v>CHANDESH DSK</v>
      </c>
      <c r="F52" s="11" t="s">
        <v>304</v>
      </c>
      <c r="G52" s="11" t="s">
        <v>400</v>
      </c>
      <c r="H52" s="24">
        <v>71</v>
      </c>
      <c r="I52" s="24">
        <v>3400.4469344000008</v>
      </c>
      <c r="J52" s="14">
        <f t="shared" si="1"/>
        <v>3400.4469344000008</v>
      </c>
      <c r="K52" s="13"/>
      <c r="L52" s="13"/>
      <c r="M52" s="13">
        <v>0</v>
      </c>
      <c r="N52" s="13"/>
      <c r="O52" s="13">
        <f t="shared" si="2"/>
        <v>3400.4469344000008</v>
      </c>
      <c r="P52" s="13">
        <f t="shared" si="3"/>
        <v>0</v>
      </c>
      <c r="Q52" s="15">
        <f t="shared" si="4"/>
        <v>3400.4469344000008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Payment_22-28 May-diff.xlsx</v>
      </c>
      <c r="U52" s="19"/>
      <c r="V52" s="36">
        <f t="shared" si="5"/>
        <v>59.507821352000022</v>
      </c>
      <c r="W52" s="20">
        <f t="shared" si="6"/>
        <v>8.5011173360000019</v>
      </c>
      <c r="X52" s="59">
        <f t="shared" si="7"/>
        <v>51.006704016000022</v>
      </c>
      <c r="Y52" s="21">
        <v>0</v>
      </c>
      <c r="Z52" s="48">
        <f t="shared" si="8"/>
        <v>51.006704016000022</v>
      </c>
      <c r="AB52" s="22" t="str">
        <f>VLOOKUP(C52,DSC_Master!$C$1:$K$200,9,0)</f>
        <v>RAVISHANKAR RAI</v>
      </c>
      <c r="AC52" s="22" t="str">
        <f>VLOOKUP(C52,DSC_Master!$C$1:$J$201,8,0)</f>
        <v>20348864069</v>
      </c>
      <c r="AD52" s="22" t="str">
        <f>VLOOKUP(C52,DSC_Master!$C$1:$J$201,7,0)</f>
        <v>SBIN0017163</v>
      </c>
      <c r="AE52" s="159"/>
      <c r="AF52" s="3">
        <v>3385.82</v>
      </c>
      <c r="AG52" s="5">
        <f t="shared" si="9"/>
        <v>14.626934400000664</v>
      </c>
      <c r="AI52" s="24">
        <v>71</v>
      </c>
      <c r="AJ52" s="24">
        <v>3385.7464724000006</v>
      </c>
      <c r="AK52" s="30">
        <f t="shared" si="10"/>
        <v>0</v>
      </c>
      <c r="AL52" s="30">
        <f t="shared" si="11"/>
        <v>-14.700462000000243</v>
      </c>
    </row>
    <row r="53" spans="1:38" x14ac:dyDescent="0.25">
      <c r="A53" s="8">
        <v>1062</v>
      </c>
      <c r="B53" s="38" t="s">
        <v>320</v>
      </c>
      <c r="C53" s="9">
        <v>10620075</v>
      </c>
      <c r="D53" s="8">
        <f>VLOOKUP(C53,DSC_Master!$C$1:D151,2,0)</f>
        <v>64542</v>
      </c>
      <c r="E53" s="10" t="str">
        <f>VLOOKUP(C53,DSC_Master!$C$1:$K$200,4,0)</f>
        <v>KUCHHALA DSK</v>
      </c>
      <c r="F53" s="11" t="s">
        <v>304</v>
      </c>
      <c r="G53" s="11" t="s">
        <v>400</v>
      </c>
      <c r="H53" s="24">
        <v>369</v>
      </c>
      <c r="I53" s="24">
        <v>21650.034512999995</v>
      </c>
      <c r="J53" s="14">
        <f t="shared" si="1"/>
        <v>21650.034512999995</v>
      </c>
      <c r="K53" s="13"/>
      <c r="L53" s="13"/>
      <c r="M53" s="13">
        <v>0</v>
      </c>
      <c r="N53" s="13"/>
      <c r="O53" s="13">
        <f t="shared" si="2"/>
        <v>21650.034512999995</v>
      </c>
      <c r="P53" s="13">
        <f t="shared" si="3"/>
        <v>0</v>
      </c>
      <c r="Q53" s="15">
        <f t="shared" si="4"/>
        <v>21650.034512999995</v>
      </c>
      <c r="R53" s="16" t="s">
        <v>833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Payment_22-28 May-diff.xlsx</v>
      </c>
      <c r="U53" s="19"/>
      <c r="V53" s="36">
        <f t="shared" si="5"/>
        <v>378.87560397749996</v>
      </c>
      <c r="W53" s="20">
        <f t="shared" si="6"/>
        <v>54.125086282499986</v>
      </c>
      <c r="X53" s="59">
        <f t="shared" si="7"/>
        <v>324.75051769499998</v>
      </c>
      <c r="Y53" s="21">
        <v>0</v>
      </c>
      <c r="Z53" s="48">
        <f t="shared" si="8"/>
        <v>324.75051769499998</v>
      </c>
      <c r="AB53" s="22" t="str">
        <f>VLOOKUP(C53,DSC_Master!$C$1:$K$200,9,0)</f>
        <v>SUNITA DEVI</v>
      </c>
      <c r="AC53" s="22" t="str">
        <f>VLOOKUP(C53,DSC_Master!$C$1:$J$201,8,0)</f>
        <v>579410110012870</v>
      </c>
      <c r="AD53" s="22" t="str">
        <f>VLOOKUP(C53,DSC_Master!$C$1:$J$201,7,0)</f>
        <v>BKID0005794</v>
      </c>
      <c r="AE53" s="159"/>
      <c r="AF53" s="3">
        <v>21442.07</v>
      </c>
      <c r="AG53" s="5">
        <f t="shared" si="9"/>
        <v>207.96451299999535</v>
      </c>
      <c r="AI53" s="24">
        <v>369</v>
      </c>
      <c r="AJ53" s="24">
        <v>21441.036443999994</v>
      </c>
      <c r="AK53" s="30">
        <f t="shared" si="10"/>
        <v>0</v>
      </c>
      <c r="AL53" s="30">
        <f t="shared" si="11"/>
        <v>-208.99806900000112</v>
      </c>
    </row>
    <row r="54" spans="1:38" x14ac:dyDescent="0.25">
      <c r="A54" s="8">
        <v>1062</v>
      </c>
      <c r="B54" s="38" t="s">
        <v>320</v>
      </c>
      <c r="C54" s="9">
        <v>10620076</v>
      </c>
      <c r="D54" s="8">
        <f>VLOOKUP(C54,DSC_Master!$C$1:D152,2,0)</f>
        <v>60604</v>
      </c>
      <c r="E54" s="10" t="str">
        <f>VLOOKUP(C54,DSC_Master!$C$1:$K$200,4,0)</f>
        <v>SANISARAI DSK</v>
      </c>
      <c r="F54" s="11" t="s">
        <v>304</v>
      </c>
      <c r="G54" s="11" t="s">
        <v>400</v>
      </c>
      <c r="H54" s="24">
        <v>223</v>
      </c>
      <c r="I54" s="24">
        <v>8833.561354200001</v>
      </c>
      <c r="J54" s="14">
        <f t="shared" si="1"/>
        <v>8833.561354200001</v>
      </c>
      <c r="K54" s="13"/>
      <c r="L54" s="13"/>
      <c r="M54" s="13">
        <v>0</v>
      </c>
      <c r="N54" s="13"/>
      <c r="O54" s="13">
        <f t="shared" si="2"/>
        <v>8833.561354200001</v>
      </c>
      <c r="P54" s="13">
        <f t="shared" si="3"/>
        <v>0</v>
      </c>
      <c r="Q54" s="15">
        <f t="shared" si="4"/>
        <v>8833.561354200001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Payment_22-28 May-diff.xlsx</v>
      </c>
      <c r="U54" s="19"/>
      <c r="V54" s="36">
        <f t="shared" si="5"/>
        <v>154.58732369850003</v>
      </c>
      <c r="W54" s="20">
        <f t="shared" si="6"/>
        <v>22.083903385500005</v>
      </c>
      <c r="X54" s="59">
        <f t="shared" si="7"/>
        <v>132.50342031300002</v>
      </c>
      <c r="Y54" s="21">
        <v>0</v>
      </c>
      <c r="Z54" s="48">
        <f t="shared" si="8"/>
        <v>132.50342031300002</v>
      </c>
      <c r="AA54" s="23"/>
      <c r="AB54" s="22" t="str">
        <f>VLOOKUP(C54,DSC_Master!$C$1:$K$200,9,0)</f>
        <v>SURESH SINGH</v>
      </c>
      <c r="AC54" s="22" t="str">
        <f>VLOOKUP(C54,DSC_Master!$C$1:$J$201,8,0)</f>
        <v>2784001700140817</v>
      </c>
      <c r="AD54" s="22" t="str">
        <f>VLOOKUP(C54,DSC_Master!$C$1:$J$201,7,0)</f>
        <v>PUNB0278400</v>
      </c>
      <c r="AE54" s="159"/>
      <c r="AF54" s="3">
        <v>8735.9</v>
      </c>
      <c r="AG54" s="5">
        <f t="shared" si="9"/>
        <v>97.661354200001369</v>
      </c>
      <c r="AI54" s="24">
        <v>223</v>
      </c>
      <c r="AJ54" s="24">
        <v>8735.4746424000004</v>
      </c>
      <c r="AK54" s="30">
        <f t="shared" si="10"/>
        <v>0</v>
      </c>
      <c r="AL54" s="30">
        <f t="shared" si="11"/>
        <v>-98.086711800000558</v>
      </c>
    </row>
    <row r="55" spans="1:38" x14ac:dyDescent="0.25">
      <c r="A55" s="8">
        <v>1062</v>
      </c>
      <c r="B55" s="38" t="s">
        <v>320</v>
      </c>
      <c r="C55" s="9">
        <v>10620077</v>
      </c>
      <c r="D55" s="8">
        <f>VLOOKUP(C55,DSC_Master!$C$1:D153,2,0)</f>
        <v>60627</v>
      </c>
      <c r="E55" s="10" t="str">
        <f>VLOOKUP(C55,DSC_Master!$C$1:$K$200,4,0)</f>
        <v>KHANATI DSK</v>
      </c>
      <c r="F55" s="11" t="s">
        <v>304</v>
      </c>
      <c r="G55" s="11" t="s">
        <v>400</v>
      </c>
      <c r="H55" s="24">
        <v>475</v>
      </c>
      <c r="I55" s="24">
        <v>20711.475669700001</v>
      </c>
      <c r="J55" s="14">
        <f t="shared" si="1"/>
        <v>20711.475669700001</v>
      </c>
      <c r="K55" s="13"/>
      <c r="L55" s="13"/>
      <c r="M55" s="13">
        <v>0</v>
      </c>
      <c r="N55" s="13"/>
      <c r="O55" s="13">
        <f t="shared" si="2"/>
        <v>20711.475669700001</v>
      </c>
      <c r="P55" s="13">
        <f t="shared" si="3"/>
        <v>0</v>
      </c>
      <c r="Q55" s="15">
        <f t="shared" si="4"/>
        <v>20711.475669700001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Payment_22-28 May-diff.xlsx</v>
      </c>
      <c r="U55" s="19"/>
      <c r="V55" s="36">
        <f t="shared" si="5"/>
        <v>362.45082421975007</v>
      </c>
      <c r="W55" s="20">
        <f t="shared" si="6"/>
        <v>51.778689174250005</v>
      </c>
      <c r="X55" s="59">
        <f t="shared" si="7"/>
        <v>310.67213504550006</v>
      </c>
      <c r="Y55" s="21">
        <v>0</v>
      </c>
      <c r="Z55" s="48">
        <f t="shared" si="8"/>
        <v>310.67213504550006</v>
      </c>
      <c r="AA55" s="23"/>
      <c r="AB55" s="22" t="str">
        <f>VLOOKUP(C55,DSC_Master!$C$1:$K$200,9,0)</f>
        <v>SUSHIL YADAV</v>
      </c>
      <c r="AC55" s="22" t="str">
        <f>VLOOKUP(C55,DSC_Master!$C$1:$J$201,8,0)</f>
        <v>2784001700136197</v>
      </c>
      <c r="AD55" s="22" t="str">
        <f>VLOOKUP(C55,DSC_Master!$C$1:$J$201,7,0)</f>
        <v>PUNB0278400</v>
      </c>
      <c r="AE55" s="159"/>
      <c r="AF55" s="3">
        <v>20530.41</v>
      </c>
      <c r="AG55" s="5">
        <f t="shared" si="9"/>
        <v>181.06566970000131</v>
      </c>
      <c r="AI55" s="24">
        <v>475</v>
      </c>
      <c r="AJ55" s="24">
        <v>20544.611683599996</v>
      </c>
      <c r="AK55" s="30">
        <f t="shared" si="10"/>
        <v>0</v>
      </c>
      <c r="AL55" s="30">
        <f t="shared" si="11"/>
        <v>-166.86398610000469</v>
      </c>
    </row>
    <row r="56" spans="1:38" x14ac:dyDescent="0.25">
      <c r="A56" s="8">
        <v>1062</v>
      </c>
      <c r="B56" s="38" t="s">
        <v>320</v>
      </c>
      <c r="C56" s="9">
        <v>10620099</v>
      </c>
      <c r="D56" s="8">
        <f>VLOOKUP(C56,DSC_Master!$C$1:D154,2,0)</f>
        <v>64504</v>
      </c>
      <c r="E56" s="10" t="str">
        <f>VLOOKUP(C56,DSC_Master!$C$1:$K$200,4,0)</f>
        <v>NONAR DSK</v>
      </c>
      <c r="F56" s="11" t="s">
        <v>304</v>
      </c>
      <c r="G56" s="11" t="s">
        <v>400</v>
      </c>
      <c r="H56" s="24">
        <v>420</v>
      </c>
      <c r="I56" s="24">
        <v>14860.159612200001</v>
      </c>
      <c r="J56" s="14">
        <f t="shared" si="1"/>
        <v>14860.159612200001</v>
      </c>
      <c r="K56" s="13"/>
      <c r="L56" s="13"/>
      <c r="M56" s="13">
        <v>0</v>
      </c>
      <c r="N56" s="13"/>
      <c r="O56" s="13">
        <f t="shared" si="2"/>
        <v>14860.159612200001</v>
      </c>
      <c r="P56" s="13">
        <f t="shared" si="3"/>
        <v>0</v>
      </c>
      <c r="Q56" s="15">
        <f t="shared" si="4"/>
        <v>14860.159612200001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Payment_22-28 May-diff.xlsx</v>
      </c>
      <c r="U56" s="19"/>
      <c r="V56" s="36">
        <f t="shared" si="5"/>
        <v>260.05279321350002</v>
      </c>
      <c r="W56" s="20">
        <f t="shared" si="6"/>
        <v>37.150399030500004</v>
      </c>
      <c r="X56" s="59">
        <f t="shared" si="7"/>
        <v>222.90239418300001</v>
      </c>
      <c r="Y56" s="21">
        <v>0</v>
      </c>
      <c r="Z56" s="48">
        <f t="shared" si="8"/>
        <v>222.90239418300001</v>
      </c>
      <c r="AA56" s="23"/>
      <c r="AB56" s="22" t="str">
        <f>VLOOKUP(C56,DSC_Master!$C$1:$K$200,9,0)</f>
        <v>SURESH KHARWAR</v>
      </c>
      <c r="AC56" s="22" t="str">
        <f>VLOOKUP(C56,DSC_Master!$C$1:$J$201,8,0)</f>
        <v>2784000100286464</v>
      </c>
      <c r="AD56" s="22" t="str">
        <f>VLOOKUP(C56,DSC_Master!$C$1:$J$201,7,0)</f>
        <v>PUNB0278400</v>
      </c>
      <c r="AE56" s="159"/>
      <c r="AF56" s="3">
        <v>14469.29</v>
      </c>
      <c r="AG56" s="5">
        <f t="shared" si="9"/>
        <v>390.86961220000012</v>
      </c>
      <c r="AI56" s="24">
        <v>420</v>
      </c>
      <c r="AJ56" s="24">
        <v>14469.232377600001</v>
      </c>
      <c r="AK56" s="30">
        <f t="shared" si="10"/>
        <v>0</v>
      </c>
      <c r="AL56" s="30">
        <f t="shared" si="11"/>
        <v>-390.92723459999979</v>
      </c>
    </row>
    <row r="57" spans="1:38" x14ac:dyDescent="0.25">
      <c r="A57" s="8">
        <v>1062</v>
      </c>
      <c r="B57" s="38" t="s">
        <v>320</v>
      </c>
      <c r="C57" s="9">
        <v>10620100</v>
      </c>
      <c r="D57" s="8">
        <f>VLOOKUP(C57,DSC_Master!$C$1:D155,2,0)</f>
        <v>60646</v>
      </c>
      <c r="E57" s="10" t="str">
        <f>VLOOKUP(C57,DSC_Master!$C$1:$K$200,4,0)</f>
        <v>RAMGARH DSK</v>
      </c>
      <c r="F57" s="11" t="s">
        <v>304</v>
      </c>
      <c r="G57" s="11" t="s">
        <v>400</v>
      </c>
      <c r="H57" s="24">
        <v>953</v>
      </c>
      <c r="I57" s="24">
        <v>50325.603840000003</v>
      </c>
      <c r="J57" s="14">
        <f t="shared" si="1"/>
        <v>50325.603840000003</v>
      </c>
      <c r="K57" s="13"/>
      <c r="L57" s="13"/>
      <c r="M57" s="13">
        <v>0</v>
      </c>
      <c r="N57" s="13"/>
      <c r="O57" s="13">
        <f t="shared" si="2"/>
        <v>50325.603840000003</v>
      </c>
      <c r="P57" s="13">
        <f t="shared" si="3"/>
        <v>0</v>
      </c>
      <c r="Q57" s="15">
        <f t="shared" si="4"/>
        <v>50325.603840000003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Payment_22-28 May-diff.xlsx</v>
      </c>
      <c r="U57" s="19"/>
      <c r="V57" s="36">
        <f t="shared" si="5"/>
        <v>880.6980672000002</v>
      </c>
      <c r="W57" s="20">
        <f t="shared" si="6"/>
        <v>125.81400960000001</v>
      </c>
      <c r="X57" s="59">
        <f t="shared" si="7"/>
        <v>754.88405760000023</v>
      </c>
      <c r="Y57" s="21">
        <v>0</v>
      </c>
      <c r="Z57" s="48">
        <f t="shared" si="8"/>
        <v>754.88405760000023</v>
      </c>
      <c r="AB57" s="22" t="str">
        <f>VLOOKUP(C57,DSC_Master!$C$1:$K$200,9,0)</f>
        <v>SHRI SHYAM DAIRY CO</v>
      </c>
      <c r="AC57" s="22" t="str">
        <f>VLOOKUP(C57,DSC_Master!$C$1:$J$201,8,0)</f>
        <v>579420110000403</v>
      </c>
      <c r="AD57" s="22" t="str">
        <f>VLOOKUP(C57,DSC_Master!$C$1:$J$201,7,0)</f>
        <v>BKID0005794</v>
      </c>
      <c r="AE57" s="159"/>
      <c r="AF57" s="3">
        <v>50326.39</v>
      </c>
      <c r="AG57" s="5">
        <f t="shared" si="9"/>
        <v>-0.78615999999601627</v>
      </c>
      <c r="AI57" s="24">
        <v>953</v>
      </c>
      <c r="AJ57" s="24">
        <v>50325.603840000003</v>
      </c>
      <c r="AK57" s="30">
        <f t="shared" si="10"/>
        <v>0</v>
      </c>
      <c r="AL57" s="30">
        <f t="shared" si="11"/>
        <v>0</v>
      </c>
    </row>
    <row r="58" spans="1:38" x14ac:dyDescent="0.25">
      <c r="A58" s="8">
        <v>1062</v>
      </c>
      <c r="B58" s="38" t="s">
        <v>320</v>
      </c>
      <c r="C58" s="9">
        <v>10620101</v>
      </c>
      <c r="D58" s="8">
        <f>VLOOKUP(C58,DSC_Master!$C$1:D156,2,0)</f>
        <v>20101</v>
      </c>
      <c r="E58" s="10" t="str">
        <f>VLOOKUP(C58,DSC_Master!$C$1:$K$200,4,0)</f>
        <v>JABURNA DSK</v>
      </c>
      <c r="F58" s="11" t="s">
        <v>304</v>
      </c>
      <c r="G58" s="11" t="s">
        <v>400</v>
      </c>
      <c r="H58" s="24">
        <v>144</v>
      </c>
      <c r="I58" s="24">
        <v>6640.1680474000004</v>
      </c>
      <c r="J58" s="14">
        <f t="shared" ref="J58:J60" si="12">I58</f>
        <v>6640.1680474000004</v>
      </c>
      <c r="K58" s="13"/>
      <c r="L58" s="13"/>
      <c r="M58" s="13">
        <v>0</v>
      </c>
      <c r="N58" s="13"/>
      <c r="O58" s="13">
        <f t="shared" ref="O58:O60" si="13">J58-SUM(K58:N58)</f>
        <v>6640.1680474000004</v>
      </c>
      <c r="P58" s="13">
        <f t="shared" ref="P58:P60" si="14">IF(R58="Yes",O58,0)</f>
        <v>0</v>
      </c>
      <c r="Q58" s="15">
        <f t="shared" ref="Q58:Q60" si="15">O58-P58</f>
        <v>6640.1680474000004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Payment_22-28 May-diff.xlsx</v>
      </c>
      <c r="U58" s="19"/>
      <c r="V58" s="36">
        <f t="shared" ref="V58:V60" si="16">I58*1.75%</f>
        <v>116.20294082950002</v>
      </c>
      <c r="W58" s="20">
        <f t="shared" ref="W58:W60" si="17">I58*0.25%</f>
        <v>16.600420118500001</v>
      </c>
      <c r="X58" s="59">
        <f t="shared" ref="X58:X60" si="18">V58-W58</f>
        <v>99.602520711000025</v>
      </c>
      <c r="Y58" s="21">
        <v>0</v>
      </c>
      <c r="Z58" s="48">
        <f t="shared" ref="Z58:Z60" si="19">X58-Y58</f>
        <v>99.602520711000025</v>
      </c>
      <c r="AB58" s="22" t="str">
        <f>VLOOKUP(C58,DSC_Master!$C$1:$K$200,9,0)</f>
        <v>MD IMRAN KHAN</v>
      </c>
      <c r="AC58" s="22" t="str">
        <f>VLOOKUP(C58,DSC_Master!$C$1:$J$201,8,0)</f>
        <v>43620100017275</v>
      </c>
      <c r="AD58" s="22" t="str">
        <f>VLOOKUP(C58,DSC_Master!$C$1:$J$201,7,0)</f>
        <v>BARB0DILDAR</v>
      </c>
      <c r="AE58" s="159"/>
      <c r="AF58" s="3">
        <v>6602.31</v>
      </c>
      <c r="AG58" s="5">
        <f t="shared" ref="AG58:AG60" si="20">Q58-AF58</f>
        <v>37.858047400000032</v>
      </c>
      <c r="AI58" s="24">
        <v>144</v>
      </c>
      <c r="AJ58" s="24">
        <v>6602.2410016000003</v>
      </c>
      <c r="AK58" s="30">
        <f t="shared" si="10"/>
        <v>0</v>
      </c>
      <c r="AL58" s="30">
        <f t="shared" si="11"/>
        <v>-37.927045800000087</v>
      </c>
    </row>
    <row r="59" spans="1:38" x14ac:dyDescent="0.25">
      <c r="A59" s="8">
        <v>1062</v>
      </c>
      <c r="B59" s="38" t="s">
        <v>320</v>
      </c>
      <c r="C59" s="9">
        <v>10620102</v>
      </c>
      <c r="D59" s="8">
        <f>VLOOKUP(C59,DSC_Master!$C$1:D157,2,0)</f>
        <v>20102</v>
      </c>
      <c r="E59" s="10" t="str">
        <f>VLOOKUP(C59,DSC_Master!$C$1:$K$200,4,0)</f>
        <v>KALANI DSK</v>
      </c>
      <c r="F59" s="11" t="s">
        <v>304</v>
      </c>
      <c r="G59" s="11" t="s">
        <v>400</v>
      </c>
      <c r="H59" s="24">
        <v>695</v>
      </c>
      <c r="I59" s="24">
        <v>31418.174231600005</v>
      </c>
      <c r="J59" s="14">
        <f t="shared" si="12"/>
        <v>31418.174231600005</v>
      </c>
      <c r="K59" s="13"/>
      <c r="L59" s="13"/>
      <c r="M59" s="13">
        <v>0</v>
      </c>
      <c r="N59" s="13"/>
      <c r="O59" s="13">
        <f t="shared" si="13"/>
        <v>31418.174231600005</v>
      </c>
      <c r="P59" s="13">
        <f t="shared" si="14"/>
        <v>0</v>
      </c>
      <c r="Q59" s="15">
        <f t="shared" si="15"/>
        <v>31418.174231600005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Payment_22-28 May-diff.xlsx</v>
      </c>
      <c r="U59" s="19"/>
      <c r="V59" s="36">
        <f t="shared" si="16"/>
        <v>549.8180490530001</v>
      </c>
      <c r="W59" s="20">
        <f t="shared" si="17"/>
        <v>78.545435579000014</v>
      </c>
      <c r="X59" s="59">
        <f t="shared" si="18"/>
        <v>471.27261347400008</v>
      </c>
      <c r="Y59" s="21">
        <v>0</v>
      </c>
      <c r="Z59" s="48">
        <f t="shared" si="19"/>
        <v>471.27261347400008</v>
      </c>
      <c r="AB59" s="22" t="str">
        <f>VLOOKUP(C59,DSC_Master!$C$1:$K$200,9,0)</f>
        <v>MAYA KUMARI</v>
      </c>
      <c r="AC59" s="22" t="str">
        <f>VLOOKUP(C59,DSC_Master!$C$1:$J$201,8,0)</f>
        <v>461110110010454</v>
      </c>
      <c r="AD59" s="22" t="str">
        <f>VLOOKUP(C59,DSC_Master!$C$1:$J$201,7,0)</f>
        <v>BKID0004611</v>
      </c>
      <c r="AE59" s="159"/>
      <c r="AF59" s="3">
        <v>31256.720000000001</v>
      </c>
      <c r="AG59" s="5">
        <f t="shared" si="20"/>
        <v>161.45423160000428</v>
      </c>
      <c r="AI59" s="24">
        <v>695</v>
      </c>
      <c r="AJ59" s="24">
        <v>31285.744031600003</v>
      </c>
      <c r="AK59" s="30">
        <f t="shared" si="10"/>
        <v>0</v>
      </c>
      <c r="AL59" s="30">
        <f t="shared" si="11"/>
        <v>-132.43020000000251</v>
      </c>
    </row>
    <row r="60" spans="1:38" x14ac:dyDescent="0.25">
      <c r="A60" s="8">
        <v>1062</v>
      </c>
      <c r="B60" s="38" t="s">
        <v>320</v>
      </c>
      <c r="C60" s="9">
        <v>10620104</v>
      </c>
      <c r="D60" s="8">
        <f>VLOOKUP(C60,DSC_Master!$C$1:D158,2,0)</f>
        <v>20104</v>
      </c>
      <c r="E60" s="10" t="str">
        <f>VLOOKUP(C60,DSC_Master!$C$1:$K$200,4,0)</f>
        <v>PANAPUR - PURVY DSK</v>
      </c>
      <c r="F60" s="11" t="s">
        <v>304</v>
      </c>
      <c r="G60" s="11" t="s">
        <v>400</v>
      </c>
      <c r="H60" s="24">
        <v>299</v>
      </c>
      <c r="I60" s="24">
        <v>10729.410331700001</v>
      </c>
      <c r="J60" s="14">
        <f t="shared" si="12"/>
        <v>10729.410331700001</v>
      </c>
      <c r="K60" s="13"/>
      <c r="L60" s="13"/>
      <c r="M60" s="13">
        <v>0</v>
      </c>
      <c r="N60" s="13"/>
      <c r="O60" s="13">
        <f t="shared" si="13"/>
        <v>10729.410331700001</v>
      </c>
      <c r="P60" s="13">
        <f t="shared" si="14"/>
        <v>0</v>
      </c>
      <c r="Q60" s="15">
        <f t="shared" si="15"/>
        <v>10729.410331700001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Payment_22-28 May-diff.xlsx</v>
      </c>
      <c r="U60" s="19"/>
      <c r="V60" s="36">
        <f t="shared" si="16"/>
        <v>187.76468080475004</v>
      </c>
      <c r="W60" s="20">
        <f t="shared" si="17"/>
        <v>26.823525829250002</v>
      </c>
      <c r="X60" s="59">
        <f t="shared" si="18"/>
        <v>160.94115497550004</v>
      </c>
      <c r="Y60" s="21">
        <v>0</v>
      </c>
      <c r="Z60" s="48">
        <f t="shared" si="19"/>
        <v>160.94115497550004</v>
      </c>
      <c r="AB60" s="22" t="str">
        <f>VLOOKUP(C60,DSC_Master!$C$1:$K$200,9,0)</f>
        <v>NEERAJ KUMAR</v>
      </c>
      <c r="AC60" s="22" t="str">
        <f>VLOOKUP(C60,DSC_Master!$C$1:$J$201,8,0)</f>
        <v>20200123940927</v>
      </c>
      <c r="AD60" s="22" t="str">
        <f>VLOOKUP(C60,DSC_Master!$C$1:$J$201,7,0)</f>
        <v>BDBL0001544</v>
      </c>
      <c r="AE60" s="159"/>
      <c r="AF60" s="3">
        <v>10555.2</v>
      </c>
      <c r="AG60" s="5">
        <f t="shared" si="20"/>
        <v>174.2103317000001</v>
      </c>
      <c r="AI60" s="24">
        <v>299</v>
      </c>
      <c r="AJ60" s="24">
        <v>10554.979121600001</v>
      </c>
      <c r="AK60" s="30">
        <f t="shared" si="10"/>
        <v>0</v>
      </c>
      <c r="AL60" s="30">
        <f t="shared" si="11"/>
        <v>-174.43121009999959</v>
      </c>
    </row>
    <row r="61" spans="1:38" x14ac:dyDescent="0.25">
      <c r="A61" s="8">
        <v>1062</v>
      </c>
      <c r="B61" s="38" t="s">
        <v>320</v>
      </c>
      <c r="C61" s="9">
        <v>10620106</v>
      </c>
      <c r="D61" s="8">
        <f>VLOOKUP(C61,DSC_Master!$C$1:D156,2,0)</f>
        <v>20106</v>
      </c>
      <c r="E61" s="10" t="str">
        <f>VLOOKUP(C61,DSC_Master!$C$1:$K$200,4,0)</f>
        <v>MACHHANHATA DSK</v>
      </c>
      <c r="F61" s="11" t="s">
        <v>304</v>
      </c>
      <c r="G61" s="11" t="s">
        <v>400</v>
      </c>
      <c r="H61" s="24">
        <v>307</v>
      </c>
      <c r="I61" s="24">
        <v>12288.852867000003</v>
      </c>
      <c r="J61" s="14">
        <f t="shared" si="1"/>
        <v>12288.852867000003</v>
      </c>
      <c r="K61" s="13"/>
      <c r="L61" s="13"/>
      <c r="M61" s="13">
        <v>0</v>
      </c>
      <c r="N61" s="13"/>
      <c r="O61" s="13">
        <f t="shared" si="2"/>
        <v>12288.852867000003</v>
      </c>
      <c r="P61" s="13">
        <f t="shared" si="3"/>
        <v>0</v>
      </c>
      <c r="Q61" s="15">
        <f t="shared" si="4"/>
        <v>12288.852867000003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Payment_22-28 May-diff.xlsx</v>
      </c>
      <c r="U61" s="19"/>
      <c r="V61" s="36">
        <f t="shared" si="5"/>
        <v>215.05492517250008</v>
      </c>
      <c r="W61" s="20">
        <f t="shared" si="6"/>
        <v>30.722132167500007</v>
      </c>
      <c r="X61" s="59">
        <f t="shared" si="7"/>
        <v>184.33279300500007</v>
      </c>
      <c r="Y61" s="21">
        <v>0</v>
      </c>
      <c r="Z61" s="48">
        <f t="shared" si="8"/>
        <v>184.33279300500007</v>
      </c>
      <c r="AB61" s="22" t="str">
        <f>VLOOKUP(C61,DSC_Master!$C$1:$K$200,9,0)</f>
        <v>PARASNATH SINGH</v>
      </c>
      <c r="AC61" s="22" t="str">
        <f>VLOOKUP(C61,DSC_Master!$C$1:$J$201,8,0)</f>
        <v>924010067199253</v>
      </c>
      <c r="AD61" s="22" t="str">
        <f>VLOOKUP(C61,DSC_Master!$C$1:$J$201,7,0)</f>
        <v>UTIB0005542</v>
      </c>
      <c r="AE61" s="159"/>
      <c r="AF61" s="3">
        <v>12036.92</v>
      </c>
      <c r="AG61" s="5">
        <f t="shared" si="9"/>
        <v>251.93286700000317</v>
      </c>
      <c r="AI61" s="24">
        <v>307</v>
      </c>
      <c r="AJ61" s="24">
        <v>12037.209543600002</v>
      </c>
      <c r="AK61" s="30">
        <f t="shared" si="10"/>
        <v>0</v>
      </c>
      <c r="AL61" s="30">
        <f t="shared" si="11"/>
        <v>-251.64332340000146</v>
      </c>
    </row>
    <row r="62" spans="1:38" x14ac:dyDescent="0.25">
      <c r="A62" s="8">
        <v>1062</v>
      </c>
      <c r="B62" s="38" t="s">
        <v>320</v>
      </c>
      <c r="C62" s="9">
        <v>10620107</v>
      </c>
      <c r="D62" s="8">
        <f>VLOOKUP(C62,DSC_Master!$C$1:D157,2,0)</f>
        <v>20107</v>
      </c>
      <c r="E62" s="10" t="str">
        <f>VLOOKUP(C62,DSC_Master!$C$1:$K$200,4,0)</f>
        <v>DANDAWAS DSK</v>
      </c>
      <c r="F62" s="11" t="s">
        <v>304</v>
      </c>
      <c r="G62" s="11" t="s">
        <v>400</v>
      </c>
      <c r="H62" s="24">
        <v>121</v>
      </c>
      <c r="I62" s="24">
        <v>5040.5380392000006</v>
      </c>
      <c r="J62" s="14">
        <f t="shared" si="1"/>
        <v>5040.5380392000006</v>
      </c>
      <c r="K62" s="13"/>
      <c r="L62" s="13"/>
      <c r="M62" s="13">
        <v>0</v>
      </c>
      <c r="N62" s="13"/>
      <c r="O62" s="13">
        <f t="shared" si="2"/>
        <v>5040.5380392000006</v>
      </c>
      <c r="P62" s="13">
        <f t="shared" si="3"/>
        <v>0</v>
      </c>
      <c r="Q62" s="15">
        <f t="shared" si="4"/>
        <v>5040.5380392000006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Payment_22-28 May-diff.xlsx</v>
      </c>
      <c r="U62" s="19"/>
      <c r="V62" s="36">
        <f t="shared" si="5"/>
        <v>88.209415686000014</v>
      </c>
      <c r="W62" s="20">
        <f t="shared" si="6"/>
        <v>12.601345098000001</v>
      </c>
      <c r="X62" s="59">
        <f t="shared" si="7"/>
        <v>75.608070588000018</v>
      </c>
      <c r="Y62" s="21">
        <v>0</v>
      </c>
      <c r="Z62" s="48">
        <f t="shared" si="8"/>
        <v>75.608070588000018</v>
      </c>
      <c r="AB62" s="22" t="str">
        <f>VLOOKUP(C62,DSC_Master!$C$1:$K$200,9,0)</f>
        <v>DHANANJAY SINGH</v>
      </c>
      <c r="AC62" s="22" t="str">
        <f>VLOOKUP(C62,DSC_Master!$C$1:$J$201,8,0)</f>
        <v>110291410255</v>
      </c>
      <c r="AD62" s="22" t="str">
        <f>VLOOKUP(C62,DSC_Master!$C$1:$J$201,7,0)</f>
        <v>CNRB0007689</v>
      </c>
      <c r="AE62" s="159"/>
      <c r="AF62" s="3">
        <v>4945.18</v>
      </c>
      <c r="AG62" s="5">
        <f t="shared" si="9"/>
        <v>95.358039200000349</v>
      </c>
      <c r="AI62" s="24">
        <v>121</v>
      </c>
      <c r="AJ62" s="24">
        <v>4945.0134491999997</v>
      </c>
      <c r="AK62" s="30">
        <f t="shared" si="10"/>
        <v>0</v>
      </c>
      <c r="AL62" s="30">
        <f t="shared" si="11"/>
        <v>-95.524590000000899</v>
      </c>
    </row>
    <row r="63" spans="1:38" x14ac:dyDescent="0.25">
      <c r="A63" s="8">
        <v>1062</v>
      </c>
      <c r="B63" s="38" t="s">
        <v>320</v>
      </c>
      <c r="C63" s="9">
        <v>10620109</v>
      </c>
      <c r="D63" s="8">
        <f>VLOOKUP(C63,DSC_Master!$C$1:D158,2,0)</f>
        <v>20109</v>
      </c>
      <c r="E63" s="10" t="str">
        <f>VLOOKUP(C63,DSC_Master!$C$1:$K$200,4,0)</f>
        <v>YUVRAJPUR DSK</v>
      </c>
      <c r="F63" s="11" t="s">
        <v>304</v>
      </c>
      <c r="G63" s="11" t="s">
        <v>400</v>
      </c>
      <c r="H63" s="24">
        <v>16140</v>
      </c>
      <c r="I63" s="24">
        <v>721551.02522700001</v>
      </c>
      <c r="J63" s="14">
        <f t="shared" si="1"/>
        <v>721551.02522700001</v>
      </c>
      <c r="K63" s="13"/>
      <c r="L63" s="13"/>
      <c r="M63" s="13">
        <v>0</v>
      </c>
      <c r="N63" s="13"/>
      <c r="O63" s="13">
        <f t="shared" si="2"/>
        <v>721551.02522700001</v>
      </c>
      <c r="P63" s="13">
        <f t="shared" si="3"/>
        <v>0</v>
      </c>
      <c r="Q63" s="15">
        <f t="shared" si="4"/>
        <v>721551.02522700001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Payment_22-28 May-diff.xlsx</v>
      </c>
      <c r="U63" s="19"/>
      <c r="V63" s="36">
        <f t="shared" si="5"/>
        <v>12627.142941472501</v>
      </c>
      <c r="W63" s="20">
        <f t="shared" si="6"/>
        <v>1803.8775630675</v>
      </c>
      <c r="X63" s="59">
        <f t="shared" si="7"/>
        <v>10823.265378405002</v>
      </c>
      <c r="Y63" s="21">
        <v>0</v>
      </c>
      <c r="Z63" s="48">
        <f t="shared" si="8"/>
        <v>10823.265378405002</v>
      </c>
      <c r="AA63" s="23"/>
      <c r="AB63" s="22" t="str">
        <f>VLOOKUP(C63,DSC_Master!$C$1:$K$200,9,0)</f>
        <v>PRIYANKA PANDEY</v>
      </c>
      <c r="AC63" s="22" t="str">
        <f>VLOOKUP(C63,DSC_Master!$C$1:$J$201,8,0)</f>
        <v>0662001500012630</v>
      </c>
      <c r="AD63" s="22" t="str">
        <f>VLOOKUP(C63,DSC_Master!$C$1:$J$201,7,0)</f>
        <v>PUNB0066200</v>
      </c>
      <c r="AE63" s="159"/>
      <c r="AF63" s="3">
        <v>622454.80000000005</v>
      </c>
      <c r="AG63" s="5">
        <f t="shared" si="9"/>
        <v>99096.225226999959</v>
      </c>
      <c r="AI63" s="24">
        <v>14010</v>
      </c>
      <c r="AJ63" s="24">
        <v>622419.64567999996</v>
      </c>
      <c r="AK63" s="30">
        <f t="shared" si="10"/>
        <v>-2130</v>
      </c>
      <c r="AL63" s="30">
        <f t="shared" si="11"/>
        <v>-99131.379547000048</v>
      </c>
    </row>
    <row r="64" spans="1:38" x14ac:dyDescent="0.25">
      <c r="A64" s="8">
        <v>1062</v>
      </c>
      <c r="B64" s="38" t="s">
        <v>320</v>
      </c>
      <c r="C64" s="9">
        <v>10620111</v>
      </c>
      <c r="D64" s="8">
        <f>VLOOKUP(C64,DSC_Master!$C$1:D159,2,0)</f>
        <v>20111</v>
      </c>
      <c r="E64" s="10" t="str">
        <f>VLOOKUP(C64,DSC_Master!$C$1:$K$200,4,0)</f>
        <v>SUHWAL</v>
      </c>
      <c r="F64" s="11" t="s">
        <v>304</v>
      </c>
      <c r="G64" s="11" t="s">
        <v>400</v>
      </c>
      <c r="H64" s="24">
        <v>1500</v>
      </c>
      <c r="I64" s="24">
        <v>56365.630200000007</v>
      </c>
      <c r="J64" s="14">
        <f t="shared" si="1"/>
        <v>56365.630200000007</v>
      </c>
      <c r="K64" s="13"/>
      <c r="L64" s="13"/>
      <c r="M64" s="13">
        <v>0</v>
      </c>
      <c r="N64" s="13"/>
      <c r="O64" s="13">
        <f t="shared" si="2"/>
        <v>56365.630200000007</v>
      </c>
      <c r="P64" s="13">
        <f t="shared" si="3"/>
        <v>0</v>
      </c>
      <c r="Q64" s="15">
        <f t="shared" si="4"/>
        <v>56365.630200000007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Payment_22-28 May-diff.xlsx</v>
      </c>
      <c r="U64" s="19"/>
      <c r="V64" s="36">
        <f t="shared" si="5"/>
        <v>986.39852850000022</v>
      </c>
      <c r="W64" s="20">
        <f t="shared" si="6"/>
        <v>140.91407550000002</v>
      </c>
      <c r="X64" s="59">
        <f t="shared" si="7"/>
        <v>845.48445300000026</v>
      </c>
      <c r="Y64" s="21">
        <v>0</v>
      </c>
      <c r="Z64" s="48">
        <f t="shared" si="8"/>
        <v>845.48445300000026</v>
      </c>
      <c r="AB64" s="22" t="str">
        <f>VLOOKUP(C64,DSC_Master!$C$1:$K$200,9,0)</f>
        <v>PRIYA PANDEY</v>
      </c>
      <c r="AC64" s="22" t="str">
        <f>VLOOKUP(C64,DSC_Master!$C$1:$J$201,8,0)</f>
        <v>43605915887</v>
      </c>
      <c r="AD64" s="22" t="str">
        <f>VLOOKUP(C64,DSC_Master!$C$1:$J$201,7,0)</f>
        <v>SBIN0003683</v>
      </c>
      <c r="AE64" s="159"/>
      <c r="AF64" s="3">
        <v>56370</v>
      </c>
      <c r="AG64" s="5">
        <f t="shared" si="9"/>
        <v>-4.3697999999931199</v>
      </c>
      <c r="AI64" s="24">
        <v>1500</v>
      </c>
      <c r="AJ64" s="24">
        <v>56365.630200000007</v>
      </c>
      <c r="AK64" s="30">
        <f t="shared" si="10"/>
        <v>0</v>
      </c>
      <c r="AL64" s="30">
        <f t="shared" si="11"/>
        <v>0</v>
      </c>
    </row>
    <row r="65" spans="1:38" x14ac:dyDescent="0.25">
      <c r="A65" s="8">
        <v>1062</v>
      </c>
      <c r="B65" s="38" t="s">
        <v>320</v>
      </c>
      <c r="C65" s="9">
        <v>10620112</v>
      </c>
      <c r="D65" s="8">
        <f>VLOOKUP(C65,DSC_Master!$C$1:D160,2,0)</f>
        <v>20112</v>
      </c>
      <c r="E65" s="10" t="str">
        <f>VLOOKUP(C65,DSC_Master!$C$1:$K$200,4,0)</f>
        <v>PARSATHUA DSK</v>
      </c>
      <c r="F65" s="11" t="s">
        <v>304</v>
      </c>
      <c r="G65" s="11" t="s">
        <v>400</v>
      </c>
      <c r="H65" s="24">
        <v>115</v>
      </c>
      <c r="I65" s="24">
        <v>4660.5018219000003</v>
      </c>
      <c r="J65" s="14">
        <f t="shared" si="1"/>
        <v>4660.5018219000003</v>
      </c>
      <c r="K65" s="13"/>
      <c r="L65" s="13"/>
      <c r="M65" s="13">
        <v>0</v>
      </c>
      <c r="N65" s="13"/>
      <c r="O65" s="13">
        <f t="shared" si="2"/>
        <v>4660.5018219000003</v>
      </c>
      <c r="P65" s="13">
        <f t="shared" si="3"/>
        <v>0</v>
      </c>
      <c r="Q65" s="15">
        <f t="shared" si="4"/>
        <v>4660.5018219000003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Payment_22-28 May-diff.xlsx</v>
      </c>
      <c r="U65" s="19"/>
      <c r="V65" s="36">
        <f t="shared" si="5"/>
        <v>81.55878188325002</v>
      </c>
      <c r="W65" s="20">
        <f t="shared" si="6"/>
        <v>11.65125455475</v>
      </c>
      <c r="X65" s="59">
        <f t="shared" si="7"/>
        <v>69.907527328500024</v>
      </c>
      <c r="Y65" s="21">
        <v>0</v>
      </c>
      <c r="Z65" s="48">
        <f t="shared" si="8"/>
        <v>69.907527328500024</v>
      </c>
      <c r="AB65" s="22" t="str">
        <f>VLOOKUP(C65,DSC_Master!$C$1:$K$200,9,0)</f>
        <v>ANJU DEVI</v>
      </c>
      <c r="AC65" s="22" t="str">
        <f>VLOOKUP(C65,DSC_Master!$C$1:$J$201,8,0)</f>
        <v>50100615862671</v>
      </c>
      <c r="AD65" s="22" t="str">
        <f>VLOOKUP(C65,DSC_Master!$C$1:$J$201,7,0)</f>
        <v>HDFC0002625</v>
      </c>
      <c r="AE65" s="159"/>
      <c r="AF65" s="3">
        <v>4570.57</v>
      </c>
      <c r="AG65" s="5">
        <f t="shared" si="9"/>
        <v>89.931821900000614</v>
      </c>
      <c r="AI65" s="24">
        <v>115</v>
      </c>
      <c r="AJ65" s="24">
        <v>4570.5211836000008</v>
      </c>
      <c r="AK65" s="30">
        <f t="shared" si="10"/>
        <v>0</v>
      </c>
      <c r="AL65" s="30">
        <f t="shared" si="11"/>
        <v>-89.980638299999555</v>
      </c>
    </row>
    <row r="66" spans="1:38" x14ac:dyDescent="0.25">
      <c r="A66" s="8">
        <v>1062</v>
      </c>
      <c r="B66" s="38" t="s">
        <v>320</v>
      </c>
      <c r="C66" s="9">
        <v>10620115</v>
      </c>
      <c r="D66" s="8">
        <f>VLOOKUP(C66,DSC_Master!$C$1:D161,2,0)</f>
        <v>20115</v>
      </c>
      <c r="E66" s="10" t="str">
        <f>VLOOKUP(C66,DSC_Master!$C$1:$K$200,4,0)</f>
        <v>BADAKI KULHARIA DSK</v>
      </c>
      <c r="F66" s="11" t="s">
        <v>304</v>
      </c>
      <c r="G66" s="11" t="s">
        <v>400</v>
      </c>
      <c r="H66" s="24">
        <v>550</v>
      </c>
      <c r="I66" s="24">
        <v>20766.752473300003</v>
      </c>
      <c r="J66" s="14">
        <f t="shared" si="1"/>
        <v>20766.752473300003</v>
      </c>
      <c r="K66" s="13"/>
      <c r="L66" s="13"/>
      <c r="M66" s="13">
        <v>0</v>
      </c>
      <c r="N66" s="13"/>
      <c r="O66" s="13">
        <f t="shared" si="2"/>
        <v>20766.752473300003</v>
      </c>
      <c r="P66" s="13">
        <f t="shared" si="3"/>
        <v>0</v>
      </c>
      <c r="Q66" s="15">
        <f t="shared" si="4"/>
        <v>20766.752473300003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Payment_22-28 May-diff.xlsx</v>
      </c>
      <c r="U66" s="19"/>
      <c r="V66" s="36">
        <f t="shared" si="5"/>
        <v>363.41816828275006</v>
      </c>
      <c r="W66" s="20">
        <f t="shared" si="6"/>
        <v>51.916881183250005</v>
      </c>
      <c r="X66" s="59">
        <f t="shared" si="7"/>
        <v>311.50128709950008</v>
      </c>
      <c r="Y66" s="21">
        <v>0</v>
      </c>
      <c r="Z66" s="48">
        <f t="shared" si="8"/>
        <v>311.50128709950008</v>
      </c>
      <c r="AB66" s="22" t="str">
        <f>VLOOKUP(C66,DSC_Master!$C$1:$K$200,9,0)</f>
        <v>AJAY KUMAR SINGH</v>
      </c>
      <c r="AC66" s="22" t="str">
        <f>VLOOKUP(C66,DSC_Master!$C$1:$J$201,8,0)</f>
        <v>41684045867</v>
      </c>
      <c r="AD66" s="22" t="str">
        <f>VLOOKUP(C66,DSC_Master!$C$1:$J$201,7,0)</f>
        <v>SBIN0017163</v>
      </c>
      <c r="AE66" s="159"/>
      <c r="AF66" s="3">
        <v>20304.560000000001</v>
      </c>
      <c r="AG66" s="5">
        <f t="shared" si="9"/>
        <v>462.19247330000144</v>
      </c>
      <c r="AI66" s="24">
        <v>550</v>
      </c>
      <c r="AJ66" s="24">
        <v>20308.8410368</v>
      </c>
      <c r="AK66" s="30">
        <f t="shared" si="10"/>
        <v>0</v>
      </c>
      <c r="AL66" s="30">
        <f t="shared" si="11"/>
        <v>-457.91143650000231</v>
      </c>
    </row>
    <row r="67" spans="1:38" x14ac:dyDescent="0.25">
      <c r="A67" s="8">
        <v>1062</v>
      </c>
      <c r="B67" s="38" t="s">
        <v>320</v>
      </c>
      <c r="C67" s="9">
        <v>10620116</v>
      </c>
      <c r="D67" s="8">
        <f>VLOOKUP(C67,DSC_Master!$C$1:D162,2,0)</f>
        <v>20116</v>
      </c>
      <c r="E67" s="10" t="str">
        <f>VLOOKUP(C67,DSC_Master!$C$1:$K$200,4,0)</f>
        <v>ARANG DSK</v>
      </c>
      <c r="F67" s="11" t="s">
        <v>304</v>
      </c>
      <c r="G67" s="11" t="s">
        <v>400</v>
      </c>
      <c r="H67" s="24">
        <v>5220</v>
      </c>
      <c r="I67" s="24">
        <v>223484.80742999999</v>
      </c>
      <c r="J67" s="14">
        <f t="shared" si="1"/>
        <v>223484.80742999999</v>
      </c>
      <c r="K67" s="13"/>
      <c r="L67" s="13"/>
      <c r="M67" s="13">
        <v>0</v>
      </c>
      <c r="N67" s="13"/>
      <c r="O67" s="13">
        <f t="shared" si="2"/>
        <v>223484.80742999999</v>
      </c>
      <c r="P67" s="13">
        <f t="shared" si="3"/>
        <v>0</v>
      </c>
      <c r="Q67" s="15">
        <f t="shared" si="4"/>
        <v>223484.80742999999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Payment_22-28 May-diff.xlsx</v>
      </c>
      <c r="U67" s="19"/>
      <c r="V67" s="36">
        <f t="shared" si="5"/>
        <v>3910.984130025</v>
      </c>
      <c r="W67" s="20">
        <f t="shared" si="6"/>
        <v>558.712018575</v>
      </c>
      <c r="X67" s="59">
        <f t="shared" si="7"/>
        <v>3352.27211145</v>
      </c>
      <c r="Y67" s="21">
        <v>0</v>
      </c>
      <c r="Z67" s="48">
        <f t="shared" si="8"/>
        <v>3352.27211145</v>
      </c>
      <c r="AB67" s="22" t="str">
        <f>VLOOKUP(C67,DSC_Master!$C$1:$K$200,9,0)</f>
        <v>BIRENDRA KUMAR</v>
      </c>
      <c r="AC67" s="22" t="str">
        <f>VLOOKUP(C67,DSC_Master!$C$1:$J$201,8,0)</f>
        <v>579120110000273</v>
      </c>
      <c r="AD67" s="22" t="str">
        <f>VLOOKUP(C67,DSC_Master!$C$1:$J$201,7,0)</f>
        <v>BKID0005791</v>
      </c>
      <c r="AE67" s="159"/>
      <c r="AF67" s="3">
        <v>115474.4</v>
      </c>
      <c r="AG67" s="5">
        <f t="shared" si="9"/>
        <v>108010.40742999999</v>
      </c>
      <c r="AI67" s="24">
        <v>2840</v>
      </c>
      <c r="AJ67" s="24">
        <v>115466.22648</v>
      </c>
      <c r="AK67" s="30">
        <f t="shared" si="10"/>
        <v>-2380</v>
      </c>
      <c r="AL67" s="30">
        <f t="shared" si="11"/>
        <v>-108018.58094999999</v>
      </c>
    </row>
    <row r="68" spans="1:38" x14ac:dyDescent="0.25">
      <c r="A68" s="8">
        <v>1062</v>
      </c>
      <c r="B68" s="38" t="s">
        <v>320</v>
      </c>
      <c r="C68" s="9">
        <v>10620119</v>
      </c>
      <c r="D68" s="8">
        <f>VLOOKUP(C68,DSC_Master!$C$1:D163,2,0)</f>
        <v>20119</v>
      </c>
      <c r="E68" s="10" t="str">
        <f>VLOOKUP(C68,DSC_Master!$C$1:$K$200,4,0)</f>
        <v>KURRA NEW DSK</v>
      </c>
      <c r="F68" s="11" t="s">
        <v>304</v>
      </c>
      <c r="G68" s="11" t="s">
        <v>400</v>
      </c>
      <c r="H68" s="24">
        <v>6050</v>
      </c>
      <c r="I68" s="24">
        <v>265541.66653200006</v>
      </c>
      <c r="J68" s="14">
        <f t="shared" ref="J68" si="21">I68</f>
        <v>265541.66653200006</v>
      </c>
      <c r="K68" s="13"/>
      <c r="L68" s="13"/>
      <c r="M68" s="13">
        <v>0</v>
      </c>
      <c r="N68" s="13"/>
      <c r="O68" s="13">
        <f t="shared" ref="O68" si="22">J68-SUM(K68:N68)</f>
        <v>265541.66653200006</v>
      </c>
      <c r="P68" s="13">
        <f t="shared" ref="P68" si="23">IF(R68="Yes",O68,0)</f>
        <v>0</v>
      </c>
      <c r="Q68" s="15">
        <f t="shared" ref="Q68" si="24">O68-P68</f>
        <v>265541.66653200006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Payment_22-28 May-diff.xlsx</v>
      </c>
      <c r="U68" s="19"/>
      <c r="V68" s="36">
        <f t="shared" ref="V68" si="25">I68*1.75%</f>
        <v>4646.9791643100016</v>
      </c>
      <c r="W68" s="20">
        <f t="shared" ref="W68" si="26">I68*0.25%</f>
        <v>663.85416633000011</v>
      </c>
      <c r="X68" s="59">
        <f t="shared" ref="X68" si="27">V68-W68</f>
        <v>3983.1249979800014</v>
      </c>
      <c r="Y68" s="21">
        <v>0</v>
      </c>
      <c r="Z68" s="48">
        <f t="shared" ref="Z68" si="28">X68-Y68</f>
        <v>3983.1249979800014</v>
      </c>
      <c r="AB68" s="22" t="str">
        <f>VLOOKUP(C68,DSC_Master!$C$1:$K$200,9,0)</f>
        <v>DIVYANSHI DAIRY MILK</v>
      </c>
      <c r="AC68" s="22" t="str">
        <f>VLOOKUP(C68,DSC_Master!$C$1:$J$201,8,0)</f>
        <v>8136244333</v>
      </c>
      <c r="AD68" s="22" t="str">
        <f>VLOOKUP(C68,DSC_Master!$C$1:$J$201,7,0)</f>
        <v>IDIB000M430</v>
      </c>
      <c r="AE68" s="159"/>
      <c r="AF68" s="3">
        <v>257289.2</v>
      </c>
      <c r="AG68" s="5">
        <f t="shared" ref="AG68" si="29">Q68-AF68</f>
        <v>8252.4665320000495</v>
      </c>
      <c r="AI68" s="24">
        <v>6050</v>
      </c>
      <c r="AJ68" s="24">
        <v>258684.42758400005</v>
      </c>
      <c r="AK68" s="30">
        <f t="shared" ref="AK68:AK73" si="30">AI68-H68</f>
        <v>0</v>
      </c>
      <c r="AL68" s="30">
        <f t="shared" ref="AL68:AL73" si="31">AJ68-I68</f>
        <v>-6857.2389480000129</v>
      </c>
    </row>
    <row r="69" spans="1:38" x14ac:dyDescent="0.25">
      <c r="A69" s="8">
        <v>1062</v>
      </c>
      <c r="B69" s="38" t="s">
        <v>320</v>
      </c>
      <c r="C69" s="9">
        <v>10620120</v>
      </c>
      <c r="D69" s="8">
        <f>VLOOKUP(C69,DSC_Master!$C$1:D163,2,0)</f>
        <v>20120</v>
      </c>
      <c r="E69" s="10" t="str">
        <f>VLOOKUP(C69,DSC_Master!$C$1:$K$200,4,0)</f>
        <v>TIYARA DSK</v>
      </c>
      <c r="F69" s="11" t="s">
        <v>304</v>
      </c>
      <c r="G69" s="11" t="s">
        <v>400</v>
      </c>
      <c r="H69" s="24">
        <v>242</v>
      </c>
      <c r="I69" s="24">
        <v>12911.800212900001</v>
      </c>
      <c r="J69" s="14">
        <f t="shared" si="1"/>
        <v>12911.800212900001</v>
      </c>
      <c r="K69" s="13"/>
      <c r="L69" s="13"/>
      <c r="M69" s="13">
        <v>0</v>
      </c>
      <c r="N69" s="13"/>
      <c r="O69" s="13">
        <f t="shared" si="2"/>
        <v>12911.800212900001</v>
      </c>
      <c r="P69" s="13">
        <f t="shared" si="3"/>
        <v>0</v>
      </c>
      <c r="Q69" s="15">
        <f t="shared" si="4"/>
        <v>12911.800212900001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Payment_22-28 May-diff.xlsx</v>
      </c>
      <c r="U69" s="19"/>
      <c r="V69" s="36">
        <f t="shared" si="5"/>
        <v>225.95650372575005</v>
      </c>
      <c r="W69" s="20">
        <f t="shared" si="6"/>
        <v>32.279500532250005</v>
      </c>
      <c r="X69" s="59">
        <f t="shared" si="7"/>
        <v>193.67700319350004</v>
      </c>
      <c r="Y69" s="21">
        <v>0</v>
      </c>
      <c r="Z69" s="48">
        <f t="shared" si="8"/>
        <v>193.67700319350004</v>
      </c>
      <c r="AB69" s="22" t="str">
        <f>VLOOKUP(C69,DSC_Master!$C$1:$K$200,9,0)</f>
        <v>NIRMAL SINGH</v>
      </c>
      <c r="AC69" s="22" t="str">
        <f>VLOOKUP(C69,DSC_Master!$C$1:$J$201,8,0)</f>
        <v>2784000100110417</v>
      </c>
      <c r="AD69" s="22" t="str">
        <f>VLOOKUP(C69,DSC_Master!$C$1:$J$201,7,0)</f>
        <v>PUNB0278400</v>
      </c>
      <c r="AE69" s="159"/>
      <c r="AF69" s="3">
        <v>12867.18</v>
      </c>
      <c r="AG69" s="5">
        <f t="shared" si="9"/>
        <v>44.620212900001206</v>
      </c>
      <c r="AI69" s="24">
        <v>242</v>
      </c>
      <c r="AJ69" s="24">
        <v>12866.858984400002</v>
      </c>
      <c r="AK69" s="30">
        <f t="shared" si="30"/>
        <v>0</v>
      </c>
      <c r="AL69" s="30">
        <f t="shared" si="31"/>
        <v>-44.941228499999852</v>
      </c>
    </row>
    <row r="70" spans="1:38" x14ac:dyDescent="0.25">
      <c r="A70" s="8">
        <v>1062</v>
      </c>
      <c r="B70" s="38" t="s">
        <v>320</v>
      </c>
      <c r="C70" s="9">
        <v>10620121</v>
      </c>
      <c r="D70" s="8">
        <f>VLOOKUP(C70,DSC_Master!$C$1:D164,2,0)</f>
        <v>20121</v>
      </c>
      <c r="E70" s="10" t="str">
        <f>VLOOKUP(C70,DSC_Master!$C$1:$K$200,4,0)</f>
        <v>DUMDUMA DSK</v>
      </c>
      <c r="F70" s="11" t="s">
        <v>304</v>
      </c>
      <c r="G70" s="11" t="s">
        <v>400</v>
      </c>
      <c r="H70" s="24">
        <v>1136</v>
      </c>
      <c r="I70" s="24">
        <v>45855.071713799996</v>
      </c>
      <c r="J70" s="14">
        <f t="shared" si="1"/>
        <v>45855.071713799996</v>
      </c>
      <c r="K70" s="13"/>
      <c r="L70" s="13"/>
      <c r="M70" s="13">
        <v>0</v>
      </c>
      <c r="N70" s="13"/>
      <c r="O70" s="13">
        <f t="shared" si="2"/>
        <v>45855.071713799996</v>
      </c>
      <c r="P70" s="13">
        <f t="shared" si="3"/>
        <v>0</v>
      </c>
      <c r="Q70" s="15">
        <f t="shared" si="4"/>
        <v>45855.071713799996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Payment_22-28 May-diff.xlsx</v>
      </c>
      <c r="U70" s="19"/>
      <c r="V70" s="36">
        <f t="shared" si="5"/>
        <v>802.46375499149997</v>
      </c>
      <c r="W70" s="20">
        <f t="shared" si="6"/>
        <v>114.6376792845</v>
      </c>
      <c r="X70" s="59">
        <f t="shared" si="7"/>
        <v>687.82607570699997</v>
      </c>
      <c r="Y70" s="21">
        <v>0</v>
      </c>
      <c r="Z70" s="48">
        <f t="shared" si="8"/>
        <v>687.82607570699997</v>
      </c>
      <c r="AB70" s="22" t="str">
        <f>VLOOKUP(C70,DSC_Master!$C$1:$K$200,9,0)</f>
        <v>CHANDRA MANI RAI</v>
      </c>
      <c r="AC70" s="22" t="str">
        <f>VLOOKUP(C70,DSC_Master!$C$1:$J$201,8,0)</f>
        <v>625310110008012</v>
      </c>
      <c r="AD70" s="22" t="str">
        <f>VLOOKUP(C70,DSC_Master!$C$1:$J$201,7,0)</f>
        <v>BKID0006253</v>
      </c>
      <c r="AE70" s="159"/>
      <c r="AF70" s="3">
        <v>45122.77</v>
      </c>
      <c r="AG70" s="5">
        <f t="shared" si="9"/>
        <v>732.30171379999956</v>
      </c>
      <c r="AI70" s="24">
        <v>1136</v>
      </c>
      <c r="AJ70" s="24">
        <v>45122.107819199991</v>
      </c>
      <c r="AK70" s="30">
        <f t="shared" si="30"/>
        <v>0</v>
      </c>
      <c r="AL70" s="30">
        <f t="shared" si="31"/>
        <v>-732.96389460000501</v>
      </c>
    </row>
    <row r="71" spans="1:38" x14ac:dyDescent="0.25">
      <c r="A71" s="8">
        <v>1062</v>
      </c>
      <c r="B71" s="38" t="s">
        <v>320</v>
      </c>
      <c r="C71" s="9">
        <v>10620122</v>
      </c>
      <c r="D71" s="8">
        <f>VLOOKUP(C71,DSC_Master!$C$1:D165,2,0)</f>
        <v>20122</v>
      </c>
      <c r="E71" s="10" t="str">
        <f>VLOOKUP(C71,DSC_Master!$C$1:$K$200,4,0)</f>
        <v xml:space="preserve"> NOUAN DSK</v>
      </c>
      <c r="F71" s="11" t="s">
        <v>304</v>
      </c>
      <c r="G71" s="11" t="s">
        <v>400</v>
      </c>
      <c r="H71" s="24">
        <v>124</v>
      </c>
      <c r="I71" s="24">
        <v>4183.1338560000004</v>
      </c>
      <c r="J71" s="14">
        <f t="shared" si="1"/>
        <v>4183.1338560000004</v>
      </c>
      <c r="K71" s="13"/>
      <c r="L71" s="13"/>
      <c r="M71" s="13">
        <v>0</v>
      </c>
      <c r="N71" s="13"/>
      <c r="O71" s="13">
        <f t="shared" si="2"/>
        <v>4183.1338560000004</v>
      </c>
      <c r="P71" s="13">
        <f t="shared" si="3"/>
        <v>0</v>
      </c>
      <c r="Q71" s="15">
        <f t="shared" si="4"/>
        <v>4183.1338560000004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Payment_22-28 May-diff.xlsx</v>
      </c>
      <c r="U71" s="19"/>
      <c r="V71" s="36">
        <f t="shared" si="5"/>
        <v>73.204842480000011</v>
      </c>
      <c r="W71" s="20">
        <f t="shared" si="6"/>
        <v>10.457834640000002</v>
      </c>
      <c r="X71" s="59">
        <f t="shared" si="7"/>
        <v>62.747007840000009</v>
      </c>
      <c r="Y71" s="21">
        <v>0</v>
      </c>
      <c r="Z71" s="48">
        <f t="shared" si="8"/>
        <v>62.747007840000009</v>
      </c>
      <c r="AB71" s="22" t="str">
        <f>VLOOKUP(C71,DSC_Master!$C$1:$K$200,9,0)</f>
        <v xml:space="preserve">JAISHANKAR JAISWAL </v>
      </c>
      <c r="AC71" s="22" t="str">
        <f>VLOOKUP(C71,DSC_Master!$C$1:$J$201,8,0)</f>
        <v>461110110007555</v>
      </c>
      <c r="AD71" s="22" t="str">
        <f>VLOOKUP(C71,DSC_Master!$C$1:$J$201,7,0)</f>
        <v>BKID0004611</v>
      </c>
      <c r="AE71" s="159"/>
      <c r="AF71" s="3">
        <v>4092</v>
      </c>
      <c r="AG71" s="5">
        <f t="shared" si="9"/>
        <v>91.133856000000378</v>
      </c>
      <c r="AI71" s="24">
        <v>124</v>
      </c>
      <c r="AJ71" s="24">
        <v>4092.1309440000005</v>
      </c>
      <c r="AK71" s="30">
        <f t="shared" si="30"/>
        <v>0</v>
      </c>
      <c r="AL71" s="30">
        <f t="shared" si="31"/>
        <v>-91.002911999999924</v>
      </c>
    </row>
    <row r="72" spans="1:38" x14ac:dyDescent="0.25">
      <c r="A72" s="8">
        <v>1062</v>
      </c>
      <c r="B72" s="38" t="s">
        <v>320</v>
      </c>
      <c r="C72" s="9">
        <v>10620123</v>
      </c>
      <c r="D72" s="8">
        <f>VLOOKUP(C72,DSC_Master!$C$1:D166,2,0)</f>
        <v>20123</v>
      </c>
      <c r="E72" s="10" t="str">
        <f>VLOOKUP(C72,DSC_Master!$C$1:$K$200,4,0)</f>
        <v>SAKRAULI DSK</v>
      </c>
      <c r="F72" s="11" t="s">
        <v>304</v>
      </c>
      <c r="G72" s="11" t="s">
        <v>400</v>
      </c>
      <c r="H72" s="24">
        <v>177</v>
      </c>
      <c r="I72" s="24">
        <v>6577.9161636000008</v>
      </c>
      <c r="J72" s="14">
        <f t="shared" ref="J72" si="32">I72</f>
        <v>6577.9161636000008</v>
      </c>
      <c r="K72" s="13"/>
      <c r="L72" s="13"/>
      <c r="M72" s="13">
        <v>0</v>
      </c>
      <c r="N72" s="13"/>
      <c r="O72" s="13">
        <f t="shared" ref="O72" si="33">J72-SUM(K72:N72)</f>
        <v>6577.9161636000008</v>
      </c>
      <c r="P72" s="13">
        <f t="shared" ref="P72" si="34">IF(R72="Yes",O72,0)</f>
        <v>0</v>
      </c>
      <c r="Q72" s="15">
        <f t="shared" ref="Q72" si="35">O72-P72</f>
        <v>6577.9161636000008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Payment_22-28 May-diff.xlsx</v>
      </c>
      <c r="U72" s="19"/>
      <c r="V72" s="36">
        <f t="shared" ref="V72" si="36">I72*1.75%</f>
        <v>115.11353286300003</v>
      </c>
      <c r="W72" s="20">
        <f t="shared" ref="W72" si="37">I72*0.25%</f>
        <v>16.444790409000003</v>
      </c>
      <c r="X72" s="59">
        <f t="shared" ref="X72" si="38">V72-W72</f>
        <v>98.668742454000025</v>
      </c>
      <c r="Y72" s="21">
        <v>0</v>
      </c>
      <c r="Z72" s="48">
        <f t="shared" ref="Z72" si="39">X72-Y72</f>
        <v>98.668742454000025</v>
      </c>
      <c r="AB72" s="22" t="str">
        <f>VLOOKUP(C72,DSC_Master!$C$1:$K$200,9,0)</f>
        <v>BECHU PASSI</v>
      </c>
      <c r="AC72" s="22" t="str">
        <f>VLOOKUP(C72,DSC_Master!$C$1:$J$201,8,0)</f>
        <v>2696000100200761</v>
      </c>
      <c r="AD72" s="22" t="str">
        <f>VLOOKUP(C72,DSC_Master!$C$1:$J$201,7,0)</f>
        <v>PUNB0269600</v>
      </c>
      <c r="AE72" s="159"/>
      <c r="AF72" s="3">
        <v>0</v>
      </c>
      <c r="AG72" s="5">
        <f t="shared" ref="AG72" si="40">Q72-AF72</f>
        <v>6577.9161636000008</v>
      </c>
      <c r="AI72" s="24">
        <v>177</v>
      </c>
      <c r="AJ72" s="24">
        <v>6426.8727732000007</v>
      </c>
      <c r="AK72" s="30">
        <f t="shared" si="30"/>
        <v>0</v>
      </c>
      <c r="AL72" s="30">
        <f t="shared" si="31"/>
        <v>-151.04339040000013</v>
      </c>
    </row>
    <row r="73" spans="1:38" x14ac:dyDescent="0.25">
      <c r="A73" s="25"/>
      <c r="B73" s="26"/>
      <c r="C73" s="25"/>
      <c r="D73" s="25"/>
      <c r="E73" s="25"/>
      <c r="F73" s="25" t="s">
        <v>305</v>
      </c>
      <c r="G73" s="25">
        <f>COUNTA(G3:G72)</f>
        <v>70</v>
      </c>
      <c r="H73" s="27">
        <f t="shared" ref="H73:Q73" si="41">SUBTOTAL(109,H3:H72)</f>
        <v>105725</v>
      </c>
      <c r="I73" s="27">
        <f t="shared" si="41"/>
        <v>4429919.6280827019</v>
      </c>
      <c r="J73" s="28">
        <f t="shared" si="41"/>
        <v>4429919.6280827019</v>
      </c>
      <c r="K73" s="28">
        <f t="shared" si="41"/>
        <v>0</v>
      </c>
      <c r="L73" s="28">
        <f t="shared" si="41"/>
        <v>0</v>
      </c>
      <c r="M73" s="28">
        <f t="shared" si="41"/>
        <v>0</v>
      </c>
      <c r="N73" s="28">
        <f t="shared" si="41"/>
        <v>0</v>
      </c>
      <c r="O73" s="28">
        <f t="shared" si="41"/>
        <v>4429919.6280827019</v>
      </c>
      <c r="P73" s="28">
        <f t="shared" si="41"/>
        <v>0</v>
      </c>
      <c r="Q73" s="28">
        <f t="shared" si="41"/>
        <v>4429919.6280827019</v>
      </c>
      <c r="R73" s="29">
        <f>COUNTIF(R2:R72,"Yes")</f>
        <v>0</v>
      </c>
      <c r="S73" s="9"/>
      <c r="T73" s="22"/>
      <c r="U73" s="6"/>
      <c r="V73" s="48">
        <f>SUM(V3:V72)</f>
        <v>77523.59349144726</v>
      </c>
      <c r="W73" s="48">
        <f>SUM(W3:W72)</f>
        <v>11074.799070206747</v>
      </c>
      <c r="X73" s="48">
        <f>SUM(X3:X72)</f>
        <v>66448.794421240513</v>
      </c>
      <c r="Y73" s="48">
        <f>SUM(Y3:Y72)</f>
        <v>0</v>
      </c>
      <c r="Z73" s="48">
        <f>SUM(Z3:Z72)</f>
        <v>66448.794421240513</v>
      </c>
      <c r="AB73" s="22"/>
      <c r="AC73" s="22"/>
      <c r="AD73" s="22"/>
      <c r="AF73" s="3">
        <f>SUM(AF3:AF72)</f>
        <v>3874849.8400000012</v>
      </c>
      <c r="AG73" s="5">
        <f>SUM(AG3:AG72)</f>
        <v>555069.78808270057</v>
      </c>
      <c r="AI73" s="27">
        <f t="shared" ref="AI73:AJ73" si="42">SUBTOTAL(109,AI3:AI72)</f>
        <v>93955</v>
      </c>
      <c r="AJ73" s="27">
        <f t="shared" si="42"/>
        <v>3886202.1408952</v>
      </c>
      <c r="AK73" s="30">
        <f t="shared" si="30"/>
        <v>-11770</v>
      </c>
      <c r="AL73" s="30">
        <f t="shared" si="31"/>
        <v>-543717.48718750197</v>
      </c>
    </row>
    <row r="74" spans="1:38" x14ac:dyDescent="0.25">
      <c r="K74" s="5"/>
      <c r="O74" s="5"/>
      <c r="P74" s="5"/>
      <c r="Q74" s="5"/>
      <c r="R74" s="5"/>
      <c r="AF74" s="5"/>
    </row>
    <row r="75" spans="1:38" x14ac:dyDescent="0.25">
      <c r="E75" s="137" t="s">
        <v>310</v>
      </c>
      <c r="F75" s="138" t="s">
        <v>429</v>
      </c>
      <c r="G75"/>
      <c r="H75"/>
      <c r="J75" s="30"/>
      <c r="K75" s="30"/>
      <c r="L75" s="30"/>
      <c r="M75" s="30"/>
      <c r="N75" s="30"/>
      <c r="O75" s="30"/>
      <c r="P75" s="30"/>
      <c r="Q75" s="30"/>
    </row>
    <row r="76" spans="1:38" x14ac:dyDescent="0.25">
      <c r="E76" s="135" t="s">
        <v>306</v>
      </c>
      <c r="F76" s="139">
        <f>G73</f>
        <v>70</v>
      </c>
      <c r="G76"/>
      <c r="H76"/>
      <c r="K76" s="30"/>
      <c r="O76" s="23"/>
      <c r="P76" s="23"/>
      <c r="R76" s="5"/>
      <c r="X76" s="31"/>
    </row>
    <row r="77" spans="1:38" x14ac:dyDescent="0.25">
      <c r="E77" s="135" t="s">
        <v>307</v>
      </c>
      <c r="F77" s="139">
        <f>H73</f>
        <v>105725</v>
      </c>
      <c r="G77"/>
      <c r="H77"/>
      <c r="K77" s="5"/>
      <c r="L77" s="30"/>
      <c r="O77" s="23"/>
      <c r="P77" s="23"/>
      <c r="W77" s="5"/>
      <c r="X77" s="31"/>
    </row>
    <row r="78" spans="1:38" x14ac:dyDescent="0.25">
      <c r="E78" s="135" t="s">
        <v>308</v>
      </c>
      <c r="F78" s="139">
        <f>I73</f>
        <v>4429919.6280827019</v>
      </c>
      <c r="G78"/>
      <c r="H78"/>
      <c r="O78" s="5"/>
      <c r="P78" s="5"/>
      <c r="Q78" s="30"/>
      <c r="R78" s="5"/>
      <c r="X78" s="23"/>
    </row>
    <row r="79" spans="1:38" x14ac:dyDescent="0.25">
      <c r="E79" s="135" t="s">
        <v>309</v>
      </c>
      <c r="F79" s="139">
        <f>J73</f>
        <v>4429919.6280827019</v>
      </c>
      <c r="G79"/>
      <c r="H79"/>
      <c r="O79" s="5"/>
      <c r="P79" s="5"/>
      <c r="R79" s="6"/>
      <c r="W79" s="5"/>
    </row>
    <row r="80" spans="1:38" x14ac:dyDescent="0.25">
      <c r="E80" s="135" t="s">
        <v>298</v>
      </c>
      <c r="F80" s="139">
        <f>-K73</f>
        <v>0</v>
      </c>
      <c r="G80"/>
      <c r="H80"/>
      <c r="R80" s="5"/>
    </row>
    <row r="81" spans="5:22" x14ac:dyDescent="0.25">
      <c r="E81" s="135" t="s">
        <v>299</v>
      </c>
      <c r="F81" s="139">
        <f>-L73</f>
        <v>0</v>
      </c>
      <c r="G81"/>
      <c r="H81"/>
      <c r="O81" s="32"/>
      <c r="P81" s="32"/>
      <c r="Q81" s="33"/>
    </row>
    <row r="82" spans="5:22" x14ac:dyDescent="0.25">
      <c r="E82" s="135" t="s">
        <v>300</v>
      </c>
      <c r="F82" s="139">
        <f>-M73</f>
        <v>0</v>
      </c>
      <c r="G82"/>
      <c r="H82"/>
      <c r="O82" s="32"/>
      <c r="P82" s="32"/>
      <c r="Q82" s="33"/>
    </row>
    <row r="83" spans="5:22" x14ac:dyDescent="0.25">
      <c r="E83" s="135" t="s">
        <v>301</v>
      </c>
      <c r="F83" s="139">
        <f>-N73</f>
        <v>0</v>
      </c>
      <c r="G83"/>
      <c r="H83"/>
      <c r="Q83" s="33"/>
    </row>
    <row r="84" spans="5:22" x14ac:dyDescent="0.25">
      <c r="E84" s="135" t="s">
        <v>313</v>
      </c>
      <c r="F84" s="139">
        <f>SUM(F79:F83)</f>
        <v>4429919.6280827019</v>
      </c>
      <c r="G84"/>
      <c r="H84"/>
      <c r="L84" s="5"/>
    </row>
    <row r="85" spans="5:22" x14ac:dyDescent="0.25">
      <c r="E85" s="135" t="s">
        <v>318</v>
      </c>
      <c r="F85" s="139">
        <f>P73</f>
        <v>0</v>
      </c>
      <c r="G85"/>
      <c r="H85"/>
      <c r="Q85" s="30"/>
    </row>
    <row r="86" spans="5:22" x14ac:dyDescent="0.25">
      <c r="E86" s="136" t="s">
        <v>319</v>
      </c>
      <c r="F86" s="141">
        <f>F84-F85</f>
        <v>4429919.6280827019</v>
      </c>
      <c r="G86" s="142">
        <f>F86-Q73</f>
        <v>0</v>
      </c>
      <c r="H86"/>
    </row>
    <row r="87" spans="5:22" x14ac:dyDescent="0.25">
      <c r="F87"/>
      <c r="G87"/>
      <c r="H87"/>
      <c r="J87" s="34"/>
      <c r="O87" s="32"/>
      <c r="P87" s="32"/>
    </row>
    <row r="88" spans="5:22" x14ac:dyDescent="0.25">
      <c r="E88" s="140" t="s">
        <v>482</v>
      </c>
      <c r="F88" s="144">
        <f>Data!S2</f>
        <v>77523.593491447362</v>
      </c>
      <c r="G88"/>
      <c r="H88"/>
    </row>
    <row r="89" spans="5:22" x14ac:dyDescent="0.25">
      <c r="E89" s="140" t="s">
        <v>426</v>
      </c>
      <c r="F89" s="144">
        <f>F78*0.25%</f>
        <v>11074.799070206755</v>
      </c>
      <c r="G89"/>
      <c r="H89"/>
      <c r="Q89" s="30"/>
    </row>
    <row r="90" spans="5:22" x14ac:dyDescent="0.25">
      <c r="E90" s="143" t="s">
        <v>483</v>
      </c>
      <c r="F90" s="145">
        <f>F88-F89</f>
        <v>66448.7944212406</v>
      </c>
      <c r="R90" s="6"/>
    </row>
    <row r="91" spans="5:22" x14ac:dyDescent="0.25">
      <c r="E91" s="3"/>
      <c r="F91" s="2"/>
      <c r="S91" s="35"/>
      <c r="V91" s="35"/>
    </row>
    <row r="92" spans="5:22" x14ac:dyDescent="0.25">
      <c r="E92" s="140" t="s">
        <v>425</v>
      </c>
      <c r="F92" s="144">
        <f>F77*3.75</f>
        <v>396468.75</v>
      </c>
    </row>
    <row r="93" spans="5:22" x14ac:dyDescent="0.25">
      <c r="E93" s="140" t="s">
        <v>427</v>
      </c>
      <c r="F93" s="144">
        <f>'TS Loss Gain'!AS27</f>
        <v>55366.886988001716</v>
      </c>
    </row>
    <row r="94" spans="5:22" x14ac:dyDescent="0.25">
      <c r="E94" s="143" t="s">
        <v>428</v>
      </c>
      <c r="F94" s="145">
        <f>F92-F93</f>
        <v>341101.8630119983</v>
      </c>
      <c r="G94" s="146"/>
    </row>
  </sheetData>
  <autoFilter ref="A2:AG72" xr:uid="{B867D296-FF59-4858-B862-B99F6D136FBB}"/>
  <conditionalFormatting sqref="C4">
    <cfRule type="duplicateValues" dxfId="23" priority="6"/>
  </conditionalFormatting>
  <conditionalFormatting sqref="C5:C72">
    <cfRule type="duplicateValues" dxfId="22" priority="42"/>
    <cfRule type="duplicateValues" dxfId="21" priority="43"/>
  </conditionalFormatting>
  <conditionalFormatting sqref="C73:D88 C2:D2">
    <cfRule type="duplicateValues" dxfId="20" priority="27" stopIfTrue="1"/>
  </conditionalFormatting>
  <conditionalFormatting sqref="E73">
    <cfRule type="duplicateValues" dxfId="19" priority="11" stopIfTrue="1"/>
  </conditionalFormatting>
  <conditionalFormatting sqref="F73">
    <cfRule type="duplicateValues" dxfId="18" priority="10" stopIfTrue="1"/>
  </conditionalFormatting>
  <conditionalFormatting sqref="G3:G72">
    <cfRule type="containsText" dxfId="17" priority="5" operator="containsText" text="Indirect">
      <formula>NOT(ISERROR(SEARCH("Indirect",G3)))</formula>
    </cfRule>
  </conditionalFormatting>
  <conditionalFormatting sqref="G73">
    <cfRule type="duplicateValues" dxfId="16" priority="9" stopIfTrue="1"/>
  </conditionalFormatting>
  <conditionalFormatting sqref="H73">
    <cfRule type="duplicateValues" dxfId="15" priority="8" stopIfTrue="1"/>
  </conditionalFormatting>
  <conditionalFormatting sqref="I73">
    <cfRule type="duplicateValues" dxfId="14" priority="7" stopIfTrue="1"/>
  </conditionalFormatting>
  <conditionalFormatting sqref="O3:P72">
    <cfRule type="cellIs" dxfId="13" priority="4" operator="lessThan">
      <formula>-1</formula>
    </cfRule>
  </conditionalFormatting>
  <conditionalFormatting sqref="Q3:Q72">
    <cfRule type="cellIs" dxfId="12" priority="12" operator="lessThan">
      <formula>0</formula>
    </cfRule>
  </conditionalFormatting>
  <conditionalFormatting sqref="AI73">
    <cfRule type="duplicateValues" dxfId="11" priority="2" stopIfTrue="1"/>
  </conditionalFormatting>
  <conditionalFormatting sqref="AJ73">
    <cfRule type="duplicateValues" dxfId="10" priority="1" stopIfTrue="1"/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582</v>
      </c>
      <c r="G1" s="151" t="s">
        <v>7</v>
      </c>
      <c r="H1" s="151" t="s">
        <v>8</v>
      </c>
      <c r="I1" s="151" t="s">
        <v>9</v>
      </c>
      <c r="J1" s="151" t="s">
        <v>697</v>
      </c>
      <c r="K1" s="151" t="s">
        <v>698</v>
      </c>
      <c r="L1" s="170" t="s">
        <v>708</v>
      </c>
      <c r="M1" s="170" t="s">
        <v>709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486</v>
      </c>
      <c r="F2" s="148" t="s">
        <v>599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700</v>
      </c>
      <c r="L2" s="171" t="e">
        <f>VLOOKUP(C2,'MPG Payment'!$C$3:$N$72,12,0)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497</v>
      </c>
      <c r="F3" s="148" t="s">
        <v>610</v>
      </c>
      <c r="G3" s="148" t="s">
        <v>52</v>
      </c>
      <c r="H3" s="149" t="s">
        <v>53</v>
      </c>
      <c r="I3" s="1" t="s">
        <v>468</v>
      </c>
      <c r="J3" s="160">
        <v>354.68345740000586</v>
      </c>
      <c r="K3" s="160" t="s">
        <v>700</v>
      </c>
      <c r="L3" s="171">
        <f>VLOOKUP(C3,'MPG Payment'!$C$3:$N$72,12,0)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500</v>
      </c>
      <c r="F4" s="148" t="s">
        <v>613</v>
      </c>
      <c r="G4" s="148" t="s">
        <v>25</v>
      </c>
      <c r="H4" s="149" t="s">
        <v>435</v>
      </c>
      <c r="I4" s="1" t="s">
        <v>59</v>
      </c>
      <c r="J4" s="160">
        <v>13702.65996579999</v>
      </c>
      <c r="K4" s="160" t="s">
        <v>700</v>
      </c>
      <c r="L4" s="171">
        <f>VLOOKUP(C4,'MPG Payment'!$C$3:$N$72,12,0)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503</v>
      </c>
      <c r="F5" s="148" t="s">
        <v>616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700</v>
      </c>
      <c r="L5" s="171" t="e">
        <f>VLOOKUP(C5,'MPG Payment'!$C$3:$N$72,12,0)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505</v>
      </c>
      <c r="F6" s="148" t="s">
        <v>617</v>
      </c>
      <c r="G6" s="148" t="s">
        <v>25</v>
      </c>
      <c r="H6" s="149" t="s">
        <v>437</v>
      </c>
      <c r="I6" s="1" t="s">
        <v>73</v>
      </c>
      <c r="J6" s="160">
        <v>27305.976272200005</v>
      </c>
      <c r="K6" s="160" t="s">
        <v>700</v>
      </c>
      <c r="L6" s="171">
        <f>VLOOKUP(C6,'MPG Payment'!$C$3:$N$72,12,0)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507</v>
      </c>
      <c r="F7" s="148" t="s">
        <v>619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700</v>
      </c>
      <c r="L7" s="171" t="e">
        <f>VLOOKUP(C7,'MPG Payment'!$C$3:$N$72,12,0)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509</v>
      </c>
      <c r="F8" s="148" t="s">
        <v>621</v>
      </c>
      <c r="G8" s="148" t="s">
        <v>86</v>
      </c>
      <c r="H8" s="149" t="s">
        <v>439</v>
      </c>
      <c r="I8" s="1" t="s">
        <v>84</v>
      </c>
      <c r="J8" s="160">
        <v>3070.7935340000022</v>
      </c>
      <c r="K8" s="160" t="s">
        <v>700</v>
      </c>
      <c r="L8" s="171">
        <f>VLOOKUP(C8,'MPG Payment'!$C$3:$N$72,12,0)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511</v>
      </c>
      <c r="F9" s="148" t="s">
        <v>623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700</v>
      </c>
      <c r="L9" s="171">
        <f>VLOOKUP(C9,'MPG Payment'!$C$3:$N$72,12,0)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518</v>
      </c>
      <c r="F10" s="148" t="s">
        <v>631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700</v>
      </c>
      <c r="L10" s="171">
        <f>VLOOKUP(C10,'MPG Payment'!$C$3:$N$72,12,0)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545</v>
      </c>
      <c r="F11" s="148" t="s">
        <v>658</v>
      </c>
      <c r="G11" s="148" t="s">
        <v>187</v>
      </c>
      <c r="H11" s="149" t="s">
        <v>188</v>
      </c>
      <c r="I11" s="1" t="s">
        <v>474</v>
      </c>
      <c r="J11" s="160">
        <v>46684.153015599994</v>
      </c>
      <c r="K11" s="160" t="s">
        <v>700</v>
      </c>
      <c r="L11" s="171">
        <f>VLOOKUP(C11,'MPG Payment'!$C$3:$N$72,12,0)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546</v>
      </c>
      <c r="F12" s="148" t="s">
        <v>659</v>
      </c>
      <c r="G12" s="148" t="s">
        <v>191</v>
      </c>
      <c r="H12" s="149" t="s">
        <v>192</v>
      </c>
      <c r="I12" s="1" t="s">
        <v>475</v>
      </c>
      <c r="J12" s="160">
        <v>22196.224707600006</v>
      </c>
      <c r="K12" s="160" t="s">
        <v>700</v>
      </c>
      <c r="L12" s="171">
        <f>VLOOKUP(C12,'MPG Payment'!$C$3:$N$72,12,0)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549</v>
      </c>
      <c r="F13" s="148" t="s">
        <v>662</v>
      </c>
      <c r="G13" s="148" t="s">
        <v>25</v>
      </c>
      <c r="H13" s="149" t="s">
        <v>451</v>
      </c>
      <c r="I13" s="1" t="s">
        <v>198</v>
      </c>
      <c r="J13" s="160">
        <v>4097.9232154000001</v>
      </c>
      <c r="K13" s="160" t="s">
        <v>700</v>
      </c>
      <c r="L13" s="171" t="e">
        <f>VLOOKUP(C13,'MPG Payment'!$C$3:$N$72,12,0)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557</v>
      </c>
      <c r="F14" s="148" t="s">
        <v>670</v>
      </c>
      <c r="G14" s="148" t="s">
        <v>36</v>
      </c>
      <c r="H14" s="149" t="s">
        <v>455</v>
      </c>
      <c r="I14" s="1" t="s">
        <v>222</v>
      </c>
      <c r="J14" s="160">
        <v>8838.3466590000025</v>
      </c>
      <c r="K14" s="160" t="s">
        <v>700</v>
      </c>
      <c r="L14" s="171" t="e">
        <f>VLOOKUP(C14,'MPG Payment'!$C$3:$N$72,12,0)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571</v>
      </c>
      <c r="F15" s="148" t="s">
        <v>686</v>
      </c>
      <c r="G15" s="148" t="s">
        <v>262</v>
      </c>
      <c r="H15" s="149" t="s">
        <v>263</v>
      </c>
      <c r="I15" s="1" t="s">
        <v>477</v>
      </c>
      <c r="J15" s="160">
        <v>5833.7612509999999</v>
      </c>
      <c r="K15" s="160" t="s">
        <v>700</v>
      </c>
      <c r="L15" s="171" t="e">
        <f>VLOOKUP(C15,'MPG Payment'!$C$3:$N$72,12,0)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573</v>
      </c>
      <c r="F16" s="148" t="s">
        <v>688</v>
      </c>
      <c r="G16" s="148" t="s">
        <v>262</v>
      </c>
      <c r="H16" s="149" t="s">
        <v>269</v>
      </c>
      <c r="I16" s="1" t="s">
        <v>479</v>
      </c>
      <c r="J16" s="160">
        <v>251.31523399999969</v>
      </c>
      <c r="K16" s="160" t="s">
        <v>700</v>
      </c>
      <c r="L16" s="171" t="e">
        <f>VLOOKUP(C16,'MPG Payment'!$C$3:$N$72,12,0)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575</v>
      </c>
      <c r="F17" s="148" t="s">
        <v>690</v>
      </c>
      <c r="G17" s="148" t="s">
        <v>272</v>
      </c>
      <c r="H17" s="149" t="s">
        <v>464</v>
      </c>
      <c r="I17" s="1" t="s">
        <v>270</v>
      </c>
      <c r="J17" s="160">
        <v>9307.5261475999996</v>
      </c>
      <c r="K17" s="160" t="s">
        <v>700</v>
      </c>
      <c r="L17" s="171" t="e">
        <f>VLOOKUP(C17,'MPG Payment'!$C$3:$N$72,12,0)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401</v>
      </c>
      <c r="C1" s="77"/>
      <c r="AP1" s="79">
        <v>436.77</v>
      </c>
      <c r="AQ1" s="79">
        <v>291.18</v>
      </c>
    </row>
    <row r="2" spans="2:45" x14ac:dyDescent="0.25">
      <c r="B2" s="267" t="s">
        <v>394</v>
      </c>
      <c r="C2" s="269" t="s">
        <v>395</v>
      </c>
      <c r="D2" s="271" t="s">
        <v>402</v>
      </c>
      <c r="E2" s="271"/>
      <c r="F2" s="271"/>
      <c r="G2" s="271"/>
      <c r="H2" s="272"/>
      <c r="I2" s="273" t="s">
        <v>716</v>
      </c>
      <c r="J2" s="264"/>
      <c r="K2" s="264"/>
      <c r="L2" s="265"/>
      <c r="M2" s="263" t="s">
        <v>403</v>
      </c>
      <c r="N2" s="274"/>
      <c r="O2" s="264"/>
      <c r="P2" s="264"/>
      <c r="Q2" s="265"/>
      <c r="R2" s="274" t="s">
        <v>404</v>
      </c>
      <c r="S2" s="264"/>
      <c r="T2" s="265"/>
      <c r="U2" s="260" t="s">
        <v>405</v>
      </c>
      <c r="V2" s="261"/>
      <c r="W2" s="261"/>
      <c r="X2" s="261"/>
      <c r="Y2" s="261"/>
      <c r="Z2" s="261"/>
      <c r="AA2" s="261"/>
      <c r="AB2" s="262"/>
      <c r="AC2" s="263" t="s">
        <v>323</v>
      </c>
      <c r="AD2" s="264"/>
      <c r="AE2" s="264"/>
      <c r="AF2" s="264"/>
      <c r="AG2" s="265"/>
      <c r="AH2" s="263" t="s">
        <v>406</v>
      </c>
      <c r="AI2" s="264"/>
      <c r="AJ2" s="264"/>
      <c r="AK2" s="264"/>
      <c r="AL2" s="266"/>
      <c r="AM2" s="260" t="s">
        <v>407</v>
      </c>
      <c r="AN2" s="261"/>
      <c r="AO2" s="261"/>
      <c r="AP2" s="261"/>
      <c r="AQ2" s="262"/>
    </row>
    <row r="3" spans="2:45" x14ac:dyDescent="0.25">
      <c r="B3" s="268"/>
      <c r="C3" s="270"/>
      <c r="D3" s="80" t="s">
        <v>408</v>
      </c>
      <c r="E3" s="80" t="s">
        <v>409</v>
      </c>
      <c r="F3" s="80" t="s">
        <v>410</v>
      </c>
      <c r="G3" s="80" t="s">
        <v>321</v>
      </c>
      <c r="H3" s="81" t="s">
        <v>322</v>
      </c>
      <c r="I3" s="80" t="s">
        <v>411</v>
      </c>
      <c r="J3" s="80" t="s">
        <v>411</v>
      </c>
      <c r="K3" s="80" t="s">
        <v>409</v>
      </c>
      <c r="L3" s="81" t="s">
        <v>410</v>
      </c>
      <c r="M3" s="82" t="s">
        <v>412</v>
      </c>
      <c r="N3" s="83" t="s">
        <v>413</v>
      </c>
      <c r="O3" s="80" t="s">
        <v>411</v>
      </c>
      <c r="P3" s="80" t="s">
        <v>409</v>
      </c>
      <c r="Q3" s="81" t="s">
        <v>410</v>
      </c>
      <c r="R3" s="83" t="s">
        <v>411</v>
      </c>
      <c r="S3" s="80" t="s">
        <v>321</v>
      </c>
      <c r="T3" s="81" t="s">
        <v>322</v>
      </c>
      <c r="U3" s="82" t="s">
        <v>414</v>
      </c>
      <c r="V3" s="80" t="s">
        <v>415</v>
      </c>
      <c r="W3" s="80" t="s">
        <v>416</v>
      </c>
      <c r="X3" s="80" t="s">
        <v>417</v>
      </c>
      <c r="Y3" s="80" t="s">
        <v>409</v>
      </c>
      <c r="Z3" s="80" t="s">
        <v>410</v>
      </c>
      <c r="AA3" s="80" t="s">
        <v>321</v>
      </c>
      <c r="AB3" s="81" t="s">
        <v>322</v>
      </c>
      <c r="AC3" s="82" t="s">
        <v>417</v>
      </c>
      <c r="AD3" s="80" t="s">
        <v>409</v>
      </c>
      <c r="AE3" s="80" t="s">
        <v>410</v>
      </c>
      <c r="AF3" s="80" t="s">
        <v>321</v>
      </c>
      <c r="AG3" s="81" t="s">
        <v>322</v>
      </c>
      <c r="AH3" s="82" t="s">
        <v>417</v>
      </c>
      <c r="AI3" s="80" t="s">
        <v>409</v>
      </c>
      <c r="AJ3" s="80" t="s">
        <v>410</v>
      </c>
      <c r="AK3" s="80" t="s">
        <v>321</v>
      </c>
      <c r="AL3" s="84" t="s">
        <v>322</v>
      </c>
      <c r="AM3" s="82" t="s">
        <v>417</v>
      </c>
      <c r="AN3" s="80" t="s">
        <v>321</v>
      </c>
      <c r="AO3" s="80" t="s">
        <v>322</v>
      </c>
      <c r="AP3" s="80" t="s">
        <v>418</v>
      </c>
      <c r="AQ3" s="85" t="s">
        <v>311</v>
      </c>
    </row>
    <row r="4" spans="2:45" x14ac:dyDescent="0.25">
      <c r="B4" s="86">
        <v>46054</v>
      </c>
      <c r="C4" s="87" t="s">
        <v>396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419</v>
      </c>
      <c r="V4" s="185" t="s">
        <v>710</v>
      </c>
      <c r="W4" s="186" t="s">
        <v>421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397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396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419</v>
      </c>
      <c r="V6" s="185" t="s">
        <v>420</v>
      </c>
      <c r="W6" s="186" t="s">
        <v>421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397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396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422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397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419</v>
      </c>
      <c r="V9" s="185" t="s">
        <v>423</v>
      </c>
      <c r="W9" s="186" t="s">
        <v>421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396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397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396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419</v>
      </c>
      <c r="V12" s="185" t="s">
        <v>424</v>
      </c>
      <c r="W12" s="186" t="s">
        <v>421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397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396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397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396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397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422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396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419</v>
      </c>
      <c r="V18" s="185" t="s">
        <v>711</v>
      </c>
      <c r="W18" s="186" t="s">
        <v>421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397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396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419</v>
      </c>
      <c r="V20" s="185" t="s">
        <v>712</v>
      </c>
      <c r="W20" s="186" t="s">
        <v>421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397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396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419</v>
      </c>
      <c r="V22" s="185" t="s">
        <v>713</v>
      </c>
      <c r="W22" s="186" t="s">
        <v>421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397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396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397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419</v>
      </c>
      <c r="V25" s="184" t="s">
        <v>714</v>
      </c>
      <c r="W25" s="186" t="s">
        <v>421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396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397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419</v>
      </c>
      <c r="V27" s="185" t="s">
        <v>715</v>
      </c>
      <c r="W27" s="186" t="s">
        <v>421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396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397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396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397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396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397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396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397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396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397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396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397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396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397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396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397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396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397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396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397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396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397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396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397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396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397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396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397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396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397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396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397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396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397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396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397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396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397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opLeftCell="A83" zoomScale="80" zoomScaleNormal="80" workbookViewId="0">
      <selection activeCell="A119" sqref="A119:Q120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582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389</v>
      </c>
      <c r="T1" s="37" t="s">
        <v>703</v>
      </c>
      <c r="U1" s="37" t="s">
        <v>702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486</v>
      </c>
      <c r="G2" s="148" t="s">
        <v>14</v>
      </c>
      <c r="H2" s="148" t="s">
        <v>599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487</v>
      </c>
      <c r="G3" s="1" t="s">
        <v>20</v>
      </c>
      <c r="H3" s="148" t="s">
        <v>600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488</v>
      </c>
      <c r="G4" s="1" t="s">
        <v>24</v>
      </c>
      <c r="H4" s="148" t="s">
        <v>601</v>
      </c>
      <c r="I4" s="148" t="s">
        <v>25</v>
      </c>
      <c r="J4" s="149" t="s">
        <v>430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489</v>
      </c>
      <c r="G5" s="1" t="s">
        <v>27</v>
      </c>
      <c r="H5" s="148" t="s">
        <v>602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490</v>
      </c>
      <c r="G6" s="1" t="s">
        <v>31</v>
      </c>
      <c r="H6" s="148" t="s">
        <v>603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491</v>
      </c>
      <c r="G7" s="1" t="s">
        <v>35</v>
      </c>
      <c r="H7" s="148" t="s">
        <v>604</v>
      </c>
      <c r="I7" s="148" t="s">
        <v>36</v>
      </c>
      <c r="J7" s="149" t="s">
        <v>431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390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492</v>
      </c>
      <c r="G8" s="1" t="s">
        <v>38</v>
      </c>
      <c r="H8" s="148" t="s">
        <v>605</v>
      </c>
      <c r="I8" s="148" t="s">
        <v>39</v>
      </c>
      <c r="J8" s="149" t="s">
        <v>730</v>
      </c>
      <c r="K8" s="1" t="s">
        <v>480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493</v>
      </c>
      <c r="G9" s="1" t="s">
        <v>41</v>
      </c>
      <c r="H9" s="148" t="s">
        <v>606</v>
      </c>
      <c r="I9" s="148" t="s">
        <v>756</v>
      </c>
      <c r="J9" s="149" t="s">
        <v>755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494</v>
      </c>
      <c r="G10" s="1" t="s">
        <v>43</v>
      </c>
      <c r="H10" s="148" t="s">
        <v>607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495</v>
      </c>
      <c r="G11" s="1" t="s">
        <v>46</v>
      </c>
      <c r="H11" s="148" t="s">
        <v>608</v>
      </c>
      <c r="I11" s="148" t="s">
        <v>47</v>
      </c>
      <c r="J11" s="149" t="s">
        <v>432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496</v>
      </c>
      <c r="G12" s="1" t="s">
        <v>49</v>
      </c>
      <c r="H12" s="148" t="s">
        <v>609</v>
      </c>
      <c r="I12" s="148" t="s">
        <v>25</v>
      </c>
      <c r="J12" s="149" t="s">
        <v>433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497</v>
      </c>
      <c r="G13" s="1" t="s">
        <v>51</v>
      </c>
      <c r="H13" s="148" t="s">
        <v>610</v>
      </c>
      <c r="I13" s="148" t="s">
        <v>52</v>
      </c>
      <c r="J13" s="149" t="s">
        <v>53</v>
      </c>
      <c r="K13" s="1" t="s">
        <v>468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498</v>
      </c>
      <c r="G14" s="1" t="s">
        <v>55</v>
      </c>
      <c r="H14" s="148" t="s">
        <v>611</v>
      </c>
      <c r="I14" s="148" t="s">
        <v>32</v>
      </c>
      <c r="J14" s="149" t="s">
        <v>56</v>
      </c>
      <c r="K14" s="1" t="s">
        <v>469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499</v>
      </c>
      <c r="G15" s="1" t="s">
        <v>58</v>
      </c>
      <c r="H15" s="148" t="s">
        <v>612</v>
      </c>
      <c r="I15" s="148" t="s">
        <v>36</v>
      </c>
      <c r="J15" s="149" t="s">
        <v>434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500</v>
      </c>
      <c r="G16" s="1" t="s">
        <v>60</v>
      </c>
      <c r="H16" s="148" t="s">
        <v>613</v>
      </c>
      <c r="I16" s="148" t="s">
        <v>25</v>
      </c>
      <c r="J16" s="149" t="s">
        <v>435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501</v>
      </c>
      <c r="G17" s="1" t="s">
        <v>62</v>
      </c>
      <c r="H17" s="148" t="s">
        <v>614</v>
      </c>
      <c r="I17" s="148" t="s">
        <v>25</v>
      </c>
      <c r="J17" s="149" t="s">
        <v>436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502</v>
      </c>
      <c r="G18" s="1" t="s">
        <v>64</v>
      </c>
      <c r="H18" s="148" t="s">
        <v>615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503</v>
      </c>
      <c r="G19" s="1" t="s">
        <v>68</v>
      </c>
      <c r="H19" s="148" t="s">
        <v>616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504</v>
      </c>
      <c r="G20" s="1" t="s">
        <v>24</v>
      </c>
      <c r="H20" s="148" t="s">
        <v>601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505</v>
      </c>
      <c r="G21" s="1" t="s">
        <v>74</v>
      </c>
      <c r="H21" s="148" t="s">
        <v>617</v>
      </c>
      <c r="I21" s="148" t="s">
        <v>25</v>
      </c>
      <c r="J21" s="149" t="s">
        <v>437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506</v>
      </c>
      <c r="G22" s="1" t="s">
        <v>76</v>
      </c>
      <c r="H22" s="148" t="s">
        <v>618</v>
      </c>
      <c r="I22" s="148" t="s">
        <v>25</v>
      </c>
      <c r="J22" s="149" t="s">
        <v>438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507</v>
      </c>
      <c r="G23" s="1" t="s">
        <v>78</v>
      </c>
      <c r="H23" s="148" t="s">
        <v>619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508</v>
      </c>
      <c r="G24" s="1" t="s">
        <v>82</v>
      </c>
      <c r="H24" s="148" t="s">
        <v>620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509</v>
      </c>
      <c r="G25" s="1" t="s">
        <v>85</v>
      </c>
      <c r="H25" s="148" t="s">
        <v>621</v>
      </c>
      <c r="I25" s="148" t="s">
        <v>86</v>
      </c>
      <c r="J25" s="149" t="s">
        <v>439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510</v>
      </c>
      <c r="G26" s="1" t="s">
        <v>88</v>
      </c>
      <c r="H26" s="148" t="s">
        <v>622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511</v>
      </c>
      <c r="G27" s="1" t="s">
        <v>91</v>
      </c>
      <c r="H27" s="148" t="s">
        <v>623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512</v>
      </c>
      <c r="G28" s="1" t="s">
        <v>94</v>
      </c>
      <c r="H28" s="148" t="s">
        <v>624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513</v>
      </c>
      <c r="G29" s="1" t="s">
        <v>98</v>
      </c>
      <c r="H29" s="148" t="s">
        <v>625</v>
      </c>
      <c r="I29" s="148" t="s">
        <v>86</v>
      </c>
      <c r="J29" s="149" t="s">
        <v>440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514</v>
      </c>
      <c r="G30" s="1" t="s">
        <v>100</v>
      </c>
      <c r="H30" s="148" t="s">
        <v>626</v>
      </c>
      <c r="I30" s="148" t="s">
        <v>86</v>
      </c>
      <c r="J30" s="149" t="s">
        <v>441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515</v>
      </c>
      <c r="G31" s="1" t="s">
        <v>102</v>
      </c>
      <c r="H31" s="148" t="s">
        <v>627</v>
      </c>
      <c r="I31" s="148" t="s">
        <v>86</v>
      </c>
      <c r="J31" s="149" t="s">
        <v>442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516</v>
      </c>
      <c r="G32" s="1" t="s">
        <v>104</v>
      </c>
      <c r="H32" s="148" t="s">
        <v>628</v>
      </c>
      <c r="I32" s="148" t="s">
        <v>105</v>
      </c>
      <c r="J32" s="149" t="s">
        <v>731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513</v>
      </c>
      <c r="G33" s="1" t="s">
        <v>98</v>
      </c>
      <c r="H33" s="148" t="s">
        <v>629</v>
      </c>
      <c r="I33" s="148" t="s">
        <v>86</v>
      </c>
      <c r="J33" s="149" t="s">
        <v>443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517</v>
      </c>
      <c r="G34" s="1" t="s">
        <v>108</v>
      </c>
      <c r="H34" s="148" t="s">
        <v>630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518</v>
      </c>
      <c r="G35" s="1" t="s">
        <v>112</v>
      </c>
      <c r="H35" s="148" t="s">
        <v>631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519</v>
      </c>
      <c r="G36" s="1" t="s">
        <v>115</v>
      </c>
      <c r="H36" s="148" t="s">
        <v>632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520</v>
      </c>
      <c r="G37" s="1" t="s">
        <v>118</v>
      </c>
      <c r="H37" s="148" t="s">
        <v>633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521</v>
      </c>
      <c r="G38" s="1" t="s">
        <v>122</v>
      </c>
      <c r="H38" s="148" t="s">
        <v>634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522</v>
      </c>
      <c r="G39" s="1" t="s">
        <v>125</v>
      </c>
      <c r="H39" s="148" t="s">
        <v>635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523</v>
      </c>
      <c r="G40" s="1" t="s">
        <v>128</v>
      </c>
      <c r="H40" s="148" t="s">
        <v>636</v>
      </c>
      <c r="I40" s="148" t="s">
        <v>36</v>
      </c>
      <c r="J40" s="149" t="s">
        <v>444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524</v>
      </c>
      <c r="G41" s="1" t="s">
        <v>130</v>
      </c>
      <c r="H41" s="148" t="s">
        <v>637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525</v>
      </c>
      <c r="G42" s="1" t="s">
        <v>134</v>
      </c>
      <c r="H42" s="148" t="s">
        <v>638</v>
      </c>
      <c r="I42" s="148" t="s">
        <v>95</v>
      </c>
      <c r="J42" s="158" t="s">
        <v>583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526</v>
      </c>
      <c r="G43" s="1" t="s">
        <v>136</v>
      </c>
      <c r="H43" s="148" t="s">
        <v>639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527</v>
      </c>
      <c r="G44" s="1" t="s">
        <v>139</v>
      </c>
      <c r="H44" s="148" t="s">
        <v>640</v>
      </c>
      <c r="I44" s="148" t="s">
        <v>36</v>
      </c>
      <c r="J44" s="149" t="s">
        <v>445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528</v>
      </c>
      <c r="G45" s="1" t="s">
        <v>141</v>
      </c>
      <c r="H45" s="148" t="s">
        <v>641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529</v>
      </c>
      <c r="G46" s="1" t="s">
        <v>144</v>
      </c>
      <c r="H46" s="148" t="s">
        <v>642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530</v>
      </c>
      <c r="G47" s="1" t="s">
        <v>147</v>
      </c>
      <c r="H47" s="148" t="s">
        <v>643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531</v>
      </c>
      <c r="G48" s="1" t="s">
        <v>150</v>
      </c>
      <c r="H48" s="148" t="s">
        <v>644</v>
      </c>
      <c r="I48" s="148" t="s">
        <v>86</v>
      </c>
      <c r="J48" s="149" t="s">
        <v>446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532</v>
      </c>
      <c r="G49" s="1" t="s">
        <v>152</v>
      </c>
      <c r="H49" s="148" t="s">
        <v>645</v>
      </c>
      <c r="I49" s="148" t="s">
        <v>153</v>
      </c>
      <c r="J49" s="158" t="s">
        <v>584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533</v>
      </c>
      <c r="G50" s="1" t="s">
        <v>155</v>
      </c>
      <c r="H50" s="148" t="s">
        <v>646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534</v>
      </c>
      <c r="G51" s="1" t="s">
        <v>158</v>
      </c>
      <c r="H51" s="148" t="s">
        <v>647</v>
      </c>
      <c r="I51" s="148" t="s">
        <v>131</v>
      </c>
      <c r="J51" s="158" t="s">
        <v>585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535</v>
      </c>
      <c r="G52" s="1" t="s">
        <v>160</v>
      </c>
      <c r="H52" s="148" t="s">
        <v>648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536</v>
      </c>
      <c r="G53" s="1" t="s">
        <v>163</v>
      </c>
      <c r="H53" s="148" t="s">
        <v>649</v>
      </c>
      <c r="I53" s="148" t="s">
        <v>36</v>
      </c>
      <c r="J53" s="149" t="s">
        <v>447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537</v>
      </c>
      <c r="G54" s="1" t="s">
        <v>164</v>
      </c>
      <c r="H54" s="148" t="s">
        <v>650</v>
      </c>
      <c r="I54" s="148" t="s">
        <v>86</v>
      </c>
      <c r="J54" s="149" t="s">
        <v>448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538</v>
      </c>
      <c r="G55" s="1" t="s">
        <v>166</v>
      </c>
      <c r="H55" s="148" t="s">
        <v>651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539</v>
      </c>
      <c r="G56" s="1" t="s">
        <v>170</v>
      </c>
      <c r="H56" s="148" t="s">
        <v>652</v>
      </c>
      <c r="I56" s="148" t="s">
        <v>25</v>
      </c>
      <c r="J56" s="149" t="s">
        <v>449</v>
      </c>
      <c r="K56" s="1" t="s">
        <v>470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540</v>
      </c>
      <c r="G57" s="1" t="s">
        <v>172</v>
      </c>
      <c r="H57" s="148" t="s">
        <v>653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541</v>
      </c>
      <c r="G58" s="1" t="s">
        <v>176</v>
      </c>
      <c r="H58" s="148" t="s">
        <v>654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542</v>
      </c>
      <c r="G59" s="1" t="s">
        <v>179</v>
      </c>
      <c r="H59" s="148" t="s">
        <v>655</v>
      </c>
      <c r="I59" s="148" t="s">
        <v>153</v>
      </c>
      <c r="J59" s="158" t="s">
        <v>586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543</v>
      </c>
      <c r="G60" s="1" t="s">
        <v>181</v>
      </c>
      <c r="H60" s="148" t="s">
        <v>656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544</v>
      </c>
      <c r="G61" s="1" t="s">
        <v>184</v>
      </c>
      <c r="H61" s="148" t="s">
        <v>657</v>
      </c>
      <c r="I61" s="148" t="s">
        <v>119</v>
      </c>
      <c r="J61" s="149" t="s">
        <v>185</v>
      </c>
      <c r="K61" s="1" t="s">
        <v>473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545</v>
      </c>
      <c r="G62" s="1" t="s">
        <v>160</v>
      </c>
      <c r="H62" s="148" t="s">
        <v>658</v>
      </c>
      <c r="I62" s="148" t="s">
        <v>187</v>
      </c>
      <c r="J62" s="149" t="s">
        <v>188</v>
      </c>
      <c r="K62" s="1" t="s">
        <v>474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546</v>
      </c>
      <c r="G63" s="1" t="s">
        <v>190</v>
      </c>
      <c r="H63" s="148" t="s">
        <v>659</v>
      </c>
      <c r="I63" s="148" t="s">
        <v>191</v>
      </c>
      <c r="J63" s="149" t="s">
        <v>192</v>
      </c>
      <c r="K63" s="1" t="s">
        <v>475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547</v>
      </c>
      <c r="G64" s="1" t="s">
        <v>194</v>
      </c>
      <c r="H64" s="148" t="s">
        <v>660</v>
      </c>
      <c r="I64" s="148" t="s">
        <v>119</v>
      </c>
      <c r="J64" s="149" t="s">
        <v>195</v>
      </c>
      <c r="K64" s="1" t="s">
        <v>476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548</v>
      </c>
      <c r="G65" s="1" t="s">
        <v>197</v>
      </c>
      <c r="H65" s="148" t="s">
        <v>661</v>
      </c>
      <c r="I65" s="148" t="s">
        <v>36</v>
      </c>
      <c r="J65" s="149" t="s">
        <v>450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549</v>
      </c>
      <c r="G66" s="1" t="s">
        <v>199</v>
      </c>
      <c r="H66" s="148" t="s">
        <v>662</v>
      </c>
      <c r="I66" s="148" t="s">
        <v>25</v>
      </c>
      <c r="J66" s="149" t="s">
        <v>451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550</v>
      </c>
      <c r="G67" s="1" t="s">
        <v>201</v>
      </c>
      <c r="H67" s="148" t="s">
        <v>655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551</v>
      </c>
      <c r="G68" s="1" t="s">
        <v>204</v>
      </c>
      <c r="H68" s="148" t="s">
        <v>663</v>
      </c>
      <c r="I68" s="148" t="s">
        <v>36</v>
      </c>
      <c r="J68" s="149" t="s">
        <v>452</v>
      </c>
      <c r="K68" s="1" t="s">
        <v>471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552</v>
      </c>
      <c r="G69" s="1" t="s">
        <v>206</v>
      </c>
      <c r="H69" s="148" t="s">
        <v>664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553</v>
      </c>
      <c r="G70" s="1" t="s">
        <v>209</v>
      </c>
      <c r="H70" s="148" t="s">
        <v>665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513</v>
      </c>
      <c r="G71" s="1" t="s">
        <v>213</v>
      </c>
      <c r="H71" s="148" t="s">
        <v>666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554</v>
      </c>
      <c r="G72" s="1" t="s">
        <v>216</v>
      </c>
      <c r="H72" s="148" t="s">
        <v>667</v>
      </c>
      <c r="I72" s="148" t="s">
        <v>217</v>
      </c>
      <c r="J72" s="149" t="s">
        <v>453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555</v>
      </c>
      <c r="G73" s="1" t="s">
        <v>218</v>
      </c>
      <c r="H73" s="148" t="s">
        <v>668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556</v>
      </c>
      <c r="G74" s="1" t="s">
        <v>221</v>
      </c>
      <c r="H74" s="148" t="s">
        <v>669</v>
      </c>
      <c r="I74" s="148" t="s">
        <v>36</v>
      </c>
      <c r="J74" s="149" t="s">
        <v>454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557</v>
      </c>
      <c r="G75" s="1" t="s">
        <v>223</v>
      </c>
      <c r="H75" s="148" t="s">
        <v>670</v>
      </c>
      <c r="I75" s="148" t="s">
        <v>36</v>
      </c>
      <c r="J75" s="149" t="s">
        <v>455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554</v>
      </c>
      <c r="G76" s="1" t="s">
        <v>216</v>
      </c>
      <c r="H76" s="148" t="s">
        <v>671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558</v>
      </c>
      <c r="G77" s="1" t="s">
        <v>228</v>
      </c>
      <c r="H77" s="148" t="s">
        <v>672</v>
      </c>
      <c r="I77" s="148" t="s">
        <v>36</v>
      </c>
      <c r="J77" s="149" t="s">
        <v>456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559</v>
      </c>
      <c r="G78" s="1" t="s">
        <v>230</v>
      </c>
      <c r="H78" s="148" t="s">
        <v>673</v>
      </c>
      <c r="I78" s="148" t="s">
        <v>36</v>
      </c>
      <c r="J78" s="149" t="s">
        <v>457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560</v>
      </c>
      <c r="G79" s="1" t="s">
        <v>232</v>
      </c>
      <c r="H79" s="148" t="s">
        <v>674</v>
      </c>
      <c r="I79" s="148" t="s">
        <v>36</v>
      </c>
      <c r="J79" s="149" t="s">
        <v>458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561</v>
      </c>
      <c r="G80" s="1" t="s">
        <v>234</v>
      </c>
      <c r="H80" s="148" t="s">
        <v>675</v>
      </c>
      <c r="I80" s="148" t="s">
        <v>36</v>
      </c>
      <c r="J80" s="149" t="s">
        <v>472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562</v>
      </c>
      <c r="G81" s="1" t="s">
        <v>236</v>
      </c>
      <c r="H81" s="148" t="s">
        <v>676</v>
      </c>
      <c r="I81" s="148" t="s">
        <v>459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563</v>
      </c>
      <c r="G82" s="1" t="s">
        <v>239</v>
      </c>
      <c r="H82" s="148" t="s">
        <v>677</v>
      </c>
      <c r="I82" s="148" t="s">
        <v>86</v>
      </c>
      <c r="J82" s="149" t="s">
        <v>460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564</v>
      </c>
      <c r="G83" s="1" t="s">
        <v>241</v>
      </c>
      <c r="H83" s="148" t="s">
        <v>678</v>
      </c>
      <c r="I83" s="148" t="s">
        <v>86</v>
      </c>
      <c r="J83" s="149" t="s">
        <v>461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565</v>
      </c>
      <c r="G84" s="1" t="s">
        <v>243</v>
      </c>
      <c r="H84" s="148" t="s">
        <v>679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566</v>
      </c>
      <c r="G85" s="1" t="s">
        <v>247</v>
      </c>
      <c r="H85" s="148" t="s">
        <v>680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567</v>
      </c>
      <c r="G86" s="1" t="s">
        <v>250</v>
      </c>
      <c r="H86" s="148" t="s">
        <v>681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568</v>
      </c>
      <c r="G87" s="1" t="s">
        <v>252</v>
      </c>
      <c r="H87" s="148" t="s">
        <v>682</v>
      </c>
      <c r="I87" s="148" t="s">
        <v>86</v>
      </c>
      <c r="J87" s="149" t="s">
        <v>462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562</v>
      </c>
      <c r="G88" s="1" t="s">
        <v>236</v>
      </c>
      <c r="H88" s="148" t="s">
        <v>683</v>
      </c>
      <c r="I88" s="148" t="s">
        <v>86</v>
      </c>
      <c r="J88" s="149" t="s">
        <v>463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569</v>
      </c>
      <c r="G89" s="1" t="s">
        <v>255</v>
      </c>
      <c r="H89" s="148" t="s">
        <v>684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570</v>
      </c>
      <c r="G90" s="1" t="s">
        <v>258</v>
      </c>
      <c r="H90" s="148" t="s">
        <v>685</v>
      </c>
      <c r="I90" s="148" t="s">
        <v>259</v>
      </c>
      <c r="J90" s="149" t="s">
        <v>729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571</v>
      </c>
      <c r="G91" s="1" t="s">
        <v>261</v>
      </c>
      <c r="H91" s="148" t="s">
        <v>686</v>
      </c>
      <c r="I91" s="148" t="s">
        <v>262</v>
      </c>
      <c r="J91" s="149" t="s">
        <v>263</v>
      </c>
      <c r="K91" s="1" t="s">
        <v>477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572</v>
      </c>
      <c r="G92" s="1" t="s">
        <v>265</v>
      </c>
      <c r="H92" s="148" t="s">
        <v>687</v>
      </c>
      <c r="I92" s="148" t="s">
        <v>262</v>
      </c>
      <c r="J92" s="149" t="s">
        <v>266</v>
      </c>
      <c r="K92" s="1" t="s">
        <v>478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573</v>
      </c>
      <c r="G93" s="1" t="s">
        <v>268</v>
      </c>
      <c r="H93" s="148" t="s">
        <v>688</v>
      </c>
      <c r="I93" s="148" t="s">
        <v>262</v>
      </c>
      <c r="J93" s="149" t="s">
        <v>269</v>
      </c>
      <c r="K93" s="1" t="s">
        <v>479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574</v>
      </c>
      <c r="G94" s="1" t="s">
        <v>286</v>
      </c>
      <c r="H94" s="148" t="s">
        <v>689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575</v>
      </c>
      <c r="G95" s="1" t="s">
        <v>271</v>
      </c>
      <c r="H95" s="148" t="s">
        <v>690</v>
      </c>
      <c r="I95" s="148" t="s">
        <v>272</v>
      </c>
      <c r="J95" s="149" t="s">
        <v>464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576</v>
      </c>
      <c r="G96" s="1" t="s">
        <v>274</v>
      </c>
      <c r="H96" s="148" t="s">
        <v>691</v>
      </c>
      <c r="I96" s="148" t="s">
        <v>275</v>
      </c>
      <c r="J96" s="149" t="s">
        <v>465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577</v>
      </c>
      <c r="G97" s="1" t="s">
        <v>277</v>
      </c>
      <c r="H97" s="148" t="s">
        <v>692</v>
      </c>
      <c r="I97" s="148" t="s">
        <v>278</v>
      </c>
      <c r="J97" s="149" t="s">
        <v>466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578</v>
      </c>
      <c r="G98" s="1" t="s">
        <v>261</v>
      </c>
      <c r="H98" s="148" t="s">
        <v>693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579</v>
      </c>
      <c r="G99" s="1" t="s">
        <v>283</v>
      </c>
      <c r="H99" s="148" t="s">
        <v>694</v>
      </c>
      <c r="I99" s="148" t="s">
        <v>284</v>
      </c>
      <c r="J99" s="149" t="s">
        <v>467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580</v>
      </c>
      <c r="G100" s="1"/>
      <c r="H100" s="1" t="s">
        <v>695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581</v>
      </c>
      <c r="G101" s="1"/>
      <c r="H101" s="1" t="s">
        <v>696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719</v>
      </c>
      <c r="F102" s="1" t="s">
        <v>722</v>
      </c>
      <c r="G102" s="1"/>
      <c r="H102" s="1"/>
      <c r="I102" s="1" t="s">
        <v>724</v>
      </c>
      <c r="J102" s="229" t="s">
        <v>726</v>
      </c>
      <c r="K102" s="1" t="s">
        <v>719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720</v>
      </c>
      <c r="F103" s="1" t="s">
        <v>544</v>
      </c>
      <c r="G103" s="1"/>
      <c r="H103" s="1"/>
      <c r="I103" s="1" t="s">
        <v>79</v>
      </c>
      <c r="J103" s="229" t="s">
        <v>727</v>
      </c>
      <c r="K103" s="1" t="s">
        <v>720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721</v>
      </c>
      <c r="F104" s="1" t="s">
        <v>723</v>
      </c>
      <c r="G104" s="1"/>
      <c r="H104" s="1"/>
      <c r="I104" s="1" t="s">
        <v>725</v>
      </c>
      <c r="J104" s="229" t="s">
        <v>728</v>
      </c>
      <c r="K104" s="1" t="s">
        <v>721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735</v>
      </c>
      <c r="F105" s="1" t="s">
        <v>735</v>
      </c>
      <c r="G105" s="1"/>
      <c r="H105" s="1"/>
      <c r="I105" s="1" t="s">
        <v>741</v>
      </c>
      <c r="J105" s="1" t="s">
        <v>739</v>
      </c>
      <c r="K105" s="1" t="s">
        <v>737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736</v>
      </c>
      <c r="F106" s="1" t="s">
        <v>736</v>
      </c>
      <c r="G106" s="1"/>
      <c r="H106" s="1"/>
      <c r="I106" s="1" t="s">
        <v>742</v>
      </c>
      <c r="J106" s="1" t="s">
        <v>740</v>
      </c>
      <c r="K106" s="1" t="s">
        <v>738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743</v>
      </c>
      <c r="F107" s="1" t="s">
        <v>744</v>
      </c>
      <c r="G107" s="1"/>
      <c r="H107" s="1"/>
      <c r="I107" s="1" t="s">
        <v>95</v>
      </c>
      <c r="J107" s="1" t="s">
        <v>746</v>
      </c>
      <c r="K107" s="1" t="s">
        <v>743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745</v>
      </c>
      <c r="G108" s="1"/>
      <c r="H108" s="1"/>
      <c r="I108" s="1" t="s">
        <v>119</v>
      </c>
      <c r="J108" s="1" t="s">
        <v>747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751</v>
      </c>
      <c r="F109" s="1" t="s">
        <v>752</v>
      </c>
      <c r="G109" s="1"/>
      <c r="H109" s="1"/>
      <c r="I109" s="1" t="s">
        <v>753</v>
      </c>
      <c r="J109" s="1" t="s">
        <v>754</v>
      </c>
      <c r="K109" s="1" t="s">
        <v>751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759</v>
      </c>
      <c r="F110" s="1" t="s">
        <v>759</v>
      </c>
      <c r="G110" s="1"/>
      <c r="H110" s="1"/>
      <c r="I110" s="1" t="s">
        <v>16</v>
      </c>
      <c r="J110" s="1" t="s">
        <v>761</v>
      </c>
      <c r="K110" s="1" t="s">
        <v>760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765</v>
      </c>
      <c r="F111" s="1" t="s">
        <v>766</v>
      </c>
      <c r="G111" s="1"/>
      <c r="H111" s="1" t="s">
        <v>767</v>
      </c>
      <c r="I111" s="1" t="s">
        <v>756</v>
      </c>
      <c r="J111" s="1" t="s">
        <v>768</v>
      </c>
      <c r="K111" s="1" t="s">
        <v>765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769</v>
      </c>
      <c r="F112" s="1" t="s">
        <v>770</v>
      </c>
      <c r="G112" s="1"/>
      <c r="H112" s="1" t="s">
        <v>771</v>
      </c>
      <c r="I112" s="1" t="s">
        <v>772</v>
      </c>
      <c r="J112" s="1" t="s">
        <v>773</v>
      </c>
      <c r="K112" s="1" t="s">
        <v>769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774</v>
      </c>
      <c r="F113" s="1" t="s">
        <v>776</v>
      </c>
      <c r="G113" s="1"/>
      <c r="H113" s="1" t="s">
        <v>778</v>
      </c>
      <c r="I113" s="1" t="s">
        <v>780</v>
      </c>
      <c r="J113" s="1" t="s">
        <v>781</v>
      </c>
      <c r="K113" s="1" t="s">
        <v>774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775</v>
      </c>
      <c r="F114" s="1" t="s">
        <v>777</v>
      </c>
      <c r="G114" s="1"/>
      <c r="H114" s="1" t="s">
        <v>779</v>
      </c>
      <c r="I114" s="1" t="s">
        <v>32</v>
      </c>
      <c r="J114" s="1" t="s">
        <v>782</v>
      </c>
      <c r="K114" s="1" t="s">
        <v>775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783</v>
      </c>
      <c r="F115" s="1" t="s">
        <v>784</v>
      </c>
      <c r="G115" s="1"/>
      <c r="H115" s="1" t="s">
        <v>605</v>
      </c>
      <c r="I115" s="1" t="s">
        <v>785</v>
      </c>
      <c r="J115" s="1" t="s">
        <v>786</v>
      </c>
      <c r="K115" s="1" t="s">
        <v>783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788</v>
      </c>
      <c r="F116" s="1" t="s">
        <v>789</v>
      </c>
      <c r="G116" s="1"/>
      <c r="H116" s="1" t="s">
        <v>790</v>
      </c>
      <c r="I116" s="1" t="s">
        <v>36</v>
      </c>
      <c r="J116" s="1" t="s">
        <v>791</v>
      </c>
      <c r="K116" s="1" t="s">
        <v>788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796</v>
      </c>
      <c r="F117" s="1" t="s">
        <v>797</v>
      </c>
      <c r="G117" s="1"/>
      <c r="H117" s="1" t="s">
        <v>798</v>
      </c>
      <c r="I117" s="1" t="s">
        <v>800</v>
      </c>
      <c r="J117" s="1" t="s">
        <v>799</v>
      </c>
      <c r="K117" s="1" t="s">
        <v>796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802</v>
      </c>
      <c r="F118" s="1" t="s">
        <v>804</v>
      </c>
      <c r="G118" s="1"/>
      <c r="H118" s="1" t="s">
        <v>806</v>
      </c>
      <c r="I118" s="1" t="s">
        <v>131</v>
      </c>
      <c r="J118" s="1" t="s">
        <v>808</v>
      </c>
      <c r="K118" s="1" t="s">
        <v>802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803</v>
      </c>
      <c r="F119" s="1" t="s">
        <v>805</v>
      </c>
      <c r="G119" s="1"/>
      <c r="H119" s="1" t="s">
        <v>807</v>
      </c>
      <c r="I119" s="1" t="s">
        <v>79</v>
      </c>
      <c r="J119" s="1" t="s">
        <v>809</v>
      </c>
      <c r="K119" s="1" t="s">
        <v>803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818</v>
      </c>
      <c r="F120" s="1" t="s">
        <v>819</v>
      </c>
      <c r="G120" s="1"/>
      <c r="H120" s="1" t="s">
        <v>820</v>
      </c>
      <c r="I120" s="1" t="s">
        <v>65</v>
      </c>
      <c r="J120" s="1" t="s">
        <v>821</v>
      </c>
      <c r="K120" s="1" t="s">
        <v>818</v>
      </c>
      <c r="L120" s="1" t="s">
        <v>18</v>
      </c>
      <c r="M120" s="1"/>
      <c r="N120" s="1"/>
      <c r="O120" s="1"/>
      <c r="P120" s="1"/>
      <c r="Q120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topLeftCell="S1"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sheetPr filterMode="1"/>
  <dimension ref="A1:AT1271"/>
  <sheetViews>
    <sheetView zoomScale="78" zoomScaleNormal="80" workbookViewId="0">
      <pane xSplit="9" ySplit="3" topLeftCell="J4" activePane="bottomRight" state="frozen"/>
      <selection pane="topRight" activeCell="D1" sqref="D1"/>
      <selection pane="bottomLeft" activeCell="A4" sqref="A4"/>
      <selection pane="bottomRight" activeCell="J939" sqref="J939:J942"/>
    </sheetView>
  </sheetViews>
  <sheetFormatPr defaultRowHeight="15" x14ac:dyDescent="0.25"/>
  <cols>
    <col min="1" max="1" width="23.42578125" bestFit="1" customWidth="1"/>
    <col min="2" max="2" width="11.5703125" customWidth="1"/>
    <col min="3" max="3" width="8.85546875" customWidth="1"/>
    <col min="4" max="4" width="17.42578125" bestFit="1" customWidth="1"/>
    <col min="5" max="5" width="19.5703125" bestFit="1" customWidth="1"/>
    <col min="6" max="6" width="25.28515625" bestFit="1" customWidth="1"/>
    <col min="7" max="7" width="9.5703125" customWidth="1"/>
    <col min="8" max="8" width="10.42578125" customWidth="1"/>
    <col min="9" max="9" width="8.85546875" customWidth="1"/>
    <col min="10" max="14" width="8.7109375" style="37"/>
    <col min="16" max="16" width="11.140625" bestFit="1" customWidth="1"/>
    <col min="19" max="19" width="8.7109375" style="37"/>
    <col min="20" max="20" width="9.7109375" bestFit="1" customWidth="1"/>
    <col min="21" max="21" width="11.42578125" style="37" customWidth="1"/>
    <col min="22" max="24" width="8.7109375" style="37"/>
    <col min="25" max="25" width="29.28515625" bestFit="1" customWidth="1"/>
    <col min="28" max="28" width="13.28515625" bestFit="1" customWidth="1"/>
    <col min="29" max="29" width="11.42578125" bestFit="1" customWidth="1"/>
    <col min="30" max="30" width="22.42578125" bestFit="1" customWidth="1"/>
    <col min="31" max="31" width="14.140625" bestFit="1" customWidth="1"/>
    <col min="32" max="32" width="14.85546875" bestFit="1" customWidth="1"/>
    <col min="33" max="33" width="14" customWidth="1"/>
    <col min="35" max="35" width="13.140625" bestFit="1" customWidth="1"/>
    <col min="36" max="36" width="11.42578125" bestFit="1" customWidth="1"/>
    <col min="37" max="37" width="15.5703125" bestFit="1" customWidth="1"/>
    <col min="38" max="38" width="13.7109375" bestFit="1" customWidth="1"/>
    <col min="39" max="39" width="14.28515625" bestFit="1" customWidth="1"/>
  </cols>
  <sheetData>
    <row r="1" spans="1:46" x14ac:dyDescent="0.25">
      <c r="M1" s="37">
        <f>M2/4%/5</f>
        <v>24360.739999999998</v>
      </c>
      <c r="R1" s="53">
        <f>Q2*4%+R2*8.5%</f>
        <v>40.006944453889048</v>
      </c>
      <c r="S1" s="65">
        <f>S2/J2</f>
        <v>0.73325697319883998</v>
      </c>
      <c r="T1" s="51">
        <f>T2/J2</f>
        <v>3.75</v>
      </c>
      <c r="U1" s="67">
        <f>X1-R1</f>
        <v>4.2855492343319881</v>
      </c>
      <c r="X1" s="67">
        <f>W2*4%+X2*8.5%</f>
        <v>44.292493688221036</v>
      </c>
      <c r="AJ1" s="154">
        <f>AJ2+X1</f>
        <v>45.57275878711566</v>
      </c>
      <c r="AK1" s="154">
        <f>AJ1-R1</f>
        <v>5.5658143332266121</v>
      </c>
    </row>
    <row r="2" spans="1:46" x14ac:dyDescent="0.25">
      <c r="J2" s="72">
        <f>SUM(J4:J99353)</f>
        <v>105725</v>
      </c>
      <c r="K2" s="74">
        <f>M2/J2*100</f>
        <v>4.6083215890281384</v>
      </c>
      <c r="L2" s="74">
        <f>N2/J2*100</f>
        <v>8.2701839678411098</v>
      </c>
      <c r="M2" s="74">
        <f>SUM(M4:M99353)</f>
        <v>4872.1479999999992</v>
      </c>
      <c r="N2" s="74">
        <f>SUM(N4:N99353)</f>
        <v>8743.6520000000146</v>
      </c>
      <c r="O2" s="70">
        <f>P2/J2</f>
        <v>41.900398468505109</v>
      </c>
      <c r="P2" s="72">
        <f>SUM(P4:P99353)</f>
        <v>4429919.6280827029</v>
      </c>
      <c r="Q2" s="71">
        <f>SUMPRODUCT(Q4:Q99353,M4:M99353)/M2</f>
        <v>415.24804887504945</v>
      </c>
      <c r="R2" s="71">
        <f>SUMPRODUCT(R4:R99353,N4:N99353)/N2</f>
        <v>275.25908822220083</v>
      </c>
      <c r="S2" s="72">
        <f>SUM(S4:S99353)</f>
        <v>77523.593491447362</v>
      </c>
      <c r="T2" s="72">
        <f>SUM(T4:T99353)</f>
        <v>396468.75</v>
      </c>
      <c r="U2" s="72">
        <f>SUM(U4:U99353)</f>
        <v>4903911.9715741519</v>
      </c>
      <c r="V2" s="75">
        <f>U2/J2</f>
        <v>46.383655441703965</v>
      </c>
      <c r="W2" s="73">
        <f>SUMPRODUCT(W4:W99353,M4:M99353)/M2</f>
        <v>459.01495751128556</v>
      </c>
      <c r="X2" s="73">
        <f>SUMPRODUCT(X4:X99353,N4:N99353)/N2</f>
        <v>305.08112220905429</v>
      </c>
      <c r="Z2">
        <v>18500</v>
      </c>
      <c r="AB2">
        <v>500</v>
      </c>
      <c r="AC2">
        <v>49.6</v>
      </c>
      <c r="AD2">
        <f>AB2*AC2</f>
        <v>24800</v>
      </c>
      <c r="AE2" s="153">
        <f>AD2/Z2</f>
        <v>1.3405405405405406</v>
      </c>
      <c r="AF2" s="153"/>
      <c r="AG2" s="153"/>
      <c r="AH2" s="154">
        <f>AE2/(K2%+L2%*2/3)</f>
        <v>13.244121712703002</v>
      </c>
      <c r="AI2" s="154">
        <f>AH2*2/3</f>
        <v>8.8294144751353354</v>
      </c>
      <c r="AJ2" s="154">
        <f>AH2*4%+AI2*8.5%</f>
        <v>1.2802650988946236</v>
      </c>
    </row>
    <row r="3" spans="1:46" ht="30" x14ac:dyDescent="0.25">
      <c r="A3" t="s">
        <v>832</v>
      </c>
      <c r="B3" s="54" t="s">
        <v>587</v>
      </c>
      <c r="C3" s="54" t="s">
        <v>395</v>
      </c>
      <c r="D3" s="54" t="s">
        <v>588</v>
      </c>
      <c r="E3" s="54" t="s">
        <v>589</v>
      </c>
      <c r="F3" s="54" t="s">
        <v>590</v>
      </c>
      <c r="G3" s="60" t="s">
        <v>485</v>
      </c>
      <c r="H3" s="54" t="s">
        <v>325</v>
      </c>
      <c r="I3" s="54" t="s">
        <v>326</v>
      </c>
      <c r="J3" s="54" t="s">
        <v>327</v>
      </c>
      <c r="K3" s="54" t="s">
        <v>328</v>
      </c>
      <c r="L3" s="54" t="s">
        <v>329</v>
      </c>
      <c r="M3" s="60" t="s">
        <v>330</v>
      </c>
      <c r="N3" s="60" t="s">
        <v>331</v>
      </c>
      <c r="O3" s="60" t="s">
        <v>333</v>
      </c>
      <c r="P3" s="60" t="s">
        <v>311</v>
      </c>
      <c r="Q3" s="54" t="s">
        <v>324</v>
      </c>
      <c r="R3" s="54" t="s">
        <v>334</v>
      </c>
      <c r="S3" s="55" t="s">
        <v>484</v>
      </c>
      <c r="T3" s="55" t="s">
        <v>335</v>
      </c>
      <c r="U3" s="54" t="s">
        <v>336</v>
      </c>
      <c r="V3" s="54" t="s">
        <v>337</v>
      </c>
      <c r="W3" s="54" t="s">
        <v>324</v>
      </c>
      <c r="X3" s="54" t="s">
        <v>334</v>
      </c>
      <c r="Z3" s="258" t="s">
        <v>748</v>
      </c>
      <c r="AA3" s="259"/>
      <c r="AB3" s="213"/>
      <c r="AC3" s="214"/>
      <c r="AD3" s="214"/>
      <c r="AE3" s="215" t="s">
        <v>398</v>
      </c>
      <c r="AF3" s="216"/>
      <c r="AI3" s="213"/>
      <c r="AJ3" s="214"/>
      <c r="AK3" s="215" t="s">
        <v>398</v>
      </c>
      <c r="AL3" s="214"/>
      <c r="AM3" s="216"/>
    </row>
    <row r="4" spans="1:46" hidden="1" x14ac:dyDescent="0.25">
      <c r="A4" t="str">
        <f>CONCATENATE(H4,I4,B5,C4)</f>
        <v>10620101B22/05/2026M</v>
      </c>
      <c r="B4" s="168" t="s">
        <v>822</v>
      </c>
      <c r="C4" s="62" t="s">
        <v>396</v>
      </c>
      <c r="D4" s="62" t="s">
        <v>591</v>
      </c>
      <c r="E4" s="62" t="s">
        <v>810</v>
      </c>
      <c r="F4" s="49" t="s">
        <v>717</v>
      </c>
      <c r="G4" s="62" t="str">
        <f>MID(F4,2,5)</f>
        <v>20101</v>
      </c>
      <c r="H4" s="62">
        <v>10620101</v>
      </c>
      <c r="I4" s="49" t="s">
        <v>387</v>
      </c>
      <c r="J4" s="69">
        <v>19</v>
      </c>
      <c r="K4" s="69">
        <v>8.5</v>
      </c>
      <c r="L4" s="69">
        <v>9</v>
      </c>
      <c r="M4" s="69">
        <f>K4*J4/100</f>
        <v>1.615</v>
      </c>
      <c r="N4" s="69">
        <f>L4*J4/100</f>
        <v>1.71</v>
      </c>
      <c r="O4" s="56">
        <v>70.975000000000009</v>
      </c>
      <c r="P4" s="57">
        <f>O4*J4</f>
        <v>1348.5250000000001</v>
      </c>
      <c r="Q4" s="58">
        <f>O4/(K4%+L4%*2/3)</f>
        <v>489.48275862068965</v>
      </c>
      <c r="R4" s="58">
        <f>Q4*2/3</f>
        <v>326.32183908045977</v>
      </c>
      <c r="S4" s="66">
        <f t="shared" ref="S4:S18" si="0">P4*1.75%</f>
        <v>23.599187500000003</v>
      </c>
      <c r="T4" s="64">
        <f>J4*3.75</f>
        <v>71.25</v>
      </c>
      <c r="U4" s="66">
        <f>S4+T4+P4</f>
        <v>1443.3741875000001</v>
      </c>
      <c r="V4" s="68">
        <f>U4/J4</f>
        <v>75.967062499999997</v>
      </c>
      <c r="W4" s="68">
        <f>V4/(K4%+L4%*2/3)</f>
        <v>523.91077586206893</v>
      </c>
      <c r="X4" s="68">
        <f>W4*2/3</f>
        <v>349.27385057471264</v>
      </c>
      <c r="Z4" s="63"/>
      <c r="AA4" s="63"/>
      <c r="AB4" s="254" t="s">
        <v>325</v>
      </c>
      <c r="AC4" s="215" t="s">
        <v>485</v>
      </c>
      <c r="AD4" s="215" t="s">
        <v>590</v>
      </c>
      <c r="AE4" s="254" t="s">
        <v>391</v>
      </c>
      <c r="AF4" s="255" t="s">
        <v>392</v>
      </c>
      <c r="AI4" s="215" t="s">
        <v>587</v>
      </c>
      <c r="AJ4" s="222" t="s">
        <v>395</v>
      </c>
      <c r="AK4" s="223" t="s">
        <v>391</v>
      </c>
      <c r="AL4" s="224" t="s">
        <v>393</v>
      </c>
      <c r="AM4" s="225" t="s">
        <v>399</v>
      </c>
    </row>
    <row r="5" spans="1:46" hidden="1" x14ac:dyDescent="0.25">
      <c r="A5" t="str">
        <f t="shared" ref="A5:A68" si="1">CONCATENATE(H5,I5,B6,C5)</f>
        <v>10620101C23/05/2026M</v>
      </c>
      <c r="B5" s="168" t="s">
        <v>822</v>
      </c>
      <c r="C5" s="62" t="s">
        <v>396</v>
      </c>
      <c r="D5" s="62" t="s">
        <v>591</v>
      </c>
      <c r="E5" s="62" t="s">
        <v>810</v>
      </c>
      <c r="F5" s="49" t="s">
        <v>717</v>
      </c>
      <c r="G5" s="62" t="str">
        <f t="shared" ref="G5:G68" si="2">MID(F5,2,5)</f>
        <v>20101</v>
      </c>
      <c r="H5" s="62">
        <v>10620101</v>
      </c>
      <c r="I5" s="49" t="s">
        <v>388</v>
      </c>
      <c r="J5" s="69">
        <v>14</v>
      </c>
      <c r="K5" s="69">
        <v>3.1</v>
      </c>
      <c r="L5" s="69">
        <v>8</v>
      </c>
      <c r="M5" s="69">
        <f t="shared" ref="M5:M68" si="3">K5*J5/100</f>
        <v>0.434</v>
      </c>
      <c r="N5" s="69">
        <f t="shared" ref="N5:N68" si="4">L5*J5/100</f>
        <v>1.1200000000000001</v>
      </c>
      <c r="O5" s="56">
        <v>33.397056000000006</v>
      </c>
      <c r="P5" s="57">
        <f t="shared" ref="P5:P68" si="5">O5*J5</f>
        <v>467.55878400000006</v>
      </c>
      <c r="Q5" s="58">
        <f t="shared" ref="Q5:Q68" si="6">O5/(K5%+L5%*2/3)</f>
        <v>396.01252173913048</v>
      </c>
      <c r="R5" s="58">
        <f t="shared" ref="R5:R68" si="7">Q5*2/3</f>
        <v>264.008347826087</v>
      </c>
      <c r="S5" s="66">
        <f t="shared" si="0"/>
        <v>8.1822787200000011</v>
      </c>
      <c r="T5" s="64">
        <f t="shared" ref="T5:T68" si="8">J5*3.75</f>
        <v>52.5</v>
      </c>
      <c r="U5" s="66">
        <f t="shared" ref="U5:U68" si="9">S5+T5+P5</f>
        <v>528.24106272000006</v>
      </c>
      <c r="V5" s="68">
        <f t="shared" ref="V5:V68" si="10">U5/J5</f>
        <v>37.731504480000005</v>
      </c>
      <c r="W5" s="68">
        <f t="shared" ref="W5:W68" si="11">V5/(K5%+L5%*2/3)</f>
        <v>447.40914403162054</v>
      </c>
      <c r="X5" s="68">
        <f t="shared" ref="X5:X68" si="12">W5*2/3</f>
        <v>298.27276268774705</v>
      </c>
      <c r="Z5" s="63"/>
      <c r="AA5" s="63"/>
      <c r="AB5" s="213">
        <v>10620051</v>
      </c>
      <c r="AC5" s="213" t="s">
        <v>707</v>
      </c>
      <c r="AD5" s="213" t="s">
        <v>374</v>
      </c>
      <c r="AE5" s="213">
        <v>41405</v>
      </c>
      <c r="AF5" s="251">
        <v>1578791.9736740005</v>
      </c>
      <c r="AI5" s="218" t="s">
        <v>792</v>
      </c>
      <c r="AJ5" s="213" t="s">
        <v>396</v>
      </c>
      <c r="AK5" s="223">
        <v>6416</v>
      </c>
      <c r="AL5" s="224">
        <v>336.31400000000002</v>
      </c>
      <c r="AM5" s="225">
        <v>543.61200000000008</v>
      </c>
      <c r="AO5">
        <v>5970</v>
      </c>
      <c r="AP5" s="63">
        <v>320.13200000000012</v>
      </c>
      <c r="AQ5" s="63">
        <v>512.75200000000007</v>
      </c>
      <c r="AR5">
        <f>AK5-AO5</f>
        <v>446</v>
      </c>
      <c r="AS5">
        <f t="shared" ref="AS5:AS13" si="13">AL5-AP5</f>
        <v>16.181999999999903</v>
      </c>
      <c r="AT5">
        <f t="shared" ref="AT5:AT13" si="14">AM5-AQ5</f>
        <v>30.860000000000014</v>
      </c>
    </row>
    <row r="6" spans="1:46" hidden="1" x14ac:dyDescent="0.25">
      <c r="A6" t="str">
        <f t="shared" si="1"/>
        <v>10620101C24/05/2026M</v>
      </c>
      <c r="B6" s="168" t="s">
        <v>823</v>
      </c>
      <c r="C6" s="62" t="s">
        <v>396</v>
      </c>
      <c r="D6" s="62" t="s">
        <v>591</v>
      </c>
      <c r="E6" s="62" t="s">
        <v>810</v>
      </c>
      <c r="F6" s="49" t="s">
        <v>717</v>
      </c>
      <c r="G6" s="62" t="str">
        <f t="shared" si="2"/>
        <v>20101</v>
      </c>
      <c r="H6" s="62">
        <v>10620101</v>
      </c>
      <c r="I6" s="49" t="s">
        <v>388</v>
      </c>
      <c r="J6" s="69">
        <v>27</v>
      </c>
      <c r="K6" s="69">
        <v>4.9000000000000004</v>
      </c>
      <c r="L6" s="69">
        <v>8.1999999999999993</v>
      </c>
      <c r="M6" s="69">
        <f t="shared" si="3"/>
        <v>1.3230000000000002</v>
      </c>
      <c r="N6" s="69">
        <f t="shared" si="4"/>
        <v>2.214</v>
      </c>
      <c r="O6" s="56">
        <v>41.053082400000001</v>
      </c>
      <c r="P6" s="57">
        <f t="shared" si="5"/>
        <v>1108.4332248000001</v>
      </c>
      <c r="Q6" s="58">
        <f t="shared" si="6"/>
        <v>396.01044115755633</v>
      </c>
      <c r="R6" s="58">
        <f t="shared" si="7"/>
        <v>264.0069607717042</v>
      </c>
      <c r="S6" s="66">
        <f t="shared" si="0"/>
        <v>19.397581434000003</v>
      </c>
      <c r="T6" s="64">
        <f t="shared" si="8"/>
        <v>101.25</v>
      </c>
      <c r="U6" s="66">
        <f t="shared" si="9"/>
        <v>1229.080806234</v>
      </c>
      <c r="V6" s="68">
        <f t="shared" si="10"/>
        <v>45.521511341999997</v>
      </c>
      <c r="W6" s="68">
        <f t="shared" si="11"/>
        <v>439.11425731832799</v>
      </c>
      <c r="X6" s="68">
        <f t="shared" si="12"/>
        <v>292.74283821221866</v>
      </c>
      <c r="Z6" s="63"/>
      <c r="AA6" s="63"/>
      <c r="AB6" s="213">
        <v>10620109</v>
      </c>
      <c r="AC6" s="213" t="s">
        <v>734</v>
      </c>
      <c r="AD6" s="213" t="s">
        <v>732</v>
      </c>
      <c r="AE6" s="213">
        <v>16140</v>
      </c>
      <c r="AF6" s="251">
        <v>721551.02522700001</v>
      </c>
      <c r="AI6" s="219"/>
      <c r="AJ6" s="220" t="s">
        <v>397</v>
      </c>
      <c r="AK6" s="231">
        <v>4892</v>
      </c>
      <c r="AL6" s="37">
        <v>238.45799999999991</v>
      </c>
      <c r="AM6" s="232">
        <v>413.04899999999998</v>
      </c>
      <c r="AO6">
        <v>8469</v>
      </c>
      <c r="AP6" s="63">
        <v>461.75000000000011</v>
      </c>
      <c r="AQ6" s="63">
        <v>723.04999999999984</v>
      </c>
      <c r="AR6">
        <f t="shared" ref="AR6:AR13" si="15">AK6-AO6</f>
        <v>-3577</v>
      </c>
      <c r="AS6">
        <f t="shared" si="13"/>
        <v>-223.2920000000002</v>
      </c>
      <c r="AT6">
        <f t="shared" si="14"/>
        <v>-310.00099999999986</v>
      </c>
    </row>
    <row r="7" spans="1:46" hidden="1" x14ac:dyDescent="0.25">
      <c r="A7" t="str">
        <f t="shared" si="1"/>
        <v>10620101B24/05/2026M</v>
      </c>
      <c r="B7" s="168" t="s">
        <v>824</v>
      </c>
      <c r="C7" s="62" t="s">
        <v>396</v>
      </c>
      <c r="D7" s="62" t="s">
        <v>591</v>
      </c>
      <c r="E7" s="62" t="s">
        <v>810</v>
      </c>
      <c r="F7" s="49" t="s">
        <v>717</v>
      </c>
      <c r="G7" s="62" t="str">
        <f t="shared" si="2"/>
        <v>20101</v>
      </c>
      <c r="H7" s="62">
        <v>10620101</v>
      </c>
      <c r="I7" s="49" t="s">
        <v>387</v>
      </c>
      <c r="J7" s="69">
        <v>20</v>
      </c>
      <c r="K7" s="69">
        <v>6.3</v>
      </c>
      <c r="L7" s="69">
        <v>8.8000000000000007</v>
      </c>
      <c r="M7" s="69">
        <f t="shared" si="3"/>
        <v>1.26</v>
      </c>
      <c r="N7" s="69">
        <f t="shared" si="4"/>
        <v>1.76</v>
      </c>
      <c r="O7" s="56">
        <v>52.078949999999999</v>
      </c>
      <c r="P7" s="57">
        <f t="shared" si="5"/>
        <v>1041.579</v>
      </c>
      <c r="Q7" s="58">
        <f t="shared" si="6"/>
        <v>428.04616438356163</v>
      </c>
      <c r="R7" s="58">
        <f t="shared" si="7"/>
        <v>285.36410958904111</v>
      </c>
      <c r="S7" s="66">
        <f t="shared" si="0"/>
        <v>18.227632500000002</v>
      </c>
      <c r="T7" s="64">
        <f t="shared" si="8"/>
        <v>75</v>
      </c>
      <c r="U7" s="66">
        <f t="shared" si="9"/>
        <v>1134.8066325</v>
      </c>
      <c r="V7" s="68">
        <f t="shared" si="10"/>
        <v>56.740331624999996</v>
      </c>
      <c r="W7" s="68">
        <f t="shared" si="11"/>
        <v>466.35889006849311</v>
      </c>
      <c r="X7" s="68">
        <f t="shared" si="12"/>
        <v>310.90592671232872</v>
      </c>
      <c r="Z7" s="63"/>
      <c r="AA7" s="63"/>
      <c r="AB7" s="213">
        <v>10620116</v>
      </c>
      <c r="AC7" s="213" t="s">
        <v>831</v>
      </c>
      <c r="AD7" s="213" t="s">
        <v>830</v>
      </c>
      <c r="AE7" s="213">
        <v>5220</v>
      </c>
      <c r="AF7" s="251">
        <v>223484.80742999999</v>
      </c>
      <c r="AI7" s="218" t="s">
        <v>793</v>
      </c>
      <c r="AJ7" s="213" t="s">
        <v>396</v>
      </c>
      <c r="AK7" s="223">
        <v>7476</v>
      </c>
      <c r="AL7" s="224">
        <v>366.97800000000001</v>
      </c>
      <c r="AM7" s="225">
        <v>623.45600000000024</v>
      </c>
      <c r="AO7">
        <v>8285</v>
      </c>
      <c r="AP7" s="63">
        <v>459.71499999999997</v>
      </c>
      <c r="AQ7" s="63">
        <v>714.58</v>
      </c>
      <c r="AR7">
        <f t="shared" si="15"/>
        <v>-809</v>
      </c>
      <c r="AS7">
        <f t="shared" si="13"/>
        <v>-92.736999999999966</v>
      </c>
      <c r="AT7">
        <f t="shared" si="14"/>
        <v>-91.123999999999796</v>
      </c>
    </row>
    <row r="8" spans="1:46" hidden="1" x14ac:dyDescent="0.25">
      <c r="A8" t="str">
        <f t="shared" si="1"/>
        <v>10620101C25/05/2026E</v>
      </c>
      <c r="B8" s="168" t="s">
        <v>824</v>
      </c>
      <c r="C8" s="62" t="s">
        <v>397</v>
      </c>
      <c r="D8" s="62" t="s">
        <v>591</v>
      </c>
      <c r="E8" s="62" t="s">
        <v>810</v>
      </c>
      <c r="F8" s="49" t="s">
        <v>717</v>
      </c>
      <c r="G8" s="62" t="str">
        <f t="shared" si="2"/>
        <v>20101</v>
      </c>
      <c r="H8" s="62">
        <v>10620101</v>
      </c>
      <c r="I8" s="49" t="s">
        <v>388</v>
      </c>
      <c r="J8" s="69">
        <v>12</v>
      </c>
      <c r="K8" s="69">
        <v>3.8</v>
      </c>
      <c r="L8" s="69">
        <v>8.1999999999999993</v>
      </c>
      <c r="M8" s="69">
        <f t="shared" si="3"/>
        <v>0.45599999999999996</v>
      </c>
      <c r="N8" s="69">
        <f t="shared" si="4"/>
        <v>0.98399999999999987</v>
      </c>
      <c r="O8" s="56">
        <v>36.697082399999999</v>
      </c>
      <c r="P8" s="57">
        <f t="shared" si="5"/>
        <v>440.36498879999999</v>
      </c>
      <c r="Q8" s="58">
        <f t="shared" si="6"/>
        <v>396.01168057553957</v>
      </c>
      <c r="R8" s="58">
        <f t="shared" si="7"/>
        <v>264.0077870503597</v>
      </c>
      <c r="S8" s="66">
        <f t="shared" si="0"/>
        <v>7.7063873040000006</v>
      </c>
      <c r="T8" s="64">
        <f t="shared" si="8"/>
        <v>45</v>
      </c>
      <c r="U8" s="66">
        <f t="shared" si="9"/>
        <v>493.07137610400002</v>
      </c>
      <c r="V8" s="68">
        <f t="shared" si="10"/>
        <v>41.089281342</v>
      </c>
      <c r="W8" s="68">
        <f t="shared" si="11"/>
        <v>443.40951088489209</v>
      </c>
      <c r="X8" s="68">
        <f t="shared" si="12"/>
        <v>295.60634058992804</v>
      </c>
      <c r="Z8" s="63"/>
      <c r="AA8" s="63"/>
      <c r="AB8" s="252" t="s">
        <v>390</v>
      </c>
      <c r="AC8" s="217"/>
      <c r="AD8" s="217"/>
      <c r="AE8" s="252">
        <v>62765</v>
      </c>
      <c r="AF8" s="253">
        <v>2523827.8063310003</v>
      </c>
      <c r="AI8" s="219"/>
      <c r="AJ8" s="220" t="s">
        <v>397</v>
      </c>
      <c r="AK8" s="231">
        <v>13740</v>
      </c>
      <c r="AL8" s="37">
        <v>701.553</v>
      </c>
      <c r="AM8" s="232">
        <v>1172.33</v>
      </c>
      <c r="AO8">
        <v>5624</v>
      </c>
      <c r="AP8" s="63">
        <v>311.59199999999998</v>
      </c>
      <c r="AQ8" s="63">
        <v>477.15200000000004</v>
      </c>
      <c r="AR8">
        <f t="shared" si="15"/>
        <v>8116</v>
      </c>
      <c r="AS8">
        <f t="shared" si="13"/>
        <v>389.96100000000001</v>
      </c>
      <c r="AT8">
        <f t="shared" si="14"/>
        <v>695.17799999999988</v>
      </c>
    </row>
    <row r="9" spans="1:46" hidden="1" x14ac:dyDescent="0.25">
      <c r="A9" t="str">
        <f t="shared" si="1"/>
        <v>10620101B25/05/2026M</v>
      </c>
      <c r="B9" s="168" t="s">
        <v>825</v>
      </c>
      <c r="C9" s="62" t="s">
        <v>396</v>
      </c>
      <c r="D9" s="62" t="s">
        <v>591</v>
      </c>
      <c r="E9" s="62" t="s">
        <v>810</v>
      </c>
      <c r="F9" s="49" t="s">
        <v>717</v>
      </c>
      <c r="G9" s="62" t="str">
        <f t="shared" si="2"/>
        <v>20101</v>
      </c>
      <c r="H9" s="62">
        <v>10620101</v>
      </c>
      <c r="I9" s="49" t="s">
        <v>387</v>
      </c>
      <c r="J9" s="69">
        <v>16</v>
      </c>
      <c r="K9" s="69">
        <v>6.2</v>
      </c>
      <c r="L9" s="69">
        <v>8.8000000000000007</v>
      </c>
      <c r="M9" s="69">
        <f t="shared" si="3"/>
        <v>0.99199999999999999</v>
      </c>
      <c r="N9" s="69">
        <f t="shared" si="4"/>
        <v>1.4080000000000001</v>
      </c>
      <c r="O9" s="56">
        <v>51.252300000000005</v>
      </c>
      <c r="P9" s="57">
        <f t="shared" si="5"/>
        <v>820.03680000000008</v>
      </c>
      <c r="Q9" s="58">
        <f t="shared" si="6"/>
        <v>424.74281767955802</v>
      </c>
      <c r="R9" s="58">
        <f t="shared" si="7"/>
        <v>283.1618784530387</v>
      </c>
      <c r="S9" s="66">
        <f t="shared" si="0"/>
        <v>14.350644000000003</v>
      </c>
      <c r="T9" s="64">
        <f t="shared" si="8"/>
        <v>60</v>
      </c>
      <c r="U9" s="66">
        <f t="shared" si="9"/>
        <v>894.38744400000007</v>
      </c>
      <c r="V9" s="68">
        <f t="shared" si="10"/>
        <v>55.899215250000005</v>
      </c>
      <c r="W9" s="68">
        <f t="shared" si="11"/>
        <v>463.25316505524864</v>
      </c>
      <c r="X9" s="68">
        <f t="shared" si="12"/>
        <v>308.83544337016576</v>
      </c>
      <c r="Z9" s="63"/>
      <c r="AA9" s="63"/>
      <c r="AI9" s="218" t="s">
        <v>795</v>
      </c>
      <c r="AJ9" s="213" t="s">
        <v>795</v>
      </c>
      <c r="AK9" s="223"/>
      <c r="AL9" s="224"/>
      <c r="AM9" s="225"/>
      <c r="AO9">
        <v>6861</v>
      </c>
      <c r="AP9" s="63">
        <v>379.71399999999994</v>
      </c>
      <c r="AQ9" s="63">
        <v>589.82700000000034</v>
      </c>
      <c r="AR9">
        <f t="shared" si="15"/>
        <v>-6861</v>
      </c>
      <c r="AS9">
        <f t="shared" si="13"/>
        <v>-379.71399999999994</v>
      </c>
      <c r="AT9">
        <f t="shared" si="14"/>
        <v>-589.82700000000034</v>
      </c>
    </row>
    <row r="10" spans="1:46" hidden="1" x14ac:dyDescent="0.25">
      <c r="A10" t="str">
        <f t="shared" si="1"/>
        <v>10620101C26/05/2026E</v>
      </c>
      <c r="B10" s="168" t="s">
        <v>825</v>
      </c>
      <c r="C10" s="62" t="s">
        <v>397</v>
      </c>
      <c r="D10" s="62" t="s">
        <v>591</v>
      </c>
      <c r="E10" s="62" t="s">
        <v>810</v>
      </c>
      <c r="F10" s="49" t="s">
        <v>717</v>
      </c>
      <c r="G10" s="62" t="str">
        <f t="shared" si="2"/>
        <v>20101</v>
      </c>
      <c r="H10" s="62">
        <v>10620101</v>
      </c>
      <c r="I10" s="49" t="s">
        <v>388</v>
      </c>
      <c r="J10" s="69">
        <v>18</v>
      </c>
      <c r="K10" s="69">
        <v>3.8</v>
      </c>
      <c r="L10" s="69">
        <v>8.1999999999999993</v>
      </c>
      <c r="M10" s="69">
        <f t="shared" si="3"/>
        <v>0.68399999999999994</v>
      </c>
      <c r="N10" s="69">
        <f t="shared" si="4"/>
        <v>1.476</v>
      </c>
      <c r="O10" s="56">
        <v>36.697082399999999</v>
      </c>
      <c r="P10" s="57">
        <f t="shared" si="5"/>
        <v>660.54748319999999</v>
      </c>
      <c r="Q10" s="58">
        <f t="shared" si="6"/>
        <v>396.01168057553957</v>
      </c>
      <c r="R10" s="58">
        <f t="shared" si="7"/>
        <v>264.0077870503597</v>
      </c>
      <c r="S10" s="66">
        <f t="shared" si="0"/>
        <v>11.559580956000001</v>
      </c>
      <c r="T10" s="64">
        <f t="shared" si="8"/>
        <v>67.5</v>
      </c>
      <c r="U10" s="66">
        <f t="shared" si="9"/>
        <v>739.60706415599998</v>
      </c>
      <c r="V10" s="68">
        <f t="shared" si="10"/>
        <v>41.089281342</v>
      </c>
      <c r="W10" s="68">
        <f t="shared" si="11"/>
        <v>443.40951088489209</v>
      </c>
      <c r="X10" s="68">
        <f t="shared" si="12"/>
        <v>295.60634058992804</v>
      </c>
      <c r="Z10" s="63"/>
      <c r="AA10" s="63"/>
      <c r="AI10" s="221" t="s">
        <v>390</v>
      </c>
      <c r="AJ10" s="217"/>
      <c r="AK10" s="233">
        <v>32524</v>
      </c>
      <c r="AL10" s="234">
        <v>1643.3029999999999</v>
      </c>
      <c r="AM10" s="235">
        <v>2752.4470000000001</v>
      </c>
      <c r="AO10">
        <v>7190</v>
      </c>
      <c r="AP10" s="63">
        <v>386.65</v>
      </c>
      <c r="AQ10" s="63">
        <v>613.65699999999993</v>
      </c>
      <c r="AR10">
        <f t="shared" si="15"/>
        <v>25334</v>
      </c>
      <c r="AS10">
        <f t="shared" si="13"/>
        <v>1256.6529999999998</v>
      </c>
      <c r="AT10">
        <f t="shared" si="14"/>
        <v>2138.79</v>
      </c>
    </row>
    <row r="11" spans="1:46" hidden="1" x14ac:dyDescent="0.25">
      <c r="A11" t="str">
        <f t="shared" si="1"/>
        <v>10620101C22/05/2026M</v>
      </c>
      <c r="B11" s="168" t="s">
        <v>826</v>
      </c>
      <c r="C11" s="62" t="s">
        <v>396</v>
      </c>
      <c r="D11" s="62" t="s">
        <v>591</v>
      </c>
      <c r="E11" s="62" t="s">
        <v>810</v>
      </c>
      <c r="F11" s="49" t="s">
        <v>717</v>
      </c>
      <c r="G11" s="62" t="str">
        <f t="shared" si="2"/>
        <v>20101</v>
      </c>
      <c r="H11" s="62">
        <v>10620101</v>
      </c>
      <c r="I11" s="49" t="s">
        <v>388</v>
      </c>
      <c r="J11" s="69">
        <v>18</v>
      </c>
      <c r="K11" s="69">
        <v>4.5</v>
      </c>
      <c r="L11" s="69">
        <v>8.3000000000000007</v>
      </c>
      <c r="M11" s="69">
        <f t="shared" si="3"/>
        <v>0.81</v>
      </c>
      <c r="N11" s="69">
        <f t="shared" si="4"/>
        <v>1.494</v>
      </c>
      <c r="O11" s="56">
        <f>INDEX(Rate_Chart!$A$1:$AK$127,MATCH(Data!K11,Rate_Chart!$A$1:$A$127,0),MATCH(Data!L11,Rate_Chart!$A$1:$AK$1,0))</f>
        <v>41.840153700000002</v>
      </c>
      <c r="P11" s="57">
        <f t="shared" si="5"/>
        <v>753.12276659999998</v>
      </c>
      <c r="Q11" s="58">
        <f t="shared" si="6"/>
        <v>417.01149867109638</v>
      </c>
      <c r="R11" s="58">
        <f t="shared" si="7"/>
        <v>278.00766578073092</v>
      </c>
      <c r="S11" s="66">
        <f t="shared" si="0"/>
        <v>13.179648415500001</v>
      </c>
      <c r="T11" s="64">
        <f t="shared" si="8"/>
        <v>67.5</v>
      </c>
      <c r="U11" s="66">
        <f t="shared" si="9"/>
        <v>833.80241501549995</v>
      </c>
      <c r="V11" s="68">
        <f t="shared" si="10"/>
        <v>46.322356389749999</v>
      </c>
      <c r="W11" s="68">
        <f t="shared" si="11"/>
        <v>461.68461518023258</v>
      </c>
      <c r="X11" s="68">
        <f t="shared" si="12"/>
        <v>307.78974345348837</v>
      </c>
      <c r="Z11" s="63"/>
      <c r="AA11" s="63"/>
      <c r="AO11">
        <v>4601</v>
      </c>
      <c r="AP11" s="63">
        <v>246.39800000000002</v>
      </c>
      <c r="AQ11" s="63">
        <v>395.92800000000028</v>
      </c>
      <c r="AR11">
        <f t="shared" si="15"/>
        <v>-4601</v>
      </c>
      <c r="AS11">
        <f t="shared" si="13"/>
        <v>-246.39800000000002</v>
      </c>
      <c r="AT11">
        <f t="shared" si="14"/>
        <v>-395.92800000000028</v>
      </c>
    </row>
    <row r="12" spans="1:46" hidden="1" x14ac:dyDescent="0.25">
      <c r="A12" t="str">
        <f t="shared" si="1"/>
        <v>10620102B22/05/2026M</v>
      </c>
      <c r="B12" s="168" t="s">
        <v>822</v>
      </c>
      <c r="C12" s="62" t="s">
        <v>396</v>
      </c>
      <c r="D12" s="62" t="s">
        <v>591</v>
      </c>
      <c r="E12" s="62" t="s">
        <v>592</v>
      </c>
      <c r="F12" s="49" t="s">
        <v>718</v>
      </c>
      <c r="G12" s="62" t="str">
        <f t="shared" si="2"/>
        <v>20102</v>
      </c>
      <c r="H12" s="62">
        <v>10620102</v>
      </c>
      <c r="I12" s="49" t="s">
        <v>387</v>
      </c>
      <c r="J12" s="69">
        <v>36</v>
      </c>
      <c r="K12" s="69">
        <v>6.3</v>
      </c>
      <c r="L12" s="69">
        <v>8.8000000000000007</v>
      </c>
      <c r="M12" s="69">
        <f t="shared" si="3"/>
        <v>2.2679999999999998</v>
      </c>
      <c r="N12" s="69">
        <f t="shared" si="4"/>
        <v>3.1680000000000001</v>
      </c>
      <c r="O12" s="56">
        <v>52.078949999999999</v>
      </c>
      <c r="P12" s="57">
        <f t="shared" si="5"/>
        <v>1874.8422</v>
      </c>
      <c r="Q12" s="58">
        <f t="shared" si="6"/>
        <v>428.04616438356163</v>
      </c>
      <c r="R12" s="58">
        <f t="shared" si="7"/>
        <v>285.36410958904111</v>
      </c>
      <c r="S12" s="66">
        <f t="shared" si="0"/>
        <v>32.809738500000002</v>
      </c>
      <c r="T12" s="64">
        <f t="shared" si="8"/>
        <v>135</v>
      </c>
      <c r="U12" s="66">
        <f t="shared" si="9"/>
        <v>2042.6519385000001</v>
      </c>
      <c r="V12" s="68">
        <f t="shared" si="10"/>
        <v>56.740331625000003</v>
      </c>
      <c r="W12" s="68">
        <f t="shared" si="11"/>
        <v>466.35889006849317</v>
      </c>
      <c r="X12" s="68">
        <f t="shared" si="12"/>
        <v>310.90592671232878</v>
      </c>
      <c r="Z12" s="63"/>
      <c r="AA12" s="63"/>
      <c r="AO12">
        <v>4919</v>
      </c>
      <c r="AP12" s="63">
        <v>265.47799999999984</v>
      </c>
      <c r="AQ12" s="63">
        <v>417.6149999999999</v>
      </c>
      <c r="AR12">
        <f t="shared" si="15"/>
        <v>-4919</v>
      </c>
      <c r="AS12">
        <f t="shared" si="13"/>
        <v>-265.47799999999984</v>
      </c>
      <c r="AT12">
        <f t="shared" si="14"/>
        <v>-417.6149999999999</v>
      </c>
    </row>
    <row r="13" spans="1:46" hidden="1" x14ac:dyDescent="0.25">
      <c r="A13" t="str">
        <f t="shared" si="1"/>
        <v>10620102B23/05/2026E</v>
      </c>
      <c r="B13" s="168" t="s">
        <v>822</v>
      </c>
      <c r="C13" s="62" t="s">
        <v>397</v>
      </c>
      <c r="D13" s="62" t="s">
        <v>591</v>
      </c>
      <c r="E13" s="62" t="s">
        <v>592</v>
      </c>
      <c r="F13" s="49" t="s">
        <v>718</v>
      </c>
      <c r="G13" s="62" t="str">
        <f t="shared" si="2"/>
        <v>20102</v>
      </c>
      <c r="H13" s="62">
        <v>10620102</v>
      </c>
      <c r="I13" s="49" t="s">
        <v>387</v>
      </c>
      <c r="J13" s="69">
        <v>42</v>
      </c>
      <c r="K13" s="69">
        <v>5.7</v>
      </c>
      <c r="L13" s="69">
        <v>8.6</v>
      </c>
      <c r="M13" s="69">
        <f t="shared" si="3"/>
        <v>2.3940000000000001</v>
      </c>
      <c r="N13" s="69">
        <f t="shared" si="4"/>
        <v>3.6120000000000001</v>
      </c>
      <c r="O13" s="56">
        <v>46.643099999999997</v>
      </c>
      <c r="P13" s="57">
        <f t="shared" si="5"/>
        <v>1959.0101999999999</v>
      </c>
      <c r="Q13" s="58">
        <f t="shared" si="6"/>
        <v>407.95714285714286</v>
      </c>
      <c r="R13" s="58">
        <f t="shared" si="7"/>
        <v>271.97142857142859</v>
      </c>
      <c r="S13" s="66">
        <f t="shared" si="0"/>
        <v>34.282678500000003</v>
      </c>
      <c r="T13" s="64">
        <f t="shared" si="8"/>
        <v>157.5</v>
      </c>
      <c r="U13" s="66">
        <f t="shared" si="9"/>
        <v>2150.7928784999999</v>
      </c>
      <c r="V13" s="68">
        <f t="shared" si="10"/>
        <v>51.209354249999997</v>
      </c>
      <c r="W13" s="68">
        <f t="shared" si="11"/>
        <v>447.89522667638482</v>
      </c>
      <c r="X13" s="68">
        <f t="shared" si="12"/>
        <v>298.59681778425653</v>
      </c>
      <c r="Z13" s="63"/>
      <c r="AA13" s="63"/>
      <c r="AO13">
        <v>5240</v>
      </c>
      <c r="AP13" s="63">
        <v>295.36200000000014</v>
      </c>
      <c r="AQ13" s="63">
        <v>452.2810000000004</v>
      </c>
      <c r="AR13">
        <f t="shared" si="15"/>
        <v>-5240</v>
      </c>
      <c r="AS13">
        <f t="shared" si="13"/>
        <v>-295.36200000000014</v>
      </c>
      <c r="AT13">
        <f t="shared" si="14"/>
        <v>-452.2810000000004</v>
      </c>
    </row>
    <row r="14" spans="1:46" hidden="1" x14ac:dyDescent="0.25">
      <c r="A14" t="str">
        <f t="shared" si="1"/>
        <v>10620102B23/05/2026M</v>
      </c>
      <c r="B14" s="168" t="s">
        <v>823</v>
      </c>
      <c r="C14" s="62" t="s">
        <v>396</v>
      </c>
      <c r="D14" s="62" t="s">
        <v>591</v>
      </c>
      <c r="E14" s="62" t="s">
        <v>592</v>
      </c>
      <c r="F14" s="49" t="s">
        <v>718</v>
      </c>
      <c r="G14" s="62" t="str">
        <f t="shared" si="2"/>
        <v>20102</v>
      </c>
      <c r="H14" s="62">
        <v>10620102</v>
      </c>
      <c r="I14" s="49" t="s">
        <v>387</v>
      </c>
      <c r="J14" s="69">
        <v>18</v>
      </c>
      <c r="K14" s="69">
        <v>6.9</v>
      </c>
      <c r="L14" s="69">
        <v>8.8000000000000007</v>
      </c>
      <c r="M14" s="69">
        <f t="shared" si="3"/>
        <v>1.242</v>
      </c>
      <c r="N14" s="69">
        <f t="shared" si="4"/>
        <v>1.5840000000000001</v>
      </c>
      <c r="O14" s="56">
        <v>57.038850000000004</v>
      </c>
      <c r="P14" s="57">
        <f t="shared" si="5"/>
        <v>1026.6993</v>
      </c>
      <c r="Q14" s="58">
        <f t="shared" si="6"/>
        <v>446.77950391644907</v>
      </c>
      <c r="R14" s="58">
        <f t="shared" si="7"/>
        <v>297.85300261096603</v>
      </c>
      <c r="S14" s="66">
        <f t="shared" si="0"/>
        <v>17.967237750000002</v>
      </c>
      <c r="T14" s="64">
        <f t="shared" si="8"/>
        <v>67.5</v>
      </c>
      <c r="U14" s="66">
        <f t="shared" si="9"/>
        <v>1112.1665377500001</v>
      </c>
      <c r="V14" s="68">
        <f t="shared" si="10"/>
        <v>61.787029875000002</v>
      </c>
      <c r="W14" s="68">
        <f t="shared" si="11"/>
        <v>483.97151338120102</v>
      </c>
      <c r="X14" s="68">
        <f t="shared" si="12"/>
        <v>322.64767558746735</v>
      </c>
      <c r="Z14" s="63"/>
      <c r="AA14" s="63"/>
      <c r="AO14">
        <v>5430</v>
      </c>
      <c r="AP14" s="63">
        <v>280.55700000000002</v>
      </c>
      <c r="AQ14" s="63">
        <v>465.09499999999991</v>
      </c>
    </row>
    <row r="15" spans="1:46" hidden="1" x14ac:dyDescent="0.25">
      <c r="A15" t="str">
        <f t="shared" si="1"/>
        <v>10620102B23/05/2026E</v>
      </c>
      <c r="B15" s="168" t="s">
        <v>823</v>
      </c>
      <c r="C15" s="62" t="s">
        <v>397</v>
      </c>
      <c r="D15" s="62" t="s">
        <v>591</v>
      </c>
      <c r="E15" s="62" t="s">
        <v>592</v>
      </c>
      <c r="F15" s="49" t="s">
        <v>718</v>
      </c>
      <c r="G15" s="62" t="str">
        <f t="shared" si="2"/>
        <v>20102</v>
      </c>
      <c r="H15" s="62">
        <v>10620102</v>
      </c>
      <c r="I15" s="49" t="s">
        <v>387</v>
      </c>
      <c r="J15" s="69">
        <v>37</v>
      </c>
      <c r="K15" s="69">
        <v>6.4</v>
      </c>
      <c r="L15" s="69">
        <v>8.8000000000000007</v>
      </c>
      <c r="M15" s="69">
        <f t="shared" si="3"/>
        <v>2.3680000000000003</v>
      </c>
      <c r="N15" s="69">
        <f t="shared" si="4"/>
        <v>3.2560000000000002</v>
      </c>
      <c r="O15" s="56">
        <v>52.9056</v>
      </c>
      <c r="P15" s="57">
        <f t="shared" si="5"/>
        <v>1957.5072</v>
      </c>
      <c r="Q15" s="58">
        <f t="shared" si="6"/>
        <v>431.29565217391303</v>
      </c>
      <c r="R15" s="58">
        <f t="shared" si="7"/>
        <v>287.53043478260867</v>
      </c>
      <c r="S15" s="66">
        <f t="shared" si="0"/>
        <v>34.256376000000003</v>
      </c>
      <c r="T15" s="64">
        <f t="shared" si="8"/>
        <v>138.75</v>
      </c>
      <c r="U15" s="66">
        <f t="shared" si="9"/>
        <v>2130.5135759999998</v>
      </c>
      <c r="V15" s="68">
        <f t="shared" si="10"/>
        <v>57.581447999999995</v>
      </c>
      <c r="W15" s="68">
        <f t="shared" si="11"/>
        <v>469.4139782608695</v>
      </c>
      <c r="X15" s="68">
        <f t="shared" si="12"/>
        <v>312.94265217391302</v>
      </c>
      <c r="Z15" s="63"/>
      <c r="AA15" s="63"/>
    </row>
    <row r="16" spans="1:46" hidden="1" x14ac:dyDescent="0.25">
      <c r="A16" t="str">
        <f t="shared" si="1"/>
        <v>10620102C24/05/2026E</v>
      </c>
      <c r="B16" s="168" t="s">
        <v>823</v>
      </c>
      <c r="C16" s="62" t="s">
        <v>397</v>
      </c>
      <c r="D16" s="62" t="s">
        <v>591</v>
      </c>
      <c r="E16" s="62" t="s">
        <v>592</v>
      </c>
      <c r="F16" s="49" t="s">
        <v>718</v>
      </c>
      <c r="G16" s="62" t="str">
        <f t="shared" si="2"/>
        <v>20102</v>
      </c>
      <c r="H16" s="62">
        <v>10620102</v>
      </c>
      <c r="I16" s="49" t="s">
        <v>388</v>
      </c>
      <c r="J16" s="69">
        <v>62</v>
      </c>
      <c r="K16" s="69">
        <v>3</v>
      </c>
      <c r="L16" s="69">
        <v>8</v>
      </c>
      <c r="M16" s="69">
        <f t="shared" si="3"/>
        <v>1.86</v>
      </c>
      <c r="N16" s="69">
        <f t="shared" si="4"/>
        <v>4.96</v>
      </c>
      <c r="O16" s="56">
        <v>33.001056000000005</v>
      </c>
      <c r="P16" s="57">
        <f t="shared" si="5"/>
        <v>2046.0654720000002</v>
      </c>
      <c r="Q16" s="58">
        <f t="shared" si="6"/>
        <v>396.01267200000001</v>
      </c>
      <c r="R16" s="58">
        <f t="shared" si="7"/>
        <v>264.00844799999999</v>
      </c>
      <c r="S16" s="66">
        <f t="shared" si="0"/>
        <v>35.806145760000007</v>
      </c>
      <c r="T16" s="64">
        <f t="shared" si="8"/>
        <v>232.5</v>
      </c>
      <c r="U16" s="66">
        <f t="shared" si="9"/>
        <v>2314.3716177600004</v>
      </c>
      <c r="V16" s="68">
        <f t="shared" si="10"/>
        <v>37.328574480000007</v>
      </c>
      <c r="W16" s="68">
        <f t="shared" si="11"/>
        <v>447.94289376000006</v>
      </c>
      <c r="X16" s="68">
        <f t="shared" si="12"/>
        <v>298.62859584000006</v>
      </c>
      <c r="Z16" s="63"/>
      <c r="AA16" s="63"/>
    </row>
    <row r="17" spans="1:27" hidden="1" x14ac:dyDescent="0.25">
      <c r="A17" t="str">
        <f t="shared" si="1"/>
        <v>10620102B24/05/2026M</v>
      </c>
      <c r="B17" s="168" t="s">
        <v>824</v>
      </c>
      <c r="C17" s="62" t="s">
        <v>396</v>
      </c>
      <c r="D17" s="62" t="s">
        <v>591</v>
      </c>
      <c r="E17" s="62" t="s">
        <v>592</v>
      </c>
      <c r="F17" s="49" t="s">
        <v>718</v>
      </c>
      <c r="G17" s="62" t="str">
        <f t="shared" si="2"/>
        <v>20102</v>
      </c>
      <c r="H17" s="62">
        <v>10620102</v>
      </c>
      <c r="I17" s="49" t="s">
        <v>387</v>
      </c>
      <c r="J17" s="69">
        <v>23</v>
      </c>
      <c r="K17" s="69">
        <v>6.7</v>
      </c>
      <c r="L17" s="69">
        <v>8.8000000000000007</v>
      </c>
      <c r="M17" s="69">
        <f t="shared" si="3"/>
        <v>1.5409999999999999</v>
      </c>
      <c r="N17" s="69">
        <f t="shared" si="4"/>
        <v>2.024</v>
      </c>
      <c r="O17" s="56">
        <v>55.385550000000002</v>
      </c>
      <c r="P17" s="57">
        <f t="shared" si="5"/>
        <v>1273.8676500000001</v>
      </c>
      <c r="Q17" s="58">
        <f t="shared" si="6"/>
        <v>440.73381962864721</v>
      </c>
      <c r="R17" s="58">
        <f t="shared" si="7"/>
        <v>293.82254641909816</v>
      </c>
      <c r="S17" s="66">
        <f t="shared" si="0"/>
        <v>22.292683875000005</v>
      </c>
      <c r="T17" s="64">
        <f t="shared" si="8"/>
        <v>86.25</v>
      </c>
      <c r="U17" s="66">
        <f t="shared" si="9"/>
        <v>1382.4103338750001</v>
      </c>
      <c r="V17" s="68">
        <f t="shared" si="10"/>
        <v>60.104797125000005</v>
      </c>
      <c r="W17" s="68">
        <f t="shared" si="11"/>
        <v>478.28751027851456</v>
      </c>
      <c r="X17" s="68">
        <f t="shared" si="12"/>
        <v>318.85834018567635</v>
      </c>
      <c r="Z17" s="63"/>
      <c r="AA17" s="63"/>
    </row>
    <row r="18" spans="1:27" hidden="1" x14ac:dyDescent="0.25">
      <c r="A18" t="str">
        <f t="shared" si="1"/>
        <v>10620102B24/05/2026E</v>
      </c>
      <c r="B18" s="168" t="s">
        <v>824</v>
      </c>
      <c r="C18" s="62" t="s">
        <v>397</v>
      </c>
      <c r="D18" s="62" t="s">
        <v>591</v>
      </c>
      <c r="E18" s="62" t="s">
        <v>592</v>
      </c>
      <c r="F18" s="49" t="s">
        <v>718</v>
      </c>
      <c r="G18" s="62" t="str">
        <f t="shared" si="2"/>
        <v>20102</v>
      </c>
      <c r="H18" s="62">
        <v>10620102</v>
      </c>
      <c r="I18" s="49" t="s">
        <v>387</v>
      </c>
      <c r="J18" s="69">
        <v>25</v>
      </c>
      <c r="K18" s="69">
        <v>5.9</v>
      </c>
      <c r="L18" s="69">
        <v>8.8000000000000007</v>
      </c>
      <c r="M18" s="69">
        <f t="shared" si="3"/>
        <v>1.4750000000000001</v>
      </c>
      <c r="N18" s="69">
        <f t="shared" si="4"/>
        <v>2.2000000000000002</v>
      </c>
      <c r="O18" s="56">
        <v>48.772350000000003</v>
      </c>
      <c r="P18" s="57">
        <f t="shared" si="5"/>
        <v>1219.3087500000001</v>
      </c>
      <c r="Q18" s="58">
        <f t="shared" si="6"/>
        <v>414.49589235127479</v>
      </c>
      <c r="R18" s="58">
        <f t="shared" si="7"/>
        <v>276.33059490084986</v>
      </c>
      <c r="S18" s="66">
        <f t="shared" si="0"/>
        <v>21.337903125000004</v>
      </c>
      <c r="T18" s="64">
        <f t="shared" si="8"/>
        <v>93.75</v>
      </c>
      <c r="U18" s="66">
        <f t="shared" si="9"/>
        <v>1334.3966531250001</v>
      </c>
      <c r="V18" s="68">
        <f t="shared" si="10"/>
        <v>53.375866125000002</v>
      </c>
      <c r="W18" s="68">
        <f t="shared" si="11"/>
        <v>453.61925885269125</v>
      </c>
      <c r="X18" s="68">
        <f t="shared" si="12"/>
        <v>302.41283923512748</v>
      </c>
      <c r="Z18" s="63"/>
      <c r="AA18" s="63"/>
    </row>
    <row r="19" spans="1:27" hidden="1" x14ac:dyDescent="0.25">
      <c r="A19" t="str">
        <f t="shared" si="1"/>
        <v>10620102C25/05/2026E</v>
      </c>
      <c r="B19" s="168" t="s">
        <v>824</v>
      </c>
      <c r="C19" s="62" t="s">
        <v>397</v>
      </c>
      <c r="D19" s="62" t="s">
        <v>591</v>
      </c>
      <c r="E19" s="62" t="s">
        <v>592</v>
      </c>
      <c r="F19" s="49" t="s">
        <v>718</v>
      </c>
      <c r="G19" s="62" t="str">
        <f t="shared" si="2"/>
        <v>20102</v>
      </c>
      <c r="H19" s="62">
        <v>10620102</v>
      </c>
      <c r="I19" s="49" t="s">
        <v>388</v>
      </c>
      <c r="J19" s="69">
        <v>27</v>
      </c>
      <c r="K19" s="69">
        <v>4</v>
      </c>
      <c r="L19" s="69">
        <v>8</v>
      </c>
      <c r="M19" s="69">
        <f t="shared" si="3"/>
        <v>1.08</v>
      </c>
      <c r="N19" s="69">
        <f t="shared" si="4"/>
        <v>2.16</v>
      </c>
      <c r="O19" s="56">
        <v>36.961055999999999</v>
      </c>
      <c r="P19" s="57">
        <f t="shared" si="5"/>
        <v>997.94851199999994</v>
      </c>
      <c r="Q19" s="58">
        <f t="shared" si="6"/>
        <v>396.01131428571426</v>
      </c>
      <c r="R19" s="58">
        <f t="shared" si="7"/>
        <v>264.00754285714282</v>
      </c>
      <c r="S19" s="66">
        <f t="shared" ref="S19:S68" si="16">P19*1.75%</f>
        <v>17.464098960000001</v>
      </c>
      <c r="T19" s="64">
        <f t="shared" si="8"/>
        <v>101.25</v>
      </c>
      <c r="U19" s="66">
        <f t="shared" si="9"/>
        <v>1116.6626109599999</v>
      </c>
      <c r="V19" s="68">
        <f t="shared" si="10"/>
        <v>41.35787448</v>
      </c>
      <c r="W19" s="68">
        <f t="shared" si="11"/>
        <v>443.12008371428567</v>
      </c>
      <c r="X19" s="68">
        <f t="shared" si="12"/>
        <v>295.41338914285711</v>
      </c>
      <c r="Z19" s="63"/>
      <c r="AA19" s="63"/>
    </row>
    <row r="20" spans="1:27" hidden="1" x14ac:dyDescent="0.25">
      <c r="A20" t="str">
        <f t="shared" si="1"/>
        <v>10620102B25/05/2026M</v>
      </c>
      <c r="B20" s="168" t="s">
        <v>825</v>
      </c>
      <c r="C20" s="62" t="s">
        <v>396</v>
      </c>
      <c r="D20" s="62" t="s">
        <v>591</v>
      </c>
      <c r="E20" s="62" t="s">
        <v>592</v>
      </c>
      <c r="F20" s="49" t="s">
        <v>718</v>
      </c>
      <c r="G20" s="62" t="str">
        <f t="shared" si="2"/>
        <v>20102</v>
      </c>
      <c r="H20" s="62">
        <v>10620102</v>
      </c>
      <c r="I20" s="49" t="s">
        <v>387</v>
      </c>
      <c r="J20" s="69">
        <v>34</v>
      </c>
      <c r="K20" s="69">
        <v>6.2</v>
      </c>
      <c r="L20" s="69">
        <v>8.4</v>
      </c>
      <c r="M20" s="69">
        <f t="shared" si="3"/>
        <v>2.1080000000000001</v>
      </c>
      <c r="N20" s="69">
        <f t="shared" si="4"/>
        <v>2.8560000000000003</v>
      </c>
      <c r="O20" s="56">
        <v>50.216900000000003</v>
      </c>
      <c r="P20" s="57">
        <f t="shared" si="5"/>
        <v>1707.3746000000001</v>
      </c>
      <c r="Q20" s="58">
        <f t="shared" si="6"/>
        <v>425.56694915254241</v>
      </c>
      <c r="R20" s="58">
        <f t="shared" si="7"/>
        <v>283.71129943502825</v>
      </c>
      <c r="S20" s="66">
        <f t="shared" si="16"/>
        <v>29.879055500000003</v>
      </c>
      <c r="T20" s="64">
        <f t="shared" si="8"/>
        <v>127.5</v>
      </c>
      <c r="U20" s="66">
        <f t="shared" si="9"/>
        <v>1864.7536555000001</v>
      </c>
      <c r="V20" s="68">
        <f t="shared" si="10"/>
        <v>54.845695750000004</v>
      </c>
      <c r="W20" s="68">
        <f t="shared" si="11"/>
        <v>464.79403177966105</v>
      </c>
      <c r="X20" s="68">
        <f t="shared" si="12"/>
        <v>309.86268785310739</v>
      </c>
      <c r="Z20" s="63"/>
      <c r="AA20" s="63"/>
    </row>
    <row r="21" spans="1:27" hidden="1" x14ac:dyDescent="0.25">
      <c r="A21" t="str">
        <f t="shared" si="1"/>
        <v>10620102C25/05/2026M</v>
      </c>
      <c r="B21" s="168" t="s">
        <v>825</v>
      </c>
      <c r="C21" s="62" t="s">
        <v>396</v>
      </c>
      <c r="D21" s="62" t="s">
        <v>591</v>
      </c>
      <c r="E21" s="62" t="s">
        <v>592</v>
      </c>
      <c r="F21" s="49" t="s">
        <v>718</v>
      </c>
      <c r="G21" s="62" t="str">
        <f t="shared" si="2"/>
        <v>20102</v>
      </c>
      <c r="H21" s="62">
        <v>10620102</v>
      </c>
      <c r="I21" s="49" t="s">
        <v>388</v>
      </c>
      <c r="J21" s="69">
        <v>23</v>
      </c>
      <c r="K21" s="69">
        <v>3</v>
      </c>
      <c r="L21" s="69">
        <v>8</v>
      </c>
      <c r="M21" s="69">
        <f t="shared" si="3"/>
        <v>0.69</v>
      </c>
      <c r="N21" s="69">
        <f t="shared" si="4"/>
        <v>1.84</v>
      </c>
      <c r="O21" s="56">
        <v>33.001056000000005</v>
      </c>
      <c r="P21" s="57">
        <f t="shared" si="5"/>
        <v>759.02428800000007</v>
      </c>
      <c r="Q21" s="58">
        <f t="shared" si="6"/>
        <v>396.01267200000001</v>
      </c>
      <c r="R21" s="58">
        <f t="shared" si="7"/>
        <v>264.00844799999999</v>
      </c>
      <c r="S21" s="66">
        <f t="shared" si="16"/>
        <v>13.282925040000002</v>
      </c>
      <c r="T21" s="64">
        <f t="shared" si="8"/>
        <v>86.25</v>
      </c>
      <c r="U21" s="66">
        <f t="shared" si="9"/>
        <v>858.55721304000008</v>
      </c>
      <c r="V21" s="68">
        <f t="shared" si="10"/>
        <v>37.32857448</v>
      </c>
      <c r="W21" s="68">
        <f t="shared" si="11"/>
        <v>447.94289375999995</v>
      </c>
      <c r="X21" s="68">
        <f t="shared" si="12"/>
        <v>298.62859583999995</v>
      </c>
      <c r="Z21" s="63"/>
      <c r="AA21" s="63"/>
    </row>
    <row r="22" spans="1:27" hidden="1" x14ac:dyDescent="0.25">
      <c r="A22" t="str">
        <f t="shared" si="1"/>
        <v>10620102B25/05/2026E</v>
      </c>
      <c r="B22" s="168" t="s">
        <v>825</v>
      </c>
      <c r="C22" s="62" t="s">
        <v>397</v>
      </c>
      <c r="D22" s="62" t="s">
        <v>591</v>
      </c>
      <c r="E22" s="62" t="s">
        <v>592</v>
      </c>
      <c r="F22" s="49" t="s">
        <v>718</v>
      </c>
      <c r="G22" s="62" t="str">
        <f t="shared" si="2"/>
        <v>20102</v>
      </c>
      <c r="H22" s="62">
        <v>10620102</v>
      </c>
      <c r="I22" s="49" t="s">
        <v>387</v>
      </c>
      <c r="J22" s="69">
        <v>40</v>
      </c>
      <c r="K22" s="69">
        <v>6.2</v>
      </c>
      <c r="L22" s="69">
        <v>8.8000000000000007</v>
      </c>
      <c r="M22" s="69">
        <f t="shared" si="3"/>
        <v>2.48</v>
      </c>
      <c r="N22" s="69">
        <f t="shared" si="4"/>
        <v>3.52</v>
      </c>
      <c r="O22" s="56">
        <v>51.252300000000005</v>
      </c>
      <c r="P22" s="57">
        <f t="shared" si="5"/>
        <v>2050.0920000000001</v>
      </c>
      <c r="Q22" s="58">
        <f t="shared" si="6"/>
        <v>424.74281767955802</v>
      </c>
      <c r="R22" s="58">
        <f t="shared" si="7"/>
        <v>283.1618784530387</v>
      </c>
      <c r="S22" s="66">
        <f t="shared" si="16"/>
        <v>35.876610000000007</v>
      </c>
      <c r="T22" s="64">
        <f t="shared" si="8"/>
        <v>150</v>
      </c>
      <c r="U22" s="66">
        <f t="shared" si="9"/>
        <v>2235.9686099999999</v>
      </c>
      <c r="V22" s="68">
        <f t="shared" si="10"/>
        <v>55.899215249999997</v>
      </c>
      <c r="W22" s="68">
        <f t="shared" si="11"/>
        <v>463.25316505524859</v>
      </c>
      <c r="X22" s="68">
        <f t="shared" si="12"/>
        <v>308.83544337016571</v>
      </c>
      <c r="Z22" s="63"/>
      <c r="AA22" s="63"/>
    </row>
    <row r="23" spans="1:27" hidden="1" x14ac:dyDescent="0.25">
      <c r="A23" t="str">
        <f t="shared" si="1"/>
        <v>10620102C26/05/2026E</v>
      </c>
      <c r="B23" s="168" t="s">
        <v>825</v>
      </c>
      <c r="C23" s="62" t="s">
        <v>397</v>
      </c>
      <c r="D23" s="62" t="s">
        <v>591</v>
      </c>
      <c r="E23" s="62" t="s">
        <v>592</v>
      </c>
      <c r="F23" s="49" t="s">
        <v>718</v>
      </c>
      <c r="G23" s="62" t="str">
        <f t="shared" si="2"/>
        <v>20102</v>
      </c>
      <c r="H23" s="62">
        <v>10620102</v>
      </c>
      <c r="I23" s="49" t="s">
        <v>388</v>
      </c>
      <c r="J23" s="69">
        <v>63</v>
      </c>
      <c r="K23" s="69">
        <v>3.2</v>
      </c>
      <c r="L23" s="69">
        <v>8.1</v>
      </c>
      <c r="M23" s="69">
        <f t="shared" si="3"/>
        <v>2.016</v>
      </c>
      <c r="N23" s="69">
        <f t="shared" si="4"/>
        <v>5.1029999999999998</v>
      </c>
      <c r="O23" s="56">
        <v>34.057069200000001</v>
      </c>
      <c r="P23" s="57">
        <f t="shared" si="5"/>
        <v>2145.5953595999999</v>
      </c>
      <c r="Q23" s="58">
        <f t="shared" si="6"/>
        <v>396.01243255813955</v>
      </c>
      <c r="R23" s="58">
        <f t="shared" si="7"/>
        <v>264.00828837209303</v>
      </c>
      <c r="S23" s="66">
        <f t="shared" si="16"/>
        <v>37.547918793000001</v>
      </c>
      <c r="T23" s="64">
        <f t="shared" si="8"/>
        <v>236.25</v>
      </c>
      <c r="U23" s="66">
        <f t="shared" si="9"/>
        <v>2419.3932783929999</v>
      </c>
      <c r="V23" s="68">
        <f t="shared" si="10"/>
        <v>38.403067911000001</v>
      </c>
      <c r="W23" s="68">
        <f t="shared" si="11"/>
        <v>446.5473012906977</v>
      </c>
      <c r="X23" s="68">
        <f t="shared" si="12"/>
        <v>297.69820086046514</v>
      </c>
      <c r="Z23" s="63"/>
      <c r="AA23" s="63"/>
    </row>
    <row r="24" spans="1:27" hidden="1" x14ac:dyDescent="0.25">
      <c r="A24" t="str">
        <f t="shared" si="1"/>
        <v>10620102B26/05/2026M</v>
      </c>
      <c r="B24" s="168" t="s">
        <v>826</v>
      </c>
      <c r="C24" s="62" t="s">
        <v>396</v>
      </c>
      <c r="D24" s="62" t="s">
        <v>591</v>
      </c>
      <c r="E24" s="62" t="s">
        <v>592</v>
      </c>
      <c r="F24" s="49" t="s">
        <v>718</v>
      </c>
      <c r="G24" s="62" t="str">
        <f t="shared" si="2"/>
        <v>20102</v>
      </c>
      <c r="H24" s="62">
        <v>10620102</v>
      </c>
      <c r="I24" s="49" t="s">
        <v>387</v>
      </c>
      <c r="J24" s="69">
        <v>37</v>
      </c>
      <c r="K24" s="69">
        <v>6.2</v>
      </c>
      <c r="L24" s="69">
        <v>8.8000000000000007</v>
      </c>
      <c r="M24" s="69">
        <f t="shared" si="3"/>
        <v>2.294</v>
      </c>
      <c r="N24" s="69">
        <f t="shared" si="4"/>
        <v>3.2560000000000002</v>
      </c>
      <c r="O24" s="56">
        <f>INDEX(Rate_Chart!$A$1:$AK$127,MATCH(Data!K24,Rate_Chart!$A$1:$A$127,0),MATCH(Data!L24,Rate_Chart!$A$1:$AK$1,0))</f>
        <v>51.252300000000005</v>
      </c>
      <c r="P24" s="57">
        <f t="shared" si="5"/>
        <v>1896.3351000000002</v>
      </c>
      <c r="Q24" s="58">
        <f t="shared" si="6"/>
        <v>424.74281767955802</v>
      </c>
      <c r="R24" s="58">
        <f t="shared" si="7"/>
        <v>283.1618784530387</v>
      </c>
      <c r="S24" s="66">
        <f t="shared" si="16"/>
        <v>33.185864250000009</v>
      </c>
      <c r="T24" s="64">
        <f t="shared" si="8"/>
        <v>138.75</v>
      </c>
      <c r="U24" s="66">
        <f t="shared" si="9"/>
        <v>2068.2709642500004</v>
      </c>
      <c r="V24" s="68">
        <f t="shared" si="10"/>
        <v>55.899215250000012</v>
      </c>
      <c r="W24" s="68">
        <f t="shared" si="11"/>
        <v>463.2531650552487</v>
      </c>
      <c r="X24" s="68">
        <f t="shared" si="12"/>
        <v>308.83544337016582</v>
      </c>
      <c r="Z24" s="63"/>
      <c r="AA24" s="63"/>
    </row>
    <row r="25" spans="1:27" hidden="1" x14ac:dyDescent="0.25">
      <c r="A25" t="str">
        <f t="shared" si="1"/>
        <v>10620102B26/05/2026E</v>
      </c>
      <c r="B25" s="168" t="s">
        <v>826</v>
      </c>
      <c r="C25" s="62" t="s">
        <v>397</v>
      </c>
      <c r="D25" s="62" t="s">
        <v>591</v>
      </c>
      <c r="E25" s="62" t="s">
        <v>592</v>
      </c>
      <c r="F25" s="49" t="s">
        <v>718</v>
      </c>
      <c r="G25" s="62" t="str">
        <f t="shared" si="2"/>
        <v>20102</v>
      </c>
      <c r="H25" s="62">
        <v>10620102</v>
      </c>
      <c r="I25" s="49" t="s">
        <v>387</v>
      </c>
      <c r="J25" s="69">
        <v>38</v>
      </c>
      <c r="K25" s="69">
        <v>6</v>
      </c>
      <c r="L25" s="69">
        <v>9</v>
      </c>
      <c r="M25" s="69">
        <f t="shared" si="3"/>
        <v>2.2799999999999998</v>
      </c>
      <c r="N25" s="69">
        <f t="shared" si="4"/>
        <v>3.42</v>
      </c>
      <c r="O25" s="56">
        <f>INDEX(Rate_Chart!$A$1:$AK$127,MATCH(Data!K25,Rate_Chart!$A$1:$A$127,0),MATCH(Data!L25,Rate_Chart!$A$1:$AK$1,0))</f>
        <v>50.1</v>
      </c>
      <c r="P25" s="57">
        <f t="shared" si="5"/>
        <v>1903.8</v>
      </c>
      <c r="Q25" s="58">
        <f t="shared" si="6"/>
        <v>417.5</v>
      </c>
      <c r="R25" s="58">
        <f t="shared" si="7"/>
        <v>278.33333333333331</v>
      </c>
      <c r="S25" s="66">
        <f t="shared" si="16"/>
        <v>33.316500000000005</v>
      </c>
      <c r="T25" s="64">
        <f t="shared" si="8"/>
        <v>142.5</v>
      </c>
      <c r="U25" s="66">
        <f t="shared" si="9"/>
        <v>2079.6165000000001</v>
      </c>
      <c r="V25" s="68">
        <f t="shared" si="10"/>
        <v>54.726750000000003</v>
      </c>
      <c r="W25" s="68">
        <f t="shared" si="11"/>
        <v>456.05625000000003</v>
      </c>
      <c r="X25" s="68">
        <f t="shared" si="12"/>
        <v>304.03750000000002</v>
      </c>
      <c r="Z25" s="63"/>
      <c r="AA25" s="63"/>
    </row>
    <row r="26" spans="1:27" hidden="1" x14ac:dyDescent="0.25">
      <c r="A26" t="str">
        <f t="shared" si="1"/>
        <v>10620102C27/05/2026E</v>
      </c>
      <c r="B26" s="168" t="s">
        <v>826</v>
      </c>
      <c r="C26" s="62" t="s">
        <v>397</v>
      </c>
      <c r="D26" s="62" t="s">
        <v>591</v>
      </c>
      <c r="E26" s="62" t="s">
        <v>592</v>
      </c>
      <c r="F26" s="49" t="s">
        <v>718</v>
      </c>
      <c r="G26" s="62" t="str">
        <f t="shared" si="2"/>
        <v>20102</v>
      </c>
      <c r="H26" s="62">
        <v>10620102</v>
      </c>
      <c r="I26" s="49" t="s">
        <v>388</v>
      </c>
      <c r="J26" s="69">
        <v>14</v>
      </c>
      <c r="K26" s="69">
        <v>3.4</v>
      </c>
      <c r="L26" s="69">
        <v>8</v>
      </c>
      <c r="M26" s="69">
        <f t="shared" si="3"/>
        <v>0.47600000000000003</v>
      </c>
      <c r="N26" s="69">
        <f t="shared" si="4"/>
        <v>1.1200000000000001</v>
      </c>
      <c r="O26" s="56">
        <f>INDEX(Rate_Chart!$A$1:$AK$127,MATCH(Data!K26,Rate_Chart!$A$1:$A$127,0),MATCH(Data!L26,Rate_Chart!$A$1:$AK$1,0))</f>
        <v>36.419112000000005</v>
      </c>
      <c r="P26" s="57">
        <f t="shared" si="5"/>
        <v>509.86756800000006</v>
      </c>
      <c r="Q26" s="58">
        <f t="shared" si="6"/>
        <v>417.01273282442747</v>
      </c>
      <c r="R26" s="58">
        <f t="shared" si="7"/>
        <v>278.00848854961833</v>
      </c>
      <c r="S26" s="66">
        <f t="shared" si="16"/>
        <v>8.9226824400000027</v>
      </c>
      <c r="T26" s="64">
        <f t="shared" si="8"/>
        <v>52.5</v>
      </c>
      <c r="U26" s="66">
        <f t="shared" si="9"/>
        <v>571.29025044000002</v>
      </c>
      <c r="V26" s="68">
        <f t="shared" si="10"/>
        <v>40.806446460000004</v>
      </c>
      <c r="W26" s="68">
        <f t="shared" si="11"/>
        <v>467.24938694656487</v>
      </c>
      <c r="X26" s="68">
        <f t="shared" si="12"/>
        <v>311.49959129770991</v>
      </c>
      <c r="Z26" s="63"/>
      <c r="AA26" s="63"/>
    </row>
    <row r="27" spans="1:27" hidden="1" x14ac:dyDescent="0.25">
      <c r="A27" t="str">
        <f t="shared" si="1"/>
        <v>10620102B27/05/2026M</v>
      </c>
      <c r="B27" s="168" t="s">
        <v>827</v>
      </c>
      <c r="C27" s="62" t="s">
        <v>396</v>
      </c>
      <c r="D27" s="62" t="s">
        <v>591</v>
      </c>
      <c r="E27" s="62" t="s">
        <v>592</v>
      </c>
      <c r="F27" s="49" t="s">
        <v>718</v>
      </c>
      <c r="G27" s="62" t="str">
        <f t="shared" si="2"/>
        <v>20102</v>
      </c>
      <c r="H27" s="62">
        <v>10620102</v>
      </c>
      <c r="I27" s="49" t="s">
        <v>387</v>
      </c>
      <c r="J27" s="69">
        <v>33</v>
      </c>
      <c r="K27" s="69">
        <v>6.7</v>
      </c>
      <c r="L27" s="69">
        <v>9</v>
      </c>
      <c r="M27" s="69">
        <f t="shared" si="3"/>
        <v>2.2109999999999999</v>
      </c>
      <c r="N27" s="69">
        <f t="shared" si="4"/>
        <v>2.97</v>
      </c>
      <c r="O27" s="56">
        <f>INDEX(Rate_Chart!$A$1:$AK$127,MATCH(Data!K27,Rate_Chart!$A$1:$A$127,0),MATCH(Data!L27,Rate_Chart!$A$1:$AK$1,0))</f>
        <v>55.945</v>
      </c>
      <c r="P27" s="57">
        <f t="shared" si="5"/>
        <v>1846.1849999999999</v>
      </c>
      <c r="Q27" s="58">
        <f t="shared" si="6"/>
        <v>440.51181102362204</v>
      </c>
      <c r="R27" s="58">
        <f t="shared" si="7"/>
        <v>293.67454068241472</v>
      </c>
      <c r="S27" s="66">
        <f t="shared" si="16"/>
        <v>32.308237500000004</v>
      </c>
      <c r="T27" s="64">
        <f t="shared" si="8"/>
        <v>123.75</v>
      </c>
      <c r="U27" s="66">
        <f t="shared" si="9"/>
        <v>2002.2432374999999</v>
      </c>
      <c r="V27" s="68">
        <f t="shared" si="10"/>
        <v>60.674037499999997</v>
      </c>
      <c r="W27" s="68">
        <f t="shared" si="11"/>
        <v>477.74832677165352</v>
      </c>
      <c r="X27" s="68">
        <f t="shared" si="12"/>
        <v>318.4988845144357</v>
      </c>
      <c r="Z27" s="63"/>
      <c r="AA27" s="63"/>
    </row>
    <row r="28" spans="1:27" hidden="1" x14ac:dyDescent="0.25">
      <c r="A28" t="str">
        <f t="shared" si="1"/>
        <v>10620102B28/05/2026E</v>
      </c>
      <c r="B28" s="168" t="s">
        <v>827</v>
      </c>
      <c r="C28" s="62" t="s">
        <v>397</v>
      </c>
      <c r="D28" s="62" t="s">
        <v>591</v>
      </c>
      <c r="E28" s="62" t="s">
        <v>592</v>
      </c>
      <c r="F28" s="49" t="s">
        <v>718</v>
      </c>
      <c r="G28" s="62" t="str">
        <f t="shared" si="2"/>
        <v>20102</v>
      </c>
      <c r="H28" s="62">
        <v>10620102</v>
      </c>
      <c r="I28" s="49" t="s">
        <v>387</v>
      </c>
      <c r="J28" s="69">
        <v>26</v>
      </c>
      <c r="K28" s="69">
        <v>6.6</v>
      </c>
      <c r="L28" s="69">
        <v>9</v>
      </c>
      <c r="M28" s="69">
        <f t="shared" si="3"/>
        <v>1.716</v>
      </c>
      <c r="N28" s="69">
        <f t="shared" si="4"/>
        <v>2.34</v>
      </c>
      <c r="O28" s="56">
        <f>INDEX(Rate_Chart!$A$1:$AK$127,MATCH(Data!K28,Rate_Chart!$A$1:$A$127,0),MATCH(Data!L28,Rate_Chart!$A$1:$AK$1,0))</f>
        <v>55.11</v>
      </c>
      <c r="P28" s="57">
        <f t="shared" si="5"/>
        <v>1432.86</v>
      </c>
      <c r="Q28" s="58">
        <f t="shared" si="6"/>
        <v>437.38095238095235</v>
      </c>
      <c r="R28" s="58">
        <f t="shared" si="7"/>
        <v>291.58730158730157</v>
      </c>
      <c r="S28" s="66">
        <f t="shared" si="16"/>
        <v>25.075050000000001</v>
      </c>
      <c r="T28" s="64">
        <f t="shared" si="8"/>
        <v>97.5</v>
      </c>
      <c r="U28" s="66">
        <f t="shared" si="9"/>
        <v>1555.4350499999998</v>
      </c>
      <c r="V28" s="68">
        <f t="shared" si="10"/>
        <v>59.824424999999991</v>
      </c>
      <c r="W28" s="68">
        <f t="shared" si="11"/>
        <v>474.79702380952375</v>
      </c>
      <c r="X28" s="68">
        <f t="shared" si="12"/>
        <v>316.53134920634915</v>
      </c>
      <c r="Z28" s="63"/>
      <c r="AA28" s="63"/>
    </row>
    <row r="29" spans="1:27" hidden="1" x14ac:dyDescent="0.25">
      <c r="A29" t="str">
        <f t="shared" si="1"/>
        <v>10620102B28/05/2026M</v>
      </c>
      <c r="B29" s="168" t="s">
        <v>828</v>
      </c>
      <c r="C29" s="62" t="s">
        <v>396</v>
      </c>
      <c r="D29" s="62" t="s">
        <v>591</v>
      </c>
      <c r="E29" s="62" t="s">
        <v>592</v>
      </c>
      <c r="F29" s="49" t="s">
        <v>718</v>
      </c>
      <c r="G29" s="62" t="str">
        <f t="shared" si="2"/>
        <v>20102</v>
      </c>
      <c r="H29" s="62">
        <v>10620102</v>
      </c>
      <c r="I29" s="49" t="s">
        <v>387</v>
      </c>
      <c r="J29" s="69">
        <v>21</v>
      </c>
      <c r="K29" s="69">
        <v>5.9</v>
      </c>
      <c r="L29" s="69">
        <v>8.6</v>
      </c>
      <c r="M29" s="69">
        <f t="shared" si="3"/>
        <v>1.2390000000000001</v>
      </c>
      <c r="N29" s="69">
        <f t="shared" si="4"/>
        <v>1.806</v>
      </c>
      <c r="O29" s="56">
        <f>INDEX(Rate_Chart!$A$1:$AK$127,MATCH(Data!K29,Rate_Chart!$A$1:$A$127,0),MATCH(Data!L29,Rate_Chart!$A$1:$AK$1,0))</f>
        <v>48.279699999999998</v>
      </c>
      <c r="P29" s="57">
        <f t="shared" si="5"/>
        <v>1013.8737</v>
      </c>
      <c r="Q29" s="58">
        <f t="shared" si="6"/>
        <v>415.01174785100284</v>
      </c>
      <c r="R29" s="58">
        <f t="shared" si="7"/>
        <v>276.67449856733521</v>
      </c>
      <c r="S29" s="66">
        <f t="shared" si="16"/>
        <v>17.74278975</v>
      </c>
      <c r="T29" s="64">
        <f t="shared" si="8"/>
        <v>78.75</v>
      </c>
      <c r="U29" s="66">
        <f t="shared" si="9"/>
        <v>1110.36648975</v>
      </c>
      <c r="V29" s="68">
        <f t="shared" si="10"/>
        <v>52.87459475</v>
      </c>
      <c r="W29" s="68">
        <f t="shared" si="11"/>
        <v>454.50941045845275</v>
      </c>
      <c r="X29" s="68">
        <f t="shared" si="12"/>
        <v>303.00627363896848</v>
      </c>
      <c r="Z29" s="63"/>
      <c r="AA29" s="63"/>
    </row>
    <row r="30" spans="1:27" hidden="1" x14ac:dyDescent="0.25">
      <c r="A30" t="str">
        <f t="shared" si="1"/>
        <v>10620102B28/05/2026E</v>
      </c>
      <c r="B30" s="168" t="s">
        <v>828</v>
      </c>
      <c r="C30" s="62" t="s">
        <v>397</v>
      </c>
      <c r="D30" s="62" t="s">
        <v>591</v>
      </c>
      <c r="E30" s="62" t="s">
        <v>592</v>
      </c>
      <c r="F30" s="49" t="s">
        <v>718</v>
      </c>
      <c r="G30" s="62" t="str">
        <f t="shared" si="2"/>
        <v>20102</v>
      </c>
      <c r="H30" s="62">
        <v>10620102</v>
      </c>
      <c r="I30" s="49" t="s">
        <v>387</v>
      </c>
      <c r="J30" s="69">
        <v>35</v>
      </c>
      <c r="K30" s="69">
        <v>5.8</v>
      </c>
      <c r="L30" s="69">
        <v>8.8000000000000007</v>
      </c>
      <c r="M30" s="69">
        <f t="shared" si="3"/>
        <v>2.0299999999999998</v>
      </c>
      <c r="N30" s="69">
        <f t="shared" si="4"/>
        <v>3.08</v>
      </c>
      <c r="O30" s="56">
        <f>INDEX(Rate_Chart!$A$1:$AK$127,MATCH(Data!K30,Rate_Chart!$A$1:$A$127,0),MATCH(Data!L30,Rate_Chart!$A$1:$AK$1,0))</f>
        <v>47.945700000000002</v>
      </c>
      <c r="P30" s="57">
        <f t="shared" si="5"/>
        <v>1678.0995</v>
      </c>
      <c r="Q30" s="58">
        <f t="shared" si="6"/>
        <v>410.96314285714288</v>
      </c>
      <c r="R30" s="58">
        <f t="shared" si="7"/>
        <v>273.97542857142861</v>
      </c>
      <c r="S30" s="66">
        <f t="shared" si="16"/>
        <v>29.366741250000004</v>
      </c>
      <c r="T30" s="64">
        <f t="shared" si="8"/>
        <v>131.25</v>
      </c>
      <c r="U30" s="66">
        <f t="shared" si="9"/>
        <v>1838.7162412500002</v>
      </c>
      <c r="V30" s="68">
        <f t="shared" si="10"/>
        <v>52.534749750000003</v>
      </c>
      <c r="W30" s="68">
        <f t="shared" si="11"/>
        <v>450.29785500000003</v>
      </c>
      <c r="X30" s="68">
        <f t="shared" si="12"/>
        <v>300.19857000000002</v>
      </c>
      <c r="Z30" s="63"/>
      <c r="AA30" s="63"/>
    </row>
    <row r="31" spans="1:27" hidden="1" x14ac:dyDescent="0.25">
      <c r="A31" t="str">
        <f t="shared" si="1"/>
        <v>10620102C22/05/2026E</v>
      </c>
      <c r="B31" s="168" t="s">
        <v>828</v>
      </c>
      <c r="C31" s="62" t="s">
        <v>397</v>
      </c>
      <c r="D31" s="62" t="s">
        <v>591</v>
      </c>
      <c r="E31" s="62" t="s">
        <v>592</v>
      </c>
      <c r="F31" s="49" t="s">
        <v>718</v>
      </c>
      <c r="G31" s="62" t="str">
        <f t="shared" si="2"/>
        <v>20102</v>
      </c>
      <c r="H31" s="62">
        <v>10620102</v>
      </c>
      <c r="I31" s="49" t="s">
        <v>388</v>
      </c>
      <c r="J31" s="69">
        <v>61</v>
      </c>
      <c r="K31" s="69">
        <v>3</v>
      </c>
      <c r="L31" s="69">
        <v>8</v>
      </c>
      <c r="M31" s="69">
        <f t="shared" si="3"/>
        <v>1.83</v>
      </c>
      <c r="N31" s="69">
        <f t="shared" si="4"/>
        <v>4.88</v>
      </c>
      <c r="O31" s="56">
        <f>INDEX(Rate_Chart!$A$1:$AK$127,MATCH(Data!K31,Rate_Chart!$A$1:$A$127,0),MATCH(Data!L31,Rate_Chart!$A$1:$AK$1,0))</f>
        <v>34.751112000000006</v>
      </c>
      <c r="P31" s="57">
        <f t="shared" si="5"/>
        <v>2119.8178320000002</v>
      </c>
      <c r="Q31" s="58">
        <f t="shared" si="6"/>
        <v>417.01334400000002</v>
      </c>
      <c r="R31" s="58">
        <f t="shared" si="7"/>
        <v>278.00889599999999</v>
      </c>
      <c r="S31" s="66">
        <f t="shared" si="16"/>
        <v>37.096812060000005</v>
      </c>
      <c r="T31" s="64">
        <f t="shared" si="8"/>
        <v>228.75</v>
      </c>
      <c r="U31" s="66">
        <f t="shared" si="9"/>
        <v>2385.6646440600002</v>
      </c>
      <c r="V31" s="68">
        <f t="shared" si="10"/>
        <v>39.109256460000005</v>
      </c>
      <c r="W31" s="68">
        <f t="shared" si="11"/>
        <v>469.31107752000003</v>
      </c>
      <c r="X31" s="68">
        <f t="shared" si="12"/>
        <v>312.87405168000004</v>
      </c>
      <c r="Z31" s="63"/>
      <c r="AA31" s="63"/>
    </row>
    <row r="32" spans="1:27" hidden="1" x14ac:dyDescent="0.25">
      <c r="A32" t="str">
        <f t="shared" si="1"/>
        <v>10620104B22/05/2026M</v>
      </c>
      <c r="B32" s="168" t="s">
        <v>822</v>
      </c>
      <c r="C32" s="62" t="s">
        <v>396</v>
      </c>
      <c r="D32" s="62" t="s">
        <v>591</v>
      </c>
      <c r="E32" s="62" t="s">
        <v>593</v>
      </c>
      <c r="F32" s="49" t="s">
        <v>762</v>
      </c>
      <c r="G32" s="62" t="str">
        <f t="shared" si="2"/>
        <v>20104</v>
      </c>
      <c r="H32" s="62">
        <v>10620104</v>
      </c>
      <c r="I32" s="49" t="s">
        <v>387</v>
      </c>
      <c r="J32" s="69">
        <v>8</v>
      </c>
      <c r="K32" s="69">
        <v>6.4</v>
      </c>
      <c r="L32" s="69">
        <v>8.4</v>
      </c>
      <c r="M32" s="69">
        <f t="shared" si="3"/>
        <v>0.51200000000000001</v>
      </c>
      <c r="N32" s="69">
        <f t="shared" si="4"/>
        <v>0.67200000000000004</v>
      </c>
      <c r="O32" s="56">
        <v>51.836799999999997</v>
      </c>
      <c r="P32" s="57">
        <f t="shared" si="5"/>
        <v>414.69439999999997</v>
      </c>
      <c r="Q32" s="58">
        <f t="shared" si="6"/>
        <v>431.9733333333333</v>
      </c>
      <c r="R32" s="58">
        <f t="shared" si="7"/>
        <v>287.98222222222222</v>
      </c>
      <c r="S32" s="66">
        <f t="shared" si="16"/>
        <v>7.2571520000000005</v>
      </c>
      <c r="T32" s="64">
        <f t="shared" si="8"/>
        <v>30</v>
      </c>
      <c r="U32" s="66">
        <f t="shared" si="9"/>
        <v>451.95155199999999</v>
      </c>
      <c r="V32" s="68">
        <f t="shared" si="10"/>
        <v>56.493943999999999</v>
      </c>
      <c r="W32" s="68">
        <f t="shared" si="11"/>
        <v>470.78286666666668</v>
      </c>
      <c r="X32" s="68">
        <f t="shared" si="12"/>
        <v>313.85524444444445</v>
      </c>
      <c r="Z32" s="63"/>
      <c r="AA32" s="63"/>
    </row>
    <row r="33" spans="1:27" hidden="1" x14ac:dyDescent="0.25">
      <c r="A33" t="str">
        <f t="shared" si="1"/>
        <v>10620104C22/05/2026M</v>
      </c>
      <c r="B33" s="168" t="s">
        <v>822</v>
      </c>
      <c r="C33" s="62" t="s">
        <v>396</v>
      </c>
      <c r="D33" s="62" t="s">
        <v>591</v>
      </c>
      <c r="E33" s="62" t="s">
        <v>593</v>
      </c>
      <c r="F33" s="49" t="s">
        <v>762</v>
      </c>
      <c r="G33" s="62" t="str">
        <f t="shared" si="2"/>
        <v>20104</v>
      </c>
      <c r="H33" s="62">
        <v>10620104</v>
      </c>
      <c r="I33" s="49" t="s">
        <v>388</v>
      </c>
      <c r="J33" s="69">
        <v>25</v>
      </c>
      <c r="K33" s="69">
        <v>3.3</v>
      </c>
      <c r="L33" s="69">
        <v>8</v>
      </c>
      <c r="M33" s="69">
        <f t="shared" si="3"/>
        <v>0.82499999999999996</v>
      </c>
      <c r="N33" s="69">
        <f t="shared" si="4"/>
        <v>2</v>
      </c>
      <c r="O33" s="56">
        <v>34.189056000000008</v>
      </c>
      <c r="P33" s="57">
        <f t="shared" si="5"/>
        <v>854.72640000000024</v>
      </c>
      <c r="Q33" s="58">
        <f t="shared" si="6"/>
        <v>396.01223166023169</v>
      </c>
      <c r="R33" s="58">
        <f t="shared" si="7"/>
        <v>264.00815444015444</v>
      </c>
      <c r="S33" s="66">
        <f t="shared" si="16"/>
        <v>14.957712000000006</v>
      </c>
      <c r="T33" s="64">
        <f t="shared" si="8"/>
        <v>93.75</v>
      </c>
      <c r="U33" s="66">
        <f t="shared" si="9"/>
        <v>963.43411200000025</v>
      </c>
      <c r="V33" s="68">
        <f t="shared" si="10"/>
        <v>38.537364480000008</v>
      </c>
      <c r="W33" s="68">
        <f t="shared" si="11"/>
        <v>446.37873915057918</v>
      </c>
      <c r="X33" s="68">
        <f t="shared" si="12"/>
        <v>297.5858261003861</v>
      </c>
      <c r="Z33" s="63"/>
      <c r="AA33" s="63"/>
    </row>
    <row r="34" spans="1:27" hidden="1" x14ac:dyDescent="0.25">
      <c r="A34" t="str">
        <f t="shared" si="1"/>
        <v>10620104C23/05/2026E</v>
      </c>
      <c r="B34" s="168" t="s">
        <v>822</v>
      </c>
      <c r="C34" s="62" t="s">
        <v>397</v>
      </c>
      <c r="D34" s="62" t="s">
        <v>591</v>
      </c>
      <c r="E34" s="62" t="s">
        <v>593</v>
      </c>
      <c r="F34" s="49" t="s">
        <v>762</v>
      </c>
      <c r="G34" s="62" t="str">
        <f t="shared" si="2"/>
        <v>20104</v>
      </c>
      <c r="H34" s="62">
        <v>10620104</v>
      </c>
      <c r="I34" s="49" t="s">
        <v>388</v>
      </c>
      <c r="J34" s="69">
        <v>24</v>
      </c>
      <c r="K34" s="69">
        <v>3.6</v>
      </c>
      <c r="L34" s="69">
        <v>8</v>
      </c>
      <c r="M34" s="69">
        <f t="shared" si="3"/>
        <v>0.8640000000000001</v>
      </c>
      <c r="N34" s="69">
        <f t="shared" si="4"/>
        <v>1.92</v>
      </c>
      <c r="O34" s="56">
        <v>35.377056000000003</v>
      </c>
      <c r="P34" s="57">
        <f t="shared" si="5"/>
        <v>849.04934400000002</v>
      </c>
      <c r="Q34" s="58">
        <f t="shared" si="6"/>
        <v>396.01182089552236</v>
      </c>
      <c r="R34" s="58">
        <f t="shared" si="7"/>
        <v>264.00788059701489</v>
      </c>
      <c r="S34" s="66">
        <f t="shared" si="16"/>
        <v>14.858363520000001</v>
      </c>
      <c r="T34" s="64">
        <f t="shared" si="8"/>
        <v>90</v>
      </c>
      <c r="U34" s="66">
        <f t="shared" si="9"/>
        <v>953.90770752000003</v>
      </c>
      <c r="V34" s="68">
        <f t="shared" si="10"/>
        <v>39.746154480000001</v>
      </c>
      <c r="W34" s="68">
        <f t="shared" si="11"/>
        <v>444.91963970149249</v>
      </c>
      <c r="X34" s="68">
        <f t="shared" si="12"/>
        <v>296.61309313432832</v>
      </c>
      <c r="Z34" s="63"/>
      <c r="AA34" s="63"/>
    </row>
    <row r="35" spans="1:27" hidden="1" x14ac:dyDescent="0.25">
      <c r="A35" t="str">
        <f t="shared" si="1"/>
        <v>10620104C23/05/2026M</v>
      </c>
      <c r="B35" s="168" t="s">
        <v>823</v>
      </c>
      <c r="C35" s="62" t="s">
        <v>396</v>
      </c>
      <c r="D35" s="62" t="s">
        <v>591</v>
      </c>
      <c r="E35" s="62" t="s">
        <v>593</v>
      </c>
      <c r="F35" s="49" t="s">
        <v>762</v>
      </c>
      <c r="G35" s="62" t="str">
        <f t="shared" si="2"/>
        <v>20104</v>
      </c>
      <c r="H35" s="62">
        <v>10620104</v>
      </c>
      <c r="I35" s="49" t="s">
        <v>388</v>
      </c>
      <c r="J35" s="69">
        <v>26</v>
      </c>
      <c r="K35" s="69">
        <v>3.6</v>
      </c>
      <c r="L35" s="69">
        <v>8</v>
      </c>
      <c r="M35" s="69">
        <f t="shared" si="3"/>
        <v>0.93600000000000005</v>
      </c>
      <c r="N35" s="69">
        <f t="shared" si="4"/>
        <v>2.08</v>
      </c>
      <c r="O35" s="56">
        <v>35.377056000000003</v>
      </c>
      <c r="P35" s="57">
        <f t="shared" si="5"/>
        <v>919.8034560000001</v>
      </c>
      <c r="Q35" s="58">
        <f t="shared" si="6"/>
        <v>396.01182089552236</v>
      </c>
      <c r="R35" s="58">
        <f t="shared" si="7"/>
        <v>264.00788059701489</v>
      </c>
      <c r="S35" s="66">
        <f t="shared" si="16"/>
        <v>16.096560480000004</v>
      </c>
      <c r="T35" s="64">
        <f t="shared" si="8"/>
        <v>97.5</v>
      </c>
      <c r="U35" s="66">
        <f t="shared" si="9"/>
        <v>1033.4000164800002</v>
      </c>
      <c r="V35" s="68">
        <f t="shared" si="10"/>
        <v>39.746154480000008</v>
      </c>
      <c r="W35" s="68">
        <f t="shared" si="11"/>
        <v>444.91963970149254</v>
      </c>
      <c r="X35" s="68">
        <f t="shared" si="12"/>
        <v>296.61309313432838</v>
      </c>
      <c r="Z35" s="63"/>
      <c r="AA35" s="63"/>
    </row>
    <row r="36" spans="1:27" hidden="1" x14ac:dyDescent="0.25">
      <c r="A36" t="str">
        <f t="shared" si="1"/>
        <v>10620104C24/05/2026E</v>
      </c>
      <c r="B36" s="168" t="s">
        <v>823</v>
      </c>
      <c r="C36" s="62" t="s">
        <v>397</v>
      </c>
      <c r="D36" s="62" t="s">
        <v>591</v>
      </c>
      <c r="E36" s="62" t="s">
        <v>593</v>
      </c>
      <c r="F36" s="49" t="s">
        <v>762</v>
      </c>
      <c r="G36" s="62" t="str">
        <f t="shared" si="2"/>
        <v>20104</v>
      </c>
      <c r="H36" s="62">
        <v>10620104</v>
      </c>
      <c r="I36" s="49" t="s">
        <v>388</v>
      </c>
      <c r="J36" s="69">
        <v>23</v>
      </c>
      <c r="K36" s="69">
        <v>3</v>
      </c>
      <c r="L36" s="69">
        <v>8</v>
      </c>
      <c r="M36" s="69">
        <f t="shared" si="3"/>
        <v>0.69</v>
      </c>
      <c r="N36" s="69">
        <f t="shared" si="4"/>
        <v>1.84</v>
      </c>
      <c r="O36" s="56">
        <v>33.001056000000005</v>
      </c>
      <c r="P36" s="57">
        <f t="shared" si="5"/>
        <v>759.02428800000007</v>
      </c>
      <c r="Q36" s="58">
        <f t="shared" si="6"/>
        <v>396.01267200000001</v>
      </c>
      <c r="R36" s="58">
        <f t="shared" si="7"/>
        <v>264.00844799999999</v>
      </c>
      <c r="S36" s="66">
        <f t="shared" si="16"/>
        <v>13.282925040000002</v>
      </c>
      <c r="T36" s="64">
        <f t="shared" si="8"/>
        <v>86.25</v>
      </c>
      <c r="U36" s="66">
        <f t="shared" si="9"/>
        <v>858.55721304000008</v>
      </c>
      <c r="V36" s="68">
        <f t="shared" si="10"/>
        <v>37.32857448</v>
      </c>
      <c r="W36" s="68">
        <f t="shared" si="11"/>
        <v>447.94289375999995</v>
      </c>
      <c r="X36" s="68">
        <f t="shared" si="12"/>
        <v>298.62859583999995</v>
      </c>
      <c r="Z36" s="63"/>
      <c r="AA36" s="63"/>
    </row>
    <row r="37" spans="1:27" hidden="1" x14ac:dyDescent="0.25">
      <c r="A37" t="str">
        <f t="shared" si="1"/>
        <v>10620104C24/05/2026M</v>
      </c>
      <c r="B37" s="168" t="s">
        <v>824</v>
      </c>
      <c r="C37" s="62" t="s">
        <v>396</v>
      </c>
      <c r="D37" s="62" t="s">
        <v>591</v>
      </c>
      <c r="E37" s="62" t="s">
        <v>593</v>
      </c>
      <c r="F37" s="49" t="s">
        <v>762</v>
      </c>
      <c r="G37" s="62" t="str">
        <f t="shared" si="2"/>
        <v>20104</v>
      </c>
      <c r="H37" s="62">
        <v>10620104</v>
      </c>
      <c r="I37" s="49" t="s">
        <v>388</v>
      </c>
      <c r="J37" s="69">
        <v>25</v>
      </c>
      <c r="K37" s="69">
        <v>3</v>
      </c>
      <c r="L37" s="69">
        <v>8</v>
      </c>
      <c r="M37" s="69">
        <f t="shared" si="3"/>
        <v>0.75</v>
      </c>
      <c r="N37" s="69">
        <f t="shared" si="4"/>
        <v>2</v>
      </c>
      <c r="O37" s="56">
        <v>33.001056000000005</v>
      </c>
      <c r="P37" s="57">
        <f t="shared" si="5"/>
        <v>825.02640000000019</v>
      </c>
      <c r="Q37" s="58">
        <f t="shared" si="6"/>
        <v>396.01267200000001</v>
      </c>
      <c r="R37" s="58">
        <f t="shared" si="7"/>
        <v>264.00844799999999</v>
      </c>
      <c r="S37" s="66">
        <f t="shared" si="16"/>
        <v>14.437962000000004</v>
      </c>
      <c r="T37" s="64">
        <f t="shared" si="8"/>
        <v>93.75</v>
      </c>
      <c r="U37" s="66">
        <f t="shared" si="9"/>
        <v>933.21436200000016</v>
      </c>
      <c r="V37" s="68">
        <f t="shared" si="10"/>
        <v>37.328574480000007</v>
      </c>
      <c r="W37" s="68">
        <f t="shared" si="11"/>
        <v>447.94289376000006</v>
      </c>
      <c r="X37" s="68">
        <f t="shared" si="12"/>
        <v>298.62859584000006</v>
      </c>
      <c r="Z37" s="63"/>
      <c r="AA37" s="63"/>
    </row>
    <row r="38" spans="1:27" hidden="1" x14ac:dyDescent="0.25">
      <c r="A38" t="str">
        <f t="shared" si="1"/>
        <v>10620104C25/05/2026E</v>
      </c>
      <c r="B38" s="168" t="s">
        <v>824</v>
      </c>
      <c r="C38" s="62" t="s">
        <v>397</v>
      </c>
      <c r="D38" s="62" t="s">
        <v>591</v>
      </c>
      <c r="E38" s="62" t="s">
        <v>593</v>
      </c>
      <c r="F38" s="49" t="s">
        <v>762</v>
      </c>
      <c r="G38" s="62" t="str">
        <f t="shared" si="2"/>
        <v>20104</v>
      </c>
      <c r="H38" s="62">
        <v>10620104</v>
      </c>
      <c r="I38" s="49" t="s">
        <v>388</v>
      </c>
      <c r="J38" s="69">
        <v>26</v>
      </c>
      <c r="K38" s="69">
        <v>3</v>
      </c>
      <c r="L38" s="69">
        <v>8</v>
      </c>
      <c r="M38" s="69">
        <f t="shared" si="3"/>
        <v>0.78</v>
      </c>
      <c r="N38" s="69">
        <f t="shared" si="4"/>
        <v>2.08</v>
      </c>
      <c r="O38" s="56">
        <v>33.001056000000005</v>
      </c>
      <c r="P38" s="57">
        <f t="shared" si="5"/>
        <v>858.02745600000014</v>
      </c>
      <c r="Q38" s="58">
        <f t="shared" si="6"/>
        <v>396.01267200000001</v>
      </c>
      <c r="R38" s="58">
        <f t="shared" si="7"/>
        <v>264.00844799999999</v>
      </c>
      <c r="S38" s="66">
        <f t="shared" si="16"/>
        <v>15.015480480000004</v>
      </c>
      <c r="T38" s="64">
        <f t="shared" si="8"/>
        <v>97.5</v>
      </c>
      <c r="U38" s="66">
        <f t="shared" si="9"/>
        <v>970.54293648000021</v>
      </c>
      <c r="V38" s="68">
        <f t="shared" si="10"/>
        <v>37.328574480000007</v>
      </c>
      <c r="W38" s="68">
        <f t="shared" si="11"/>
        <v>447.94289376000006</v>
      </c>
      <c r="X38" s="68">
        <f t="shared" si="12"/>
        <v>298.62859584000006</v>
      </c>
      <c r="Z38" s="63"/>
      <c r="AA38" s="63"/>
    </row>
    <row r="39" spans="1:27" hidden="1" x14ac:dyDescent="0.25">
      <c r="A39" t="str">
        <f t="shared" si="1"/>
        <v>10620104C25/05/2026M</v>
      </c>
      <c r="B39" s="168" t="s">
        <v>825</v>
      </c>
      <c r="C39" s="62" t="s">
        <v>396</v>
      </c>
      <c r="D39" s="62" t="s">
        <v>591</v>
      </c>
      <c r="E39" s="62" t="s">
        <v>593</v>
      </c>
      <c r="F39" s="49" t="s">
        <v>762</v>
      </c>
      <c r="G39" s="62" t="str">
        <f t="shared" si="2"/>
        <v>20104</v>
      </c>
      <c r="H39" s="62">
        <v>10620104</v>
      </c>
      <c r="I39" s="49" t="s">
        <v>388</v>
      </c>
      <c r="J39" s="69">
        <v>25</v>
      </c>
      <c r="K39" s="69">
        <v>3.6</v>
      </c>
      <c r="L39" s="69">
        <v>8</v>
      </c>
      <c r="M39" s="69">
        <f t="shared" si="3"/>
        <v>0.9</v>
      </c>
      <c r="N39" s="69">
        <f t="shared" si="4"/>
        <v>2</v>
      </c>
      <c r="O39" s="56">
        <v>35.377056000000003</v>
      </c>
      <c r="P39" s="57">
        <f t="shared" si="5"/>
        <v>884.42640000000006</v>
      </c>
      <c r="Q39" s="58">
        <f t="shared" si="6"/>
        <v>396.01182089552236</v>
      </c>
      <c r="R39" s="58">
        <f t="shared" si="7"/>
        <v>264.00788059701489</v>
      </c>
      <c r="S39" s="66">
        <f t="shared" si="16"/>
        <v>15.477462000000003</v>
      </c>
      <c r="T39" s="64">
        <f t="shared" si="8"/>
        <v>93.75</v>
      </c>
      <c r="U39" s="66">
        <f t="shared" si="9"/>
        <v>993.65386200000012</v>
      </c>
      <c r="V39" s="68">
        <f t="shared" si="10"/>
        <v>39.746154480000001</v>
      </c>
      <c r="W39" s="68">
        <f t="shared" si="11"/>
        <v>444.91963970149249</v>
      </c>
      <c r="X39" s="68">
        <f t="shared" si="12"/>
        <v>296.61309313432832</v>
      </c>
      <c r="Z39" s="63"/>
      <c r="AA39" s="63"/>
    </row>
    <row r="40" spans="1:27" hidden="1" x14ac:dyDescent="0.25">
      <c r="A40" t="str">
        <f t="shared" si="1"/>
        <v>10620104C26/05/2026E</v>
      </c>
      <c r="B40" s="168" t="s">
        <v>825</v>
      </c>
      <c r="C40" s="62" t="s">
        <v>397</v>
      </c>
      <c r="D40" s="62" t="s">
        <v>591</v>
      </c>
      <c r="E40" s="62" t="s">
        <v>593</v>
      </c>
      <c r="F40" s="49" t="s">
        <v>762</v>
      </c>
      <c r="G40" s="62" t="str">
        <f t="shared" si="2"/>
        <v>20104</v>
      </c>
      <c r="H40" s="62">
        <v>10620104</v>
      </c>
      <c r="I40" s="49" t="s">
        <v>388</v>
      </c>
      <c r="J40" s="69">
        <v>25</v>
      </c>
      <c r="K40" s="69">
        <v>3.7</v>
      </c>
      <c r="L40" s="69">
        <v>8.1</v>
      </c>
      <c r="M40" s="69">
        <f t="shared" si="3"/>
        <v>0.92500000000000004</v>
      </c>
      <c r="N40" s="69">
        <f t="shared" si="4"/>
        <v>2.0249999999999999</v>
      </c>
      <c r="O40" s="56">
        <v>36.037069200000005</v>
      </c>
      <c r="P40" s="57">
        <f t="shared" si="5"/>
        <v>900.92673000000013</v>
      </c>
      <c r="Q40" s="58">
        <f t="shared" si="6"/>
        <v>396.01174945054953</v>
      </c>
      <c r="R40" s="58">
        <f t="shared" si="7"/>
        <v>264.00783296703304</v>
      </c>
      <c r="S40" s="66">
        <f t="shared" si="16"/>
        <v>15.766217775000003</v>
      </c>
      <c r="T40" s="64">
        <f t="shared" si="8"/>
        <v>93.75</v>
      </c>
      <c r="U40" s="66">
        <f t="shared" si="9"/>
        <v>1010.4429477750001</v>
      </c>
      <c r="V40" s="68">
        <f t="shared" si="10"/>
        <v>40.417717911000004</v>
      </c>
      <c r="W40" s="68">
        <f t="shared" si="11"/>
        <v>444.15074627472535</v>
      </c>
      <c r="X40" s="68">
        <f t="shared" si="12"/>
        <v>296.10049751648359</v>
      </c>
      <c r="Z40" s="63"/>
      <c r="AA40" s="63"/>
    </row>
    <row r="41" spans="1:27" hidden="1" x14ac:dyDescent="0.25">
      <c r="A41" t="str">
        <f t="shared" si="1"/>
        <v>10620104C26/05/2026M</v>
      </c>
      <c r="B41" s="168" t="s">
        <v>826</v>
      </c>
      <c r="C41" s="62" t="s">
        <v>396</v>
      </c>
      <c r="D41" s="62" t="s">
        <v>591</v>
      </c>
      <c r="E41" s="62" t="s">
        <v>593</v>
      </c>
      <c r="F41" s="49" t="s">
        <v>762</v>
      </c>
      <c r="G41" s="62" t="str">
        <f t="shared" si="2"/>
        <v>20104</v>
      </c>
      <c r="H41" s="62">
        <v>10620104</v>
      </c>
      <c r="I41" s="49" t="s">
        <v>388</v>
      </c>
      <c r="J41" s="69">
        <v>24</v>
      </c>
      <c r="K41" s="69">
        <v>3.8</v>
      </c>
      <c r="L41" s="69">
        <v>8.1</v>
      </c>
      <c r="M41" s="69">
        <f t="shared" si="3"/>
        <v>0.91199999999999992</v>
      </c>
      <c r="N41" s="69">
        <f t="shared" si="4"/>
        <v>1.9439999999999997</v>
      </c>
      <c r="O41" s="56">
        <f>INDEX(Rate_Chart!$A$1:$AK$127,MATCH(Data!K41,Rate_Chart!$A$1:$A$127,0),MATCH(Data!L41,Rate_Chart!$A$1:$AK$1,0))</f>
        <v>38.365125900000002</v>
      </c>
      <c r="P41" s="57">
        <f t="shared" si="5"/>
        <v>920.7630216</v>
      </c>
      <c r="Q41" s="58">
        <f t="shared" si="6"/>
        <v>417.01223804347831</v>
      </c>
      <c r="R41" s="58">
        <f t="shared" si="7"/>
        <v>278.00815869565218</v>
      </c>
      <c r="S41" s="66">
        <f t="shared" si="16"/>
        <v>16.113352878000001</v>
      </c>
      <c r="T41" s="64">
        <f t="shared" si="8"/>
        <v>90</v>
      </c>
      <c r="U41" s="66">
        <f t="shared" si="9"/>
        <v>1026.8763744779999</v>
      </c>
      <c r="V41" s="68">
        <f t="shared" si="10"/>
        <v>42.786515603249995</v>
      </c>
      <c r="W41" s="68">
        <f t="shared" si="11"/>
        <v>465.07082177445648</v>
      </c>
      <c r="X41" s="68">
        <f t="shared" si="12"/>
        <v>310.04721451630434</v>
      </c>
      <c r="Z41" s="63"/>
      <c r="AA41" s="63"/>
    </row>
    <row r="42" spans="1:27" hidden="1" x14ac:dyDescent="0.25">
      <c r="A42" t="str">
        <f t="shared" si="1"/>
        <v>10620104C27/05/2026E</v>
      </c>
      <c r="B42" s="168" t="s">
        <v>826</v>
      </c>
      <c r="C42" s="62" t="s">
        <v>397</v>
      </c>
      <c r="D42" s="62" t="s">
        <v>591</v>
      </c>
      <c r="E42" s="62" t="s">
        <v>593</v>
      </c>
      <c r="F42" s="49" t="s">
        <v>762</v>
      </c>
      <c r="G42" s="62" t="str">
        <f t="shared" si="2"/>
        <v>20104</v>
      </c>
      <c r="H42" s="62">
        <v>10620104</v>
      </c>
      <c r="I42" s="49" t="s">
        <v>388</v>
      </c>
      <c r="J42" s="69">
        <v>23</v>
      </c>
      <c r="K42" s="69">
        <v>4</v>
      </c>
      <c r="L42" s="69">
        <v>8.1</v>
      </c>
      <c r="M42" s="69">
        <f t="shared" si="3"/>
        <v>0.92</v>
      </c>
      <c r="N42" s="69">
        <f t="shared" si="4"/>
        <v>1.8629999999999998</v>
      </c>
      <c r="O42" s="56">
        <f>INDEX(Rate_Chart!$A$1:$AK$127,MATCH(Data!K42,Rate_Chart!$A$1:$A$127,0),MATCH(Data!L42,Rate_Chart!$A$1:$AK$1,0))</f>
        <v>39.199125899999999</v>
      </c>
      <c r="P42" s="57">
        <f t="shared" si="5"/>
        <v>901.57989569999995</v>
      </c>
      <c r="Q42" s="58">
        <f t="shared" si="6"/>
        <v>417.01197765957443</v>
      </c>
      <c r="R42" s="58">
        <f t="shared" si="7"/>
        <v>278.00798510638293</v>
      </c>
      <c r="S42" s="66">
        <f t="shared" si="16"/>
        <v>15.77764817475</v>
      </c>
      <c r="T42" s="64">
        <f t="shared" si="8"/>
        <v>86.25</v>
      </c>
      <c r="U42" s="66">
        <f t="shared" si="9"/>
        <v>1003.6075438747499</v>
      </c>
      <c r="V42" s="68">
        <f t="shared" si="10"/>
        <v>43.635110603249998</v>
      </c>
      <c r="W42" s="68">
        <f t="shared" si="11"/>
        <v>464.20330428989359</v>
      </c>
      <c r="X42" s="68">
        <f t="shared" si="12"/>
        <v>309.46886952659571</v>
      </c>
      <c r="Z42" s="63"/>
      <c r="AA42" s="63"/>
    </row>
    <row r="43" spans="1:27" hidden="1" x14ac:dyDescent="0.25">
      <c r="A43" t="str">
        <f t="shared" si="1"/>
        <v>10620104C28/05/2026E</v>
      </c>
      <c r="B43" s="168" t="s">
        <v>827</v>
      </c>
      <c r="C43" s="62" t="s">
        <v>397</v>
      </c>
      <c r="D43" s="62" t="s">
        <v>591</v>
      </c>
      <c r="E43" s="62" t="s">
        <v>593</v>
      </c>
      <c r="F43" s="49" t="s">
        <v>762</v>
      </c>
      <c r="G43" s="62" t="str">
        <f t="shared" si="2"/>
        <v>20104</v>
      </c>
      <c r="H43" s="62">
        <v>10620104</v>
      </c>
      <c r="I43" s="49" t="s">
        <v>388</v>
      </c>
      <c r="J43" s="69">
        <v>18</v>
      </c>
      <c r="K43" s="69">
        <v>3.9</v>
      </c>
      <c r="L43" s="69">
        <v>8.1999999999999993</v>
      </c>
      <c r="M43" s="69">
        <f t="shared" si="3"/>
        <v>0.70200000000000007</v>
      </c>
      <c r="N43" s="69">
        <f t="shared" si="4"/>
        <v>1.476</v>
      </c>
      <c r="O43" s="56">
        <f>INDEX(Rate_Chart!$A$1:$AK$127,MATCH(Data!K43,Rate_Chart!$A$1:$A$127,0),MATCH(Data!L43,Rate_Chart!$A$1:$AK$1,0))</f>
        <v>39.060139800000002</v>
      </c>
      <c r="P43" s="57">
        <f t="shared" si="5"/>
        <v>703.08251640000003</v>
      </c>
      <c r="Q43" s="58">
        <f t="shared" si="6"/>
        <v>417.01216868327407</v>
      </c>
      <c r="R43" s="58">
        <f t="shared" si="7"/>
        <v>278.00811245551603</v>
      </c>
      <c r="S43" s="66">
        <f t="shared" si="16"/>
        <v>12.303944037000001</v>
      </c>
      <c r="T43" s="64">
        <f t="shared" si="8"/>
        <v>67.5</v>
      </c>
      <c r="U43" s="66">
        <f t="shared" si="9"/>
        <v>782.8864604370001</v>
      </c>
      <c r="V43" s="68">
        <f t="shared" si="10"/>
        <v>43.493692246500004</v>
      </c>
      <c r="W43" s="68">
        <f t="shared" si="11"/>
        <v>464.34546882384348</v>
      </c>
      <c r="X43" s="68">
        <f t="shared" si="12"/>
        <v>309.5636458825623</v>
      </c>
      <c r="Z43" s="63"/>
      <c r="AA43" s="63"/>
    </row>
    <row r="44" spans="1:27" hidden="1" x14ac:dyDescent="0.25">
      <c r="A44" t="str">
        <f t="shared" si="1"/>
        <v>10620104C28/05/2026M</v>
      </c>
      <c r="B44" s="168" t="s">
        <v>828</v>
      </c>
      <c r="C44" s="62" t="s">
        <v>396</v>
      </c>
      <c r="D44" s="62" t="s">
        <v>591</v>
      </c>
      <c r="E44" s="62" t="s">
        <v>593</v>
      </c>
      <c r="F44" s="49" t="s">
        <v>762</v>
      </c>
      <c r="G44" s="62" t="str">
        <f t="shared" si="2"/>
        <v>20104</v>
      </c>
      <c r="H44" s="62">
        <v>10620104</v>
      </c>
      <c r="I44" s="49" t="s">
        <v>388</v>
      </c>
      <c r="J44" s="69">
        <v>20</v>
      </c>
      <c r="K44" s="69">
        <v>3</v>
      </c>
      <c r="L44" s="69">
        <v>8</v>
      </c>
      <c r="M44" s="69">
        <f t="shared" si="3"/>
        <v>0.6</v>
      </c>
      <c r="N44" s="69">
        <f t="shared" si="4"/>
        <v>1.6</v>
      </c>
      <c r="O44" s="56">
        <f>INDEX(Rate_Chart!$A$1:$AK$127,MATCH(Data!K44,Rate_Chart!$A$1:$A$127,0),MATCH(Data!L44,Rate_Chart!$A$1:$AK$1,0))</f>
        <v>34.751112000000006</v>
      </c>
      <c r="P44" s="57">
        <f t="shared" si="5"/>
        <v>695.02224000000012</v>
      </c>
      <c r="Q44" s="58">
        <f t="shared" si="6"/>
        <v>417.01334400000002</v>
      </c>
      <c r="R44" s="58">
        <f t="shared" si="7"/>
        <v>278.00889599999999</v>
      </c>
      <c r="S44" s="66">
        <f t="shared" si="16"/>
        <v>12.162889200000004</v>
      </c>
      <c r="T44" s="64">
        <f t="shared" si="8"/>
        <v>75</v>
      </c>
      <c r="U44" s="66">
        <f t="shared" si="9"/>
        <v>782.18512920000012</v>
      </c>
      <c r="V44" s="68">
        <f t="shared" si="10"/>
        <v>39.109256460000005</v>
      </c>
      <c r="W44" s="68">
        <f t="shared" si="11"/>
        <v>469.31107752000003</v>
      </c>
      <c r="X44" s="68">
        <f t="shared" si="12"/>
        <v>312.87405168000004</v>
      </c>
      <c r="Z44" s="63"/>
      <c r="AA44" s="63"/>
    </row>
    <row r="45" spans="1:27" hidden="1" x14ac:dyDescent="0.25">
      <c r="A45" t="str">
        <f t="shared" si="1"/>
        <v>10620104C22/05/2026E</v>
      </c>
      <c r="B45" s="168" t="s">
        <v>828</v>
      </c>
      <c r="C45" s="62" t="s">
        <v>397</v>
      </c>
      <c r="D45" s="62" t="s">
        <v>591</v>
      </c>
      <c r="E45" s="62" t="s">
        <v>593</v>
      </c>
      <c r="F45" s="49" t="s">
        <v>762</v>
      </c>
      <c r="G45" s="62" t="str">
        <f t="shared" si="2"/>
        <v>20104</v>
      </c>
      <c r="H45" s="62">
        <v>10620104</v>
      </c>
      <c r="I45" s="49" t="s">
        <v>388</v>
      </c>
      <c r="J45" s="69">
        <v>7</v>
      </c>
      <c r="K45" s="69">
        <v>3</v>
      </c>
      <c r="L45" s="69">
        <v>8</v>
      </c>
      <c r="M45" s="69">
        <f t="shared" si="3"/>
        <v>0.21</v>
      </c>
      <c r="N45" s="69">
        <f t="shared" si="4"/>
        <v>0.56000000000000005</v>
      </c>
      <c r="O45" s="56">
        <f>INDEX(Rate_Chart!$A$1:$AK$127,MATCH(Data!K45,Rate_Chart!$A$1:$A$127,0),MATCH(Data!L45,Rate_Chart!$A$1:$AK$1,0))</f>
        <v>34.751112000000006</v>
      </c>
      <c r="P45" s="57">
        <f t="shared" si="5"/>
        <v>243.25778400000004</v>
      </c>
      <c r="Q45" s="58">
        <f t="shared" si="6"/>
        <v>417.01334400000002</v>
      </c>
      <c r="R45" s="58">
        <f t="shared" si="7"/>
        <v>278.00889599999999</v>
      </c>
      <c r="S45" s="66">
        <f t="shared" si="16"/>
        <v>4.2570112200000008</v>
      </c>
      <c r="T45" s="64">
        <f t="shared" si="8"/>
        <v>26.25</v>
      </c>
      <c r="U45" s="66">
        <f t="shared" si="9"/>
        <v>273.76479522000005</v>
      </c>
      <c r="V45" s="68">
        <f t="shared" si="10"/>
        <v>39.109256460000005</v>
      </c>
      <c r="W45" s="68">
        <f t="shared" si="11"/>
        <v>469.31107752000003</v>
      </c>
      <c r="X45" s="68">
        <f t="shared" si="12"/>
        <v>312.87405168000004</v>
      </c>
      <c r="Z45" s="63"/>
      <c r="AA45" s="63"/>
    </row>
    <row r="46" spans="1:27" hidden="1" x14ac:dyDescent="0.25">
      <c r="A46" t="str">
        <f t="shared" si="1"/>
        <v>10620106B22/05/2026M</v>
      </c>
      <c r="B46" s="168" t="s">
        <v>822</v>
      </c>
      <c r="C46" s="62" t="s">
        <v>396</v>
      </c>
      <c r="D46" s="62" t="s">
        <v>591</v>
      </c>
      <c r="E46" s="62" t="s">
        <v>593</v>
      </c>
      <c r="F46" s="49" t="s">
        <v>763</v>
      </c>
      <c r="G46" s="62" t="str">
        <f t="shared" si="2"/>
        <v>20106</v>
      </c>
      <c r="H46" s="62">
        <v>10620106</v>
      </c>
      <c r="I46" s="49" t="s">
        <v>387</v>
      </c>
      <c r="J46" s="69">
        <v>6</v>
      </c>
      <c r="K46" s="69">
        <v>7</v>
      </c>
      <c r="L46" s="69">
        <v>8.8000000000000007</v>
      </c>
      <c r="M46" s="69">
        <f t="shared" si="3"/>
        <v>0.42</v>
      </c>
      <c r="N46" s="69">
        <f t="shared" si="4"/>
        <v>0.52800000000000002</v>
      </c>
      <c r="O46" s="56">
        <v>57.865500000000004</v>
      </c>
      <c r="P46" s="57">
        <f t="shared" si="5"/>
        <v>347.19300000000004</v>
      </c>
      <c r="Q46" s="58">
        <f t="shared" si="6"/>
        <v>449.73186528497411</v>
      </c>
      <c r="R46" s="58">
        <f t="shared" si="7"/>
        <v>299.82124352331607</v>
      </c>
      <c r="S46" s="66">
        <f t="shared" si="16"/>
        <v>6.0758775000000016</v>
      </c>
      <c r="T46" s="64">
        <f t="shared" si="8"/>
        <v>22.5</v>
      </c>
      <c r="U46" s="66">
        <f t="shared" si="9"/>
        <v>375.76887750000003</v>
      </c>
      <c r="V46" s="68">
        <f t="shared" si="10"/>
        <v>62.628146250000007</v>
      </c>
      <c r="W46" s="68">
        <f t="shared" si="11"/>
        <v>486.74725064766841</v>
      </c>
      <c r="X46" s="68">
        <f t="shared" si="12"/>
        <v>324.49816709844561</v>
      </c>
      <c r="Z46" s="63"/>
      <c r="AA46" s="63"/>
    </row>
    <row r="47" spans="1:27" hidden="1" x14ac:dyDescent="0.25">
      <c r="A47" t="str">
        <f t="shared" si="1"/>
        <v>10620106C22/05/2026M</v>
      </c>
      <c r="B47" s="168" t="s">
        <v>822</v>
      </c>
      <c r="C47" s="62" t="s">
        <v>396</v>
      </c>
      <c r="D47" s="62" t="s">
        <v>591</v>
      </c>
      <c r="E47" s="62" t="s">
        <v>593</v>
      </c>
      <c r="F47" s="49" t="s">
        <v>763</v>
      </c>
      <c r="G47" s="62" t="str">
        <f t="shared" si="2"/>
        <v>20106</v>
      </c>
      <c r="H47" s="62">
        <v>10620106</v>
      </c>
      <c r="I47" s="49" t="s">
        <v>388</v>
      </c>
      <c r="J47" s="69">
        <v>16</v>
      </c>
      <c r="K47" s="69">
        <v>3.3</v>
      </c>
      <c r="L47" s="69">
        <v>8.1</v>
      </c>
      <c r="M47" s="69">
        <f t="shared" si="3"/>
        <v>0.52800000000000002</v>
      </c>
      <c r="N47" s="69">
        <f t="shared" si="4"/>
        <v>1.296</v>
      </c>
      <c r="O47" s="56">
        <v>34.453069200000002</v>
      </c>
      <c r="P47" s="57">
        <f t="shared" si="5"/>
        <v>551.24910720000003</v>
      </c>
      <c r="Q47" s="58">
        <f t="shared" si="6"/>
        <v>396.01228965517248</v>
      </c>
      <c r="R47" s="58">
        <f t="shared" si="7"/>
        <v>264.00819310344832</v>
      </c>
      <c r="S47" s="66">
        <f t="shared" si="16"/>
        <v>9.6468593760000019</v>
      </c>
      <c r="T47" s="64">
        <f t="shared" si="8"/>
        <v>60</v>
      </c>
      <c r="U47" s="66">
        <f t="shared" si="9"/>
        <v>620.89596657600009</v>
      </c>
      <c r="V47" s="68">
        <f t="shared" si="10"/>
        <v>38.805997911000006</v>
      </c>
      <c r="W47" s="68">
        <f t="shared" si="11"/>
        <v>446.04595300000011</v>
      </c>
      <c r="X47" s="68">
        <f t="shared" si="12"/>
        <v>297.36396866666672</v>
      </c>
      <c r="Z47" s="63"/>
      <c r="AA47" s="63"/>
    </row>
    <row r="48" spans="1:27" hidden="1" x14ac:dyDescent="0.25">
      <c r="A48" t="str">
        <f t="shared" si="1"/>
        <v>10620106C23/05/2026E</v>
      </c>
      <c r="B48" s="168" t="s">
        <v>822</v>
      </c>
      <c r="C48" s="62" t="s">
        <v>397</v>
      </c>
      <c r="D48" s="62" t="s">
        <v>591</v>
      </c>
      <c r="E48" s="62" t="s">
        <v>593</v>
      </c>
      <c r="F48" s="49" t="s">
        <v>763</v>
      </c>
      <c r="G48" s="62" t="str">
        <f t="shared" si="2"/>
        <v>20106</v>
      </c>
      <c r="H48" s="62">
        <v>10620106</v>
      </c>
      <c r="I48" s="49" t="s">
        <v>388</v>
      </c>
      <c r="J48" s="69">
        <v>27</v>
      </c>
      <c r="K48" s="69">
        <v>3.9</v>
      </c>
      <c r="L48" s="69">
        <v>8.1999999999999993</v>
      </c>
      <c r="M48" s="69">
        <f t="shared" si="3"/>
        <v>1.0529999999999999</v>
      </c>
      <c r="N48" s="69">
        <f t="shared" si="4"/>
        <v>2.214</v>
      </c>
      <c r="O48" s="56">
        <v>37.0930824</v>
      </c>
      <c r="P48" s="57">
        <f t="shared" si="5"/>
        <v>1001.5132248</v>
      </c>
      <c r="Q48" s="58">
        <f t="shared" si="6"/>
        <v>396.01155587188612</v>
      </c>
      <c r="R48" s="58">
        <f t="shared" si="7"/>
        <v>264.00770391459076</v>
      </c>
      <c r="S48" s="66">
        <f t="shared" si="16"/>
        <v>17.526481434000001</v>
      </c>
      <c r="T48" s="64">
        <f t="shared" si="8"/>
        <v>101.25</v>
      </c>
      <c r="U48" s="66">
        <f t="shared" si="9"/>
        <v>1120.2897062340001</v>
      </c>
      <c r="V48" s="68">
        <f t="shared" si="10"/>
        <v>41.492211342000004</v>
      </c>
      <c r="W48" s="68">
        <f t="shared" si="11"/>
        <v>442.97734528825629</v>
      </c>
      <c r="X48" s="68">
        <f t="shared" si="12"/>
        <v>295.31823019217086</v>
      </c>
      <c r="Z48" s="63"/>
      <c r="AA48" s="63"/>
    </row>
    <row r="49" spans="1:27" hidden="1" x14ac:dyDescent="0.25">
      <c r="A49" t="str">
        <f t="shared" si="1"/>
        <v>10620106B23/05/2026M</v>
      </c>
      <c r="B49" s="168" t="s">
        <v>823</v>
      </c>
      <c r="C49" s="62" t="s">
        <v>396</v>
      </c>
      <c r="D49" s="62" t="s">
        <v>591</v>
      </c>
      <c r="E49" s="62" t="s">
        <v>593</v>
      </c>
      <c r="F49" s="49" t="s">
        <v>763</v>
      </c>
      <c r="G49" s="62" t="str">
        <f t="shared" si="2"/>
        <v>20106</v>
      </c>
      <c r="H49" s="62">
        <v>10620106</v>
      </c>
      <c r="I49" s="49" t="s">
        <v>387</v>
      </c>
      <c r="J49" s="69">
        <v>7</v>
      </c>
      <c r="K49" s="69">
        <v>7.1</v>
      </c>
      <c r="L49" s="69">
        <v>8.8000000000000007</v>
      </c>
      <c r="M49" s="69">
        <f t="shared" si="3"/>
        <v>0.49699999999999994</v>
      </c>
      <c r="N49" s="69">
        <f t="shared" si="4"/>
        <v>0.6160000000000001</v>
      </c>
      <c r="O49" s="56">
        <v>58.692149999999998</v>
      </c>
      <c r="P49" s="57">
        <f t="shared" si="5"/>
        <v>410.84505000000001</v>
      </c>
      <c r="Q49" s="58">
        <f t="shared" si="6"/>
        <v>452.63868894601546</v>
      </c>
      <c r="R49" s="58">
        <f t="shared" si="7"/>
        <v>301.75912596401031</v>
      </c>
      <c r="S49" s="66">
        <f t="shared" si="16"/>
        <v>7.1897883750000009</v>
      </c>
      <c r="T49" s="64">
        <f t="shared" si="8"/>
        <v>26.25</v>
      </c>
      <c r="U49" s="66">
        <f t="shared" si="9"/>
        <v>444.28483837499999</v>
      </c>
      <c r="V49" s="68">
        <f t="shared" si="10"/>
        <v>63.469262624999999</v>
      </c>
      <c r="W49" s="68">
        <f t="shared" si="11"/>
        <v>489.48017448586126</v>
      </c>
      <c r="X49" s="68">
        <f t="shared" si="12"/>
        <v>326.32011632390748</v>
      </c>
      <c r="Z49" s="63"/>
      <c r="AA49" s="63"/>
    </row>
    <row r="50" spans="1:27" hidden="1" x14ac:dyDescent="0.25">
      <c r="A50" t="str">
        <f t="shared" si="1"/>
        <v>10620106C23/05/2026M</v>
      </c>
      <c r="B50" s="168" t="s">
        <v>823</v>
      </c>
      <c r="C50" s="62" t="s">
        <v>396</v>
      </c>
      <c r="D50" s="62" t="s">
        <v>591</v>
      </c>
      <c r="E50" s="62" t="s">
        <v>593</v>
      </c>
      <c r="F50" s="49" t="s">
        <v>763</v>
      </c>
      <c r="G50" s="62" t="str">
        <f t="shared" si="2"/>
        <v>20106</v>
      </c>
      <c r="H50" s="62">
        <v>10620106</v>
      </c>
      <c r="I50" s="49" t="s">
        <v>388</v>
      </c>
      <c r="J50" s="69">
        <v>17</v>
      </c>
      <c r="K50" s="69">
        <v>3.5</v>
      </c>
      <c r="L50" s="69">
        <v>8</v>
      </c>
      <c r="M50" s="69">
        <f t="shared" si="3"/>
        <v>0.59499999999999997</v>
      </c>
      <c r="N50" s="69">
        <f t="shared" si="4"/>
        <v>1.36</v>
      </c>
      <c r="O50" s="56">
        <v>34.981056000000002</v>
      </c>
      <c r="P50" s="57">
        <f t="shared" si="5"/>
        <v>594.677952</v>
      </c>
      <c r="Q50" s="58">
        <f t="shared" si="6"/>
        <v>396.01195471698111</v>
      </c>
      <c r="R50" s="58">
        <f t="shared" si="7"/>
        <v>264.00796981132072</v>
      </c>
      <c r="S50" s="66">
        <f t="shared" si="16"/>
        <v>10.406864160000001</v>
      </c>
      <c r="T50" s="64">
        <f t="shared" si="8"/>
        <v>63.75</v>
      </c>
      <c r="U50" s="66">
        <f t="shared" si="9"/>
        <v>668.83481615999995</v>
      </c>
      <c r="V50" s="68">
        <f t="shared" si="10"/>
        <v>39.343224479999996</v>
      </c>
      <c r="W50" s="68">
        <f t="shared" si="11"/>
        <v>445.39499411320742</v>
      </c>
      <c r="X50" s="68">
        <f t="shared" si="12"/>
        <v>296.92999607547159</v>
      </c>
      <c r="Z50" s="63"/>
      <c r="AA50" s="63"/>
    </row>
    <row r="51" spans="1:27" hidden="1" x14ac:dyDescent="0.25">
      <c r="A51" t="str">
        <f t="shared" si="1"/>
        <v>10620106C24/05/2026E</v>
      </c>
      <c r="B51" s="168" t="s">
        <v>823</v>
      </c>
      <c r="C51" s="62" t="s">
        <v>397</v>
      </c>
      <c r="D51" s="62" t="s">
        <v>591</v>
      </c>
      <c r="E51" s="62" t="s">
        <v>593</v>
      </c>
      <c r="F51" s="49" t="s">
        <v>763</v>
      </c>
      <c r="G51" s="62" t="str">
        <f t="shared" si="2"/>
        <v>20106</v>
      </c>
      <c r="H51" s="62">
        <v>10620106</v>
      </c>
      <c r="I51" s="49" t="s">
        <v>388</v>
      </c>
      <c r="J51" s="69">
        <v>21</v>
      </c>
      <c r="K51" s="69">
        <v>3.7</v>
      </c>
      <c r="L51" s="69">
        <v>8.1999999999999993</v>
      </c>
      <c r="M51" s="69">
        <f t="shared" si="3"/>
        <v>0.77700000000000002</v>
      </c>
      <c r="N51" s="69">
        <f t="shared" si="4"/>
        <v>1.722</v>
      </c>
      <c r="O51" s="56">
        <v>36.301082400000006</v>
      </c>
      <c r="P51" s="57">
        <f t="shared" si="5"/>
        <v>762.32273040000007</v>
      </c>
      <c r="Q51" s="58">
        <f t="shared" si="6"/>
        <v>396.01180800000003</v>
      </c>
      <c r="R51" s="58">
        <f t="shared" si="7"/>
        <v>264.00787200000002</v>
      </c>
      <c r="S51" s="66">
        <f t="shared" si="16"/>
        <v>13.340647782000003</v>
      </c>
      <c r="T51" s="64">
        <f t="shared" si="8"/>
        <v>78.75</v>
      </c>
      <c r="U51" s="66">
        <f t="shared" si="9"/>
        <v>854.41337818200009</v>
      </c>
      <c r="V51" s="68">
        <f t="shared" si="10"/>
        <v>40.686351342000002</v>
      </c>
      <c r="W51" s="68">
        <f t="shared" si="11"/>
        <v>443.8511055490909</v>
      </c>
      <c r="X51" s="68">
        <f t="shared" si="12"/>
        <v>295.90073703272725</v>
      </c>
      <c r="Z51" s="63"/>
      <c r="AA51" s="63"/>
    </row>
    <row r="52" spans="1:27" hidden="1" x14ac:dyDescent="0.25">
      <c r="A52" t="str">
        <f t="shared" si="1"/>
        <v>10620106C24/05/2026M</v>
      </c>
      <c r="B52" s="168" t="s">
        <v>824</v>
      </c>
      <c r="C52" s="62" t="s">
        <v>396</v>
      </c>
      <c r="D52" s="62" t="s">
        <v>591</v>
      </c>
      <c r="E52" s="62" t="s">
        <v>593</v>
      </c>
      <c r="F52" s="49" t="s">
        <v>763</v>
      </c>
      <c r="G52" s="62" t="str">
        <f t="shared" si="2"/>
        <v>20106</v>
      </c>
      <c r="H52" s="62">
        <v>10620106</v>
      </c>
      <c r="I52" s="49" t="s">
        <v>388</v>
      </c>
      <c r="J52" s="69">
        <v>19</v>
      </c>
      <c r="K52" s="69">
        <v>4.5999999999999996</v>
      </c>
      <c r="L52" s="69">
        <v>8.1</v>
      </c>
      <c r="M52" s="69">
        <f t="shared" si="3"/>
        <v>0.87399999999999989</v>
      </c>
      <c r="N52" s="69">
        <f t="shared" si="4"/>
        <v>1.5390000000000001</v>
      </c>
      <c r="O52" s="56">
        <v>39.601069200000005</v>
      </c>
      <c r="P52" s="57">
        <f t="shared" si="5"/>
        <v>752.42031480000014</v>
      </c>
      <c r="Q52" s="58">
        <f t="shared" si="6"/>
        <v>396.01069200000001</v>
      </c>
      <c r="R52" s="58">
        <f t="shared" si="7"/>
        <v>264.00712800000002</v>
      </c>
      <c r="S52" s="66">
        <f t="shared" si="16"/>
        <v>13.167355509000004</v>
      </c>
      <c r="T52" s="64">
        <f t="shared" si="8"/>
        <v>71.25</v>
      </c>
      <c r="U52" s="66">
        <f t="shared" si="9"/>
        <v>836.83767030900015</v>
      </c>
      <c r="V52" s="68">
        <f t="shared" si="10"/>
        <v>44.044087911000005</v>
      </c>
      <c r="W52" s="68">
        <f t="shared" si="11"/>
        <v>440.44087911000003</v>
      </c>
      <c r="X52" s="68">
        <f t="shared" si="12"/>
        <v>293.62725274000002</v>
      </c>
      <c r="Z52" s="63"/>
      <c r="AA52" s="63"/>
    </row>
    <row r="53" spans="1:27" hidden="1" x14ac:dyDescent="0.25">
      <c r="A53" t="str">
        <f t="shared" si="1"/>
        <v>10620106C25/05/2026E</v>
      </c>
      <c r="B53" s="168" t="s">
        <v>824</v>
      </c>
      <c r="C53" s="62" t="s">
        <v>397</v>
      </c>
      <c r="D53" s="62" t="s">
        <v>591</v>
      </c>
      <c r="E53" s="62" t="s">
        <v>593</v>
      </c>
      <c r="F53" s="49" t="s">
        <v>763</v>
      </c>
      <c r="G53" s="62" t="str">
        <f t="shared" si="2"/>
        <v>20106</v>
      </c>
      <c r="H53" s="62">
        <v>10620106</v>
      </c>
      <c r="I53" s="49" t="s">
        <v>388</v>
      </c>
      <c r="J53" s="69">
        <v>21</v>
      </c>
      <c r="K53" s="69">
        <v>3.8</v>
      </c>
      <c r="L53" s="69">
        <v>8.3000000000000007</v>
      </c>
      <c r="M53" s="69">
        <f t="shared" si="3"/>
        <v>0.79799999999999993</v>
      </c>
      <c r="N53" s="69">
        <f t="shared" si="4"/>
        <v>1.7430000000000001</v>
      </c>
      <c r="O53" s="56">
        <v>36.961095600000007</v>
      </c>
      <c r="P53" s="57">
        <f t="shared" si="5"/>
        <v>776.18300760000011</v>
      </c>
      <c r="Q53" s="58">
        <f t="shared" si="6"/>
        <v>396.01173857142862</v>
      </c>
      <c r="R53" s="58">
        <f t="shared" si="7"/>
        <v>264.00782571428573</v>
      </c>
      <c r="S53" s="66">
        <f t="shared" si="16"/>
        <v>13.583202633000003</v>
      </c>
      <c r="T53" s="64">
        <f t="shared" si="8"/>
        <v>78.75</v>
      </c>
      <c r="U53" s="66">
        <f t="shared" si="9"/>
        <v>868.51621023300015</v>
      </c>
      <c r="V53" s="68">
        <f t="shared" si="10"/>
        <v>41.357914773000005</v>
      </c>
      <c r="W53" s="68">
        <f t="shared" si="11"/>
        <v>443.12051542500001</v>
      </c>
      <c r="X53" s="68">
        <f t="shared" si="12"/>
        <v>295.41367695000002</v>
      </c>
      <c r="Z53" s="63"/>
      <c r="AA53" s="63"/>
    </row>
    <row r="54" spans="1:27" hidden="1" x14ac:dyDescent="0.25">
      <c r="A54" t="str">
        <f t="shared" si="1"/>
        <v>10620106C25/05/2026M</v>
      </c>
      <c r="B54" s="168" t="s">
        <v>825</v>
      </c>
      <c r="C54" s="62" t="s">
        <v>396</v>
      </c>
      <c r="D54" s="62" t="s">
        <v>591</v>
      </c>
      <c r="E54" s="62" t="s">
        <v>593</v>
      </c>
      <c r="F54" s="49" t="s">
        <v>763</v>
      </c>
      <c r="G54" s="62" t="str">
        <f t="shared" si="2"/>
        <v>20106</v>
      </c>
      <c r="H54" s="62">
        <v>10620106</v>
      </c>
      <c r="I54" s="49" t="s">
        <v>388</v>
      </c>
      <c r="J54" s="69">
        <v>18</v>
      </c>
      <c r="K54" s="69">
        <v>4.8</v>
      </c>
      <c r="L54" s="69">
        <v>8.1</v>
      </c>
      <c r="M54" s="69">
        <f t="shared" si="3"/>
        <v>0.86399999999999988</v>
      </c>
      <c r="N54" s="69">
        <f t="shared" si="4"/>
        <v>1.4579999999999997</v>
      </c>
      <c r="O54" s="56">
        <v>40.393069199999999</v>
      </c>
      <c r="P54" s="57">
        <f t="shared" si="5"/>
        <v>727.07524560000002</v>
      </c>
      <c r="Q54" s="58">
        <f t="shared" si="6"/>
        <v>396.01048235294115</v>
      </c>
      <c r="R54" s="58">
        <f t="shared" si="7"/>
        <v>264.0069882352941</v>
      </c>
      <c r="S54" s="66">
        <f t="shared" si="16"/>
        <v>12.723816798000001</v>
      </c>
      <c r="T54" s="64">
        <f t="shared" si="8"/>
        <v>67.5</v>
      </c>
      <c r="U54" s="66">
        <f t="shared" si="9"/>
        <v>807.29906239800005</v>
      </c>
      <c r="V54" s="68">
        <f t="shared" si="10"/>
        <v>44.849947911000001</v>
      </c>
      <c r="W54" s="68">
        <f t="shared" si="11"/>
        <v>439.70537167647058</v>
      </c>
      <c r="X54" s="68">
        <f t="shared" si="12"/>
        <v>293.13691445098038</v>
      </c>
      <c r="Z54" s="63"/>
      <c r="AA54" s="63"/>
    </row>
    <row r="55" spans="1:27" hidden="1" x14ac:dyDescent="0.25">
      <c r="A55" t="str">
        <f t="shared" si="1"/>
        <v>10620106C26/05/2026E</v>
      </c>
      <c r="B55" s="168" t="s">
        <v>825</v>
      </c>
      <c r="C55" s="62" t="s">
        <v>397</v>
      </c>
      <c r="D55" s="62" t="s">
        <v>591</v>
      </c>
      <c r="E55" s="62" t="s">
        <v>593</v>
      </c>
      <c r="F55" s="49" t="s">
        <v>763</v>
      </c>
      <c r="G55" s="62" t="str">
        <f t="shared" si="2"/>
        <v>20106</v>
      </c>
      <c r="H55" s="62">
        <v>10620106</v>
      </c>
      <c r="I55" s="49" t="s">
        <v>388</v>
      </c>
      <c r="J55" s="69">
        <v>22</v>
      </c>
      <c r="K55" s="69">
        <v>3.8</v>
      </c>
      <c r="L55" s="69">
        <v>8.1999999999999993</v>
      </c>
      <c r="M55" s="69">
        <f t="shared" si="3"/>
        <v>0.83599999999999997</v>
      </c>
      <c r="N55" s="69">
        <f t="shared" si="4"/>
        <v>1.8039999999999998</v>
      </c>
      <c r="O55" s="56">
        <v>36.697082399999999</v>
      </c>
      <c r="P55" s="57">
        <f t="shared" si="5"/>
        <v>807.33581279999999</v>
      </c>
      <c r="Q55" s="58">
        <f t="shared" si="6"/>
        <v>396.01168057553957</v>
      </c>
      <c r="R55" s="58">
        <f t="shared" si="7"/>
        <v>264.0077870503597</v>
      </c>
      <c r="S55" s="66">
        <f t="shared" si="16"/>
        <v>14.128376724000001</v>
      </c>
      <c r="T55" s="64">
        <f t="shared" si="8"/>
        <v>82.5</v>
      </c>
      <c r="U55" s="66">
        <f t="shared" si="9"/>
        <v>903.96418952399995</v>
      </c>
      <c r="V55" s="68">
        <f t="shared" si="10"/>
        <v>41.089281342</v>
      </c>
      <c r="W55" s="68">
        <f t="shared" si="11"/>
        <v>443.40951088489209</v>
      </c>
      <c r="X55" s="68">
        <f t="shared" si="12"/>
        <v>295.60634058992804</v>
      </c>
      <c r="Z55" s="63"/>
      <c r="AA55" s="63"/>
    </row>
    <row r="56" spans="1:27" hidden="1" x14ac:dyDescent="0.25">
      <c r="A56" t="str">
        <f t="shared" si="1"/>
        <v>10620106C26/05/2026M</v>
      </c>
      <c r="B56" s="168" t="s">
        <v>826</v>
      </c>
      <c r="C56" s="62" t="s">
        <v>396</v>
      </c>
      <c r="D56" s="62" t="s">
        <v>591</v>
      </c>
      <c r="E56" s="62" t="s">
        <v>593</v>
      </c>
      <c r="F56" s="49" t="s">
        <v>763</v>
      </c>
      <c r="G56" s="62" t="str">
        <f t="shared" si="2"/>
        <v>20106</v>
      </c>
      <c r="H56" s="62">
        <v>10620106</v>
      </c>
      <c r="I56" s="49" t="s">
        <v>388</v>
      </c>
      <c r="J56" s="69">
        <v>20</v>
      </c>
      <c r="K56" s="69">
        <v>4.5</v>
      </c>
      <c r="L56" s="69">
        <v>8.3000000000000007</v>
      </c>
      <c r="M56" s="69">
        <f t="shared" si="3"/>
        <v>0.9</v>
      </c>
      <c r="N56" s="69">
        <f t="shared" si="4"/>
        <v>1.66</v>
      </c>
      <c r="O56" s="56">
        <f>INDEX(Rate_Chart!$A$1:$AK$127,MATCH(Data!K56,Rate_Chart!$A$1:$A$127,0),MATCH(Data!L56,Rate_Chart!$A$1:$AK$1,0))</f>
        <v>41.840153700000002</v>
      </c>
      <c r="P56" s="57">
        <f t="shared" si="5"/>
        <v>836.80307400000004</v>
      </c>
      <c r="Q56" s="58">
        <f t="shared" si="6"/>
        <v>417.01149867109638</v>
      </c>
      <c r="R56" s="58">
        <f t="shared" si="7"/>
        <v>278.00766578073092</v>
      </c>
      <c r="S56" s="66">
        <f t="shared" si="16"/>
        <v>14.644053795000001</v>
      </c>
      <c r="T56" s="64">
        <f t="shared" si="8"/>
        <v>75</v>
      </c>
      <c r="U56" s="66">
        <f t="shared" si="9"/>
        <v>926.44712779500003</v>
      </c>
      <c r="V56" s="68">
        <f t="shared" si="10"/>
        <v>46.322356389749999</v>
      </c>
      <c r="W56" s="68">
        <f t="shared" si="11"/>
        <v>461.68461518023258</v>
      </c>
      <c r="X56" s="68">
        <f t="shared" si="12"/>
        <v>307.78974345348837</v>
      </c>
      <c r="Z56" s="63"/>
      <c r="AA56" s="63"/>
    </row>
    <row r="57" spans="1:27" hidden="1" x14ac:dyDescent="0.25">
      <c r="A57" t="str">
        <f t="shared" si="1"/>
        <v>10620106C27/05/2026E</v>
      </c>
      <c r="B57" s="168" t="s">
        <v>826</v>
      </c>
      <c r="C57" s="62" t="s">
        <v>397</v>
      </c>
      <c r="D57" s="62" t="s">
        <v>591</v>
      </c>
      <c r="E57" s="62" t="s">
        <v>593</v>
      </c>
      <c r="F57" s="49" t="s">
        <v>763</v>
      </c>
      <c r="G57" s="62" t="str">
        <f t="shared" si="2"/>
        <v>20106</v>
      </c>
      <c r="H57" s="62">
        <v>10620106</v>
      </c>
      <c r="I57" s="49" t="s">
        <v>388</v>
      </c>
      <c r="J57" s="69">
        <v>27</v>
      </c>
      <c r="K57" s="69">
        <v>4.0999999999999996</v>
      </c>
      <c r="L57" s="69">
        <v>8.5</v>
      </c>
      <c r="M57" s="69">
        <f t="shared" si="3"/>
        <v>1.107</v>
      </c>
      <c r="N57" s="69">
        <f t="shared" si="4"/>
        <v>2.2949999999999999</v>
      </c>
      <c r="O57" s="56">
        <f>INDEX(Rate_Chart!$A$1:$AK$127,MATCH(Data!K57,Rate_Chart!$A$1:$A$127,0),MATCH(Data!L57,Rate_Chart!$A$1:$AK$1,0))</f>
        <v>40.728181500000005</v>
      </c>
      <c r="P57" s="57">
        <f t="shared" si="5"/>
        <v>1099.6609005</v>
      </c>
      <c r="Q57" s="58">
        <f t="shared" si="6"/>
        <v>417.01209726962463</v>
      </c>
      <c r="R57" s="58">
        <f t="shared" si="7"/>
        <v>278.0080648464164</v>
      </c>
      <c r="S57" s="66">
        <f t="shared" si="16"/>
        <v>19.244065758750001</v>
      </c>
      <c r="T57" s="64">
        <f t="shared" si="8"/>
        <v>101.25</v>
      </c>
      <c r="U57" s="66">
        <f t="shared" si="9"/>
        <v>1220.1549662587499</v>
      </c>
      <c r="V57" s="68">
        <f t="shared" si="10"/>
        <v>45.190924676249999</v>
      </c>
      <c r="W57" s="68">
        <f t="shared" si="11"/>
        <v>462.70571340870305</v>
      </c>
      <c r="X57" s="68">
        <f t="shared" si="12"/>
        <v>308.47047560580205</v>
      </c>
      <c r="Z57" s="63"/>
      <c r="AA57" s="63"/>
    </row>
    <row r="58" spans="1:27" hidden="1" x14ac:dyDescent="0.25">
      <c r="A58" t="str">
        <f t="shared" si="1"/>
        <v>10620106C27/05/2026M</v>
      </c>
      <c r="B58" s="168" t="s">
        <v>827</v>
      </c>
      <c r="C58" s="62" t="s">
        <v>396</v>
      </c>
      <c r="D58" s="62" t="s">
        <v>591</v>
      </c>
      <c r="E58" s="62" t="s">
        <v>593</v>
      </c>
      <c r="F58" s="49" t="s">
        <v>763</v>
      </c>
      <c r="G58" s="62" t="str">
        <f t="shared" si="2"/>
        <v>20106</v>
      </c>
      <c r="H58" s="62">
        <v>10620106</v>
      </c>
      <c r="I58" s="49" t="s">
        <v>388</v>
      </c>
      <c r="J58" s="69">
        <v>19</v>
      </c>
      <c r="K58" s="69">
        <v>4.7</v>
      </c>
      <c r="L58" s="69">
        <v>8.5</v>
      </c>
      <c r="M58" s="69">
        <f t="shared" si="3"/>
        <v>0.89300000000000002</v>
      </c>
      <c r="N58" s="69">
        <f t="shared" si="4"/>
        <v>1.615</v>
      </c>
      <c r="O58" s="56">
        <f>INDEX(Rate_Chart!$A$1:$AK$127,MATCH(Data!K58,Rate_Chart!$A$1:$A$127,0),MATCH(Data!L58,Rate_Chart!$A$1:$AK$1,0))</f>
        <v>43.2301815</v>
      </c>
      <c r="P58" s="57">
        <f t="shared" si="5"/>
        <v>821.37344849999999</v>
      </c>
      <c r="Q58" s="58">
        <f t="shared" si="6"/>
        <v>417.01139710610931</v>
      </c>
      <c r="R58" s="58">
        <f t="shared" si="7"/>
        <v>278.00759807073956</v>
      </c>
      <c r="S58" s="66">
        <f t="shared" si="16"/>
        <v>14.374035348750001</v>
      </c>
      <c r="T58" s="64">
        <f t="shared" si="8"/>
        <v>71.25</v>
      </c>
      <c r="U58" s="66">
        <f t="shared" si="9"/>
        <v>906.99748384874999</v>
      </c>
      <c r="V58" s="68">
        <f t="shared" si="10"/>
        <v>47.736709676250001</v>
      </c>
      <c r="W58" s="68">
        <f t="shared" si="11"/>
        <v>460.48272999598072</v>
      </c>
      <c r="X58" s="68">
        <f t="shared" si="12"/>
        <v>306.98848666398715</v>
      </c>
      <c r="Z58" s="63"/>
      <c r="AA58" s="63"/>
    </row>
    <row r="59" spans="1:27" hidden="1" x14ac:dyDescent="0.25">
      <c r="A59" t="str">
        <f t="shared" si="1"/>
        <v>10620106C28/05/2026E</v>
      </c>
      <c r="B59" s="168" t="s">
        <v>827</v>
      </c>
      <c r="C59" s="62" t="s">
        <v>397</v>
      </c>
      <c r="D59" s="62" t="s">
        <v>591</v>
      </c>
      <c r="E59" s="62" t="s">
        <v>593</v>
      </c>
      <c r="F59" s="49" t="s">
        <v>763</v>
      </c>
      <c r="G59" s="62" t="str">
        <f t="shared" si="2"/>
        <v>20106</v>
      </c>
      <c r="H59" s="62">
        <v>10620106</v>
      </c>
      <c r="I59" s="49" t="s">
        <v>388</v>
      </c>
      <c r="J59" s="69">
        <v>23</v>
      </c>
      <c r="K59" s="69">
        <v>3.7</v>
      </c>
      <c r="L59" s="69">
        <v>8.5</v>
      </c>
      <c r="M59" s="69">
        <f t="shared" si="3"/>
        <v>0.85100000000000009</v>
      </c>
      <c r="N59" s="69">
        <f t="shared" si="4"/>
        <v>1.9550000000000001</v>
      </c>
      <c r="O59" s="56">
        <f>INDEX(Rate_Chart!$A$1:$AK$127,MATCH(Data!K59,Rate_Chart!$A$1:$A$127,0),MATCH(Data!L59,Rate_Chart!$A$1:$AK$1,0))</f>
        <v>39.060181500000006</v>
      </c>
      <c r="P59" s="57">
        <f t="shared" si="5"/>
        <v>898.38417450000009</v>
      </c>
      <c r="Q59" s="58">
        <f t="shared" si="6"/>
        <v>417.0126138790036</v>
      </c>
      <c r="R59" s="58">
        <f t="shared" si="7"/>
        <v>278.00840925266908</v>
      </c>
      <c r="S59" s="66">
        <f t="shared" si="16"/>
        <v>15.721723053750003</v>
      </c>
      <c r="T59" s="64">
        <f t="shared" si="8"/>
        <v>86.25</v>
      </c>
      <c r="U59" s="66">
        <f t="shared" si="9"/>
        <v>1000.3558975537501</v>
      </c>
      <c r="V59" s="68">
        <f t="shared" si="10"/>
        <v>43.493734676250007</v>
      </c>
      <c r="W59" s="68">
        <f t="shared" si="11"/>
        <v>464.34592181049823</v>
      </c>
      <c r="X59" s="68">
        <f t="shared" si="12"/>
        <v>309.56394787366548</v>
      </c>
      <c r="Z59" s="63"/>
      <c r="AA59" s="63"/>
    </row>
    <row r="60" spans="1:27" hidden="1" x14ac:dyDescent="0.25">
      <c r="A60" t="str">
        <f t="shared" si="1"/>
        <v>10620106B28/05/2026M</v>
      </c>
      <c r="B60" s="168" t="s">
        <v>828</v>
      </c>
      <c r="C60" s="62" t="s">
        <v>396</v>
      </c>
      <c r="D60" s="62" t="s">
        <v>591</v>
      </c>
      <c r="E60" s="62" t="s">
        <v>593</v>
      </c>
      <c r="F60" s="49" t="s">
        <v>763</v>
      </c>
      <c r="G60" s="62" t="str">
        <f t="shared" si="2"/>
        <v>20106</v>
      </c>
      <c r="H60" s="62">
        <v>10620106</v>
      </c>
      <c r="I60" s="49" t="s">
        <v>387</v>
      </c>
      <c r="J60" s="69">
        <v>8</v>
      </c>
      <c r="K60" s="69">
        <v>8.4</v>
      </c>
      <c r="L60" s="69">
        <v>9</v>
      </c>
      <c r="M60" s="69">
        <f t="shared" si="3"/>
        <v>0.67200000000000004</v>
      </c>
      <c r="N60" s="69">
        <f t="shared" si="4"/>
        <v>0.72</v>
      </c>
      <c r="O60" s="56">
        <f>INDEX(Rate_Chart!$A$1:$AK$127,MATCH(Data!K60,Rate_Chart!$A$1:$A$127,0),MATCH(Data!L60,Rate_Chart!$A$1:$AK$1,0))</f>
        <v>70.14</v>
      </c>
      <c r="P60" s="57">
        <f t="shared" si="5"/>
        <v>561.12</v>
      </c>
      <c r="Q60" s="58">
        <f t="shared" si="6"/>
        <v>487.08333333333326</v>
      </c>
      <c r="R60" s="58">
        <f t="shared" si="7"/>
        <v>324.72222222222217</v>
      </c>
      <c r="S60" s="66">
        <f t="shared" si="16"/>
        <v>9.8196000000000012</v>
      </c>
      <c r="T60" s="64">
        <f t="shared" si="8"/>
        <v>30</v>
      </c>
      <c r="U60" s="66">
        <f t="shared" si="9"/>
        <v>600.93960000000004</v>
      </c>
      <c r="V60" s="68">
        <f t="shared" si="10"/>
        <v>75.117450000000005</v>
      </c>
      <c r="W60" s="68">
        <f t="shared" si="11"/>
        <v>521.64895833333333</v>
      </c>
      <c r="X60" s="68">
        <f t="shared" si="12"/>
        <v>347.76597222222222</v>
      </c>
      <c r="Z60" s="63"/>
      <c r="AA60" s="63"/>
    </row>
    <row r="61" spans="1:27" hidden="1" x14ac:dyDescent="0.25">
      <c r="A61" t="str">
        <f t="shared" si="1"/>
        <v>10620106C28/05/2026M</v>
      </c>
      <c r="B61" s="168" t="s">
        <v>828</v>
      </c>
      <c r="C61" s="62" t="s">
        <v>396</v>
      </c>
      <c r="D61" s="62" t="s">
        <v>591</v>
      </c>
      <c r="E61" s="62" t="s">
        <v>593</v>
      </c>
      <c r="F61" s="49" t="s">
        <v>763</v>
      </c>
      <c r="G61" s="62" t="str">
        <f t="shared" si="2"/>
        <v>20106</v>
      </c>
      <c r="H61" s="62">
        <v>10620106</v>
      </c>
      <c r="I61" s="49" t="s">
        <v>388</v>
      </c>
      <c r="J61" s="69">
        <v>15</v>
      </c>
      <c r="K61" s="69">
        <v>3.2</v>
      </c>
      <c r="L61" s="69">
        <v>8.1</v>
      </c>
      <c r="M61" s="69">
        <f t="shared" si="3"/>
        <v>0.48</v>
      </c>
      <c r="N61" s="69">
        <f t="shared" si="4"/>
        <v>1.2150000000000001</v>
      </c>
      <c r="O61" s="56">
        <f>INDEX(Rate_Chart!$A$1:$AK$127,MATCH(Data!K61,Rate_Chart!$A$1:$A$127,0),MATCH(Data!L61,Rate_Chart!$A$1:$AK$1,0))</f>
        <v>35.8631259</v>
      </c>
      <c r="P61" s="57">
        <f t="shared" si="5"/>
        <v>537.9468885</v>
      </c>
      <c r="Q61" s="58">
        <f t="shared" si="6"/>
        <v>417.01309186046512</v>
      </c>
      <c r="R61" s="58">
        <f t="shared" si="7"/>
        <v>278.00872790697673</v>
      </c>
      <c r="S61" s="66">
        <f t="shared" si="16"/>
        <v>9.4140705487500007</v>
      </c>
      <c r="T61" s="64">
        <f t="shared" si="8"/>
        <v>56.25</v>
      </c>
      <c r="U61" s="66">
        <f t="shared" si="9"/>
        <v>603.61095904875003</v>
      </c>
      <c r="V61" s="68">
        <f t="shared" si="10"/>
        <v>40.24073060325</v>
      </c>
      <c r="W61" s="68">
        <f t="shared" si="11"/>
        <v>467.91547213081401</v>
      </c>
      <c r="X61" s="68">
        <f t="shared" si="12"/>
        <v>311.94364808720934</v>
      </c>
      <c r="Z61" s="63"/>
      <c r="AA61" s="63"/>
    </row>
    <row r="62" spans="1:27" hidden="1" x14ac:dyDescent="0.25">
      <c r="A62" t="str">
        <f t="shared" si="1"/>
        <v>10620106C22/05/2026E</v>
      </c>
      <c r="B62" s="168" t="s">
        <v>828</v>
      </c>
      <c r="C62" s="62" t="s">
        <v>397</v>
      </c>
      <c r="D62" s="62" t="s">
        <v>591</v>
      </c>
      <c r="E62" s="62" t="s">
        <v>593</v>
      </c>
      <c r="F62" s="49" t="s">
        <v>763</v>
      </c>
      <c r="G62" s="62" t="str">
        <f t="shared" si="2"/>
        <v>20106</v>
      </c>
      <c r="H62" s="62">
        <v>10620106</v>
      </c>
      <c r="I62" s="49" t="s">
        <v>388</v>
      </c>
      <c r="J62" s="69">
        <v>21</v>
      </c>
      <c r="K62" s="69">
        <v>3.7</v>
      </c>
      <c r="L62" s="69">
        <v>8.1999999999999993</v>
      </c>
      <c r="M62" s="69">
        <f t="shared" si="3"/>
        <v>0.77700000000000002</v>
      </c>
      <c r="N62" s="69">
        <f t="shared" si="4"/>
        <v>1.722</v>
      </c>
      <c r="O62" s="56">
        <f>INDEX(Rate_Chart!$A$1:$AK$127,MATCH(Data!K62,Rate_Chart!$A$1:$A$127,0),MATCH(Data!L62,Rate_Chart!$A$1:$AK$1,0))</f>
        <v>38.226139799999999</v>
      </c>
      <c r="P62" s="57">
        <f t="shared" si="5"/>
        <v>802.74893580000003</v>
      </c>
      <c r="Q62" s="58">
        <f t="shared" si="6"/>
        <v>417.01243418181815</v>
      </c>
      <c r="R62" s="58">
        <f t="shared" si="7"/>
        <v>278.00828945454543</v>
      </c>
      <c r="S62" s="66">
        <f t="shared" si="16"/>
        <v>14.048106376500002</v>
      </c>
      <c r="T62" s="64">
        <f t="shared" si="8"/>
        <v>78.75</v>
      </c>
      <c r="U62" s="66">
        <f t="shared" si="9"/>
        <v>895.54704217649999</v>
      </c>
      <c r="V62" s="68">
        <f t="shared" si="10"/>
        <v>42.645097246500001</v>
      </c>
      <c r="W62" s="68">
        <f t="shared" si="11"/>
        <v>465.21924268909089</v>
      </c>
      <c r="X62" s="68">
        <f t="shared" si="12"/>
        <v>310.14616179272724</v>
      </c>
      <c r="Z62" s="63"/>
      <c r="AA62" s="63"/>
    </row>
    <row r="63" spans="1:27" hidden="1" x14ac:dyDescent="0.25">
      <c r="A63" t="str">
        <f t="shared" si="1"/>
        <v>10620107C22/05/2026M</v>
      </c>
      <c r="B63" s="168" t="s">
        <v>822</v>
      </c>
      <c r="C63" s="62" t="s">
        <v>396</v>
      </c>
      <c r="D63" s="62" t="s">
        <v>591</v>
      </c>
      <c r="E63" s="62" t="s">
        <v>593</v>
      </c>
      <c r="F63" s="49" t="s">
        <v>794</v>
      </c>
      <c r="G63" s="62" t="str">
        <f t="shared" si="2"/>
        <v>20107</v>
      </c>
      <c r="H63" s="62">
        <v>10620107</v>
      </c>
      <c r="I63" s="49" t="s">
        <v>388</v>
      </c>
      <c r="J63" s="69">
        <v>9</v>
      </c>
      <c r="K63" s="69">
        <v>4.7</v>
      </c>
      <c r="L63" s="69">
        <v>8.4</v>
      </c>
      <c r="M63" s="69">
        <f t="shared" si="3"/>
        <v>0.42300000000000004</v>
      </c>
      <c r="N63" s="69">
        <f t="shared" si="4"/>
        <v>0.75600000000000012</v>
      </c>
      <c r="O63" s="56">
        <v>40.789108800000008</v>
      </c>
      <c r="P63" s="57">
        <f t="shared" si="5"/>
        <v>367.10197920000007</v>
      </c>
      <c r="Q63" s="58">
        <f t="shared" si="6"/>
        <v>396.01076504854376</v>
      </c>
      <c r="R63" s="58">
        <f t="shared" si="7"/>
        <v>264.00717669902917</v>
      </c>
      <c r="S63" s="66">
        <f t="shared" si="16"/>
        <v>6.4242846360000021</v>
      </c>
      <c r="T63" s="64">
        <f t="shared" si="8"/>
        <v>33.75</v>
      </c>
      <c r="U63" s="66">
        <f t="shared" si="9"/>
        <v>407.27626383600006</v>
      </c>
      <c r="V63" s="68">
        <f t="shared" si="10"/>
        <v>45.252918204000004</v>
      </c>
      <c r="W63" s="68">
        <f t="shared" si="11"/>
        <v>439.34872042718445</v>
      </c>
      <c r="X63" s="68">
        <f t="shared" si="12"/>
        <v>292.89914695145632</v>
      </c>
      <c r="Z63" s="63"/>
      <c r="AA63" s="63"/>
    </row>
    <row r="64" spans="1:27" hidden="1" x14ac:dyDescent="0.25">
      <c r="A64" t="str">
        <f t="shared" si="1"/>
        <v>10620107C23/05/2026E</v>
      </c>
      <c r="B64" s="168" t="s">
        <v>822</v>
      </c>
      <c r="C64" s="62" t="s">
        <v>397</v>
      </c>
      <c r="D64" s="62" t="s">
        <v>591</v>
      </c>
      <c r="E64" s="62" t="s">
        <v>593</v>
      </c>
      <c r="F64" s="49" t="s">
        <v>794</v>
      </c>
      <c r="G64" s="62" t="str">
        <f t="shared" si="2"/>
        <v>20107</v>
      </c>
      <c r="H64" s="62">
        <v>10620107</v>
      </c>
      <c r="I64" s="49" t="s">
        <v>388</v>
      </c>
      <c r="J64" s="69">
        <v>9</v>
      </c>
      <c r="K64" s="69">
        <v>4.3</v>
      </c>
      <c r="L64" s="69">
        <v>8.1999999999999993</v>
      </c>
      <c r="M64" s="69">
        <f t="shared" si="3"/>
        <v>0.38699999999999996</v>
      </c>
      <c r="N64" s="69">
        <f t="shared" si="4"/>
        <v>0.73799999999999999</v>
      </c>
      <c r="O64" s="56">
        <v>38.677082400000003</v>
      </c>
      <c r="P64" s="57">
        <f t="shared" si="5"/>
        <v>348.09374160000004</v>
      </c>
      <c r="Q64" s="58">
        <f t="shared" si="6"/>
        <v>396.01108259385677</v>
      </c>
      <c r="R64" s="58">
        <f t="shared" si="7"/>
        <v>264.00738839590451</v>
      </c>
      <c r="S64" s="66">
        <f t="shared" si="16"/>
        <v>6.0916404780000013</v>
      </c>
      <c r="T64" s="64">
        <f t="shared" si="8"/>
        <v>33.75</v>
      </c>
      <c r="U64" s="66">
        <f t="shared" si="9"/>
        <v>387.93538207800003</v>
      </c>
      <c r="V64" s="68">
        <f t="shared" si="10"/>
        <v>43.103931342000003</v>
      </c>
      <c r="W64" s="68">
        <f t="shared" si="11"/>
        <v>441.33718097610932</v>
      </c>
      <c r="X64" s="68">
        <f t="shared" si="12"/>
        <v>294.2247873174062</v>
      </c>
      <c r="Z64" s="63"/>
      <c r="AA64" s="63"/>
    </row>
    <row r="65" spans="1:27" hidden="1" x14ac:dyDescent="0.25">
      <c r="A65" t="str">
        <f t="shared" si="1"/>
        <v>10620107C23/05/2026M</v>
      </c>
      <c r="B65" s="168" t="s">
        <v>823</v>
      </c>
      <c r="C65" s="62" t="s">
        <v>396</v>
      </c>
      <c r="D65" s="62" t="s">
        <v>591</v>
      </c>
      <c r="E65" s="62" t="s">
        <v>593</v>
      </c>
      <c r="F65" s="49" t="s">
        <v>794</v>
      </c>
      <c r="G65" s="62" t="str">
        <f t="shared" si="2"/>
        <v>20107</v>
      </c>
      <c r="H65" s="62">
        <v>10620107</v>
      </c>
      <c r="I65" s="49" t="s">
        <v>388</v>
      </c>
      <c r="J65" s="69">
        <v>10</v>
      </c>
      <c r="K65" s="69">
        <v>4.5</v>
      </c>
      <c r="L65" s="69">
        <v>8.1999999999999993</v>
      </c>
      <c r="M65" s="69">
        <f t="shared" si="3"/>
        <v>0.45</v>
      </c>
      <c r="N65" s="69">
        <f t="shared" si="4"/>
        <v>0.82</v>
      </c>
      <c r="O65" s="56">
        <v>39.469082400000005</v>
      </c>
      <c r="P65" s="57">
        <f t="shared" si="5"/>
        <v>394.69082400000002</v>
      </c>
      <c r="Q65" s="58">
        <f t="shared" si="6"/>
        <v>396.01086020066901</v>
      </c>
      <c r="R65" s="58">
        <f t="shared" si="7"/>
        <v>264.00724013377936</v>
      </c>
      <c r="S65" s="66">
        <f t="shared" si="16"/>
        <v>6.907089420000001</v>
      </c>
      <c r="T65" s="64">
        <f t="shared" si="8"/>
        <v>37.5</v>
      </c>
      <c r="U65" s="66">
        <f t="shared" si="9"/>
        <v>439.09791342</v>
      </c>
      <c r="V65" s="68">
        <f t="shared" si="10"/>
        <v>43.909791341999998</v>
      </c>
      <c r="W65" s="68">
        <f t="shared" si="11"/>
        <v>440.56646831438132</v>
      </c>
      <c r="X65" s="68">
        <f t="shared" si="12"/>
        <v>293.71097887625422</v>
      </c>
      <c r="Z65" s="63"/>
      <c r="AA65" s="63"/>
    </row>
    <row r="66" spans="1:27" hidden="1" x14ac:dyDescent="0.25">
      <c r="A66" t="str">
        <f t="shared" si="1"/>
        <v>10620107C24/05/2026E</v>
      </c>
      <c r="B66" s="168" t="s">
        <v>823</v>
      </c>
      <c r="C66" s="62" t="s">
        <v>397</v>
      </c>
      <c r="D66" s="62" t="s">
        <v>591</v>
      </c>
      <c r="E66" s="62" t="s">
        <v>593</v>
      </c>
      <c r="F66" s="49" t="s">
        <v>794</v>
      </c>
      <c r="G66" s="62" t="str">
        <f t="shared" si="2"/>
        <v>20107</v>
      </c>
      <c r="H66" s="62">
        <v>10620107</v>
      </c>
      <c r="I66" s="49" t="s">
        <v>388</v>
      </c>
      <c r="J66" s="69">
        <v>9</v>
      </c>
      <c r="K66" s="69">
        <v>4.5999999999999996</v>
      </c>
      <c r="L66" s="69">
        <v>8.1999999999999993</v>
      </c>
      <c r="M66" s="69">
        <f t="shared" si="3"/>
        <v>0.41399999999999998</v>
      </c>
      <c r="N66" s="69">
        <f t="shared" si="4"/>
        <v>0.73799999999999999</v>
      </c>
      <c r="O66" s="56">
        <v>39.865082400000006</v>
      </c>
      <c r="P66" s="57">
        <f t="shared" si="5"/>
        <v>358.78574160000005</v>
      </c>
      <c r="Q66" s="58">
        <f t="shared" si="6"/>
        <v>396.01075231788087</v>
      </c>
      <c r="R66" s="58">
        <f t="shared" si="7"/>
        <v>264.0071682119206</v>
      </c>
      <c r="S66" s="66">
        <f t="shared" si="16"/>
        <v>6.2787504780000019</v>
      </c>
      <c r="T66" s="64">
        <f t="shared" si="8"/>
        <v>33.75</v>
      </c>
      <c r="U66" s="66">
        <f t="shared" si="9"/>
        <v>398.81449207800006</v>
      </c>
      <c r="V66" s="68">
        <f t="shared" si="10"/>
        <v>44.312721342000003</v>
      </c>
      <c r="W66" s="68">
        <f t="shared" si="11"/>
        <v>440.19259611258286</v>
      </c>
      <c r="X66" s="68">
        <f t="shared" si="12"/>
        <v>293.46173074172191</v>
      </c>
      <c r="Z66" s="63"/>
      <c r="AA66" s="63"/>
    </row>
    <row r="67" spans="1:27" hidden="1" x14ac:dyDescent="0.25">
      <c r="A67" t="str">
        <f t="shared" si="1"/>
        <v>10620107C24/05/2026M</v>
      </c>
      <c r="B67" s="168" t="s">
        <v>824</v>
      </c>
      <c r="C67" s="62" t="s">
        <v>396</v>
      </c>
      <c r="D67" s="62" t="s">
        <v>591</v>
      </c>
      <c r="E67" s="62" t="s">
        <v>593</v>
      </c>
      <c r="F67" s="49" t="s">
        <v>794</v>
      </c>
      <c r="G67" s="62" t="str">
        <f t="shared" si="2"/>
        <v>20107</v>
      </c>
      <c r="H67" s="62">
        <v>10620107</v>
      </c>
      <c r="I67" s="49" t="s">
        <v>388</v>
      </c>
      <c r="J67" s="69">
        <v>9</v>
      </c>
      <c r="K67" s="69">
        <v>5</v>
      </c>
      <c r="L67" s="69">
        <v>8.5</v>
      </c>
      <c r="M67" s="69">
        <f t="shared" si="3"/>
        <v>0.45</v>
      </c>
      <c r="N67" s="69">
        <f t="shared" si="4"/>
        <v>0.76500000000000001</v>
      </c>
      <c r="O67" s="56">
        <v>42.241122000000004</v>
      </c>
      <c r="P67" s="57">
        <f t="shared" si="5"/>
        <v>380.17009800000005</v>
      </c>
      <c r="Q67" s="58">
        <f t="shared" si="6"/>
        <v>396.01051875000002</v>
      </c>
      <c r="R67" s="58">
        <f t="shared" si="7"/>
        <v>264.00701250000003</v>
      </c>
      <c r="S67" s="66">
        <f t="shared" si="16"/>
        <v>6.6529767150000012</v>
      </c>
      <c r="T67" s="64">
        <f t="shared" si="8"/>
        <v>33.75</v>
      </c>
      <c r="U67" s="66">
        <f t="shared" si="9"/>
        <v>420.57307471500008</v>
      </c>
      <c r="V67" s="68">
        <f t="shared" si="10"/>
        <v>46.730341635000009</v>
      </c>
      <c r="W67" s="68">
        <f t="shared" si="11"/>
        <v>438.09695282812504</v>
      </c>
      <c r="X67" s="68">
        <f t="shared" si="12"/>
        <v>292.06463521875003</v>
      </c>
      <c r="Z67" s="63"/>
      <c r="AA67" s="63"/>
    </row>
    <row r="68" spans="1:27" hidden="1" x14ac:dyDescent="0.25">
      <c r="A68" t="str">
        <f t="shared" si="1"/>
        <v>10620107C25/05/2026E</v>
      </c>
      <c r="B68" s="168" t="s">
        <v>824</v>
      </c>
      <c r="C68" s="62" t="s">
        <v>397</v>
      </c>
      <c r="D68" s="62" t="s">
        <v>591</v>
      </c>
      <c r="E68" s="62" t="s">
        <v>593</v>
      </c>
      <c r="F68" s="49" t="s">
        <v>794</v>
      </c>
      <c r="G68" s="62" t="str">
        <f t="shared" si="2"/>
        <v>20107</v>
      </c>
      <c r="H68" s="62">
        <v>10620107</v>
      </c>
      <c r="I68" s="49" t="s">
        <v>388</v>
      </c>
      <c r="J68" s="69">
        <v>9</v>
      </c>
      <c r="K68" s="69">
        <v>4.5</v>
      </c>
      <c r="L68" s="69">
        <v>8.1999999999999993</v>
      </c>
      <c r="M68" s="69">
        <f t="shared" si="3"/>
        <v>0.40500000000000003</v>
      </c>
      <c r="N68" s="69">
        <f t="shared" si="4"/>
        <v>0.73799999999999999</v>
      </c>
      <c r="O68" s="56">
        <v>39.469082400000005</v>
      </c>
      <c r="P68" s="57">
        <f t="shared" si="5"/>
        <v>355.22174160000003</v>
      </c>
      <c r="Q68" s="58">
        <f t="shared" si="6"/>
        <v>396.01086020066901</v>
      </c>
      <c r="R68" s="58">
        <f t="shared" si="7"/>
        <v>264.00724013377936</v>
      </c>
      <c r="S68" s="66">
        <f t="shared" si="16"/>
        <v>6.2163804780000014</v>
      </c>
      <c r="T68" s="64">
        <f t="shared" si="8"/>
        <v>33.75</v>
      </c>
      <c r="U68" s="66">
        <f t="shared" si="9"/>
        <v>395.18812207800005</v>
      </c>
      <c r="V68" s="68">
        <f t="shared" si="10"/>
        <v>43.909791342000005</v>
      </c>
      <c r="W68" s="68">
        <f t="shared" si="11"/>
        <v>440.56646831438138</v>
      </c>
      <c r="X68" s="68">
        <f t="shared" si="12"/>
        <v>293.71097887625427</v>
      </c>
      <c r="Z68" s="63"/>
      <c r="AA68" s="63"/>
    </row>
    <row r="69" spans="1:27" hidden="1" x14ac:dyDescent="0.25">
      <c r="A69" t="str">
        <f t="shared" ref="A69:A132" si="17">CONCATENATE(H69,I69,B70,C69)</f>
        <v>10620107C25/05/2026M</v>
      </c>
      <c r="B69" s="168" t="s">
        <v>825</v>
      </c>
      <c r="C69" s="62" t="s">
        <v>396</v>
      </c>
      <c r="D69" s="62" t="s">
        <v>591</v>
      </c>
      <c r="E69" s="62" t="s">
        <v>593</v>
      </c>
      <c r="F69" s="49" t="s">
        <v>794</v>
      </c>
      <c r="G69" s="62" t="str">
        <f t="shared" ref="G69:G133" si="18">MID(F69,2,5)</f>
        <v>20107</v>
      </c>
      <c r="H69" s="62">
        <v>10620107</v>
      </c>
      <c r="I69" s="49" t="s">
        <v>388</v>
      </c>
      <c r="J69" s="69">
        <v>9</v>
      </c>
      <c r="K69" s="69">
        <v>4.8</v>
      </c>
      <c r="L69" s="69">
        <v>8.1999999999999993</v>
      </c>
      <c r="M69" s="69">
        <f t="shared" ref="M69:M96" si="19">K69*J69/100</f>
        <v>0.43199999999999994</v>
      </c>
      <c r="N69" s="69">
        <f t="shared" ref="N69:N96" si="20">L69*J69/100</f>
        <v>0.73799999999999999</v>
      </c>
      <c r="O69" s="56">
        <v>40.6570824</v>
      </c>
      <c r="P69" s="57">
        <f t="shared" ref="P69:P96" si="21">O69*J69</f>
        <v>365.91374159999998</v>
      </c>
      <c r="Q69" s="58">
        <f t="shared" ref="Q69:Q96" si="22">O69/(K69%+L69%*2/3)</f>
        <v>396.01054285714292</v>
      </c>
      <c r="R69" s="58">
        <f t="shared" ref="R69:R96" si="23">Q69*2/3</f>
        <v>264.00702857142863</v>
      </c>
      <c r="S69" s="66">
        <f t="shared" ref="S69:S133" si="24">P69*1.75%</f>
        <v>6.4034904780000002</v>
      </c>
      <c r="T69" s="64">
        <f t="shared" ref="T69:T96" si="25">J69*3.75</f>
        <v>33.75</v>
      </c>
      <c r="U69" s="66">
        <f t="shared" ref="U69:U96" si="26">S69+T69+P69</f>
        <v>406.06723207799996</v>
      </c>
      <c r="V69" s="68">
        <f t="shared" ref="V69:V96" si="27">U69/J69</f>
        <v>45.118581341999999</v>
      </c>
      <c r="W69" s="68">
        <f t="shared" ref="W69:W96" si="28">V69/(K69%+L69%*2/3)</f>
        <v>439.46670138311691</v>
      </c>
      <c r="X69" s="68">
        <f t="shared" ref="X69:X96" si="29">W69*2/3</f>
        <v>292.97780092207796</v>
      </c>
      <c r="Z69" s="63"/>
      <c r="AA69" s="63"/>
    </row>
    <row r="70" spans="1:27" hidden="1" x14ac:dyDescent="0.25">
      <c r="A70" t="str">
        <f t="shared" si="17"/>
        <v>10620107C26/05/2026E</v>
      </c>
      <c r="B70" s="168" t="s">
        <v>825</v>
      </c>
      <c r="C70" s="62" t="s">
        <v>397</v>
      </c>
      <c r="D70" s="62" t="s">
        <v>591</v>
      </c>
      <c r="E70" s="62" t="s">
        <v>593</v>
      </c>
      <c r="F70" s="49" t="s">
        <v>794</v>
      </c>
      <c r="G70" s="62" t="str">
        <f t="shared" si="18"/>
        <v>20107</v>
      </c>
      <c r="H70" s="62">
        <v>10620107</v>
      </c>
      <c r="I70" s="49" t="s">
        <v>388</v>
      </c>
      <c r="J70" s="69">
        <v>9</v>
      </c>
      <c r="K70" s="69">
        <v>4.5999999999999996</v>
      </c>
      <c r="L70" s="69">
        <v>8.1999999999999993</v>
      </c>
      <c r="M70" s="69">
        <f t="shared" si="19"/>
        <v>0.41399999999999998</v>
      </c>
      <c r="N70" s="69">
        <f t="shared" si="20"/>
        <v>0.73799999999999999</v>
      </c>
      <c r="O70" s="56">
        <v>39.865082400000006</v>
      </c>
      <c r="P70" s="57">
        <f t="shared" si="21"/>
        <v>358.78574160000005</v>
      </c>
      <c r="Q70" s="58">
        <f t="shared" si="22"/>
        <v>396.01075231788087</v>
      </c>
      <c r="R70" s="58">
        <f t="shared" si="23"/>
        <v>264.0071682119206</v>
      </c>
      <c r="S70" s="66">
        <f t="shared" si="24"/>
        <v>6.2787504780000019</v>
      </c>
      <c r="T70" s="64">
        <f t="shared" si="25"/>
        <v>33.75</v>
      </c>
      <c r="U70" s="66">
        <f t="shared" si="26"/>
        <v>398.81449207800006</v>
      </c>
      <c r="V70" s="68">
        <f t="shared" si="27"/>
        <v>44.312721342000003</v>
      </c>
      <c r="W70" s="68">
        <f t="shared" si="28"/>
        <v>440.19259611258286</v>
      </c>
      <c r="X70" s="68">
        <f t="shared" si="29"/>
        <v>293.46173074172191</v>
      </c>
      <c r="Z70" s="63"/>
      <c r="AA70" s="63"/>
    </row>
    <row r="71" spans="1:27" hidden="1" x14ac:dyDescent="0.25">
      <c r="A71" t="str">
        <f t="shared" si="17"/>
        <v>10620107C26/05/2026M</v>
      </c>
      <c r="B71" s="168" t="s">
        <v>826</v>
      </c>
      <c r="C71" s="62" t="s">
        <v>396</v>
      </c>
      <c r="D71" s="62" t="s">
        <v>591</v>
      </c>
      <c r="E71" s="62" t="s">
        <v>593</v>
      </c>
      <c r="F71" s="49" t="s">
        <v>794</v>
      </c>
      <c r="G71" s="62" t="str">
        <f t="shared" si="18"/>
        <v>20107</v>
      </c>
      <c r="H71" s="62">
        <v>10620107</v>
      </c>
      <c r="I71" s="49" t="s">
        <v>388</v>
      </c>
      <c r="J71" s="69">
        <v>9</v>
      </c>
      <c r="K71" s="69">
        <v>4.8</v>
      </c>
      <c r="L71" s="69">
        <v>8.5</v>
      </c>
      <c r="M71" s="69">
        <f t="shared" si="19"/>
        <v>0.43199999999999994</v>
      </c>
      <c r="N71" s="69">
        <f t="shared" si="20"/>
        <v>0.76500000000000001</v>
      </c>
      <c r="O71" s="56">
        <f>INDEX(Rate_Chart!$A$1:$AK$127,MATCH(Data!K71,Rate_Chart!$A$1:$A$127,0),MATCH(Data!L71,Rate_Chart!$A$1:$AK$1,0))</f>
        <v>43.647181500000002</v>
      </c>
      <c r="P71" s="57">
        <f t="shared" si="21"/>
        <v>392.8246335</v>
      </c>
      <c r="Q71" s="58">
        <f t="shared" si="22"/>
        <v>417.0112882165605</v>
      </c>
      <c r="R71" s="58">
        <f t="shared" si="23"/>
        <v>278.00752547770702</v>
      </c>
      <c r="S71" s="66">
        <f t="shared" si="24"/>
        <v>6.8744310862500004</v>
      </c>
      <c r="T71" s="64">
        <f t="shared" si="25"/>
        <v>33.75</v>
      </c>
      <c r="U71" s="66">
        <f t="shared" si="26"/>
        <v>433.44906458625002</v>
      </c>
      <c r="V71" s="68">
        <f t="shared" si="27"/>
        <v>48.161007176250003</v>
      </c>
      <c r="W71" s="68">
        <f t="shared" si="28"/>
        <v>460.13701123805731</v>
      </c>
      <c r="X71" s="68">
        <f t="shared" si="29"/>
        <v>306.75800749203819</v>
      </c>
      <c r="Z71" s="63"/>
      <c r="AA71" s="63"/>
    </row>
    <row r="72" spans="1:27" hidden="1" x14ac:dyDescent="0.25">
      <c r="A72" t="str">
        <f t="shared" si="17"/>
        <v>10620107C27/05/2026E</v>
      </c>
      <c r="B72" s="168" t="s">
        <v>826</v>
      </c>
      <c r="C72" s="62" t="s">
        <v>397</v>
      </c>
      <c r="D72" s="62" t="s">
        <v>591</v>
      </c>
      <c r="E72" s="62" t="s">
        <v>593</v>
      </c>
      <c r="F72" s="49" t="s">
        <v>794</v>
      </c>
      <c r="G72" s="62" t="str">
        <f t="shared" si="18"/>
        <v>20107</v>
      </c>
      <c r="H72" s="62">
        <v>10620107</v>
      </c>
      <c r="I72" s="49" t="s">
        <v>388</v>
      </c>
      <c r="J72" s="69">
        <v>8</v>
      </c>
      <c r="K72" s="69">
        <v>5.0999999999999996</v>
      </c>
      <c r="L72" s="69">
        <v>8.5</v>
      </c>
      <c r="M72" s="69">
        <f t="shared" si="19"/>
        <v>0.40799999999999997</v>
      </c>
      <c r="N72" s="69">
        <f t="shared" si="20"/>
        <v>0.68</v>
      </c>
      <c r="O72" s="56">
        <f>INDEX(Rate_Chart!$A$1:$AK$127,MATCH(Data!K72,Rate_Chart!$A$1:$A$127,0),MATCH(Data!L72,Rate_Chart!$A$1:$AK$1,0))</f>
        <v>44.898181500000007</v>
      </c>
      <c r="P72" s="57">
        <f t="shared" si="21"/>
        <v>359.18545200000005</v>
      </c>
      <c r="Q72" s="58">
        <f t="shared" si="22"/>
        <v>417.01097368421063</v>
      </c>
      <c r="R72" s="58">
        <f t="shared" si="23"/>
        <v>278.00731578947375</v>
      </c>
      <c r="S72" s="66">
        <f t="shared" si="24"/>
        <v>6.2857454100000014</v>
      </c>
      <c r="T72" s="64">
        <f t="shared" si="25"/>
        <v>30</v>
      </c>
      <c r="U72" s="66">
        <f t="shared" si="26"/>
        <v>395.47119741000006</v>
      </c>
      <c r="V72" s="68">
        <f t="shared" si="27"/>
        <v>49.433899676250007</v>
      </c>
      <c r="W72" s="68">
        <f t="shared" si="28"/>
        <v>459.13838708591339</v>
      </c>
      <c r="X72" s="68">
        <f t="shared" si="29"/>
        <v>306.09225805727561</v>
      </c>
      <c r="Z72" s="63"/>
      <c r="AA72" s="63"/>
    </row>
    <row r="73" spans="1:27" hidden="1" x14ac:dyDescent="0.25">
      <c r="A73" t="str">
        <f t="shared" si="17"/>
        <v>10620107C27/05/2026M</v>
      </c>
      <c r="B73" s="168" t="s">
        <v>827</v>
      </c>
      <c r="C73" s="62" t="s">
        <v>396</v>
      </c>
      <c r="D73" s="62" t="s">
        <v>591</v>
      </c>
      <c r="E73" s="62" t="s">
        <v>593</v>
      </c>
      <c r="F73" s="49" t="s">
        <v>794</v>
      </c>
      <c r="G73" s="62" t="str">
        <f t="shared" si="18"/>
        <v>20107</v>
      </c>
      <c r="H73" s="62">
        <v>10620107</v>
      </c>
      <c r="I73" s="49" t="s">
        <v>388</v>
      </c>
      <c r="J73" s="69">
        <v>9</v>
      </c>
      <c r="K73" s="69">
        <v>4.8</v>
      </c>
      <c r="L73" s="69">
        <v>8.5</v>
      </c>
      <c r="M73" s="69">
        <f t="shared" si="19"/>
        <v>0.43199999999999994</v>
      </c>
      <c r="N73" s="69">
        <f t="shared" si="20"/>
        <v>0.76500000000000001</v>
      </c>
      <c r="O73" s="56">
        <f>INDEX(Rate_Chart!$A$1:$AK$127,MATCH(Data!K73,Rate_Chart!$A$1:$A$127,0),MATCH(Data!L73,Rate_Chart!$A$1:$AK$1,0))</f>
        <v>43.647181500000002</v>
      </c>
      <c r="P73" s="57">
        <f t="shared" si="21"/>
        <v>392.8246335</v>
      </c>
      <c r="Q73" s="58">
        <f t="shared" si="22"/>
        <v>417.0112882165605</v>
      </c>
      <c r="R73" s="58">
        <f t="shared" si="23"/>
        <v>278.00752547770702</v>
      </c>
      <c r="S73" s="66">
        <f t="shared" si="24"/>
        <v>6.8744310862500004</v>
      </c>
      <c r="T73" s="64">
        <f t="shared" si="25"/>
        <v>33.75</v>
      </c>
      <c r="U73" s="66">
        <f t="shared" si="26"/>
        <v>433.44906458625002</v>
      </c>
      <c r="V73" s="68">
        <f t="shared" si="27"/>
        <v>48.161007176250003</v>
      </c>
      <c r="W73" s="68">
        <f t="shared" si="28"/>
        <v>460.13701123805731</v>
      </c>
      <c r="X73" s="68">
        <f t="shared" si="29"/>
        <v>306.75800749203819</v>
      </c>
      <c r="Z73" s="63"/>
      <c r="AA73" s="63"/>
    </row>
    <row r="74" spans="1:27" hidden="1" x14ac:dyDescent="0.25">
      <c r="A74" t="str">
        <f t="shared" si="17"/>
        <v>10620107C28/05/2026E</v>
      </c>
      <c r="B74" s="168" t="s">
        <v>827</v>
      </c>
      <c r="C74" s="62" t="s">
        <v>397</v>
      </c>
      <c r="D74" s="62" t="s">
        <v>591</v>
      </c>
      <c r="E74" s="62" t="s">
        <v>593</v>
      </c>
      <c r="F74" s="49" t="s">
        <v>794</v>
      </c>
      <c r="G74" s="62" t="str">
        <f t="shared" si="18"/>
        <v>20107</v>
      </c>
      <c r="H74" s="62">
        <v>10620107</v>
      </c>
      <c r="I74" s="49" t="s">
        <v>388</v>
      </c>
      <c r="J74" s="69">
        <v>8</v>
      </c>
      <c r="K74" s="69">
        <v>5</v>
      </c>
      <c r="L74" s="69">
        <v>8.5</v>
      </c>
      <c r="M74" s="69">
        <f t="shared" si="19"/>
        <v>0.4</v>
      </c>
      <c r="N74" s="69">
        <f t="shared" si="20"/>
        <v>0.68</v>
      </c>
      <c r="O74" s="56">
        <f>INDEX(Rate_Chart!$A$1:$AK$127,MATCH(Data!K74,Rate_Chart!$A$1:$A$127,0),MATCH(Data!L74,Rate_Chart!$A$1:$AK$1,0))</f>
        <v>44.481181500000005</v>
      </c>
      <c r="P74" s="57">
        <f t="shared" si="21"/>
        <v>355.84945200000004</v>
      </c>
      <c r="Q74" s="58">
        <f t="shared" si="22"/>
        <v>417.01107656250002</v>
      </c>
      <c r="R74" s="58">
        <f t="shared" si="23"/>
        <v>278.00738437500002</v>
      </c>
      <c r="S74" s="66">
        <f t="shared" si="24"/>
        <v>6.2273654100000018</v>
      </c>
      <c r="T74" s="64">
        <f t="shared" si="25"/>
        <v>30</v>
      </c>
      <c r="U74" s="66">
        <f t="shared" si="26"/>
        <v>392.07681741000005</v>
      </c>
      <c r="V74" s="68">
        <f t="shared" si="27"/>
        <v>49.009602176250006</v>
      </c>
      <c r="W74" s="68">
        <f t="shared" si="28"/>
        <v>459.46502040234378</v>
      </c>
      <c r="X74" s="68">
        <f t="shared" si="29"/>
        <v>306.3100136015625</v>
      </c>
      <c r="Z74" s="63"/>
      <c r="AA74" s="63"/>
    </row>
    <row r="75" spans="1:27" hidden="1" x14ac:dyDescent="0.25">
      <c r="A75" t="str">
        <f t="shared" si="17"/>
        <v>10620107B28/05/2026M</v>
      </c>
      <c r="B75" s="168" t="s">
        <v>828</v>
      </c>
      <c r="C75" s="62" t="s">
        <v>396</v>
      </c>
      <c r="D75" s="62" t="s">
        <v>591</v>
      </c>
      <c r="E75" s="62" t="s">
        <v>593</v>
      </c>
      <c r="F75" s="49" t="s">
        <v>794</v>
      </c>
      <c r="G75" s="62" t="str">
        <f t="shared" si="18"/>
        <v>20107</v>
      </c>
      <c r="H75" s="62">
        <v>10620107</v>
      </c>
      <c r="I75" s="49" t="s">
        <v>387</v>
      </c>
      <c r="J75" s="69">
        <v>4</v>
      </c>
      <c r="K75" s="69">
        <v>6.5</v>
      </c>
      <c r="L75" s="69">
        <v>8.8000000000000007</v>
      </c>
      <c r="M75" s="69">
        <f t="shared" si="19"/>
        <v>0.26</v>
      </c>
      <c r="N75" s="69">
        <f t="shared" si="20"/>
        <v>0.35200000000000004</v>
      </c>
      <c r="O75" s="56">
        <f>INDEX(Rate_Chart!$A$1:$AK$127,MATCH(Data!K75,Rate_Chart!$A$1:$A$127,0),MATCH(Data!L75,Rate_Chart!$A$1:$AK$1,0))</f>
        <v>53.732250000000001</v>
      </c>
      <c r="P75" s="57">
        <f t="shared" si="21"/>
        <v>214.929</v>
      </c>
      <c r="Q75" s="58">
        <f t="shared" si="22"/>
        <v>434.49258760107813</v>
      </c>
      <c r="R75" s="58">
        <f t="shared" si="23"/>
        <v>289.66172506738542</v>
      </c>
      <c r="S75" s="66">
        <f t="shared" si="24"/>
        <v>3.7612575000000006</v>
      </c>
      <c r="T75" s="64">
        <f t="shared" si="25"/>
        <v>15</v>
      </c>
      <c r="U75" s="66">
        <f t="shared" si="26"/>
        <v>233.6902575</v>
      </c>
      <c r="V75" s="68">
        <f t="shared" si="27"/>
        <v>58.422564375</v>
      </c>
      <c r="W75" s="68">
        <f t="shared" si="28"/>
        <v>472.41965801886789</v>
      </c>
      <c r="X75" s="68">
        <f t="shared" si="29"/>
        <v>314.94643867924526</v>
      </c>
      <c r="Z75" s="63"/>
      <c r="AA75" s="63"/>
    </row>
    <row r="76" spans="1:27" hidden="1" x14ac:dyDescent="0.25">
      <c r="A76" t="str">
        <f t="shared" si="17"/>
        <v>10620107C23/05/2026E</v>
      </c>
      <c r="B76" s="168" t="s">
        <v>828</v>
      </c>
      <c r="C76" s="62" t="s">
        <v>397</v>
      </c>
      <c r="D76" s="62" t="s">
        <v>591</v>
      </c>
      <c r="E76" s="62" t="s">
        <v>593</v>
      </c>
      <c r="F76" s="49" t="s">
        <v>794</v>
      </c>
      <c r="G76" s="62" t="str">
        <f t="shared" si="18"/>
        <v>20107</v>
      </c>
      <c r="H76" s="62">
        <v>10620107</v>
      </c>
      <c r="I76" s="49" t="s">
        <v>388</v>
      </c>
      <c r="J76" s="69">
        <v>10</v>
      </c>
      <c r="K76" s="69">
        <v>4.0999999999999996</v>
      </c>
      <c r="L76" s="69">
        <v>8.1</v>
      </c>
      <c r="M76" s="69">
        <f t="shared" si="19"/>
        <v>0.41</v>
      </c>
      <c r="N76" s="69">
        <f t="shared" si="20"/>
        <v>0.81</v>
      </c>
      <c r="O76" s="56">
        <f>INDEX(Rate_Chart!$A$1:$AK$127,MATCH(Data!K76,Rate_Chart!$A$1:$A$127,0),MATCH(Data!L76,Rate_Chart!$A$1:$AK$1,0))</f>
        <v>39.6161259</v>
      </c>
      <c r="P76" s="57">
        <f t="shared" si="21"/>
        <v>396.16125899999997</v>
      </c>
      <c r="Q76" s="58">
        <f t="shared" si="22"/>
        <v>417.01185157894736</v>
      </c>
      <c r="R76" s="58">
        <f t="shared" si="23"/>
        <v>278.00790105263155</v>
      </c>
      <c r="S76" s="66">
        <f t="shared" si="24"/>
        <v>6.9328220324999998</v>
      </c>
      <c r="T76" s="64">
        <f t="shared" si="25"/>
        <v>37.5</v>
      </c>
      <c r="U76" s="66">
        <f t="shared" si="26"/>
        <v>440.59408103249996</v>
      </c>
      <c r="V76" s="68">
        <f t="shared" si="27"/>
        <v>44.059408103249993</v>
      </c>
      <c r="W76" s="68">
        <f t="shared" si="28"/>
        <v>463.7832431921052</v>
      </c>
      <c r="X76" s="68">
        <f t="shared" si="29"/>
        <v>309.18882879473682</v>
      </c>
      <c r="Z76" s="63"/>
      <c r="AA76" s="63"/>
    </row>
    <row r="77" spans="1:27" hidden="1" x14ac:dyDescent="0.25">
      <c r="A77" t="str">
        <f t="shared" si="17"/>
        <v>10620109B26/05/2026E</v>
      </c>
      <c r="B77" s="168" t="s">
        <v>823</v>
      </c>
      <c r="C77" s="62" t="s">
        <v>397</v>
      </c>
      <c r="D77" s="62" t="s">
        <v>591</v>
      </c>
      <c r="E77" s="62" t="s">
        <v>592</v>
      </c>
      <c r="F77" s="49" t="s">
        <v>732</v>
      </c>
      <c r="G77" s="62" t="str">
        <f t="shared" si="18"/>
        <v>20109</v>
      </c>
      <c r="H77" s="62">
        <v>10620109</v>
      </c>
      <c r="I77" s="49" t="s">
        <v>387</v>
      </c>
      <c r="J77" s="69">
        <v>2000</v>
      </c>
      <c r="K77" s="69">
        <v>5.6</v>
      </c>
      <c r="L77" s="69">
        <v>8.4</v>
      </c>
      <c r="M77" s="69">
        <f t="shared" si="19"/>
        <v>112</v>
      </c>
      <c r="N77" s="69">
        <f t="shared" si="20"/>
        <v>168</v>
      </c>
      <c r="O77" s="56">
        <v>45.357199999999999</v>
      </c>
      <c r="P77" s="57">
        <f t="shared" si="21"/>
        <v>90714.4</v>
      </c>
      <c r="Q77" s="58">
        <f t="shared" si="22"/>
        <v>404.97500000000002</v>
      </c>
      <c r="R77" s="58">
        <f t="shared" si="23"/>
        <v>269.98333333333335</v>
      </c>
      <c r="S77" s="66">
        <f t="shared" si="24"/>
        <v>1587.502</v>
      </c>
      <c r="T77" s="64">
        <f t="shared" si="25"/>
        <v>7500</v>
      </c>
      <c r="U77" s="66">
        <f t="shared" si="26"/>
        <v>99801.902000000002</v>
      </c>
      <c r="V77" s="68">
        <f t="shared" si="27"/>
        <v>49.900950999999999</v>
      </c>
      <c r="W77" s="68">
        <f t="shared" si="28"/>
        <v>445.54420535714291</v>
      </c>
      <c r="X77" s="68">
        <f t="shared" si="29"/>
        <v>297.02947023809526</v>
      </c>
      <c r="Z77" s="63"/>
      <c r="AA77" s="63"/>
    </row>
    <row r="78" spans="1:27" hidden="1" x14ac:dyDescent="0.25">
      <c r="A78" t="str">
        <f t="shared" si="17"/>
        <v>10620109B26/05/2026M</v>
      </c>
      <c r="B78" s="168" t="s">
        <v>826</v>
      </c>
      <c r="C78" s="62" t="s">
        <v>396</v>
      </c>
      <c r="D78" s="62" t="s">
        <v>591</v>
      </c>
      <c r="E78" s="62" t="s">
        <v>592</v>
      </c>
      <c r="F78" s="49" t="s">
        <v>732</v>
      </c>
      <c r="G78" s="62" t="str">
        <f t="shared" si="18"/>
        <v>20109</v>
      </c>
      <c r="H78" s="62">
        <v>10620109</v>
      </c>
      <c r="I78" s="49" t="s">
        <v>387</v>
      </c>
      <c r="J78" s="69">
        <v>2000</v>
      </c>
      <c r="K78" s="69">
        <v>5.6</v>
      </c>
      <c r="L78" s="69">
        <v>8.4</v>
      </c>
      <c r="M78" s="69">
        <f t="shared" si="19"/>
        <v>112</v>
      </c>
      <c r="N78" s="69">
        <f t="shared" si="20"/>
        <v>168</v>
      </c>
      <c r="O78" s="56">
        <f>INDEX(Rate_Chart!$A$1:$AK$127,MATCH(Data!K78,Rate_Chart!$A$1:$A$127,0),MATCH(Data!L78,Rate_Chart!$A$1:$AK$1,0))</f>
        <v>45.357199999999999</v>
      </c>
      <c r="P78" s="57">
        <f t="shared" si="21"/>
        <v>90714.4</v>
      </c>
      <c r="Q78" s="58">
        <f t="shared" si="22"/>
        <v>404.97500000000002</v>
      </c>
      <c r="R78" s="58">
        <f t="shared" si="23"/>
        <v>269.98333333333335</v>
      </c>
      <c r="S78" s="66">
        <f t="shared" si="24"/>
        <v>1587.502</v>
      </c>
      <c r="T78" s="64">
        <f t="shared" si="25"/>
        <v>7500</v>
      </c>
      <c r="U78" s="66">
        <f t="shared" si="26"/>
        <v>99801.902000000002</v>
      </c>
      <c r="V78" s="68">
        <f t="shared" si="27"/>
        <v>49.900950999999999</v>
      </c>
      <c r="W78" s="68">
        <f t="shared" si="28"/>
        <v>445.54420535714291</v>
      </c>
      <c r="X78" s="68">
        <f t="shared" si="29"/>
        <v>297.02947023809526</v>
      </c>
      <c r="Z78" s="63"/>
      <c r="AA78" s="63"/>
    </row>
    <row r="79" spans="1:27" hidden="1" x14ac:dyDescent="0.25">
      <c r="A79" t="str">
        <f t="shared" si="17"/>
        <v>10620109C26/05/2026M</v>
      </c>
      <c r="B79" s="168" t="s">
        <v>826</v>
      </c>
      <c r="C79" s="62" t="s">
        <v>396</v>
      </c>
      <c r="D79" s="62" t="s">
        <v>591</v>
      </c>
      <c r="E79" s="62" t="s">
        <v>592</v>
      </c>
      <c r="F79" s="49" t="s">
        <v>732</v>
      </c>
      <c r="G79" s="62" t="str">
        <f t="shared" si="18"/>
        <v>20109</v>
      </c>
      <c r="H79" s="62">
        <v>10620109</v>
      </c>
      <c r="I79" s="49" t="s">
        <v>388</v>
      </c>
      <c r="J79" s="69">
        <v>200</v>
      </c>
      <c r="K79" s="69">
        <v>4</v>
      </c>
      <c r="L79" s="69">
        <v>8.5</v>
      </c>
      <c r="M79" s="69">
        <f t="shared" si="19"/>
        <v>8</v>
      </c>
      <c r="N79" s="69">
        <f t="shared" si="20"/>
        <v>17</v>
      </c>
      <c r="O79" s="56">
        <f>INDEX(Rate_Chart!$A$1:$AK$127,MATCH(Data!K79,Rate_Chart!$A$1:$A$127,0),MATCH(Data!L79,Rate_Chart!$A$1:$AK$1,0))</f>
        <v>40.311181500000004</v>
      </c>
      <c r="P79" s="57">
        <f t="shared" si="21"/>
        <v>8062.2363000000005</v>
      </c>
      <c r="Q79" s="58">
        <f t="shared" si="22"/>
        <v>417.0122224137931</v>
      </c>
      <c r="R79" s="58">
        <f t="shared" si="23"/>
        <v>278.00814827586208</v>
      </c>
      <c r="S79" s="66">
        <f t="shared" si="24"/>
        <v>141.08913525000003</v>
      </c>
      <c r="T79" s="64">
        <f t="shared" si="25"/>
        <v>750</v>
      </c>
      <c r="U79" s="66">
        <f t="shared" si="26"/>
        <v>8953.3254352500007</v>
      </c>
      <c r="V79" s="68">
        <f t="shared" si="27"/>
        <v>44.766627176250005</v>
      </c>
      <c r="W79" s="68">
        <f t="shared" si="28"/>
        <v>463.10303975431032</v>
      </c>
      <c r="X79" s="68">
        <f t="shared" si="29"/>
        <v>308.7353598362069</v>
      </c>
      <c r="Z79" s="63"/>
      <c r="AA79" s="63"/>
    </row>
    <row r="80" spans="1:27" hidden="1" x14ac:dyDescent="0.25">
      <c r="A80" t="str">
        <f t="shared" si="17"/>
        <v>10620109B26/05/2026E</v>
      </c>
      <c r="B80" s="168" t="s">
        <v>826</v>
      </c>
      <c r="C80" s="62" t="s">
        <v>397</v>
      </c>
      <c r="D80" s="62" t="s">
        <v>591</v>
      </c>
      <c r="E80" s="62" t="s">
        <v>592</v>
      </c>
      <c r="F80" s="49" t="s">
        <v>732</v>
      </c>
      <c r="G80" s="62" t="str">
        <f t="shared" si="18"/>
        <v>20109</v>
      </c>
      <c r="H80" s="62">
        <v>10620109</v>
      </c>
      <c r="I80" s="49" t="s">
        <v>387</v>
      </c>
      <c r="J80" s="69">
        <v>1000</v>
      </c>
      <c r="K80" s="69">
        <v>5.6</v>
      </c>
      <c r="L80" s="69">
        <v>8.4</v>
      </c>
      <c r="M80" s="69">
        <f t="shared" si="19"/>
        <v>56</v>
      </c>
      <c r="N80" s="69">
        <f t="shared" si="20"/>
        <v>84</v>
      </c>
      <c r="O80" s="56">
        <f>INDEX(Rate_Chart!$A$1:$AK$127,MATCH(Data!K80,Rate_Chart!$A$1:$A$127,0),MATCH(Data!L80,Rate_Chart!$A$1:$AK$1,0))</f>
        <v>45.357199999999999</v>
      </c>
      <c r="P80" s="57">
        <f t="shared" si="21"/>
        <v>45357.2</v>
      </c>
      <c r="Q80" s="58">
        <f t="shared" si="22"/>
        <v>404.97500000000002</v>
      </c>
      <c r="R80" s="58">
        <f t="shared" si="23"/>
        <v>269.98333333333335</v>
      </c>
      <c r="S80" s="66">
        <f t="shared" si="24"/>
        <v>793.75099999999998</v>
      </c>
      <c r="T80" s="64">
        <f t="shared" si="25"/>
        <v>3750</v>
      </c>
      <c r="U80" s="66">
        <f t="shared" si="26"/>
        <v>49900.951000000001</v>
      </c>
      <c r="V80" s="68">
        <f t="shared" si="27"/>
        <v>49.900950999999999</v>
      </c>
      <c r="W80" s="68">
        <f t="shared" si="28"/>
        <v>445.54420535714291</v>
      </c>
      <c r="X80" s="68">
        <f t="shared" si="29"/>
        <v>297.02947023809526</v>
      </c>
      <c r="Z80" s="63"/>
      <c r="AA80" s="63"/>
    </row>
    <row r="81" spans="1:28" hidden="1" x14ac:dyDescent="0.25">
      <c r="A81" t="str">
        <f t="shared" si="17"/>
        <v>10620109C27/05/2026E</v>
      </c>
      <c r="B81" s="168" t="s">
        <v>826</v>
      </c>
      <c r="C81" s="62" t="s">
        <v>397</v>
      </c>
      <c r="D81" s="62" t="s">
        <v>591</v>
      </c>
      <c r="E81" s="62" t="s">
        <v>592</v>
      </c>
      <c r="F81" s="49" t="s">
        <v>732</v>
      </c>
      <c r="G81" s="62" t="str">
        <f t="shared" si="18"/>
        <v>20109</v>
      </c>
      <c r="H81" s="62">
        <v>10620109</v>
      </c>
      <c r="I81" s="49" t="s">
        <v>388</v>
      </c>
      <c r="J81" s="69">
        <v>200</v>
      </c>
      <c r="K81" s="69">
        <v>4</v>
      </c>
      <c r="L81" s="69">
        <v>8.1999999999999993</v>
      </c>
      <c r="M81" s="69">
        <f t="shared" si="19"/>
        <v>8</v>
      </c>
      <c r="N81" s="69">
        <f t="shared" si="20"/>
        <v>16.399999999999999</v>
      </c>
      <c r="O81" s="56">
        <f>INDEX(Rate_Chart!$A$1:$AK$127,MATCH(Data!K81,Rate_Chart!$A$1:$A$127,0),MATCH(Data!L81,Rate_Chart!$A$1:$AK$1,0))</f>
        <v>39.477139800000003</v>
      </c>
      <c r="P81" s="57">
        <f t="shared" si="21"/>
        <v>7895.4279600000009</v>
      </c>
      <c r="Q81" s="58">
        <f t="shared" si="22"/>
        <v>417.0120401408451</v>
      </c>
      <c r="R81" s="58">
        <f t="shared" si="23"/>
        <v>278.00802676056338</v>
      </c>
      <c r="S81" s="66">
        <f t="shared" si="24"/>
        <v>138.16998930000003</v>
      </c>
      <c r="T81" s="64">
        <f t="shared" si="25"/>
        <v>750</v>
      </c>
      <c r="U81" s="66">
        <f t="shared" si="26"/>
        <v>8783.5979493000013</v>
      </c>
      <c r="V81" s="68">
        <f t="shared" si="27"/>
        <v>43.917989746500005</v>
      </c>
      <c r="W81" s="68">
        <f t="shared" si="28"/>
        <v>463.92242689964797</v>
      </c>
      <c r="X81" s="68">
        <f t="shared" si="29"/>
        <v>309.28161793309863</v>
      </c>
      <c r="Z81" s="63"/>
      <c r="AA81" s="63"/>
    </row>
    <row r="82" spans="1:28" hidden="1" x14ac:dyDescent="0.25">
      <c r="A82" t="str">
        <f t="shared" si="17"/>
        <v>10620109B27/05/2026E</v>
      </c>
      <c r="B82" s="256" t="s">
        <v>827</v>
      </c>
      <c r="C82" s="243" t="s">
        <v>397</v>
      </c>
      <c r="D82" s="243" t="s">
        <v>591</v>
      </c>
      <c r="E82" s="243" t="s">
        <v>592</v>
      </c>
      <c r="F82" s="257" t="s">
        <v>732</v>
      </c>
      <c r="G82" s="243" t="str">
        <f t="shared" si="18"/>
        <v>20109</v>
      </c>
      <c r="H82" s="243">
        <v>10620109</v>
      </c>
      <c r="I82" s="257" t="s">
        <v>387</v>
      </c>
      <c r="J82" s="244">
        <v>4450</v>
      </c>
      <c r="K82" s="244">
        <v>5.6</v>
      </c>
      <c r="L82" s="244">
        <v>8.4</v>
      </c>
      <c r="M82" s="244">
        <f t="shared" si="19"/>
        <v>249.2</v>
      </c>
      <c r="N82" s="244">
        <f t="shared" si="20"/>
        <v>373.8</v>
      </c>
      <c r="O82" s="245">
        <f>INDEX(Rate_Chart!$A$1:$AK$127,MATCH(Data!K82,Rate_Chart!$A$1:$A$127,0),MATCH(Data!L82,Rate_Chart!$A$1:$AK$1,0))</f>
        <v>45.357199999999999</v>
      </c>
      <c r="P82" s="246">
        <f t="shared" si="21"/>
        <v>201839.54</v>
      </c>
      <c r="Q82" s="247">
        <f t="shared" si="22"/>
        <v>404.97500000000002</v>
      </c>
      <c r="R82" s="247">
        <f t="shared" si="23"/>
        <v>269.98333333333335</v>
      </c>
      <c r="S82" s="248">
        <f t="shared" si="24"/>
        <v>3532.1919500000004</v>
      </c>
      <c r="T82" s="249">
        <f t="shared" si="25"/>
        <v>16687.5</v>
      </c>
      <c r="U82" s="248">
        <f t="shared" si="26"/>
        <v>222059.23195000002</v>
      </c>
      <c r="V82" s="250">
        <f t="shared" si="27"/>
        <v>49.900951000000006</v>
      </c>
      <c r="W82" s="250">
        <f t="shared" si="28"/>
        <v>445.54420535714297</v>
      </c>
      <c r="X82" s="250">
        <f t="shared" si="29"/>
        <v>297.02947023809531</v>
      </c>
      <c r="Z82" s="63"/>
      <c r="AA82" s="63"/>
    </row>
    <row r="83" spans="1:28" hidden="1" x14ac:dyDescent="0.25">
      <c r="A83" t="str">
        <f t="shared" si="17"/>
        <v>10620109C28/05/2026E</v>
      </c>
      <c r="B83" s="256" t="s">
        <v>827</v>
      </c>
      <c r="C83" s="243" t="s">
        <v>397</v>
      </c>
      <c r="D83" s="243" t="s">
        <v>591</v>
      </c>
      <c r="E83" s="243" t="s">
        <v>592</v>
      </c>
      <c r="F83" s="257" t="s">
        <v>732</v>
      </c>
      <c r="G83" s="243" t="str">
        <f t="shared" si="18"/>
        <v>20109</v>
      </c>
      <c r="H83" s="243">
        <v>10620109</v>
      </c>
      <c r="I83" s="257" t="s">
        <v>388</v>
      </c>
      <c r="J83" s="244">
        <v>530</v>
      </c>
      <c r="K83" s="244">
        <v>3.9</v>
      </c>
      <c r="L83" s="244">
        <v>8.1</v>
      </c>
      <c r="M83" s="244">
        <f t="shared" si="19"/>
        <v>20.67</v>
      </c>
      <c r="N83" s="244">
        <f t="shared" si="20"/>
        <v>42.93</v>
      </c>
      <c r="O83" s="245">
        <f>INDEX(Rate_Chart!$A$1:$AK$127,MATCH(Data!K83,Rate_Chart!$A$1:$A$127,0),MATCH(Data!L83,Rate_Chart!$A$1:$AK$1,0))</f>
        <v>38.782125900000004</v>
      </c>
      <c r="P83" s="246">
        <f t="shared" si="21"/>
        <v>20554.526727</v>
      </c>
      <c r="Q83" s="247">
        <f t="shared" si="22"/>
        <v>417.01210645161296</v>
      </c>
      <c r="R83" s="247">
        <f t="shared" si="23"/>
        <v>278.00807096774196</v>
      </c>
      <c r="S83" s="248">
        <f t="shared" si="24"/>
        <v>359.70421772250006</v>
      </c>
      <c r="T83" s="249">
        <f t="shared" si="25"/>
        <v>1987.5</v>
      </c>
      <c r="U83" s="248">
        <f t="shared" si="26"/>
        <v>22901.730944722502</v>
      </c>
      <c r="V83" s="250">
        <f t="shared" si="27"/>
        <v>43.210813103250004</v>
      </c>
      <c r="W83" s="250">
        <f t="shared" si="28"/>
        <v>464.63239895967746</v>
      </c>
      <c r="X83" s="250">
        <f t="shared" si="29"/>
        <v>309.75493263978495</v>
      </c>
      <c r="Z83" s="63"/>
      <c r="AA83" s="63"/>
    </row>
    <row r="84" spans="1:28" hidden="1" x14ac:dyDescent="0.25">
      <c r="A84" t="str">
        <f t="shared" si="17"/>
        <v>10620109B28/05/2026M</v>
      </c>
      <c r="B84" s="168" t="s">
        <v>828</v>
      </c>
      <c r="C84" s="62" t="s">
        <v>396</v>
      </c>
      <c r="D84" s="62" t="s">
        <v>591</v>
      </c>
      <c r="E84" s="62" t="s">
        <v>592</v>
      </c>
      <c r="F84" s="49" t="s">
        <v>732</v>
      </c>
      <c r="G84" s="62" t="str">
        <f t="shared" si="18"/>
        <v>20109</v>
      </c>
      <c r="H84" s="62">
        <v>10620109</v>
      </c>
      <c r="I84" s="49" t="s">
        <v>387</v>
      </c>
      <c r="J84" s="69">
        <v>2500</v>
      </c>
      <c r="K84" s="69">
        <v>5.6</v>
      </c>
      <c r="L84" s="69">
        <v>8.4</v>
      </c>
      <c r="M84" s="69">
        <f t="shared" si="19"/>
        <v>140</v>
      </c>
      <c r="N84" s="69">
        <f t="shared" si="20"/>
        <v>210</v>
      </c>
      <c r="O84" s="56">
        <f>INDEX(Rate_Chart!$A$1:$AK$127,MATCH(Data!K84,Rate_Chart!$A$1:$A$127,0),MATCH(Data!L84,Rate_Chart!$A$1:$AK$1,0))</f>
        <v>45.357199999999999</v>
      </c>
      <c r="P84" s="57">
        <f t="shared" si="21"/>
        <v>113393</v>
      </c>
      <c r="Q84" s="58">
        <f t="shared" si="22"/>
        <v>404.97500000000002</v>
      </c>
      <c r="R84" s="58">
        <f t="shared" si="23"/>
        <v>269.98333333333335</v>
      </c>
      <c r="S84" s="66">
        <f t="shared" si="24"/>
        <v>1984.3775000000003</v>
      </c>
      <c r="T84" s="64">
        <f t="shared" si="25"/>
        <v>9375</v>
      </c>
      <c r="U84" s="66">
        <f t="shared" si="26"/>
        <v>124752.3775</v>
      </c>
      <c r="V84" s="68">
        <f t="shared" si="27"/>
        <v>49.900950999999999</v>
      </c>
      <c r="W84" s="68">
        <f t="shared" si="28"/>
        <v>445.54420535714291</v>
      </c>
      <c r="X84" s="68">
        <f t="shared" si="29"/>
        <v>297.02947023809526</v>
      </c>
      <c r="Z84" s="63"/>
      <c r="AA84" s="63"/>
      <c r="AB84" s="9">
        <v>10620075</v>
      </c>
    </row>
    <row r="85" spans="1:28" hidden="1" x14ac:dyDescent="0.25">
      <c r="A85" t="str">
        <f t="shared" si="17"/>
        <v>10620109C28/05/2026M</v>
      </c>
      <c r="B85" s="168" t="s">
        <v>828</v>
      </c>
      <c r="C85" s="62" t="s">
        <v>396</v>
      </c>
      <c r="D85" s="62" t="s">
        <v>591</v>
      </c>
      <c r="E85" s="62" t="s">
        <v>592</v>
      </c>
      <c r="F85" s="49" t="s">
        <v>732</v>
      </c>
      <c r="G85" s="62" t="str">
        <f t="shared" si="18"/>
        <v>20109</v>
      </c>
      <c r="H85" s="62">
        <v>10620109</v>
      </c>
      <c r="I85" s="49" t="s">
        <v>388</v>
      </c>
      <c r="J85" s="69">
        <v>500</v>
      </c>
      <c r="K85" s="69">
        <v>4</v>
      </c>
      <c r="L85" s="69">
        <v>8.5</v>
      </c>
      <c r="M85" s="69">
        <f t="shared" si="19"/>
        <v>20</v>
      </c>
      <c r="N85" s="69">
        <f t="shared" si="20"/>
        <v>42.5</v>
      </c>
      <c r="O85" s="56">
        <f>INDEX(Rate_Chart!$A$1:$AK$127,MATCH(Data!K85,Rate_Chart!$A$1:$A$127,0),MATCH(Data!L85,Rate_Chart!$A$1:$AK$1,0))</f>
        <v>40.311181500000004</v>
      </c>
      <c r="P85" s="57">
        <f t="shared" si="21"/>
        <v>20155.590750000003</v>
      </c>
      <c r="Q85" s="58">
        <f t="shared" si="22"/>
        <v>417.0122224137931</v>
      </c>
      <c r="R85" s="58">
        <f t="shared" si="23"/>
        <v>278.00814827586208</v>
      </c>
      <c r="S85" s="66">
        <f t="shared" si="24"/>
        <v>352.72283812500007</v>
      </c>
      <c r="T85" s="64">
        <f t="shared" si="25"/>
        <v>1875</v>
      </c>
      <c r="U85" s="66">
        <f t="shared" si="26"/>
        <v>22383.313588125002</v>
      </c>
      <c r="V85" s="68">
        <f t="shared" si="27"/>
        <v>44.766627176250005</v>
      </c>
      <c r="W85" s="68">
        <f t="shared" si="28"/>
        <v>463.10303975431032</v>
      </c>
      <c r="X85" s="68">
        <f t="shared" si="29"/>
        <v>308.7353598362069</v>
      </c>
      <c r="Z85" s="63"/>
      <c r="AA85" s="63"/>
    </row>
    <row r="86" spans="1:28" hidden="1" x14ac:dyDescent="0.25">
      <c r="A86" t="str">
        <f t="shared" si="17"/>
        <v>10620109B28/05/2026E</v>
      </c>
      <c r="B86" s="168" t="s">
        <v>828</v>
      </c>
      <c r="C86" s="62" t="s">
        <v>397</v>
      </c>
      <c r="D86" s="62" t="s">
        <v>591</v>
      </c>
      <c r="E86" s="62" t="s">
        <v>592</v>
      </c>
      <c r="F86" s="49" t="s">
        <v>732</v>
      </c>
      <c r="G86" s="62" t="str">
        <f t="shared" si="18"/>
        <v>20109</v>
      </c>
      <c r="H86" s="62">
        <v>10620109</v>
      </c>
      <c r="I86" s="49" t="s">
        <v>387</v>
      </c>
      <c r="J86" s="69">
        <v>2300</v>
      </c>
      <c r="K86" s="69">
        <v>5.6</v>
      </c>
      <c r="L86" s="69">
        <v>8.4</v>
      </c>
      <c r="M86" s="69">
        <f t="shared" si="19"/>
        <v>128.80000000000001</v>
      </c>
      <c r="N86" s="69">
        <f t="shared" si="20"/>
        <v>193.2</v>
      </c>
      <c r="O86" s="56">
        <f>INDEX(Rate_Chart!$A$1:$AK$127,MATCH(Data!K86,Rate_Chart!$A$1:$A$127,0),MATCH(Data!L86,Rate_Chart!$A$1:$AK$1,0))</f>
        <v>45.357199999999999</v>
      </c>
      <c r="P86" s="57">
        <f t="shared" si="21"/>
        <v>104321.56</v>
      </c>
      <c r="Q86" s="58">
        <f t="shared" si="22"/>
        <v>404.97500000000002</v>
      </c>
      <c r="R86" s="58">
        <f t="shared" si="23"/>
        <v>269.98333333333335</v>
      </c>
      <c r="S86" s="66">
        <f t="shared" si="24"/>
        <v>1825.6273000000001</v>
      </c>
      <c r="T86" s="64">
        <f t="shared" si="25"/>
        <v>8625</v>
      </c>
      <c r="U86" s="66">
        <f t="shared" si="26"/>
        <v>114772.18729999999</v>
      </c>
      <c r="V86" s="68">
        <f t="shared" si="27"/>
        <v>49.900950999999999</v>
      </c>
      <c r="W86" s="68">
        <f t="shared" si="28"/>
        <v>445.54420535714291</v>
      </c>
      <c r="X86" s="68">
        <f t="shared" si="29"/>
        <v>297.02947023809526</v>
      </c>
      <c r="Z86" s="63"/>
      <c r="AA86" s="63"/>
    </row>
    <row r="87" spans="1:28" hidden="1" x14ac:dyDescent="0.25">
      <c r="A87" t="str">
        <f t="shared" si="17"/>
        <v>10620109C23/05/2026E</v>
      </c>
      <c r="B87" s="168" t="s">
        <v>828</v>
      </c>
      <c r="C87" s="62" t="s">
        <v>397</v>
      </c>
      <c r="D87" s="62" t="s">
        <v>591</v>
      </c>
      <c r="E87" s="62" t="s">
        <v>592</v>
      </c>
      <c r="F87" s="49" t="s">
        <v>732</v>
      </c>
      <c r="G87" s="62" t="str">
        <f t="shared" si="18"/>
        <v>20109</v>
      </c>
      <c r="H87" s="62">
        <v>10620109</v>
      </c>
      <c r="I87" s="49" t="s">
        <v>388</v>
      </c>
      <c r="J87" s="69">
        <v>460</v>
      </c>
      <c r="K87" s="69">
        <v>4</v>
      </c>
      <c r="L87" s="69">
        <v>8.5</v>
      </c>
      <c r="M87" s="69">
        <f t="shared" si="19"/>
        <v>18.399999999999999</v>
      </c>
      <c r="N87" s="69">
        <f t="shared" si="20"/>
        <v>39.1</v>
      </c>
      <c r="O87" s="56">
        <f>INDEX(Rate_Chart!$A$1:$AK$127,MATCH(Data!K87,Rate_Chart!$A$1:$A$127,0),MATCH(Data!L87,Rate_Chart!$A$1:$AK$1,0))</f>
        <v>40.311181500000004</v>
      </c>
      <c r="P87" s="57">
        <f t="shared" si="21"/>
        <v>18543.143490000002</v>
      </c>
      <c r="Q87" s="58">
        <f t="shared" si="22"/>
        <v>417.0122224137931</v>
      </c>
      <c r="R87" s="58">
        <f t="shared" si="23"/>
        <v>278.00814827586208</v>
      </c>
      <c r="S87" s="66">
        <f t="shared" si="24"/>
        <v>324.50501107500008</v>
      </c>
      <c r="T87" s="64">
        <f t="shared" si="25"/>
        <v>1725</v>
      </c>
      <c r="U87" s="66">
        <f t="shared" si="26"/>
        <v>20592.648501075004</v>
      </c>
      <c r="V87" s="68">
        <f t="shared" si="27"/>
        <v>44.766627176250012</v>
      </c>
      <c r="W87" s="68">
        <f t="shared" si="28"/>
        <v>463.10303975431043</v>
      </c>
      <c r="X87" s="68">
        <f t="shared" si="29"/>
        <v>308.73535983620695</v>
      </c>
      <c r="Z87" s="63"/>
      <c r="AA87" s="63"/>
    </row>
    <row r="88" spans="1:28" hidden="1" x14ac:dyDescent="0.25">
      <c r="A88" t="str">
        <f t="shared" si="17"/>
        <v>10620111C24/05/2026E</v>
      </c>
      <c r="B88" s="168" t="s">
        <v>823</v>
      </c>
      <c r="C88" s="62" t="s">
        <v>397</v>
      </c>
      <c r="D88" s="62" t="s">
        <v>591</v>
      </c>
      <c r="E88" s="62" t="s">
        <v>810</v>
      </c>
      <c r="F88" s="49" t="s">
        <v>829</v>
      </c>
      <c r="G88" s="62" t="str">
        <f t="shared" si="18"/>
        <v>20111</v>
      </c>
      <c r="H88" s="62">
        <v>10620111</v>
      </c>
      <c r="I88" s="49" t="s">
        <v>388</v>
      </c>
      <c r="J88" s="69">
        <v>1000</v>
      </c>
      <c r="K88" s="69">
        <v>4</v>
      </c>
      <c r="L88" s="69">
        <v>8.1</v>
      </c>
      <c r="M88" s="69">
        <f t="shared" si="19"/>
        <v>40</v>
      </c>
      <c r="N88" s="69">
        <f t="shared" si="20"/>
        <v>81</v>
      </c>
      <c r="O88" s="56">
        <v>37.225069200000007</v>
      </c>
      <c r="P88" s="57">
        <f t="shared" si="21"/>
        <v>37225.069200000005</v>
      </c>
      <c r="Q88" s="58">
        <f t="shared" si="22"/>
        <v>396.01137446808519</v>
      </c>
      <c r="R88" s="58">
        <f t="shared" si="23"/>
        <v>264.00758297872346</v>
      </c>
      <c r="S88" s="66">
        <f t="shared" si="24"/>
        <v>651.43871100000013</v>
      </c>
      <c r="T88" s="64">
        <f t="shared" si="25"/>
        <v>3750</v>
      </c>
      <c r="U88" s="66">
        <f t="shared" si="26"/>
        <v>41626.507911000008</v>
      </c>
      <c r="V88" s="68">
        <f t="shared" si="27"/>
        <v>41.626507911000004</v>
      </c>
      <c r="W88" s="68">
        <f t="shared" si="28"/>
        <v>442.83519054255322</v>
      </c>
      <c r="X88" s="68">
        <f t="shared" si="29"/>
        <v>295.22346036170217</v>
      </c>
      <c r="Z88" s="63"/>
      <c r="AA88" s="63"/>
    </row>
    <row r="89" spans="1:28" hidden="1" x14ac:dyDescent="0.25">
      <c r="A89" t="str">
        <f t="shared" si="17"/>
        <v>10620111C22/05/2026M</v>
      </c>
      <c r="B89" s="168" t="s">
        <v>824</v>
      </c>
      <c r="C89" s="62" t="s">
        <v>396</v>
      </c>
      <c r="D89" s="62" t="s">
        <v>591</v>
      </c>
      <c r="E89" s="62" t="s">
        <v>810</v>
      </c>
      <c r="F89" s="49" t="s">
        <v>829</v>
      </c>
      <c r="G89" s="62" t="str">
        <f t="shared" si="18"/>
        <v>20111</v>
      </c>
      <c r="H89" s="62">
        <v>10620111</v>
      </c>
      <c r="I89" s="49" t="s">
        <v>388</v>
      </c>
      <c r="J89" s="69">
        <v>500</v>
      </c>
      <c r="K89" s="69">
        <v>4</v>
      </c>
      <c r="L89" s="69">
        <v>8.5</v>
      </c>
      <c r="M89" s="69">
        <f t="shared" si="19"/>
        <v>20</v>
      </c>
      <c r="N89" s="69">
        <f t="shared" si="20"/>
        <v>42.5</v>
      </c>
      <c r="O89" s="56">
        <v>38.281122000000003</v>
      </c>
      <c r="P89" s="57">
        <f t="shared" si="21"/>
        <v>19140.561000000002</v>
      </c>
      <c r="Q89" s="58">
        <f t="shared" si="22"/>
        <v>396.01160689655171</v>
      </c>
      <c r="R89" s="58">
        <f t="shared" si="23"/>
        <v>264.00773793103446</v>
      </c>
      <c r="S89" s="66">
        <f t="shared" si="24"/>
        <v>334.95981750000004</v>
      </c>
      <c r="T89" s="64">
        <f t="shared" si="25"/>
        <v>1875</v>
      </c>
      <c r="U89" s="66">
        <f t="shared" si="26"/>
        <v>21350.520817500001</v>
      </c>
      <c r="V89" s="68">
        <f t="shared" si="27"/>
        <v>42.701041635000003</v>
      </c>
      <c r="W89" s="68">
        <f t="shared" si="28"/>
        <v>441.7349134655172</v>
      </c>
      <c r="X89" s="68">
        <f t="shared" si="29"/>
        <v>294.48994231034482</v>
      </c>
      <c r="Z89" s="63"/>
      <c r="AA89" s="63"/>
    </row>
    <row r="90" spans="1:28" hidden="1" x14ac:dyDescent="0.25">
      <c r="A90" t="str">
        <f t="shared" si="17"/>
        <v>10620112B22/05/2026M</v>
      </c>
      <c r="B90" s="168" t="s">
        <v>822</v>
      </c>
      <c r="C90" s="62" t="s">
        <v>396</v>
      </c>
      <c r="D90" s="62" t="s">
        <v>591</v>
      </c>
      <c r="E90" s="62" t="s">
        <v>810</v>
      </c>
      <c r="F90" s="49" t="s">
        <v>757</v>
      </c>
      <c r="G90" s="62" t="str">
        <f t="shared" si="18"/>
        <v>20112</v>
      </c>
      <c r="H90" s="62">
        <v>10620112</v>
      </c>
      <c r="I90" s="49" t="s">
        <v>387</v>
      </c>
      <c r="J90" s="69">
        <v>4</v>
      </c>
      <c r="K90" s="69">
        <v>5.9</v>
      </c>
      <c r="L90" s="69">
        <v>8.4</v>
      </c>
      <c r="M90" s="69">
        <f t="shared" si="19"/>
        <v>0.23600000000000002</v>
      </c>
      <c r="N90" s="69">
        <f t="shared" si="20"/>
        <v>0.33600000000000002</v>
      </c>
      <c r="O90" s="56">
        <v>47.787050000000001</v>
      </c>
      <c r="P90" s="57">
        <f t="shared" si="21"/>
        <v>191.1482</v>
      </c>
      <c r="Q90" s="58">
        <f t="shared" si="22"/>
        <v>415.53956521739127</v>
      </c>
      <c r="R90" s="58">
        <f t="shared" si="23"/>
        <v>277.02637681159416</v>
      </c>
      <c r="S90" s="66">
        <f t="shared" si="24"/>
        <v>3.3450935000000004</v>
      </c>
      <c r="T90" s="64">
        <f t="shared" si="25"/>
        <v>15</v>
      </c>
      <c r="U90" s="66">
        <f t="shared" si="26"/>
        <v>209.49329349999999</v>
      </c>
      <c r="V90" s="68">
        <f t="shared" si="27"/>
        <v>52.373323374999998</v>
      </c>
      <c r="W90" s="68">
        <f t="shared" si="28"/>
        <v>455.42020326086953</v>
      </c>
      <c r="X90" s="68">
        <f t="shared" si="29"/>
        <v>303.61346884057969</v>
      </c>
      <c r="Z90" s="63"/>
      <c r="AA90" s="63"/>
    </row>
    <row r="91" spans="1:28" hidden="1" x14ac:dyDescent="0.25">
      <c r="A91" t="str">
        <f t="shared" si="17"/>
        <v>10620112C23/05/2026E</v>
      </c>
      <c r="B91" s="168" t="s">
        <v>822</v>
      </c>
      <c r="C91" s="62" t="s">
        <v>397</v>
      </c>
      <c r="D91" s="62" t="s">
        <v>591</v>
      </c>
      <c r="E91" s="62" t="s">
        <v>810</v>
      </c>
      <c r="F91" s="49" t="s">
        <v>757</v>
      </c>
      <c r="G91" s="62" t="str">
        <f t="shared" si="18"/>
        <v>20112</v>
      </c>
      <c r="H91" s="62">
        <v>10620112</v>
      </c>
      <c r="I91" s="49" t="s">
        <v>388</v>
      </c>
      <c r="J91" s="69">
        <v>12</v>
      </c>
      <c r="K91" s="69">
        <v>4.5999999999999996</v>
      </c>
      <c r="L91" s="69">
        <v>8.1</v>
      </c>
      <c r="M91" s="69">
        <f t="shared" si="19"/>
        <v>0.55199999999999994</v>
      </c>
      <c r="N91" s="69">
        <f t="shared" si="20"/>
        <v>0.97199999999999986</v>
      </c>
      <c r="O91" s="56">
        <v>39.601069200000005</v>
      </c>
      <c r="P91" s="57">
        <f t="shared" si="21"/>
        <v>475.21283040000003</v>
      </c>
      <c r="Q91" s="58">
        <f t="shared" si="22"/>
        <v>396.01069200000001</v>
      </c>
      <c r="R91" s="58">
        <f t="shared" si="23"/>
        <v>264.00712800000002</v>
      </c>
      <c r="S91" s="66">
        <f t="shared" si="24"/>
        <v>8.3162245320000014</v>
      </c>
      <c r="T91" s="64">
        <f t="shared" si="25"/>
        <v>45</v>
      </c>
      <c r="U91" s="66">
        <f t="shared" si="26"/>
        <v>528.52905493200001</v>
      </c>
      <c r="V91" s="68">
        <f t="shared" si="27"/>
        <v>44.044087910999998</v>
      </c>
      <c r="W91" s="68">
        <f t="shared" si="28"/>
        <v>440.44087910999997</v>
      </c>
      <c r="X91" s="68">
        <f t="shared" si="29"/>
        <v>293.62725273999996</v>
      </c>
      <c r="Z91" s="63"/>
      <c r="AA91" s="63"/>
    </row>
    <row r="92" spans="1:28" hidden="1" x14ac:dyDescent="0.25">
      <c r="A92" t="str">
        <f t="shared" si="17"/>
        <v>10620112C23/05/2026M</v>
      </c>
      <c r="B92" s="168" t="s">
        <v>823</v>
      </c>
      <c r="C92" s="62" t="s">
        <v>396</v>
      </c>
      <c r="D92" s="62" t="s">
        <v>591</v>
      </c>
      <c r="E92" s="62" t="s">
        <v>810</v>
      </c>
      <c r="F92" s="49" t="s">
        <v>757</v>
      </c>
      <c r="G92" s="62" t="str">
        <f t="shared" si="18"/>
        <v>20112</v>
      </c>
      <c r="H92" s="62">
        <v>10620112</v>
      </c>
      <c r="I92" s="49" t="s">
        <v>388</v>
      </c>
      <c r="J92" s="69">
        <v>7</v>
      </c>
      <c r="K92" s="69">
        <v>5</v>
      </c>
      <c r="L92" s="69">
        <v>8.1</v>
      </c>
      <c r="M92" s="69">
        <f t="shared" si="19"/>
        <v>0.35</v>
      </c>
      <c r="N92" s="69">
        <f t="shared" si="20"/>
        <v>0.56699999999999995</v>
      </c>
      <c r="O92" s="56">
        <v>41.185069200000001</v>
      </c>
      <c r="P92" s="57">
        <f t="shared" si="21"/>
        <v>288.29548440000002</v>
      </c>
      <c r="Q92" s="58">
        <f t="shared" si="22"/>
        <v>396.01028076923075</v>
      </c>
      <c r="R92" s="58">
        <f t="shared" si="23"/>
        <v>264.00685384615383</v>
      </c>
      <c r="S92" s="66">
        <f t="shared" si="24"/>
        <v>5.0451709770000006</v>
      </c>
      <c r="T92" s="64">
        <f t="shared" si="25"/>
        <v>26.25</v>
      </c>
      <c r="U92" s="66">
        <f t="shared" si="26"/>
        <v>319.59065537700002</v>
      </c>
      <c r="V92" s="68">
        <f t="shared" si="27"/>
        <v>45.655807911000004</v>
      </c>
      <c r="W92" s="68">
        <f t="shared" si="28"/>
        <v>438.9981529903846</v>
      </c>
      <c r="X92" s="68">
        <f t="shared" si="29"/>
        <v>292.66543532692305</v>
      </c>
      <c r="Z92" s="63"/>
      <c r="AA92" s="63"/>
    </row>
    <row r="93" spans="1:28" hidden="1" x14ac:dyDescent="0.25">
      <c r="A93" t="str">
        <f t="shared" si="17"/>
        <v>10620112C24/05/2026E</v>
      </c>
      <c r="B93" s="168" t="s">
        <v>823</v>
      </c>
      <c r="C93" s="62" t="s">
        <v>397</v>
      </c>
      <c r="D93" s="62" t="s">
        <v>591</v>
      </c>
      <c r="E93" s="62" t="s">
        <v>810</v>
      </c>
      <c r="F93" s="49" t="s">
        <v>757</v>
      </c>
      <c r="G93" s="62" t="str">
        <f t="shared" si="18"/>
        <v>20112</v>
      </c>
      <c r="H93" s="62">
        <v>10620112</v>
      </c>
      <c r="I93" s="49" t="s">
        <v>388</v>
      </c>
      <c r="J93" s="69">
        <v>9</v>
      </c>
      <c r="K93" s="69">
        <v>3</v>
      </c>
      <c r="L93" s="69">
        <v>8</v>
      </c>
      <c r="M93" s="69">
        <f t="shared" si="19"/>
        <v>0.27</v>
      </c>
      <c r="N93" s="69">
        <f t="shared" si="20"/>
        <v>0.72</v>
      </c>
      <c r="O93" s="56">
        <v>33.001056000000005</v>
      </c>
      <c r="P93" s="57">
        <f t="shared" si="21"/>
        <v>297.00950400000005</v>
      </c>
      <c r="Q93" s="58">
        <f t="shared" si="22"/>
        <v>396.01267200000001</v>
      </c>
      <c r="R93" s="58">
        <f t="shared" si="23"/>
        <v>264.00844799999999</v>
      </c>
      <c r="S93" s="66">
        <f t="shared" si="24"/>
        <v>5.1976663200000015</v>
      </c>
      <c r="T93" s="64">
        <f t="shared" si="25"/>
        <v>33.75</v>
      </c>
      <c r="U93" s="66">
        <f t="shared" si="26"/>
        <v>335.95717032000005</v>
      </c>
      <c r="V93" s="68">
        <f t="shared" si="27"/>
        <v>37.328574480000007</v>
      </c>
      <c r="W93" s="68">
        <f t="shared" si="28"/>
        <v>447.94289376000006</v>
      </c>
      <c r="X93" s="68">
        <f t="shared" si="29"/>
        <v>298.62859584000006</v>
      </c>
      <c r="Z93" s="63"/>
      <c r="AA93" s="63"/>
    </row>
    <row r="94" spans="1:28" hidden="1" x14ac:dyDescent="0.25">
      <c r="A94" t="str">
        <f t="shared" si="17"/>
        <v>10620112C24/05/2026M</v>
      </c>
      <c r="B94" s="168" t="s">
        <v>824</v>
      </c>
      <c r="C94" s="62" t="s">
        <v>396</v>
      </c>
      <c r="D94" s="62" t="s">
        <v>591</v>
      </c>
      <c r="E94" s="62" t="s">
        <v>810</v>
      </c>
      <c r="F94" s="49" t="s">
        <v>757</v>
      </c>
      <c r="G94" s="62" t="str">
        <f t="shared" si="18"/>
        <v>20112</v>
      </c>
      <c r="H94" s="62">
        <v>10620112</v>
      </c>
      <c r="I94" s="49" t="s">
        <v>388</v>
      </c>
      <c r="J94" s="69">
        <v>10</v>
      </c>
      <c r="K94" s="69">
        <v>5.0999999999999996</v>
      </c>
      <c r="L94" s="69">
        <v>8.1</v>
      </c>
      <c r="M94" s="69">
        <f t="shared" si="19"/>
        <v>0.51</v>
      </c>
      <c r="N94" s="69">
        <f t="shared" si="20"/>
        <v>0.81</v>
      </c>
      <c r="O94" s="56">
        <v>41.581069200000002</v>
      </c>
      <c r="P94" s="57">
        <f t="shared" si="21"/>
        <v>415.81069200000002</v>
      </c>
      <c r="Q94" s="58">
        <f t="shared" si="22"/>
        <v>396.01018285714287</v>
      </c>
      <c r="R94" s="58">
        <f t="shared" si="23"/>
        <v>264.00678857142856</v>
      </c>
      <c r="S94" s="66">
        <f t="shared" si="24"/>
        <v>7.276687110000001</v>
      </c>
      <c r="T94" s="64">
        <f t="shared" si="25"/>
        <v>37.5</v>
      </c>
      <c r="U94" s="66">
        <f t="shared" si="26"/>
        <v>460.58737911000003</v>
      </c>
      <c r="V94" s="68">
        <f t="shared" si="27"/>
        <v>46.058737911000001</v>
      </c>
      <c r="W94" s="68">
        <f t="shared" si="28"/>
        <v>438.65464677142859</v>
      </c>
      <c r="X94" s="68">
        <f t="shared" si="29"/>
        <v>292.43643118095241</v>
      </c>
      <c r="Z94" s="63"/>
      <c r="AA94" s="63"/>
    </row>
    <row r="95" spans="1:28" hidden="1" x14ac:dyDescent="0.25">
      <c r="A95" t="str">
        <f t="shared" si="17"/>
        <v>10620112C25/05/2026E</v>
      </c>
      <c r="B95" s="168" t="s">
        <v>824</v>
      </c>
      <c r="C95" s="62" t="s">
        <v>397</v>
      </c>
      <c r="D95" s="62" t="s">
        <v>591</v>
      </c>
      <c r="E95" s="62" t="s">
        <v>810</v>
      </c>
      <c r="F95" s="49" t="s">
        <v>757</v>
      </c>
      <c r="G95" s="62" t="str">
        <f t="shared" si="18"/>
        <v>20112</v>
      </c>
      <c r="H95" s="62">
        <v>10620112</v>
      </c>
      <c r="I95" s="49" t="s">
        <v>388</v>
      </c>
      <c r="J95" s="69">
        <v>4</v>
      </c>
      <c r="K95" s="69">
        <v>3.3</v>
      </c>
      <c r="L95" s="69">
        <v>8</v>
      </c>
      <c r="M95" s="69">
        <f t="shared" si="19"/>
        <v>0.13200000000000001</v>
      </c>
      <c r="N95" s="69">
        <f t="shared" si="20"/>
        <v>0.32</v>
      </c>
      <c r="O95" s="56">
        <v>34.189056000000008</v>
      </c>
      <c r="P95" s="57">
        <f t="shared" si="21"/>
        <v>136.75622400000003</v>
      </c>
      <c r="Q95" s="58">
        <f t="shared" si="22"/>
        <v>396.01223166023169</v>
      </c>
      <c r="R95" s="58">
        <f t="shared" si="23"/>
        <v>264.00815444015444</v>
      </c>
      <c r="S95" s="66">
        <f t="shared" si="24"/>
        <v>2.3932339200000006</v>
      </c>
      <c r="T95" s="64">
        <f t="shared" si="25"/>
        <v>15</v>
      </c>
      <c r="U95" s="66">
        <f t="shared" si="26"/>
        <v>154.14945792000003</v>
      </c>
      <c r="V95" s="68">
        <f t="shared" si="27"/>
        <v>38.537364480000008</v>
      </c>
      <c r="W95" s="68">
        <f t="shared" si="28"/>
        <v>446.37873915057918</v>
      </c>
      <c r="X95" s="68">
        <f t="shared" si="29"/>
        <v>297.5858261003861</v>
      </c>
      <c r="Z95" s="63"/>
      <c r="AA95" s="63"/>
    </row>
    <row r="96" spans="1:28" hidden="1" x14ac:dyDescent="0.25">
      <c r="A96" t="str">
        <f t="shared" si="17"/>
        <v>10620112B25/05/2026M</v>
      </c>
      <c r="B96" s="168" t="s">
        <v>825</v>
      </c>
      <c r="C96" s="62" t="s">
        <v>396</v>
      </c>
      <c r="D96" s="62" t="s">
        <v>591</v>
      </c>
      <c r="E96" s="62" t="s">
        <v>810</v>
      </c>
      <c r="F96" s="49" t="s">
        <v>757</v>
      </c>
      <c r="G96" s="62" t="str">
        <f t="shared" si="18"/>
        <v>20112</v>
      </c>
      <c r="H96" s="62">
        <v>10620112</v>
      </c>
      <c r="I96" s="49" t="s">
        <v>387</v>
      </c>
      <c r="J96" s="69">
        <v>7</v>
      </c>
      <c r="K96" s="69">
        <v>5.6</v>
      </c>
      <c r="L96" s="69">
        <v>8.4</v>
      </c>
      <c r="M96" s="69">
        <f t="shared" si="19"/>
        <v>0.39199999999999996</v>
      </c>
      <c r="N96" s="69">
        <f t="shared" si="20"/>
        <v>0.58800000000000008</v>
      </c>
      <c r="O96" s="56">
        <v>45.357199999999999</v>
      </c>
      <c r="P96" s="57">
        <f t="shared" si="21"/>
        <v>317.50040000000001</v>
      </c>
      <c r="Q96" s="58">
        <f t="shared" si="22"/>
        <v>404.97500000000002</v>
      </c>
      <c r="R96" s="58">
        <f t="shared" si="23"/>
        <v>269.98333333333335</v>
      </c>
      <c r="S96" s="66">
        <f t="shared" si="24"/>
        <v>5.5562570000000004</v>
      </c>
      <c r="T96" s="64">
        <f t="shared" si="25"/>
        <v>26.25</v>
      </c>
      <c r="U96" s="66">
        <f t="shared" si="26"/>
        <v>349.30665700000003</v>
      </c>
      <c r="V96" s="68">
        <f t="shared" si="27"/>
        <v>49.900951000000006</v>
      </c>
      <c r="W96" s="68">
        <f t="shared" si="28"/>
        <v>445.54420535714297</v>
      </c>
      <c r="X96" s="68">
        <f t="shared" si="29"/>
        <v>297.02947023809531</v>
      </c>
      <c r="Z96" s="63"/>
      <c r="AA96" s="63"/>
    </row>
    <row r="97" spans="1:27" hidden="1" x14ac:dyDescent="0.25">
      <c r="A97" t="str">
        <f t="shared" si="17"/>
        <v>10620112C26/05/2026E</v>
      </c>
      <c r="B97" s="169" t="s">
        <v>825</v>
      </c>
      <c r="C97" s="61" t="s">
        <v>397</v>
      </c>
      <c r="D97" s="61" t="s">
        <v>591</v>
      </c>
      <c r="E97" s="61" t="s">
        <v>810</v>
      </c>
      <c r="F97" s="1" t="s">
        <v>757</v>
      </c>
      <c r="G97" s="62" t="str">
        <f t="shared" si="18"/>
        <v>20112</v>
      </c>
      <c r="H97" s="1">
        <v>10620112</v>
      </c>
      <c r="I97" s="1" t="s">
        <v>388</v>
      </c>
      <c r="J97" s="61">
        <v>9</v>
      </c>
      <c r="K97" s="61">
        <v>4</v>
      </c>
      <c r="L97" s="61">
        <v>8.5</v>
      </c>
      <c r="M97" s="69">
        <f t="shared" ref="M97:M161" si="30">K97*J97/100</f>
        <v>0.36</v>
      </c>
      <c r="N97" s="69">
        <f t="shared" ref="N97:N161" si="31">L97*J97/100</f>
        <v>0.76500000000000001</v>
      </c>
      <c r="O97" s="56">
        <v>38.281122000000003</v>
      </c>
      <c r="P97" s="57">
        <f t="shared" ref="P97:P161" si="32">O97*J97</f>
        <v>344.53009800000001</v>
      </c>
      <c r="Q97" s="58">
        <f t="shared" ref="Q97:Q161" si="33">O97/(K97%+L97%*2/3)</f>
        <v>396.01160689655171</v>
      </c>
      <c r="R97" s="58">
        <f t="shared" ref="R97:R161" si="34">Q97*2/3</f>
        <v>264.00773793103446</v>
      </c>
      <c r="S97" s="66">
        <f t="shared" si="24"/>
        <v>6.0292767150000008</v>
      </c>
      <c r="T97" s="64">
        <f t="shared" ref="T97:T161" si="35">J97*3.75</f>
        <v>33.75</v>
      </c>
      <c r="U97" s="66">
        <f t="shared" ref="U97:U161" si="36">S97+T97+P97</f>
        <v>384.30937471499999</v>
      </c>
      <c r="V97" s="68">
        <f t="shared" ref="V97:V161" si="37">U97/J97</f>
        <v>42.701041634999996</v>
      </c>
      <c r="W97" s="68">
        <f t="shared" ref="W97:W161" si="38">V97/(K97%+L97%*2/3)</f>
        <v>441.73491346551714</v>
      </c>
      <c r="X97" s="68">
        <f t="shared" ref="X97:X161" si="39">W97*2/3</f>
        <v>294.48994231034476</v>
      </c>
      <c r="Z97" s="63"/>
      <c r="AA97" s="63"/>
    </row>
    <row r="98" spans="1:27" hidden="1" x14ac:dyDescent="0.25">
      <c r="A98" t="str">
        <f t="shared" si="17"/>
        <v>10620112B26/05/2026M</v>
      </c>
      <c r="B98" s="169" t="s">
        <v>826</v>
      </c>
      <c r="C98" s="61" t="s">
        <v>396</v>
      </c>
      <c r="D98" s="61" t="s">
        <v>591</v>
      </c>
      <c r="E98" s="61" t="s">
        <v>810</v>
      </c>
      <c r="F98" s="1" t="s">
        <v>757</v>
      </c>
      <c r="G98" s="62" t="str">
        <f t="shared" si="18"/>
        <v>20112</v>
      </c>
      <c r="H98" s="1">
        <v>10620112</v>
      </c>
      <c r="I98" s="1" t="s">
        <v>387</v>
      </c>
      <c r="J98" s="61">
        <v>8</v>
      </c>
      <c r="K98" s="61">
        <v>6.1</v>
      </c>
      <c r="L98" s="61">
        <v>9</v>
      </c>
      <c r="M98" s="69">
        <f t="shared" si="30"/>
        <v>0.48799999999999999</v>
      </c>
      <c r="N98" s="69">
        <f t="shared" si="31"/>
        <v>0.72</v>
      </c>
      <c r="O98" s="56">
        <f>INDEX(Rate_Chart!$A$1:$AK$127,MATCH(Data!K98,Rate_Chart!$A$1:$A$127,0),MATCH(Data!L98,Rate_Chart!$A$1:$AK$1,0))</f>
        <v>50.935000000000002</v>
      </c>
      <c r="P98" s="57">
        <f t="shared" si="32"/>
        <v>407.48</v>
      </c>
      <c r="Q98" s="58">
        <f t="shared" si="33"/>
        <v>420.95041322314052</v>
      </c>
      <c r="R98" s="58">
        <f t="shared" si="34"/>
        <v>280.63360881542701</v>
      </c>
      <c r="S98" s="66">
        <f t="shared" si="24"/>
        <v>7.1309000000000013</v>
      </c>
      <c r="T98" s="64">
        <f t="shared" si="35"/>
        <v>30</v>
      </c>
      <c r="U98" s="66">
        <f t="shared" si="36"/>
        <v>444.61090000000002</v>
      </c>
      <c r="V98" s="68">
        <f t="shared" si="37"/>
        <v>55.576362500000002</v>
      </c>
      <c r="W98" s="68">
        <f t="shared" si="38"/>
        <v>459.30878099173555</v>
      </c>
      <c r="X98" s="68">
        <f t="shared" si="39"/>
        <v>306.20585399449038</v>
      </c>
      <c r="Z98" s="63"/>
      <c r="AA98" s="63"/>
    </row>
    <row r="99" spans="1:27" hidden="1" x14ac:dyDescent="0.25">
      <c r="A99" t="str">
        <f t="shared" si="17"/>
        <v>10620112C27/05/2026E</v>
      </c>
      <c r="B99" s="169" t="s">
        <v>826</v>
      </c>
      <c r="C99" s="61" t="s">
        <v>397</v>
      </c>
      <c r="D99" s="61" t="s">
        <v>591</v>
      </c>
      <c r="E99" s="61" t="s">
        <v>810</v>
      </c>
      <c r="F99" s="1" t="s">
        <v>757</v>
      </c>
      <c r="G99" s="62" t="str">
        <f t="shared" si="18"/>
        <v>20112</v>
      </c>
      <c r="H99" s="1">
        <v>10620112</v>
      </c>
      <c r="I99" s="1" t="s">
        <v>388</v>
      </c>
      <c r="J99" s="61">
        <v>5</v>
      </c>
      <c r="K99" s="61">
        <v>3.2</v>
      </c>
      <c r="L99" s="61">
        <v>8.4</v>
      </c>
      <c r="M99" s="69">
        <f t="shared" si="30"/>
        <v>0.16</v>
      </c>
      <c r="N99" s="69">
        <f t="shared" si="31"/>
        <v>0.42</v>
      </c>
      <c r="O99" s="56">
        <f>INDEX(Rate_Chart!$A$1:$AK$127,MATCH(Data!K99,Rate_Chart!$A$1:$A$127,0),MATCH(Data!L99,Rate_Chart!$A$1:$AK$1,0))</f>
        <v>36.697167600000007</v>
      </c>
      <c r="P99" s="57">
        <f t="shared" si="32"/>
        <v>183.48583800000003</v>
      </c>
      <c r="Q99" s="58">
        <f t="shared" si="33"/>
        <v>417.01326818181826</v>
      </c>
      <c r="R99" s="58">
        <f t="shared" si="34"/>
        <v>278.00884545454551</v>
      </c>
      <c r="S99" s="66">
        <f t="shared" si="24"/>
        <v>3.2110021650000009</v>
      </c>
      <c r="T99" s="64">
        <f t="shared" si="35"/>
        <v>18.75</v>
      </c>
      <c r="U99" s="66">
        <f t="shared" si="36"/>
        <v>205.44684016500003</v>
      </c>
      <c r="V99" s="68">
        <f t="shared" si="37"/>
        <v>41.089368033000007</v>
      </c>
      <c r="W99" s="68">
        <f t="shared" si="38"/>
        <v>466.92463673863648</v>
      </c>
      <c r="X99" s="68">
        <f t="shared" si="39"/>
        <v>311.28309115909099</v>
      </c>
      <c r="Z99" s="63"/>
      <c r="AA99" s="63"/>
    </row>
    <row r="100" spans="1:27" hidden="1" x14ac:dyDescent="0.25">
      <c r="A100" t="str">
        <f t="shared" si="17"/>
        <v>10620112C27/05/2026M</v>
      </c>
      <c r="B100" s="169" t="s">
        <v>827</v>
      </c>
      <c r="C100" s="61" t="s">
        <v>396</v>
      </c>
      <c r="D100" s="61" t="s">
        <v>591</v>
      </c>
      <c r="E100" s="61" t="s">
        <v>810</v>
      </c>
      <c r="F100" s="1" t="s">
        <v>757</v>
      </c>
      <c r="G100" s="62" t="str">
        <f t="shared" si="18"/>
        <v>20112</v>
      </c>
      <c r="H100" s="1">
        <v>10620112</v>
      </c>
      <c r="I100" s="1" t="s">
        <v>388</v>
      </c>
      <c r="J100" s="61">
        <v>11</v>
      </c>
      <c r="K100" s="61">
        <v>4.8</v>
      </c>
      <c r="L100" s="61">
        <v>8.5</v>
      </c>
      <c r="M100" s="69">
        <f t="shared" si="30"/>
        <v>0.52800000000000002</v>
      </c>
      <c r="N100" s="69">
        <f t="shared" si="31"/>
        <v>0.93500000000000005</v>
      </c>
      <c r="O100" s="56">
        <f>INDEX(Rate_Chart!$A$1:$AK$127,MATCH(Data!K100,Rate_Chart!$A$1:$A$127,0),MATCH(Data!L100,Rate_Chart!$A$1:$AK$1,0))</f>
        <v>43.647181500000002</v>
      </c>
      <c r="P100" s="57">
        <f t="shared" si="32"/>
        <v>480.11899650000004</v>
      </c>
      <c r="Q100" s="58">
        <f t="shared" si="33"/>
        <v>417.0112882165605</v>
      </c>
      <c r="R100" s="58">
        <f t="shared" si="34"/>
        <v>278.00752547770702</v>
      </c>
      <c r="S100" s="66">
        <f t="shared" si="24"/>
        <v>8.4020824387500017</v>
      </c>
      <c r="T100" s="64">
        <f t="shared" si="35"/>
        <v>41.25</v>
      </c>
      <c r="U100" s="66">
        <f t="shared" si="36"/>
        <v>529.77107893875007</v>
      </c>
      <c r="V100" s="68">
        <f t="shared" si="37"/>
        <v>48.161007176250003</v>
      </c>
      <c r="W100" s="68">
        <f t="shared" si="38"/>
        <v>460.13701123805731</v>
      </c>
      <c r="X100" s="68">
        <f t="shared" si="39"/>
        <v>306.75800749203819</v>
      </c>
      <c r="Z100" s="63"/>
      <c r="AA100" s="63"/>
    </row>
    <row r="101" spans="1:27" hidden="1" x14ac:dyDescent="0.25">
      <c r="A101" t="str">
        <f t="shared" si="17"/>
        <v>10620112C28/05/2026E</v>
      </c>
      <c r="B101" s="169" t="s">
        <v>827</v>
      </c>
      <c r="C101" s="61" t="s">
        <v>397</v>
      </c>
      <c r="D101" s="61" t="s">
        <v>591</v>
      </c>
      <c r="E101" s="61" t="s">
        <v>810</v>
      </c>
      <c r="F101" s="1" t="s">
        <v>757</v>
      </c>
      <c r="G101" s="62" t="str">
        <f t="shared" si="18"/>
        <v>20112</v>
      </c>
      <c r="H101" s="1">
        <v>10620112</v>
      </c>
      <c r="I101" s="1" t="s">
        <v>388</v>
      </c>
      <c r="J101" s="61">
        <v>11</v>
      </c>
      <c r="K101" s="61">
        <v>3.4</v>
      </c>
      <c r="L101" s="61">
        <v>8.4</v>
      </c>
      <c r="M101" s="69">
        <f t="shared" si="30"/>
        <v>0.374</v>
      </c>
      <c r="N101" s="69">
        <f t="shared" si="31"/>
        <v>0.92400000000000004</v>
      </c>
      <c r="O101" s="56">
        <f>INDEX(Rate_Chart!$A$1:$AK$127,MATCH(Data!K101,Rate_Chart!$A$1:$A$127,0),MATCH(Data!L101,Rate_Chart!$A$1:$AK$1,0))</f>
        <v>37.531167600000003</v>
      </c>
      <c r="P101" s="57">
        <f t="shared" si="32"/>
        <v>412.84284360000004</v>
      </c>
      <c r="Q101" s="58">
        <f t="shared" si="33"/>
        <v>417.01297333333338</v>
      </c>
      <c r="R101" s="58">
        <f t="shared" si="34"/>
        <v>278.0086488888889</v>
      </c>
      <c r="S101" s="66">
        <f t="shared" si="24"/>
        <v>7.224749763000001</v>
      </c>
      <c r="T101" s="64">
        <f t="shared" si="35"/>
        <v>41.25</v>
      </c>
      <c r="U101" s="66">
        <f t="shared" si="36"/>
        <v>461.31759336300001</v>
      </c>
      <c r="V101" s="68">
        <f t="shared" si="37"/>
        <v>41.937963033000003</v>
      </c>
      <c r="W101" s="68">
        <f t="shared" si="38"/>
        <v>465.97736703333339</v>
      </c>
      <c r="X101" s="68">
        <f t="shared" si="39"/>
        <v>310.65157802222228</v>
      </c>
      <c r="Z101" s="63"/>
      <c r="AA101" s="63"/>
    </row>
    <row r="102" spans="1:27" hidden="1" x14ac:dyDescent="0.25">
      <c r="A102" t="str">
        <f t="shared" si="17"/>
        <v>10620112C28/05/2026M</v>
      </c>
      <c r="B102" s="169" t="s">
        <v>828</v>
      </c>
      <c r="C102" s="61" t="s">
        <v>396</v>
      </c>
      <c r="D102" s="61" t="s">
        <v>591</v>
      </c>
      <c r="E102" s="61" t="s">
        <v>810</v>
      </c>
      <c r="F102" s="1" t="s">
        <v>757</v>
      </c>
      <c r="G102" s="62" t="str">
        <f t="shared" si="18"/>
        <v>20112</v>
      </c>
      <c r="H102" s="1">
        <v>10620112</v>
      </c>
      <c r="I102" s="1" t="s">
        <v>388</v>
      </c>
      <c r="J102" s="61">
        <v>8</v>
      </c>
      <c r="K102" s="61">
        <v>5</v>
      </c>
      <c r="L102" s="61">
        <v>8.5</v>
      </c>
      <c r="M102" s="69">
        <f t="shared" si="30"/>
        <v>0.4</v>
      </c>
      <c r="N102" s="69">
        <f t="shared" si="31"/>
        <v>0.68</v>
      </c>
      <c r="O102" s="56">
        <f>INDEX(Rate_Chart!$A$1:$AK$127,MATCH(Data!K102,Rate_Chart!$A$1:$A$127,0),MATCH(Data!L102,Rate_Chart!$A$1:$AK$1,0))</f>
        <v>44.481181500000005</v>
      </c>
      <c r="P102" s="57">
        <f t="shared" si="32"/>
        <v>355.84945200000004</v>
      </c>
      <c r="Q102" s="58">
        <f t="shared" si="33"/>
        <v>417.01107656250002</v>
      </c>
      <c r="R102" s="58">
        <f t="shared" si="34"/>
        <v>278.00738437500002</v>
      </c>
      <c r="S102" s="66">
        <f t="shared" si="24"/>
        <v>6.2273654100000018</v>
      </c>
      <c r="T102" s="64">
        <f t="shared" si="35"/>
        <v>30</v>
      </c>
      <c r="U102" s="66">
        <f t="shared" si="36"/>
        <v>392.07681741000005</v>
      </c>
      <c r="V102" s="68">
        <f t="shared" si="37"/>
        <v>49.009602176250006</v>
      </c>
      <c r="W102" s="68">
        <f t="shared" si="38"/>
        <v>459.46502040234378</v>
      </c>
      <c r="X102" s="68">
        <f t="shared" si="39"/>
        <v>306.3100136015625</v>
      </c>
      <c r="Z102" s="63"/>
      <c r="AA102" s="63"/>
    </row>
    <row r="103" spans="1:27" hidden="1" x14ac:dyDescent="0.25">
      <c r="A103" t="str">
        <f t="shared" si="17"/>
        <v>10620112C22/05/2026E</v>
      </c>
      <c r="B103" s="169" t="s">
        <v>828</v>
      </c>
      <c r="C103" s="61" t="s">
        <v>397</v>
      </c>
      <c r="D103" s="61" t="s">
        <v>591</v>
      </c>
      <c r="E103" s="61" t="s">
        <v>810</v>
      </c>
      <c r="F103" s="1" t="s">
        <v>757</v>
      </c>
      <c r="G103" s="62" t="str">
        <f t="shared" si="18"/>
        <v>20112</v>
      </c>
      <c r="H103" s="1">
        <v>10620112</v>
      </c>
      <c r="I103" s="1" t="s">
        <v>388</v>
      </c>
      <c r="J103" s="61">
        <v>10</v>
      </c>
      <c r="K103" s="61">
        <v>3.1</v>
      </c>
      <c r="L103" s="61">
        <v>8.1</v>
      </c>
      <c r="M103" s="69">
        <f t="shared" si="30"/>
        <v>0.31</v>
      </c>
      <c r="N103" s="69">
        <f t="shared" si="31"/>
        <v>0.81</v>
      </c>
      <c r="O103" s="56">
        <f>INDEX(Rate_Chart!$A$1:$AK$127,MATCH(Data!K103,Rate_Chart!$A$1:$A$127,0),MATCH(Data!L103,Rate_Chart!$A$1:$AK$1,0))</f>
        <v>35.446125899999998</v>
      </c>
      <c r="P103" s="57">
        <f t="shared" si="32"/>
        <v>354.46125899999998</v>
      </c>
      <c r="Q103" s="58">
        <f t="shared" si="33"/>
        <v>417.01324588235298</v>
      </c>
      <c r="R103" s="58">
        <f t="shared" si="34"/>
        <v>278.0088305882353</v>
      </c>
      <c r="S103" s="66">
        <f t="shared" si="24"/>
        <v>6.2030720325000006</v>
      </c>
      <c r="T103" s="64">
        <f t="shared" si="35"/>
        <v>37.5</v>
      </c>
      <c r="U103" s="66">
        <f t="shared" si="36"/>
        <v>398.1643310325</v>
      </c>
      <c r="V103" s="68">
        <f t="shared" si="37"/>
        <v>39.816433103249999</v>
      </c>
      <c r="W103" s="68">
        <f t="shared" si="38"/>
        <v>468.42862474411766</v>
      </c>
      <c r="X103" s="68">
        <f t="shared" si="39"/>
        <v>312.28574982941177</v>
      </c>
      <c r="Z103" s="63"/>
      <c r="AA103" s="63"/>
    </row>
    <row r="104" spans="1:27" hidden="1" x14ac:dyDescent="0.25">
      <c r="A104" t="str">
        <f t="shared" si="17"/>
        <v>10620115B22/05/2026M</v>
      </c>
      <c r="B104" s="169" t="s">
        <v>822</v>
      </c>
      <c r="C104" s="61" t="s">
        <v>396</v>
      </c>
      <c r="D104" s="61" t="s">
        <v>591</v>
      </c>
      <c r="E104" s="61" t="s">
        <v>593</v>
      </c>
      <c r="F104" s="1" t="s">
        <v>733</v>
      </c>
      <c r="G104" s="62" t="str">
        <f t="shared" si="18"/>
        <v>20115</v>
      </c>
      <c r="H104" s="1">
        <v>10620115</v>
      </c>
      <c r="I104" s="1" t="s">
        <v>387</v>
      </c>
      <c r="J104" s="61">
        <v>8</v>
      </c>
      <c r="K104" s="61">
        <v>5.7</v>
      </c>
      <c r="L104" s="61">
        <v>8.8000000000000007</v>
      </c>
      <c r="M104" s="69">
        <f t="shared" si="30"/>
        <v>0.45600000000000002</v>
      </c>
      <c r="N104" s="69">
        <f t="shared" si="31"/>
        <v>0.70400000000000007</v>
      </c>
      <c r="O104" s="56">
        <v>47.119050000000001</v>
      </c>
      <c r="P104" s="57">
        <f t="shared" si="32"/>
        <v>376.95240000000001</v>
      </c>
      <c r="Q104" s="58">
        <f t="shared" si="33"/>
        <v>407.3693083573487</v>
      </c>
      <c r="R104" s="58">
        <f t="shared" si="34"/>
        <v>271.57953890489915</v>
      </c>
      <c r="S104" s="66">
        <f t="shared" si="24"/>
        <v>6.5966670000000009</v>
      </c>
      <c r="T104" s="64">
        <f t="shared" si="35"/>
        <v>30</v>
      </c>
      <c r="U104" s="66">
        <f t="shared" si="36"/>
        <v>413.54906700000004</v>
      </c>
      <c r="V104" s="68">
        <f t="shared" si="37"/>
        <v>51.693633375000005</v>
      </c>
      <c r="W104" s="68">
        <f t="shared" si="38"/>
        <v>446.91902053314124</v>
      </c>
      <c r="X104" s="68">
        <f t="shared" si="39"/>
        <v>297.94601368876084</v>
      </c>
      <c r="Z104" s="63"/>
      <c r="AA104" s="63"/>
    </row>
    <row r="105" spans="1:27" hidden="1" x14ac:dyDescent="0.25">
      <c r="A105" t="str">
        <f t="shared" si="17"/>
        <v>10620115C22/05/2026M</v>
      </c>
      <c r="B105" s="169" t="s">
        <v>822</v>
      </c>
      <c r="C105" s="61" t="s">
        <v>396</v>
      </c>
      <c r="D105" s="61" t="s">
        <v>591</v>
      </c>
      <c r="E105" s="61" t="s">
        <v>593</v>
      </c>
      <c r="F105" s="1" t="s">
        <v>733</v>
      </c>
      <c r="G105" s="62" t="str">
        <f t="shared" si="18"/>
        <v>20115</v>
      </c>
      <c r="H105" s="1">
        <v>10620115</v>
      </c>
      <c r="I105" s="1" t="s">
        <v>388</v>
      </c>
      <c r="J105" s="61">
        <v>28</v>
      </c>
      <c r="K105" s="61">
        <v>3.9</v>
      </c>
      <c r="L105" s="61">
        <v>8.1</v>
      </c>
      <c r="M105" s="69">
        <f t="shared" si="30"/>
        <v>1.0920000000000001</v>
      </c>
      <c r="N105" s="69">
        <f t="shared" si="31"/>
        <v>2.2679999999999998</v>
      </c>
      <c r="O105" s="56">
        <v>36.829069200000006</v>
      </c>
      <c r="P105" s="57">
        <f t="shared" si="32"/>
        <v>1031.2139376000002</v>
      </c>
      <c r="Q105" s="58">
        <f t="shared" si="33"/>
        <v>396.01149677419363</v>
      </c>
      <c r="R105" s="58">
        <f t="shared" si="34"/>
        <v>264.00766451612907</v>
      </c>
      <c r="S105" s="66">
        <f t="shared" si="24"/>
        <v>18.046243908000005</v>
      </c>
      <c r="T105" s="64">
        <f t="shared" si="35"/>
        <v>105</v>
      </c>
      <c r="U105" s="66">
        <f t="shared" si="36"/>
        <v>1154.2601815080002</v>
      </c>
      <c r="V105" s="68">
        <f t="shared" si="37"/>
        <v>41.223577911000007</v>
      </c>
      <c r="W105" s="68">
        <f t="shared" si="38"/>
        <v>443.2642786129033</v>
      </c>
      <c r="X105" s="68">
        <f t="shared" si="39"/>
        <v>295.50951907526888</v>
      </c>
      <c r="Z105" s="63"/>
      <c r="AA105" s="63"/>
    </row>
    <row r="106" spans="1:27" hidden="1" x14ac:dyDescent="0.25">
      <c r="A106" t="str">
        <f t="shared" si="17"/>
        <v>10620115C23/05/2026E</v>
      </c>
      <c r="B106" s="169" t="s">
        <v>822</v>
      </c>
      <c r="C106" s="61" t="s">
        <v>397</v>
      </c>
      <c r="D106" s="61" t="s">
        <v>591</v>
      </c>
      <c r="E106" s="61" t="s">
        <v>593</v>
      </c>
      <c r="F106" s="1" t="s">
        <v>733</v>
      </c>
      <c r="G106" s="62" t="str">
        <f t="shared" si="18"/>
        <v>20115</v>
      </c>
      <c r="H106" s="1">
        <v>10620115</v>
      </c>
      <c r="I106" s="1" t="s">
        <v>388</v>
      </c>
      <c r="J106" s="61">
        <v>39</v>
      </c>
      <c r="K106" s="61">
        <v>3.3</v>
      </c>
      <c r="L106" s="61">
        <v>8.1</v>
      </c>
      <c r="M106" s="69">
        <f t="shared" si="30"/>
        <v>1.2869999999999999</v>
      </c>
      <c r="N106" s="69">
        <f t="shared" si="31"/>
        <v>3.1589999999999998</v>
      </c>
      <c r="O106" s="56">
        <v>34.453069200000002</v>
      </c>
      <c r="P106" s="57">
        <f t="shared" si="32"/>
        <v>1343.6696988000001</v>
      </c>
      <c r="Q106" s="58">
        <f t="shared" si="33"/>
        <v>396.01228965517248</v>
      </c>
      <c r="R106" s="58">
        <f t="shared" si="34"/>
        <v>264.00819310344832</v>
      </c>
      <c r="S106" s="66">
        <f t="shared" si="24"/>
        <v>23.514219729000004</v>
      </c>
      <c r="T106" s="64">
        <f t="shared" si="35"/>
        <v>146.25</v>
      </c>
      <c r="U106" s="66">
        <f t="shared" si="36"/>
        <v>1513.433918529</v>
      </c>
      <c r="V106" s="68">
        <f t="shared" si="37"/>
        <v>38.805997910999999</v>
      </c>
      <c r="W106" s="68">
        <f t="shared" si="38"/>
        <v>446.045953</v>
      </c>
      <c r="X106" s="68">
        <f t="shared" si="39"/>
        <v>297.36396866666666</v>
      </c>
      <c r="Z106" s="63"/>
      <c r="AA106" s="63"/>
    </row>
    <row r="107" spans="1:27" hidden="1" x14ac:dyDescent="0.25">
      <c r="A107" t="str">
        <f t="shared" si="17"/>
        <v>10620115B23/05/2026M</v>
      </c>
      <c r="B107" s="169" t="s">
        <v>823</v>
      </c>
      <c r="C107" s="61" t="s">
        <v>396</v>
      </c>
      <c r="D107" s="61" t="s">
        <v>591</v>
      </c>
      <c r="E107" s="61" t="s">
        <v>593</v>
      </c>
      <c r="F107" s="1" t="s">
        <v>733</v>
      </c>
      <c r="G107" s="62" t="str">
        <f t="shared" si="18"/>
        <v>20115</v>
      </c>
      <c r="H107" s="1">
        <v>10620115</v>
      </c>
      <c r="I107" s="1" t="s">
        <v>387</v>
      </c>
      <c r="J107" s="61">
        <v>10</v>
      </c>
      <c r="K107" s="61">
        <v>5.8</v>
      </c>
      <c r="L107" s="61">
        <v>8.4</v>
      </c>
      <c r="M107" s="69">
        <f t="shared" si="30"/>
        <v>0.57999999999999996</v>
      </c>
      <c r="N107" s="69">
        <f t="shared" si="31"/>
        <v>0.84</v>
      </c>
      <c r="O107" s="56">
        <v>46.9771</v>
      </c>
      <c r="P107" s="57">
        <f t="shared" si="32"/>
        <v>469.77100000000002</v>
      </c>
      <c r="Q107" s="58">
        <f t="shared" si="33"/>
        <v>412.07982456140354</v>
      </c>
      <c r="R107" s="58">
        <f t="shared" si="34"/>
        <v>274.71988304093571</v>
      </c>
      <c r="S107" s="66">
        <f t="shared" si="24"/>
        <v>8.2209925000000013</v>
      </c>
      <c r="T107" s="64">
        <f t="shared" si="35"/>
        <v>37.5</v>
      </c>
      <c r="U107" s="66">
        <f t="shared" si="36"/>
        <v>515.49199250000004</v>
      </c>
      <c r="V107" s="68">
        <f t="shared" si="37"/>
        <v>51.549199250000001</v>
      </c>
      <c r="W107" s="68">
        <f t="shared" si="38"/>
        <v>452.18595833333336</v>
      </c>
      <c r="X107" s="68">
        <f t="shared" si="39"/>
        <v>301.45730555555559</v>
      </c>
      <c r="Z107" s="63"/>
      <c r="AA107" s="63"/>
    </row>
    <row r="108" spans="1:27" hidden="1" x14ac:dyDescent="0.25">
      <c r="A108" t="str">
        <f t="shared" si="17"/>
        <v>10620115C23/05/2026M</v>
      </c>
      <c r="B108" s="169" t="s">
        <v>823</v>
      </c>
      <c r="C108" s="61" t="s">
        <v>396</v>
      </c>
      <c r="D108" s="61" t="s">
        <v>591</v>
      </c>
      <c r="E108" s="61" t="s">
        <v>593</v>
      </c>
      <c r="F108" s="1" t="s">
        <v>733</v>
      </c>
      <c r="G108" s="62" t="str">
        <f t="shared" si="18"/>
        <v>20115</v>
      </c>
      <c r="H108" s="1">
        <v>10620115</v>
      </c>
      <c r="I108" s="1" t="s">
        <v>388</v>
      </c>
      <c r="J108" s="61">
        <v>38</v>
      </c>
      <c r="K108" s="61">
        <v>3.3</v>
      </c>
      <c r="L108" s="61">
        <v>8</v>
      </c>
      <c r="M108" s="69">
        <f t="shared" si="30"/>
        <v>1.254</v>
      </c>
      <c r="N108" s="69">
        <f t="shared" si="31"/>
        <v>3.04</v>
      </c>
      <c r="O108" s="56">
        <v>34.189056000000008</v>
      </c>
      <c r="P108" s="57">
        <f t="shared" si="32"/>
        <v>1299.1841280000003</v>
      </c>
      <c r="Q108" s="58">
        <f t="shared" si="33"/>
        <v>396.01223166023169</v>
      </c>
      <c r="R108" s="58">
        <f t="shared" si="34"/>
        <v>264.00815444015444</v>
      </c>
      <c r="S108" s="66">
        <f t="shared" si="24"/>
        <v>22.735722240000008</v>
      </c>
      <c r="T108" s="64">
        <f t="shared" si="35"/>
        <v>142.5</v>
      </c>
      <c r="U108" s="66">
        <f t="shared" si="36"/>
        <v>1464.4198502400004</v>
      </c>
      <c r="V108" s="68">
        <f t="shared" si="37"/>
        <v>38.537364480000008</v>
      </c>
      <c r="W108" s="68">
        <f t="shared" si="38"/>
        <v>446.37873915057918</v>
      </c>
      <c r="X108" s="68">
        <f t="shared" si="39"/>
        <v>297.5858261003861</v>
      </c>
      <c r="Z108" s="63"/>
      <c r="AA108" s="63"/>
    </row>
    <row r="109" spans="1:27" hidden="1" x14ac:dyDescent="0.25">
      <c r="A109" t="str">
        <f t="shared" si="17"/>
        <v>10620115C24/05/2026E</v>
      </c>
      <c r="B109" s="169" t="s">
        <v>823</v>
      </c>
      <c r="C109" s="61" t="s">
        <v>397</v>
      </c>
      <c r="D109" s="61" t="s">
        <v>591</v>
      </c>
      <c r="E109" s="61" t="s">
        <v>593</v>
      </c>
      <c r="F109" s="1" t="s">
        <v>733</v>
      </c>
      <c r="G109" s="62" t="str">
        <f t="shared" si="18"/>
        <v>20115</v>
      </c>
      <c r="H109" s="1">
        <v>10620115</v>
      </c>
      <c r="I109" s="1" t="s">
        <v>388</v>
      </c>
      <c r="J109" s="61">
        <v>35</v>
      </c>
      <c r="K109" s="61">
        <v>3.4</v>
      </c>
      <c r="L109" s="61">
        <v>8.1</v>
      </c>
      <c r="M109" s="69">
        <f t="shared" si="30"/>
        <v>1.19</v>
      </c>
      <c r="N109" s="69">
        <f t="shared" si="31"/>
        <v>2.835</v>
      </c>
      <c r="O109" s="56">
        <v>34.849069200000002</v>
      </c>
      <c r="P109" s="57">
        <f t="shared" si="32"/>
        <v>1219.7174220000002</v>
      </c>
      <c r="Q109" s="58">
        <f t="shared" si="33"/>
        <v>396.01215000000008</v>
      </c>
      <c r="R109" s="58">
        <f t="shared" si="34"/>
        <v>264.00810000000007</v>
      </c>
      <c r="S109" s="66">
        <f t="shared" si="24"/>
        <v>21.345054885000003</v>
      </c>
      <c r="T109" s="64">
        <f t="shared" si="35"/>
        <v>131.25</v>
      </c>
      <c r="U109" s="66">
        <f t="shared" si="36"/>
        <v>1372.3124768850003</v>
      </c>
      <c r="V109" s="68">
        <f t="shared" si="37"/>
        <v>39.208927911000011</v>
      </c>
      <c r="W109" s="68">
        <f t="shared" si="38"/>
        <v>445.55599898863653</v>
      </c>
      <c r="X109" s="68">
        <f t="shared" si="39"/>
        <v>297.03733265909102</v>
      </c>
      <c r="Z109" s="63"/>
      <c r="AA109" s="63"/>
    </row>
    <row r="110" spans="1:27" hidden="1" x14ac:dyDescent="0.25">
      <c r="A110" t="str">
        <f t="shared" si="17"/>
        <v>10620115B24/05/2026M</v>
      </c>
      <c r="B110" s="169" t="s">
        <v>824</v>
      </c>
      <c r="C110" s="61" t="s">
        <v>396</v>
      </c>
      <c r="D110" s="61" t="s">
        <v>591</v>
      </c>
      <c r="E110" s="61" t="s">
        <v>593</v>
      </c>
      <c r="F110" s="1" t="s">
        <v>733</v>
      </c>
      <c r="G110" s="62" t="str">
        <f t="shared" si="18"/>
        <v>20115</v>
      </c>
      <c r="H110" s="1">
        <v>10620115</v>
      </c>
      <c r="I110" s="1" t="s">
        <v>387</v>
      </c>
      <c r="J110" s="61">
        <v>9</v>
      </c>
      <c r="K110" s="61">
        <v>5.6</v>
      </c>
      <c r="L110" s="61">
        <v>8.4</v>
      </c>
      <c r="M110" s="69">
        <f t="shared" si="30"/>
        <v>0.504</v>
      </c>
      <c r="N110" s="69">
        <f t="shared" si="31"/>
        <v>0.75600000000000012</v>
      </c>
      <c r="O110" s="56">
        <v>45.357199999999999</v>
      </c>
      <c r="P110" s="57">
        <f t="shared" si="32"/>
        <v>408.21479999999997</v>
      </c>
      <c r="Q110" s="58">
        <f t="shared" si="33"/>
        <v>404.97500000000002</v>
      </c>
      <c r="R110" s="58">
        <f t="shared" si="34"/>
        <v>269.98333333333335</v>
      </c>
      <c r="S110" s="66">
        <f t="shared" si="24"/>
        <v>7.1437590000000002</v>
      </c>
      <c r="T110" s="64">
        <f t="shared" si="35"/>
        <v>33.75</v>
      </c>
      <c r="U110" s="66">
        <f t="shared" si="36"/>
        <v>449.10855899999996</v>
      </c>
      <c r="V110" s="68">
        <f t="shared" si="37"/>
        <v>49.900950999999992</v>
      </c>
      <c r="W110" s="68">
        <f t="shared" si="38"/>
        <v>445.54420535714286</v>
      </c>
      <c r="X110" s="68">
        <f t="shared" si="39"/>
        <v>297.02947023809526</v>
      </c>
      <c r="Z110" s="63"/>
      <c r="AA110" s="63"/>
    </row>
    <row r="111" spans="1:27" hidden="1" x14ac:dyDescent="0.25">
      <c r="A111" t="str">
        <f t="shared" si="17"/>
        <v>10620115C24/05/2026M</v>
      </c>
      <c r="B111" s="169" t="s">
        <v>824</v>
      </c>
      <c r="C111" s="61" t="s">
        <v>396</v>
      </c>
      <c r="D111" s="61" t="s">
        <v>591</v>
      </c>
      <c r="E111" s="61" t="s">
        <v>593</v>
      </c>
      <c r="F111" s="1" t="s">
        <v>733</v>
      </c>
      <c r="G111" s="62" t="str">
        <f t="shared" si="18"/>
        <v>20115</v>
      </c>
      <c r="H111" s="1">
        <v>10620115</v>
      </c>
      <c r="I111" s="1" t="s">
        <v>388</v>
      </c>
      <c r="J111" s="61">
        <v>30</v>
      </c>
      <c r="K111" s="61">
        <v>3.2</v>
      </c>
      <c r="L111" s="61">
        <v>8</v>
      </c>
      <c r="M111" s="69">
        <f t="shared" si="30"/>
        <v>0.96</v>
      </c>
      <c r="N111" s="69">
        <f t="shared" si="31"/>
        <v>2.4</v>
      </c>
      <c r="O111" s="56">
        <v>33.793056000000007</v>
      </c>
      <c r="P111" s="57">
        <f t="shared" si="32"/>
        <v>1013.7916800000003</v>
      </c>
      <c r="Q111" s="58">
        <f t="shared" si="33"/>
        <v>396.01237500000002</v>
      </c>
      <c r="R111" s="58">
        <f t="shared" si="34"/>
        <v>264.00825000000003</v>
      </c>
      <c r="S111" s="66">
        <f t="shared" si="24"/>
        <v>17.741354400000006</v>
      </c>
      <c r="T111" s="64">
        <f t="shared" si="35"/>
        <v>112.5</v>
      </c>
      <c r="U111" s="66">
        <f t="shared" si="36"/>
        <v>1144.0330344000004</v>
      </c>
      <c r="V111" s="68">
        <f t="shared" si="37"/>
        <v>38.13443448000001</v>
      </c>
      <c r="W111" s="68">
        <f t="shared" si="38"/>
        <v>446.88790406250007</v>
      </c>
      <c r="X111" s="68">
        <f t="shared" si="39"/>
        <v>297.92526937500003</v>
      </c>
      <c r="Z111" s="63"/>
      <c r="AA111" s="63"/>
    </row>
    <row r="112" spans="1:27" hidden="1" x14ac:dyDescent="0.25">
      <c r="A112" t="str">
        <f t="shared" si="17"/>
        <v>10620115C25/05/2026E</v>
      </c>
      <c r="B112" s="169" t="s">
        <v>824</v>
      </c>
      <c r="C112" s="61" t="s">
        <v>397</v>
      </c>
      <c r="D112" s="61" t="s">
        <v>591</v>
      </c>
      <c r="E112" s="61" t="s">
        <v>593</v>
      </c>
      <c r="F112" s="1" t="s">
        <v>733</v>
      </c>
      <c r="G112" s="62" t="str">
        <f t="shared" si="18"/>
        <v>20115</v>
      </c>
      <c r="H112" s="1">
        <v>10620115</v>
      </c>
      <c r="I112" s="1" t="s">
        <v>388</v>
      </c>
      <c r="J112" s="61">
        <v>39</v>
      </c>
      <c r="K112" s="61">
        <v>3.3</v>
      </c>
      <c r="L112" s="61">
        <v>8.1</v>
      </c>
      <c r="M112" s="69">
        <f t="shared" si="30"/>
        <v>1.2869999999999999</v>
      </c>
      <c r="N112" s="69">
        <f t="shared" si="31"/>
        <v>3.1589999999999998</v>
      </c>
      <c r="O112" s="56">
        <v>34.453069200000002</v>
      </c>
      <c r="P112" s="57">
        <f t="shared" si="32"/>
        <v>1343.6696988000001</v>
      </c>
      <c r="Q112" s="58">
        <f t="shared" si="33"/>
        <v>396.01228965517248</v>
      </c>
      <c r="R112" s="58">
        <f t="shared" si="34"/>
        <v>264.00819310344832</v>
      </c>
      <c r="S112" s="66">
        <f t="shared" si="24"/>
        <v>23.514219729000004</v>
      </c>
      <c r="T112" s="64">
        <f t="shared" si="35"/>
        <v>146.25</v>
      </c>
      <c r="U112" s="66">
        <f t="shared" si="36"/>
        <v>1513.433918529</v>
      </c>
      <c r="V112" s="68">
        <f t="shared" si="37"/>
        <v>38.805997910999999</v>
      </c>
      <c r="W112" s="68">
        <f t="shared" si="38"/>
        <v>446.045953</v>
      </c>
      <c r="X112" s="68">
        <f t="shared" si="39"/>
        <v>297.36396866666666</v>
      </c>
      <c r="Z112" s="63"/>
      <c r="AA112" s="63"/>
    </row>
    <row r="113" spans="1:27" hidden="1" x14ac:dyDescent="0.25">
      <c r="A113" t="str">
        <f t="shared" si="17"/>
        <v>10620115C25/05/2026M</v>
      </c>
      <c r="B113" s="169" t="s">
        <v>825</v>
      </c>
      <c r="C113" s="61" t="s">
        <v>396</v>
      </c>
      <c r="D113" s="61" t="s">
        <v>591</v>
      </c>
      <c r="E113" s="61" t="s">
        <v>593</v>
      </c>
      <c r="F113" s="1" t="s">
        <v>733</v>
      </c>
      <c r="G113" s="62" t="str">
        <f t="shared" si="18"/>
        <v>20115</v>
      </c>
      <c r="H113" s="1">
        <v>10620115</v>
      </c>
      <c r="I113" s="1" t="s">
        <v>388</v>
      </c>
      <c r="J113" s="61">
        <v>37</v>
      </c>
      <c r="K113" s="61">
        <v>4.0999999999999996</v>
      </c>
      <c r="L113" s="61">
        <v>8.1999999999999993</v>
      </c>
      <c r="M113" s="69">
        <f t="shared" si="30"/>
        <v>1.5169999999999999</v>
      </c>
      <c r="N113" s="69">
        <f t="shared" si="31"/>
        <v>3.0339999999999998</v>
      </c>
      <c r="O113" s="56">
        <v>37.885082400000002</v>
      </c>
      <c r="P113" s="57">
        <f t="shared" si="32"/>
        <v>1401.7480488000001</v>
      </c>
      <c r="Q113" s="58">
        <f t="shared" si="33"/>
        <v>396.01131428571438</v>
      </c>
      <c r="R113" s="58">
        <f t="shared" si="34"/>
        <v>264.00754285714294</v>
      </c>
      <c r="S113" s="66">
        <f t="shared" si="24"/>
        <v>24.530590854000003</v>
      </c>
      <c r="T113" s="64">
        <f t="shared" si="35"/>
        <v>138.75</v>
      </c>
      <c r="U113" s="66">
        <f t="shared" si="36"/>
        <v>1565.028639654</v>
      </c>
      <c r="V113" s="68">
        <f t="shared" si="37"/>
        <v>42.298071342</v>
      </c>
      <c r="W113" s="68">
        <f t="shared" si="38"/>
        <v>442.14011855749135</v>
      </c>
      <c r="X113" s="68">
        <f t="shared" si="39"/>
        <v>294.76007903832755</v>
      </c>
      <c r="Z113" s="63"/>
      <c r="AA113" s="63"/>
    </row>
    <row r="114" spans="1:27" hidden="1" x14ac:dyDescent="0.25">
      <c r="A114" t="str">
        <f t="shared" si="17"/>
        <v>10620115C26/05/2026E</v>
      </c>
      <c r="B114" s="169" t="s">
        <v>825</v>
      </c>
      <c r="C114" s="61" t="s">
        <v>397</v>
      </c>
      <c r="D114" s="61" t="s">
        <v>591</v>
      </c>
      <c r="E114" s="61" t="s">
        <v>593</v>
      </c>
      <c r="F114" s="1" t="s">
        <v>733</v>
      </c>
      <c r="G114" s="62" t="str">
        <f t="shared" si="18"/>
        <v>20115</v>
      </c>
      <c r="H114" s="1">
        <v>10620115</v>
      </c>
      <c r="I114" s="1" t="s">
        <v>388</v>
      </c>
      <c r="J114" s="61">
        <v>37</v>
      </c>
      <c r="K114" s="61">
        <v>3.8</v>
      </c>
      <c r="L114" s="61">
        <v>8.1999999999999993</v>
      </c>
      <c r="M114" s="69">
        <f t="shared" si="30"/>
        <v>1.4059999999999999</v>
      </c>
      <c r="N114" s="69">
        <f t="shared" si="31"/>
        <v>3.0339999999999998</v>
      </c>
      <c r="O114" s="56">
        <v>36.697082399999999</v>
      </c>
      <c r="P114" s="57">
        <f t="shared" si="32"/>
        <v>1357.7920488</v>
      </c>
      <c r="Q114" s="58">
        <f t="shared" si="33"/>
        <v>396.01168057553957</v>
      </c>
      <c r="R114" s="58">
        <f t="shared" si="34"/>
        <v>264.0077870503597</v>
      </c>
      <c r="S114" s="66">
        <f t="shared" si="24"/>
        <v>23.761360854000003</v>
      </c>
      <c r="T114" s="64">
        <f t="shared" si="35"/>
        <v>138.75</v>
      </c>
      <c r="U114" s="66">
        <f t="shared" si="36"/>
        <v>1520.303409654</v>
      </c>
      <c r="V114" s="68">
        <f t="shared" si="37"/>
        <v>41.089281342</v>
      </c>
      <c r="W114" s="68">
        <f t="shared" si="38"/>
        <v>443.40951088489209</v>
      </c>
      <c r="X114" s="68">
        <f t="shared" si="39"/>
        <v>295.60634058992804</v>
      </c>
      <c r="Z114" s="63"/>
      <c r="AA114" s="63"/>
    </row>
    <row r="115" spans="1:27" hidden="1" x14ac:dyDescent="0.25">
      <c r="A115" t="str">
        <f t="shared" si="17"/>
        <v>10620115B26/05/2026M</v>
      </c>
      <c r="B115" s="169" t="s">
        <v>826</v>
      </c>
      <c r="C115" s="61" t="s">
        <v>396</v>
      </c>
      <c r="D115" s="61" t="s">
        <v>591</v>
      </c>
      <c r="E115" s="61" t="s">
        <v>593</v>
      </c>
      <c r="F115" s="1" t="s">
        <v>733</v>
      </c>
      <c r="G115" s="62" t="str">
        <f t="shared" si="18"/>
        <v>20115</v>
      </c>
      <c r="H115" s="1">
        <v>10620115</v>
      </c>
      <c r="I115" s="1" t="s">
        <v>387</v>
      </c>
      <c r="J115" s="61">
        <v>9</v>
      </c>
      <c r="K115" s="61">
        <v>5.6</v>
      </c>
      <c r="L115" s="61">
        <v>8.4</v>
      </c>
      <c r="M115" s="69">
        <f t="shared" si="30"/>
        <v>0.504</v>
      </c>
      <c r="N115" s="69">
        <f t="shared" si="31"/>
        <v>0.75600000000000012</v>
      </c>
      <c r="O115" s="56">
        <f>INDEX(Rate_Chart!$A$1:$AK$127,MATCH(Data!K115,Rate_Chart!$A$1:$A$127,0),MATCH(Data!L115,Rate_Chart!$A$1:$AK$1,0))</f>
        <v>45.357199999999999</v>
      </c>
      <c r="P115" s="57">
        <f t="shared" si="32"/>
        <v>408.21479999999997</v>
      </c>
      <c r="Q115" s="58">
        <f t="shared" si="33"/>
        <v>404.97500000000002</v>
      </c>
      <c r="R115" s="58">
        <f t="shared" si="34"/>
        <v>269.98333333333335</v>
      </c>
      <c r="S115" s="66">
        <f t="shared" si="24"/>
        <v>7.1437590000000002</v>
      </c>
      <c r="T115" s="64">
        <f t="shared" si="35"/>
        <v>33.75</v>
      </c>
      <c r="U115" s="66">
        <f t="shared" si="36"/>
        <v>449.10855899999996</v>
      </c>
      <c r="V115" s="68">
        <f t="shared" si="37"/>
        <v>49.900950999999992</v>
      </c>
      <c r="W115" s="68">
        <f t="shared" si="38"/>
        <v>445.54420535714286</v>
      </c>
      <c r="X115" s="68">
        <f t="shared" si="39"/>
        <v>297.02947023809526</v>
      </c>
      <c r="Z115" s="63"/>
      <c r="AA115" s="63"/>
    </row>
    <row r="116" spans="1:27" hidden="1" x14ac:dyDescent="0.25">
      <c r="A116" t="str">
        <f t="shared" si="17"/>
        <v>10620115C26/05/2026M</v>
      </c>
      <c r="B116" s="169" t="s">
        <v>826</v>
      </c>
      <c r="C116" s="61" t="s">
        <v>396</v>
      </c>
      <c r="D116" s="61" t="s">
        <v>591</v>
      </c>
      <c r="E116" s="61" t="s">
        <v>593</v>
      </c>
      <c r="F116" s="1" t="s">
        <v>733</v>
      </c>
      <c r="G116" s="62" t="str">
        <f t="shared" si="18"/>
        <v>20115</v>
      </c>
      <c r="H116" s="1">
        <v>10620115</v>
      </c>
      <c r="I116" s="1" t="s">
        <v>388</v>
      </c>
      <c r="J116" s="61">
        <v>34</v>
      </c>
      <c r="K116" s="61">
        <v>3.5</v>
      </c>
      <c r="L116" s="61">
        <v>8.1</v>
      </c>
      <c r="M116" s="69">
        <f t="shared" si="30"/>
        <v>1.19</v>
      </c>
      <c r="N116" s="69">
        <f t="shared" si="31"/>
        <v>2.7539999999999996</v>
      </c>
      <c r="O116" s="56">
        <f>INDEX(Rate_Chart!$A$1:$AK$127,MATCH(Data!K116,Rate_Chart!$A$1:$A$127,0),MATCH(Data!L116,Rate_Chart!$A$1:$AK$1,0))</f>
        <v>37.114125900000005</v>
      </c>
      <c r="P116" s="57">
        <f t="shared" si="32"/>
        <v>1261.8802806000001</v>
      </c>
      <c r="Q116" s="58">
        <f t="shared" si="33"/>
        <v>417.01265056179784</v>
      </c>
      <c r="R116" s="58">
        <f t="shared" si="34"/>
        <v>278.00843370786521</v>
      </c>
      <c r="S116" s="66">
        <f t="shared" si="24"/>
        <v>22.082904910500005</v>
      </c>
      <c r="T116" s="64">
        <f t="shared" si="35"/>
        <v>127.5</v>
      </c>
      <c r="U116" s="66">
        <f t="shared" si="36"/>
        <v>1411.4631855105001</v>
      </c>
      <c r="V116" s="68">
        <f t="shared" si="37"/>
        <v>41.513623103250005</v>
      </c>
      <c r="W116" s="68">
        <f t="shared" si="38"/>
        <v>466.44520340730344</v>
      </c>
      <c r="X116" s="68">
        <f t="shared" si="39"/>
        <v>310.96346893820231</v>
      </c>
      <c r="Z116" s="63"/>
      <c r="AA116" s="63"/>
    </row>
    <row r="117" spans="1:27" hidden="1" x14ac:dyDescent="0.25">
      <c r="A117" t="str">
        <f t="shared" si="17"/>
        <v>10620115C27/05/2026E</v>
      </c>
      <c r="B117" s="169" t="s">
        <v>826</v>
      </c>
      <c r="C117" s="61" t="s">
        <v>397</v>
      </c>
      <c r="D117" s="61" t="s">
        <v>591</v>
      </c>
      <c r="E117" s="61" t="s">
        <v>593</v>
      </c>
      <c r="F117" s="1" t="s">
        <v>733</v>
      </c>
      <c r="G117" s="62" t="str">
        <f t="shared" si="18"/>
        <v>20115</v>
      </c>
      <c r="H117" s="1">
        <v>10620115</v>
      </c>
      <c r="I117" s="1" t="s">
        <v>388</v>
      </c>
      <c r="J117" s="61">
        <v>37</v>
      </c>
      <c r="K117" s="61">
        <v>4.0999999999999996</v>
      </c>
      <c r="L117" s="61">
        <v>8.5</v>
      </c>
      <c r="M117" s="69">
        <f t="shared" si="30"/>
        <v>1.5169999999999999</v>
      </c>
      <c r="N117" s="69">
        <f t="shared" si="31"/>
        <v>3.145</v>
      </c>
      <c r="O117" s="56">
        <f>INDEX(Rate_Chart!$A$1:$AK$127,MATCH(Data!K117,Rate_Chart!$A$1:$A$127,0),MATCH(Data!L117,Rate_Chart!$A$1:$AK$1,0))</f>
        <v>40.728181500000005</v>
      </c>
      <c r="P117" s="57">
        <f t="shared" si="32"/>
        <v>1506.9427155000003</v>
      </c>
      <c r="Q117" s="58">
        <f t="shared" si="33"/>
        <v>417.01209726962463</v>
      </c>
      <c r="R117" s="58">
        <f t="shared" si="34"/>
        <v>278.0080648464164</v>
      </c>
      <c r="S117" s="66">
        <f t="shared" si="24"/>
        <v>26.371497521250006</v>
      </c>
      <c r="T117" s="64">
        <f t="shared" si="35"/>
        <v>138.75</v>
      </c>
      <c r="U117" s="66">
        <f t="shared" si="36"/>
        <v>1672.0642130212502</v>
      </c>
      <c r="V117" s="68">
        <f t="shared" si="37"/>
        <v>45.190924676250006</v>
      </c>
      <c r="W117" s="68">
        <f t="shared" si="38"/>
        <v>462.70571340870316</v>
      </c>
      <c r="X117" s="68">
        <f t="shared" si="39"/>
        <v>308.47047560580211</v>
      </c>
      <c r="Z117" s="63"/>
      <c r="AA117" s="63"/>
    </row>
    <row r="118" spans="1:27" hidden="1" x14ac:dyDescent="0.25">
      <c r="A118" t="str">
        <f t="shared" si="17"/>
        <v>10620115C27/05/2026M</v>
      </c>
      <c r="B118" s="169" t="s">
        <v>827</v>
      </c>
      <c r="C118" s="61" t="s">
        <v>396</v>
      </c>
      <c r="D118" s="61" t="s">
        <v>591</v>
      </c>
      <c r="E118" s="61" t="s">
        <v>593</v>
      </c>
      <c r="F118" s="1" t="s">
        <v>733</v>
      </c>
      <c r="G118" s="62" t="str">
        <f t="shared" si="18"/>
        <v>20115</v>
      </c>
      <c r="H118" s="1">
        <v>10620115</v>
      </c>
      <c r="I118" s="1" t="s">
        <v>388</v>
      </c>
      <c r="J118" s="61">
        <v>38</v>
      </c>
      <c r="K118" s="61">
        <v>4.0999999999999996</v>
      </c>
      <c r="L118" s="61">
        <v>8.4</v>
      </c>
      <c r="M118" s="69">
        <f t="shared" si="30"/>
        <v>1.5579999999999998</v>
      </c>
      <c r="N118" s="69">
        <f t="shared" si="31"/>
        <v>3.1919999999999997</v>
      </c>
      <c r="O118" s="56">
        <f>INDEX(Rate_Chart!$A$1:$AK$127,MATCH(Data!K118,Rate_Chart!$A$1:$A$127,0),MATCH(Data!L118,Rate_Chart!$A$1:$AK$1,0))</f>
        <v>40.4501676</v>
      </c>
      <c r="P118" s="57">
        <f t="shared" si="32"/>
        <v>1537.1063687999999</v>
      </c>
      <c r="Q118" s="58">
        <f t="shared" si="33"/>
        <v>417.01203711340207</v>
      </c>
      <c r="R118" s="58">
        <f t="shared" si="34"/>
        <v>278.00802474226805</v>
      </c>
      <c r="S118" s="66">
        <f t="shared" si="24"/>
        <v>26.899361454000001</v>
      </c>
      <c r="T118" s="64">
        <f t="shared" si="35"/>
        <v>142.5</v>
      </c>
      <c r="U118" s="66">
        <f t="shared" si="36"/>
        <v>1706.5057302539999</v>
      </c>
      <c r="V118" s="68">
        <f t="shared" si="37"/>
        <v>44.908045532999999</v>
      </c>
      <c r="W118" s="68">
        <f t="shared" si="38"/>
        <v>462.96954157731955</v>
      </c>
      <c r="X118" s="68">
        <f t="shared" si="39"/>
        <v>308.64636105154636</v>
      </c>
      <c r="Z118" s="63"/>
      <c r="AA118" s="63"/>
    </row>
    <row r="119" spans="1:27" hidden="1" x14ac:dyDescent="0.25">
      <c r="A119" t="str">
        <f t="shared" si="17"/>
        <v>10620115C28/05/2026E</v>
      </c>
      <c r="B119" s="169" t="s">
        <v>827</v>
      </c>
      <c r="C119" s="61" t="s">
        <v>397</v>
      </c>
      <c r="D119" s="61" t="s">
        <v>591</v>
      </c>
      <c r="E119" s="61" t="s">
        <v>593</v>
      </c>
      <c r="F119" s="1" t="s">
        <v>733</v>
      </c>
      <c r="G119" s="62" t="str">
        <f t="shared" si="18"/>
        <v>20115</v>
      </c>
      <c r="H119" s="1">
        <v>10620115</v>
      </c>
      <c r="I119" s="1" t="s">
        <v>388</v>
      </c>
      <c r="J119" s="61">
        <v>37</v>
      </c>
      <c r="K119" s="61">
        <v>3.9</v>
      </c>
      <c r="L119" s="61">
        <v>8.5</v>
      </c>
      <c r="M119" s="69">
        <f t="shared" si="30"/>
        <v>1.4429999999999998</v>
      </c>
      <c r="N119" s="69">
        <f t="shared" si="31"/>
        <v>3.145</v>
      </c>
      <c r="O119" s="56">
        <f>INDEX(Rate_Chart!$A$1:$AK$127,MATCH(Data!K119,Rate_Chart!$A$1:$A$127,0),MATCH(Data!L119,Rate_Chart!$A$1:$AK$1,0))</f>
        <v>39.894181500000002</v>
      </c>
      <c r="P119" s="57">
        <f t="shared" si="32"/>
        <v>1476.0847155000001</v>
      </c>
      <c r="Q119" s="58">
        <f t="shared" si="33"/>
        <v>417.01235017421601</v>
      </c>
      <c r="R119" s="58">
        <f t="shared" si="34"/>
        <v>278.00823344947736</v>
      </c>
      <c r="S119" s="66">
        <f t="shared" si="24"/>
        <v>25.831482521250006</v>
      </c>
      <c r="T119" s="64">
        <f t="shared" si="35"/>
        <v>138.75</v>
      </c>
      <c r="U119" s="66">
        <f t="shared" si="36"/>
        <v>1640.6661980212502</v>
      </c>
      <c r="V119" s="68">
        <f t="shared" si="37"/>
        <v>44.342329676250003</v>
      </c>
      <c r="W119" s="68">
        <f t="shared" si="38"/>
        <v>463.50867257404178</v>
      </c>
      <c r="X119" s="68">
        <f t="shared" si="39"/>
        <v>309.00578171602785</v>
      </c>
      <c r="Z119" s="63"/>
      <c r="AA119" s="63"/>
    </row>
    <row r="120" spans="1:27" hidden="1" x14ac:dyDescent="0.25">
      <c r="A120" t="str">
        <f t="shared" si="17"/>
        <v>10620115C28/05/2026M</v>
      </c>
      <c r="B120" s="169" t="s">
        <v>828</v>
      </c>
      <c r="C120" s="61" t="s">
        <v>396</v>
      </c>
      <c r="D120" s="61" t="s">
        <v>591</v>
      </c>
      <c r="E120" s="61" t="s">
        <v>593</v>
      </c>
      <c r="F120" s="1" t="s">
        <v>733</v>
      </c>
      <c r="G120" s="62" t="str">
        <f t="shared" si="18"/>
        <v>20115</v>
      </c>
      <c r="H120" s="1">
        <v>10620115</v>
      </c>
      <c r="I120" s="1" t="s">
        <v>388</v>
      </c>
      <c r="J120" s="61">
        <v>48</v>
      </c>
      <c r="K120" s="61">
        <v>4.0999999999999996</v>
      </c>
      <c r="L120" s="61">
        <v>8.1</v>
      </c>
      <c r="M120" s="69">
        <f t="shared" si="30"/>
        <v>1.9679999999999997</v>
      </c>
      <c r="N120" s="69">
        <f t="shared" si="31"/>
        <v>3.8879999999999995</v>
      </c>
      <c r="O120" s="56">
        <f>INDEX(Rate_Chart!$A$1:$AK$127,MATCH(Data!K120,Rate_Chart!$A$1:$A$127,0),MATCH(Data!L120,Rate_Chart!$A$1:$AK$1,0))</f>
        <v>39.6161259</v>
      </c>
      <c r="P120" s="57">
        <f t="shared" si="32"/>
        <v>1901.5740432</v>
      </c>
      <c r="Q120" s="58">
        <f t="shared" si="33"/>
        <v>417.01185157894736</v>
      </c>
      <c r="R120" s="58">
        <f t="shared" si="34"/>
        <v>278.00790105263155</v>
      </c>
      <c r="S120" s="66">
        <f t="shared" si="24"/>
        <v>33.277545756000002</v>
      </c>
      <c r="T120" s="64">
        <f t="shared" si="35"/>
        <v>180</v>
      </c>
      <c r="U120" s="66">
        <f t="shared" si="36"/>
        <v>2114.8515889559999</v>
      </c>
      <c r="V120" s="68">
        <f t="shared" si="37"/>
        <v>44.05940810325</v>
      </c>
      <c r="W120" s="68">
        <f t="shared" si="38"/>
        <v>463.78324319210526</v>
      </c>
      <c r="X120" s="68">
        <f t="shared" si="39"/>
        <v>309.18882879473682</v>
      </c>
      <c r="Z120" s="63"/>
      <c r="AA120" s="63"/>
    </row>
    <row r="121" spans="1:27" hidden="1" x14ac:dyDescent="0.25">
      <c r="A121" t="str">
        <f t="shared" si="17"/>
        <v>10620115C26/05/2026E</v>
      </c>
      <c r="B121" s="169" t="s">
        <v>828</v>
      </c>
      <c r="C121" s="61" t="s">
        <v>397</v>
      </c>
      <c r="D121" s="61" t="s">
        <v>591</v>
      </c>
      <c r="E121" s="61" t="s">
        <v>593</v>
      </c>
      <c r="F121" s="1" t="s">
        <v>733</v>
      </c>
      <c r="G121" s="62" t="str">
        <f t="shared" si="18"/>
        <v>20115</v>
      </c>
      <c r="H121" s="1">
        <v>10620115</v>
      </c>
      <c r="I121" s="1" t="s">
        <v>388</v>
      </c>
      <c r="J121" s="61">
        <v>37</v>
      </c>
      <c r="K121" s="61">
        <v>3.6</v>
      </c>
      <c r="L121" s="61">
        <v>8.3000000000000007</v>
      </c>
      <c r="M121" s="69">
        <f t="shared" si="30"/>
        <v>1.3320000000000001</v>
      </c>
      <c r="N121" s="69">
        <f t="shared" si="31"/>
        <v>3.0710000000000002</v>
      </c>
      <c r="O121" s="56">
        <f>INDEX(Rate_Chart!$A$1:$AK$127,MATCH(Data!K121,Rate_Chart!$A$1:$A$127,0),MATCH(Data!L121,Rate_Chart!$A$1:$AK$1,0))</f>
        <v>38.087153700000009</v>
      </c>
      <c r="P121" s="57">
        <f t="shared" si="32"/>
        <v>1409.2246869000003</v>
      </c>
      <c r="Q121" s="58">
        <f t="shared" si="33"/>
        <v>417.01263175182481</v>
      </c>
      <c r="R121" s="58">
        <f t="shared" si="34"/>
        <v>278.00842116788323</v>
      </c>
      <c r="S121" s="66">
        <f t="shared" si="24"/>
        <v>24.661432020750006</v>
      </c>
      <c r="T121" s="64">
        <f t="shared" si="35"/>
        <v>138.75</v>
      </c>
      <c r="U121" s="66">
        <f t="shared" si="36"/>
        <v>1572.6361189207503</v>
      </c>
      <c r="V121" s="68">
        <f t="shared" si="37"/>
        <v>42.503678889750006</v>
      </c>
      <c r="W121" s="68">
        <f t="shared" si="38"/>
        <v>465.36874696806569</v>
      </c>
      <c r="X121" s="68">
        <f t="shared" si="39"/>
        <v>310.24583131204378</v>
      </c>
      <c r="Z121" s="63"/>
      <c r="AA121" s="63"/>
    </row>
    <row r="122" spans="1:27" hidden="1" x14ac:dyDescent="0.25">
      <c r="A122" t="str">
        <f t="shared" si="17"/>
        <v>10620116C27/05/2026E</v>
      </c>
      <c r="B122" s="169" t="s">
        <v>826</v>
      </c>
      <c r="C122" s="61" t="s">
        <v>397</v>
      </c>
      <c r="D122" s="61" t="s">
        <v>591</v>
      </c>
      <c r="E122" s="61" t="s">
        <v>592</v>
      </c>
      <c r="F122" s="1" t="s">
        <v>830</v>
      </c>
      <c r="G122" s="62" t="str">
        <f t="shared" si="18"/>
        <v>20116</v>
      </c>
      <c r="H122" s="1">
        <v>10620116</v>
      </c>
      <c r="I122" s="1" t="s">
        <v>388</v>
      </c>
      <c r="J122" s="61">
        <v>2840</v>
      </c>
      <c r="K122" s="61">
        <v>4.5999999999999996</v>
      </c>
      <c r="L122" s="61">
        <v>8.5</v>
      </c>
      <c r="M122" s="69">
        <f t="shared" si="30"/>
        <v>130.63999999999999</v>
      </c>
      <c r="N122" s="69">
        <f t="shared" si="31"/>
        <v>241.4</v>
      </c>
      <c r="O122" s="56">
        <f>INDEX(Rate_Chart!$A$1:$AK$127,MATCH(Data!K122,Rate_Chart!$A$1:$A$127,0),MATCH(Data!L122,Rate_Chart!$A$1:$AK$1,0))</f>
        <v>42.813181499999999</v>
      </c>
      <c r="P122" s="57">
        <f t="shared" si="32"/>
        <v>121589.43545999999</v>
      </c>
      <c r="Q122" s="58">
        <f t="shared" si="33"/>
        <v>417.01150811688308</v>
      </c>
      <c r="R122" s="58">
        <f t="shared" si="34"/>
        <v>278.00767207792205</v>
      </c>
      <c r="S122" s="66">
        <f t="shared" si="24"/>
        <v>2127.8151205500003</v>
      </c>
      <c r="T122" s="64">
        <f t="shared" si="35"/>
        <v>10650</v>
      </c>
      <c r="U122" s="66">
        <f t="shared" si="36"/>
        <v>134367.25058055</v>
      </c>
      <c r="V122" s="68">
        <f t="shared" si="37"/>
        <v>47.31241217625</v>
      </c>
      <c r="W122" s="68">
        <f t="shared" si="38"/>
        <v>460.83518353490257</v>
      </c>
      <c r="X122" s="68">
        <f t="shared" si="39"/>
        <v>307.22345568993507</v>
      </c>
      <c r="Z122" s="63"/>
      <c r="AA122" s="63"/>
    </row>
    <row r="123" spans="1:27" hidden="1" x14ac:dyDescent="0.25">
      <c r="A123" t="str">
        <f t="shared" si="17"/>
        <v>10620116C25/05/2026E</v>
      </c>
      <c r="B123" s="240" t="s">
        <v>827</v>
      </c>
      <c r="C123" s="241" t="s">
        <v>397</v>
      </c>
      <c r="D123" s="241" t="s">
        <v>591</v>
      </c>
      <c r="E123" s="241" t="s">
        <v>592</v>
      </c>
      <c r="F123" s="242" t="s">
        <v>830</v>
      </c>
      <c r="G123" s="243" t="str">
        <f t="shared" ref="G123" si="40">MID(F123,2,5)</f>
        <v>20116</v>
      </c>
      <c r="H123" s="242">
        <v>10620116</v>
      </c>
      <c r="I123" s="242" t="s">
        <v>388</v>
      </c>
      <c r="J123" s="241">
        <v>2380</v>
      </c>
      <c r="K123" s="241">
        <v>4.5999999999999996</v>
      </c>
      <c r="L123" s="241">
        <v>8.5</v>
      </c>
      <c r="M123" s="244">
        <f t="shared" ref="M123" si="41">K123*J123/100</f>
        <v>109.48</v>
      </c>
      <c r="N123" s="244">
        <f t="shared" ref="N123" si="42">L123*J123/100</f>
        <v>202.3</v>
      </c>
      <c r="O123" s="245">
        <f>INDEX(Rate_Chart!$A$1:$AK$127,MATCH(Data!K123,Rate_Chart!$A$1:$A$127,0),MATCH(Data!L123,Rate_Chart!$A$1:$AK$1,0))</f>
        <v>42.813181499999999</v>
      </c>
      <c r="P123" s="246">
        <f t="shared" ref="P123" si="43">O123*J123</f>
        <v>101895.37196999999</v>
      </c>
      <c r="Q123" s="247">
        <f t="shared" ref="Q123" si="44">O123/(K123%+L123%*2/3)</f>
        <v>417.01150811688308</v>
      </c>
      <c r="R123" s="247">
        <f t="shared" ref="R123" si="45">Q123*2/3</f>
        <v>278.00767207792205</v>
      </c>
      <c r="S123" s="248">
        <f t="shared" ref="S123" si="46">P123*1.75%</f>
        <v>1783.1690094749999</v>
      </c>
      <c r="T123" s="249">
        <f t="shared" ref="T123" si="47">J123*3.75</f>
        <v>8925</v>
      </c>
      <c r="U123" s="248">
        <f t="shared" ref="U123" si="48">S123+T123+P123</f>
        <v>112603.54097947499</v>
      </c>
      <c r="V123" s="250">
        <f t="shared" ref="V123" si="49">U123/J123</f>
        <v>47.312412176249993</v>
      </c>
      <c r="W123" s="250">
        <f t="shared" ref="W123" si="50">V123/(K123%+L123%*2/3)</f>
        <v>460.83518353490251</v>
      </c>
      <c r="X123" s="250">
        <f t="shared" ref="X123" si="51">W123*2/3</f>
        <v>307.22345568993501</v>
      </c>
      <c r="Z123" s="63"/>
      <c r="AA123" s="63"/>
    </row>
    <row r="124" spans="1:27" hidden="1" x14ac:dyDescent="0.25">
      <c r="A124" t="str">
        <f t="shared" si="17"/>
        <v>10620119C27/05/2026E</v>
      </c>
      <c r="B124" s="169" t="s">
        <v>825</v>
      </c>
      <c r="C124" s="61" t="s">
        <v>397</v>
      </c>
      <c r="D124" s="61" t="s">
        <v>591</v>
      </c>
      <c r="E124" s="61" t="s">
        <v>595</v>
      </c>
      <c r="F124" s="1" t="s">
        <v>764</v>
      </c>
      <c r="G124" s="62" t="str">
        <f t="shared" si="18"/>
        <v>20119</v>
      </c>
      <c r="H124" s="1">
        <v>10620119</v>
      </c>
      <c r="I124" s="1" t="s">
        <v>388</v>
      </c>
      <c r="J124" s="61">
        <v>2970</v>
      </c>
      <c r="K124" s="61">
        <v>5.4</v>
      </c>
      <c r="L124" s="61">
        <v>8.4</v>
      </c>
      <c r="M124" s="69">
        <f t="shared" si="30"/>
        <v>160.38000000000002</v>
      </c>
      <c r="N124" s="69">
        <f t="shared" si="31"/>
        <v>249.48</v>
      </c>
      <c r="O124" s="56">
        <v>43.561108800000014</v>
      </c>
      <c r="P124" s="57">
        <f t="shared" si="32"/>
        <v>129376.49313600003</v>
      </c>
      <c r="Q124" s="58">
        <f t="shared" si="33"/>
        <v>396.01008000000007</v>
      </c>
      <c r="R124" s="58">
        <f t="shared" si="34"/>
        <v>264.00672000000003</v>
      </c>
      <c r="S124" s="66">
        <f t="shared" si="24"/>
        <v>2264.088629880001</v>
      </c>
      <c r="T124" s="64">
        <f t="shared" si="35"/>
        <v>11137.5</v>
      </c>
      <c r="U124" s="66">
        <f t="shared" si="36"/>
        <v>142778.08176588002</v>
      </c>
      <c r="V124" s="68">
        <f t="shared" si="37"/>
        <v>48.07342820400001</v>
      </c>
      <c r="W124" s="68">
        <f t="shared" si="38"/>
        <v>437.03116549090913</v>
      </c>
      <c r="X124" s="68">
        <f t="shared" si="39"/>
        <v>291.35411032727274</v>
      </c>
      <c r="Z124" s="63"/>
      <c r="AA124" s="63"/>
    </row>
    <row r="125" spans="1:27" hidden="1" x14ac:dyDescent="0.25">
      <c r="A125" t="str">
        <f t="shared" si="17"/>
        <v>10620119C28/05/2026E</v>
      </c>
      <c r="B125" s="169" t="s">
        <v>827</v>
      </c>
      <c r="C125" s="61" t="s">
        <v>397</v>
      </c>
      <c r="D125" s="61" t="s">
        <v>591</v>
      </c>
      <c r="E125" s="61" t="s">
        <v>595</v>
      </c>
      <c r="F125" s="1" t="s">
        <v>764</v>
      </c>
      <c r="G125" s="62" t="str">
        <f t="shared" si="18"/>
        <v>20119</v>
      </c>
      <c r="H125" s="1">
        <v>10620119</v>
      </c>
      <c r="I125" s="1" t="s">
        <v>388</v>
      </c>
      <c r="J125" s="61">
        <v>2030</v>
      </c>
      <c r="K125" s="61">
        <v>5</v>
      </c>
      <c r="L125" s="61">
        <v>8.3000000000000007</v>
      </c>
      <c r="M125" s="69">
        <f t="shared" si="30"/>
        <v>101.5</v>
      </c>
      <c r="N125" s="69">
        <f t="shared" si="31"/>
        <v>168.49</v>
      </c>
      <c r="O125" s="56">
        <f>INDEX(Rate_Chart!$A$1:$AK$127,MATCH(Data!K125,Rate_Chart!$A$1:$A$127,0),MATCH(Data!L125,Rate_Chart!$A$1:$AK$1,0))</f>
        <v>43.92515370000001</v>
      </c>
      <c r="P125" s="57">
        <f t="shared" si="32"/>
        <v>89168.062011000016</v>
      </c>
      <c r="Q125" s="58">
        <f t="shared" si="33"/>
        <v>417.01095284810134</v>
      </c>
      <c r="R125" s="58">
        <f t="shared" si="34"/>
        <v>278.00730189873423</v>
      </c>
      <c r="S125" s="66">
        <f t="shared" si="24"/>
        <v>1560.4410851925004</v>
      </c>
      <c r="T125" s="64">
        <f t="shared" si="35"/>
        <v>7612.5</v>
      </c>
      <c r="U125" s="66">
        <f t="shared" si="36"/>
        <v>98341.003096192522</v>
      </c>
      <c r="V125" s="68">
        <f t="shared" si="37"/>
        <v>48.443843889750013</v>
      </c>
      <c r="W125" s="68">
        <f t="shared" si="38"/>
        <v>459.90991034572795</v>
      </c>
      <c r="X125" s="68">
        <f t="shared" si="39"/>
        <v>306.60660689715195</v>
      </c>
      <c r="Z125" s="63"/>
      <c r="AA125" s="63"/>
    </row>
    <row r="126" spans="1:27" hidden="1" x14ac:dyDescent="0.25">
      <c r="A126" t="str">
        <f t="shared" si="17"/>
        <v>10620119C22/05/2026E</v>
      </c>
      <c r="B126" s="169" t="s">
        <v>828</v>
      </c>
      <c r="C126" s="61" t="s">
        <v>397</v>
      </c>
      <c r="D126" s="61" t="s">
        <v>591</v>
      </c>
      <c r="E126" s="61" t="s">
        <v>595</v>
      </c>
      <c r="F126" s="1" t="s">
        <v>764</v>
      </c>
      <c r="G126" s="62" t="str">
        <f t="shared" si="18"/>
        <v>20119</v>
      </c>
      <c r="H126" s="1">
        <v>10620119</v>
      </c>
      <c r="I126" s="1" t="s">
        <v>388</v>
      </c>
      <c r="J126" s="61">
        <v>1050</v>
      </c>
      <c r="K126" s="61">
        <v>5.2</v>
      </c>
      <c r="L126" s="61">
        <v>8.3000000000000007</v>
      </c>
      <c r="M126" s="69">
        <f t="shared" si="30"/>
        <v>54.6</v>
      </c>
      <c r="N126" s="69">
        <f t="shared" si="31"/>
        <v>87.15</v>
      </c>
      <c r="O126" s="56">
        <f>INDEX(Rate_Chart!$A$1:$AK$127,MATCH(Data!K126,Rate_Chart!$A$1:$A$127,0),MATCH(Data!L126,Rate_Chart!$A$1:$AK$1,0))</f>
        <v>44.759153700000006</v>
      </c>
      <c r="P126" s="57">
        <f t="shared" si="32"/>
        <v>46997.111385000004</v>
      </c>
      <c r="Q126" s="58">
        <f t="shared" si="33"/>
        <v>417.01074875776402</v>
      </c>
      <c r="R126" s="58">
        <f t="shared" si="34"/>
        <v>278.00716583850937</v>
      </c>
      <c r="S126" s="66">
        <f t="shared" si="24"/>
        <v>822.44944923750018</v>
      </c>
      <c r="T126" s="64">
        <f t="shared" si="35"/>
        <v>3937.5</v>
      </c>
      <c r="U126" s="66">
        <f t="shared" si="36"/>
        <v>51757.060834237505</v>
      </c>
      <c r="V126" s="68">
        <f t="shared" si="37"/>
        <v>49.292438889750002</v>
      </c>
      <c r="W126" s="68">
        <f t="shared" si="38"/>
        <v>459.24632505978263</v>
      </c>
      <c r="X126" s="68">
        <f t="shared" si="39"/>
        <v>306.16421670652176</v>
      </c>
      <c r="Z126" s="63"/>
      <c r="AA126" s="63"/>
    </row>
    <row r="127" spans="1:27" hidden="1" x14ac:dyDescent="0.25">
      <c r="A127" t="str">
        <f t="shared" si="17"/>
        <v>10620120B22/05/2026M</v>
      </c>
      <c r="B127" s="169" t="s">
        <v>822</v>
      </c>
      <c r="C127" s="61" t="s">
        <v>396</v>
      </c>
      <c r="D127" s="61" t="s">
        <v>591</v>
      </c>
      <c r="E127" s="61" t="s">
        <v>594</v>
      </c>
      <c r="F127" s="1" t="s">
        <v>787</v>
      </c>
      <c r="G127" s="62" t="str">
        <f t="shared" si="18"/>
        <v>20120</v>
      </c>
      <c r="H127" s="1">
        <v>10620120</v>
      </c>
      <c r="I127" s="1" t="s">
        <v>387</v>
      </c>
      <c r="J127" s="61">
        <v>16</v>
      </c>
      <c r="K127" s="61">
        <v>7.4</v>
      </c>
      <c r="L127" s="61">
        <v>8.8000000000000007</v>
      </c>
      <c r="M127" s="69">
        <f t="shared" si="30"/>
        <v>1.1840000000000002</v>
      </c>
      <c r="N127" s="69">
        <f t="shared" si="31"/>
        <v>1.4080000000000001</v>
      </c>
      <c r="O127" s="56">
        <v>61.172100000000007</v>
      </c>
      <c r="P127" s="57">
        <f t="shared" si="32"/>
        <v>978.75360000000012</v>
      </c>
      <c r="Q127" s="58">
        <f t="shared" si="33"/>
        <v>461.09623115577887</v>
      </c>
      <c r="R127" s="58">
        <f t="shared" si="34"/>
        <v>307.39748743718593</v>
      </c>
      <c r="S127" s="66">
        <f t="shared" si="24"/>
        <v>17.128188000000005</v>
      </c>
      <c r="T127" s="64">
        <f t="shared" si="35"/>
        <v>60</v>
      </c>
      <c r="U127" s="66">
        <f t="shared" si="36"/>
        <v>1055.8817880000001</v>
      </c>
      <c r="V127" s="68">
        <f t="shared" si="37"/>
        <v>65.992611750000009</v>
      </c>
      <c r="W127" s="68">
        <f t="shared" si="38"/>
        <v>497.43174685929648</v>
      </c>
      <c r="X127" s="68">
        <f t="shared" si="39"/>
        <v>331.6211645728643</v>
      </c>
      <c r="Z127" s="63"/>
      <c r="AA127" s="63"/>
    </row>
    <row r="128" spans="1:27" hidden="1" x14ac:dyDescent="0.25">
      <c r="A128" t="str">
        <f t="shared" si="17"/>
        <v>10620120B22/05/2026E</v>
      </c>
      <c r="B128" s="169" t="s">
        <v>822</v>
      </c>
      <c r="C128" s="61" t="s">
        <v>397</v>
      </c>
      <c r="D128" s="61" t="s">
        <v>591</v>
      </c>
      <c r="E128" s="61" t="s">
        <v>594</v>
      </c>
      <c r="F128" s="1" t="s">
        <v>787</v>
      </c>
      <c r="G128" s="62" t="str">
        <f t="shared" si="18"/>
        <v>20120</v>
      </c>
      <c r="H128" s="1">
        <v>10620120</v>
      </c>
      <c r="I128" s="1" t="s">
        <v>387</v>
      </c>
      <c r="J128" s="61">
        <v>16</v>
      </c>
      <c r="K128" s="61">
        <v>6.6</v>
      </c>
      <c r="L128" s="61">
        <v>8.8000000000000007</v>
      </c>
      <c r="M128" s="69">
        <f t="shared" si="30"/>
        <v>1.056</v>
      </c>
      <c r="N128" s="69">
        <f t="shared" si="31"/>
        <v>1.4080000000000001</v>
      </c>
      <c r="O128" s="56">
        <v>54.558900000000001</v>
      </c>
      <c r="P128" s="57">
        <f t="shared" si="32"/>
        <v>872.94240000000002</v>
      </c>
      <c r="Q128" s="58">
        <f t="shared" si="33"/>
        <v>437.63823529411764</v>
      </c>
      <c r="R128" s="58">
        <f t="shared" si="34"/>
        <v>291.75882352941176</v>
      </c>
      <c r="S128" s="66">
        <f t="shared" si="24"/>
        <v>15.276492000000001</v>
      </c>
      <c r="T128" s="64">
        <f t="shared" si="35"/>
        <v>60</v>
      </c>
      <c r="U128" s="66">
        <f t="shared" si="36"/>
        <v>948.21889199999998</v>
      </c>
      <c r="V128" s="68">
        <f t="shared" si="37"/>
        <v>59.263680749999999</v>
      </c>
      <c r="W128" s="68">
        <f t="shared" si="38"/>
        <v>475.37711831550797</v>
      </c>
      <c r="X128" s="68">
        <f t="shared" si="39"/>
        <v>316.91807887700531</v>
      </c>
      <c r="Z128" s="63"/>
      <c r="AA128" s="63"/>
    </row>
    <row r="129" spans="1:27" hidden="1" x14ac:dyDescent="0.25">
      <c r="A129" t="str">
        <f t="shared" si="17"/>
        <v>10620120C23/05/2026E</v>
      </c>
      <c r="B129" s="169" t="s">
        <v>822</v>
      </c>
      <c r="C129" s="61" t="s">
        <v>397</v>
      </c>
      <c r="D129" s="61" t="s">
        <v>591</v>
      </c>
      <c r="E129" s="61" t="s">
        <v>594</v>
      </c>
      <c r="F129" s="1" t="s">
        <v>787</v>
      </c>
      <c r="G129" s="62" t="str">
        <f t="shared" si="18"/>
        <v>20120</v>
      </c>
      <c r="H129" s="1">
        <v>10620120</v>
      </c>
      <c r="I129" s="1" t="s">
        <v>388</v>
      </c>
      <c r="J129" s="61">
        <v>11</v>
      </c>
      <c r="K129" s="61">
        <v>4.2</v>
      </c>
      <c r="L129" s="61">
        <v>8.4</v>
      </c>
      <c r="M129" s="69">
        <f t="shared" si="30"/>
        <v>0.46200000000000002</v>
      </c>
      <c r="N129" s="69">
        <f t="shared" si="31"/>
        <v>0.92400000000000004</v>
      </c>
      <c r="O129" s="56">
        <v>38.809108800000004</v>
      </c>
      <c r="P129" s="57">
        <f t="shared" si="32"/>
        <v>426.90019680000006</v>
      </c>
      <c r="Q129" s="58">
        <f t="shared" si="33"/>
        <v>396.01131428571432</v>
      </c>
      <c r="R129" s="58">
        <f t="shared" si="34"/>
        <v>264.00754285714288</v>
      </c>
      <c r="S129" s="66">
        <f t="shared" si="24"/>
        <v>7.4707534440000014</v>
      </c>
      <c r="T129" s="64">
        <f t="shared" si="35"/>
        <v>41.25</v>
      </c>
      <c r="U129" s="66">
        <f t="shared" si="36"/>
        <v>475.62095024400008</v>
      </c>
      <c r="V129" s="68">
        <f t="shared" si="37"/>
        <v>43.238268204000008</v>
      </c>
      <c r="W129" s="68">
        <f t="shared" si="38"/>
        <v>441.20681840816331</v>
      </c>
      <c r="X129" s="68">
        <f t="shared" si="39"/>
        <v>294.13787893877554</v>
      </c>
      <c r="Z129" s="63"/>
      <c r="AA129" s="63"/>
    </row>
    <row r="130" spans="1:27" hidden="1" x14ac:dyDescent="0.25">
      <c r="A130" t="str">
        <f t="shared" si="17"/>
        <v>10620120B23/05/2026M</v>
      </c>
      <c r="B130" s="169" t="s">
        <v>823</v>
      </c>
      <c r="C130" s="61" t="s">
        <v>396</v>
      </c>
      <c r="D130" s="61" t="s">
        <v>591</v>
      </c>
      <c r="E130" s="61" t="s">
        <v>594</v>
      </c>
      <c r="F130" s="1" t="s">
        <v>787</v>
      </c>
      <c r="G130" s="62" t="str">
        <f t="shared" si="18"/>
        <v>20120</v>
      </c>
      <c r="H130" s="1">
        <v>10620120</v>
      </c>
      <c r="I130" s="1" t="s">
        <v>387</v>
      </c>
      <c r="J130" s="61">
        <v>12</v>
      </c>
      <c r="K130" s="61">
        <v>7.4</v>
      </c>
      <c r="L130" s="61">
        <v>8.8000000000000007</v>
      </c>
      <c r="M130" s="69">
        <f t="shared" si="30"/>
        <v>0.88800000000000012</v>
      </c>
      <c r="N130" s="69">
        <f t="shared" si="31"/>
        <v>1.056</v>
      </c>
      <c r="O130" s="56">
        <v>61.172100000000007</v>
      </c>
      <c r="P130" s="57">
        <f t="shared" si="32"/>
        <v>734.06520000000012</v>
      </c>
      <c r="Q130" s="58">
        <f t="shared" si="33"/>
        <v>461.09623115577887</v>
      </c>
      <c r="R130" s="58">
        <f t="shared" si="34"/>
        <v>307.39748743718593</v>
      </c>
      <c r="S130" s="66">
        <f t="shared" si="24"/>
        <v>12.846141000000003</v>
      </c>
      <c r="T130" s="64">
        <f t="shared" si="35"/>
        <v>45</v>
      </c>
      <c r="U130" s="66">
        <f t="shared" si="36"/>
        <v>791.91134100000011</v>
      </c>
      <c r="V130" s="68">
        <f t="shared" si="37"/>
        <v>65.992611750000009</v>
      </c>
      <c r="W130" s="68">
        <f t="shared" si="38"/>
        <v>497.43174685929648</v>
      </c>
      <c r="X130" s="68">
        <f t="shared" si="39"/>
        <v>331.6211645728643</v>
      </c>
      <c r="Z130" s="63"/>
      <c r="AA130" s="63"/>
    </row>
    <row r="131" spans="1:27" hidden="1" x14ac:dyDescent="0.25">
      <c r="A131" t="str">
        <f t="shared" si="17"/>
        <v>10620120B23/05/2026E</v>
      </c>
      <c r="B131" s="169" t="s">
        <v>823</v>
      </c>
      <c r="C131" s="61" t="s">
        <v>397</v>
      </c>
      <c r="D131" s="61" t="s">
        <v>591</v>
      </c>
      <c r="E131" s="61" t="s">
        <v>594</v>
      </c>
      <c r="F131" s="1" t="s">
        <v>787</v>
      </c>
      <c r="G131" s="62" t="str">
        <f t="shared" si="18"/>
        <v>20120</v>
      </c>
      <c r="H131" s="1">
        <v>10620120</v>
      </c>
      <c r="I131" s="1" t="s">
        <v>387</v>
      </c>
      <c r="J131" s="61">
        <v>6</v>
      </c>
      <c r="K131" s="61">
        <v>5.7</v>
      </c>
      <c r="L131" s="61">
        <v>8.8000000000000007</v>
      </c>
      <c r="M131" s="69">
        <f t="shared" si="30"/>
        <v>0.34200000000000003</v>
      </c>
      <c r="N131" s="69">
        <f t="shared" si="31"/>
        <v>0.52800000000000002</v>
      </c>
      <c r="O131" s="56">
        <v>47.119050000000001</v>
      </c>
      <c r="P131" s="57">
        <f t="shared" si="32"/>
        <v>282.71429999999998</v>
      </c>
      <c r="Q131" s="58">
        <f t="shared" si="33"/>
        <v>407.3693083573487</v>
      </c>
      <c r="R131" s="58">
        <f t="shared" si="34"/>
        <v>271.57953890489915</v>
      </c>
      <c r="S131" s="66">
        <f t="shared" si="24"/>
        <v>4.94750025</v>
      </c>
      <c r="T131" s="64">
        <f t="shared" si="35"/>
        <v>22.5</v>
      </c>
      <c r="U131" s="66">
        <f t="shared" si="36"/>
        <v>310.16180025</v>
      </c>
      <c r="V131" s="68">
        <f t="shared" si="37"/>
        <v>51.693633374999997</v>
      </c>
      <c r="W131" s="68">
        <f t="shared" si="38"/>
        <v>446.91902053314118</v>
      </c>
      <c r="X131" s="68">
        <f t="shared" si="39"/>
        <v>297.94601368876079</v>
      </c>
      <c r="Z131" s="63"/>
      <c r="AA131" s="63"/>
    </row>
    <row r="132" spans="1:27" hidden="1" x14ac:dyDescent="0.25">
      <c r="A132" t="str">
        <f t="shared" si="17"/>
        <v>10620120C24/05/2026E</v>
      </c>
      <c r="B132" s="169" t="s">
        <v>823</v>
      </c>
      <c r="C132" s="61" t="s">
        <v>397</v>
      </c>
      <c r="D132" s="61" t="s">
        <v>591</v>
      </c>
      <c r="E132" s="61" t="s">
        <v>594</v>
      </c>
      <c r="F132" s="1" t="s">
        <v>787</v>
      </c>
      <c r="G132" s="62" t="str">
        <f t="shared" si="18"/>
        <v>20120</v>
      </c>
      <c r="H132" s="1">
        <v>10620120</v>
      </c>
      <c r="I132" s="1" t="s">
        <v>388</v>
      </c>
      <c r="J132" s="61">
        <v>10</v>
      </c>
      <c r="K132" s="61">
        <v>4.4000000000000004</v>
      </c>
      <c r="L132" s="61">
        <v>8.1999999999999993</v>
      </c>
      <c r="M132" s="69">
        <f t="shared" si="30"/>
        <v>0.44</v>
      </c>
      <c r="N132" s="69">
        <f t="shared" si="31"/>
        <v>0.82</v>
      </c>
      <c r="O132" s="56">
        <v>39.073082400000004</v>
      </c>
      <c r="P132" s="57">
        <f t="shared" si="32"/>
        <v>390.73082400000004</v>
      </c>
      <c r="Q132" s="58">
        <f t="shared" si="33"/>
        <v>396.01097027027032</v>
      </c>
      <c r="R132" s="58">
        <f t="shared" si="34"/>
        <v>264.00731351351357</v>
      </c>
      <c r="S132" s="66">
        <f t="shared" si="24"/>
        <v>6.8377894200000018</v>
      </c>
      <c r="T132" s="64">
        <f t="shared" si="35"/>
        <v>37.5</v>
      </c>
      <c r="U132" s="66">
        <f t="shared" si="36"/>
        <v>435.06861342000002</v>
      </c>
      <c r="V132" s="68">
        <f t="shared" si="37"/>
        <v>43.506861342000001</v>
      </c>
      <c r="W132" s="68">
        <f t="shared" si="38"/>
        <v>440.94791900675676</v>
      </c>
      <c r="X132" s="68">
        <f t="shared" si="39"/>
        <v>293.96527933783784</v>
      </c>
      <c r="Z132" s="63"/>
      <c r="AA132" s="63"/>
    </row>
    <row r="133" spans="1:27" hidden="1" x14ac:dyDescent="0.25">
      <c r="A133" t="str">
        <f t="shared" ref="A133:A196" si="52">CONCATENATE(H133,I133,B134,C133)</f>
        <v>10620120B24/05/2026M</v>
      </c>
      <c r="B133" s="169" t="s">
        <v>824</v>
      </c>
      <c r="C133" s="61" t="s">
        <v>396</v>
      </c>
      <c r="D133" s="61" t="s">
        <v>591</v>
      </c>
      <c r="E133" s="61" t="s">
        <v>594</v>
      </c>
      <c r="F133" s="1" t="s">
        <v>787</v>
      </c>
      <c r="G133" s="62" t="str">
        <f t="shared" si="18"/>
        <v>20120</v>
      </c>
      <c r="H133" s="1">
        <v>10620120</v>
      </c>
      <c r="I133" s="1" t="s">
        <v>387</v>
      </c>
      <c r="J133" s="61">
        <v>15</v>
      </c>
      <c r="K133" s="61">
        <v>7.2</v>
      </c>
      <c r="L133" s="61">
        <v>9</v>
      </c>
      <c r="M133" s="69">
        <f t="shared" si="30"/>
        <v>1.08</v>
      </c>
      <c r="N133" s="69">
        <f t="shared" si="31"/>
        <v>1.35</v>
      </c>
      <c r="O133" s="56">
        <v>60.120000000000005</v>
      </c>
      <c r="P133" s="57">
        <f t="shared" si="32"/>
        <v>901.80000000000007</v>
      </c>
      <c r="Q133" s="58">
        <f t="shared" si="33"/>
        <v>455.4545454545455</v>
      </c>
      <c r="R133" s="58">
        <f t="shared" si="34"/>
        <v>303.63636363636368</v>
      </c>
      <c r="S133" s="66">
        <f t="shared" si="24"/>
        <v>15.781500000000003</v>
      </c>
      <c r="T133" s="64">
        <f t="shared" si="35"/>
        <v>56.25</v>
      </c>
      <c r="U133" s="66">
        <f t="shared" si="36"/>
        <v>973.83150000000012</v>
      </c>
      <c r="V133" s="68">
        <f t="shared" si="37"/>
        <v>64.922100000000015</v>
      </c>
      <c r="W133" s="68">
        <f t="shared" si="38"/>
        <v>491.834090909091</v>
      </c>
      <c r="X133" s="68">
        <f t="shared" si="39"/>
        <v>327.88939393939398</v>
      </c>
      <c r="Z133" s="63"/>
      <c r="AA133" s="63"/>
    </row>
    <row r="134" spans="1:27" hidden="1" x14ac:dyDescent="0.25">
      <c r="A134" t="str">
        <f t="shared" si="52"/>
        <v>10620120B24/05/2026E</v>
      </c>
      <c r="B134" s="169" t="s">
        <v>824</v>
      </c>
      <c r="C134" s="61" t="s">
        <v>397</v>
      </c>
      <c r="D134" s="61" t="s">
        <v>591</v>
      </c>
      <c r="E134" s="61" t="s">
        <v>594</v>
      </c>
      <c r="F134" s="1" t="s">
        <v>787</v>
      </c>
      <c r="G134" s="62" t="str">
        <f t="shared" ref="G134:G197" si="53">MID(F134,2,5)</f>
        <v>20120</v>
      </c>
      <c r="H134" s="1">
        <v>10620120</v>
      </c>
      <c r="I134" s="1" t="s">
        <v>387</v>
      </c>
      <c r="J134" s="61">
        <v>12</v>
      </c>
      <c r="K134" s="61">
        <v>7.2</v>
      </c>
      <c r="L134" s="61">
        <v>8.8000000000000007</v>
      </c>
      <c r="M134" s="69">
        <f t="shared" si="30"/>
        <v>0.8640000000000001</v>
      </c>
      <c r="N134" s="69">
        <f t="shared" si="31"/>
        <v>1.056</v>
      </c>
      <c r="O134" s="56">
        <v>59.518800000000006</v>
      </c>
      <c r="P134" s="57">
        <f t="shared" si="32"/>
        <v>714.2256000000001</v>
      </c>
      <c r="Q134" s="58">
        <f t="shared" si="33"/>
        <v>455.50102040816324</v>
      </c>
      <c r="R134" s="58">
        <f t="shared" si="34"/>
        <v>303.66734693877549</v>
      </c>
      <c r="S134" s="66">
        <f t="shared" ref="S134:S197" si="54">P134*1.75%</f>
        <v>12.498948000000002</v>
      </c>
      <c r="T134" s="64">
        <f t="shared" si="35"/>
        <v>45</v>
      </c>
      <c r="U134" s="66">
        <f t="shared" si="36"/>
        <v>771.72454800000014</v>
      </c>
      <c r="V134" s="68">
        <f t="shared" si="37"/>
        <v>64.310379000000012</v>
      </c>
      <c r="W134" s="68">
        <f t="shared" si="38"/>
        <v>492.17126785714288</v>
      </c>
      <c r="X134" s="68">
        <f t="shared" si="39"/>
        <v>328.11417857142857</v>
      </c>
      <c r="Z134" s="63"/>
      <c r="AA134" s="63"/>
    </row>
    <row r="135" spans="1:27" hidden="1" x14ac:dyDescent="0.25">
      <c r="A135" t="str">
        <f t="shared" si="52"/>
        <v>10620120C25/05/2026E</v>
      </c>
      <c r="B135" s="169" t="s">
        <v>824</v>
      </c>
      <c r="C135" s="61" t="s">
        <v>397</v>
      </c>
      <c r="D135" s="61" t="s">
        <v>591</v>
      </c>
      <c r="E135" s="61" t="s">
        <v>594</v>
      </c>
      <c r="F135" s="1" t="s">
        <v>787</v>
      </c>
      <c r="G135" s="62" t="str">
        <f t="shared" si="53"/>
        <v>20120</v>
      </c>
      <c r="H135" s="1">
        <v>10620120</v>
      </c>
      <c r="I135" s="1" t="s">
        <v>388</v>
      </c>
      <c r="J135" s="61">
        <v>8</v>
      </c>
      <c r="K135" s="61">
        <v>4.5</v>
      </c>
      <c r="L135" s="61">
        <v>8.1999999999999993</v>
      </c>
      <c r="M135" s="69">
        <f t="shared" si="30"/>
        <v>0.36</v>
      </c>
      <c r="N135" s="69">
        <f t="shared" si="31"/>
        <v>0.65599999999999992</v>
      </c>
      <c r="O135" s="56">
        <v>39.469082400000005</v>
      </c>
      <c r="P135" s="57">
        <f t="shared" si="32"/>
        <v>315.75265920000004</v>
      </c>
      <c r="Q135" s="58">
        <f t="shared" si="33"/>
        <v>396.01086020066901</v>
      </c>
      <c r="R135" s="58">
        <f t="shared" si="34"/>
        <v>264.00724013377936</v>
      </c>
      <c r="S135" s="66">
        <f t="shared" si="54"/>
        <v>5.5256715360000008</v>
      </c>
      <c r="T135" s="64">
        <f t="shared" si="35"/>
        <v>30</v>
      </c>
      <c r="U135" s="66">
        <f t="shared" si="36"/>
        <v>351.27833073600004</v>
      </c>
      <c r="V135" s="68">
        <f t="shared" si="37"/>
        <v>43.909791342000005</v>
      </c>
      <c r="W135" s="68">
        <f t="shared" si="38"/>
        <v>440.56646831438138</v>
      </c>
      <c r="X135" s="68">
        <f t="shared" si="39"/>
        <v>293.71097887625427</v>
      </c>
      <c r="Z135" s="63"/>
      <c r="AA135" s="63"/>
    </row>
    <row r="136" spans="1:27" hidden="1" x14ac:dyDescent="0.25">
      <c r="A136" t="str">
        <f t="shared" si="52"/>
        <v>10620120B25/05/2026M</v>
      </c>
      <c r="B136" s="169" t="s">
        <v>825</v>
      </c>
      <c r="C136" s="61" t="s">
        <v>396</v>
      </c>
      <c r="D136" s="61" t="s">
        <v>591</v>
      </c>
      <c r="E136" s="61" t="s">
        <v>594</v>
      </c>
      <c r="F136" s="1" t="s">
        <v>787</v>
      </c>
      <c r="G136" s="62" t="str">
        <f t="shared" si="53"/>
        <v>20120</v>
      </c>
      <c r="H136" s="1">
        <v>10620120</v>
      </c>
      <c r="I136" s="1" t="s">
        <v>387</v>
      </c>
      <c r="J136" s="61">
        <v>13</v>
      </c>
      <c r="K136" s="61">
        <v>6.9</v>
      </c>
      <c r="L136" s="61">
        <v>8.8000000000000007</v>
      </c>
      <c r="M136" s="69">
        <f t="shared" si="30"/>
        <v>0.89700000000000002</v>
      </c>
      <c r="N136" s="69">
        <f t="shared" si="31"/>
        <v>1.1440000000000001</v>
      </c>
      <c r="O136" s="56">
        <v>57.038850000000004</v>
      </c>
      <c r="P136" s="57">
        <f t="shared" si="32"/>
        <v>741.5050500000001</v>
      </c>
      <c r="Q136" s="58">
        <f t="shared" si="33"/>
        <v>446.77950391644907</v>
      </c>
      <c r="R136" s="58">
        <f t="shared" si="34"/>
        <v>297.85300261096603</v>
      </c>
      <c r="S136" s="66">
        <f t="shared" si="54"/>
        <v>12.976338375000003</v>
      </c>
      <c r="T136" s="64">
        <f t="shared" si="35"/>
        <v>48.75</v>
      </c>
      <c r="U136" s="66">
        <f t="shared" si="36"/>
        <v>803.23138837500005</v>
      </c>
      <c r="V136" s="68">
        <f t="shared" si="37"/>
        <v>61.787029875000002</v>
      </c>
      <c r="W136" s="68">
        <f t="shared" si="38"/>
        <v>483.97151338120102</v>
      </c>
      <c r="X136" s="68">
        <f t="shared" si="39"/>
        <v>322.64767558746735</v>
      </c>
      <c r="Z136" s="63"/>
      <c r="AA136" s="63"/>
    </row>
    <row r="137" spans="1:27" hidden="1" x14ac:dyDescent="0.25">
      <c r="A137" t="str">
        <f t="shared" si="52"/>
        <v>10620120B25/05/2026E</v>
      </c>
      <c r="B137" s="169" t="s">
        <v>825</v>
      </c>
      <c r="C137" s="61" t="s">
        <v>397</v>
      </c>
      <c r="D137" s="61" t="s">
        <v>591</v>
      </c>
      <c r="E137" s="61" t="s">
        <v>594</v>
      </c>
      <c r="F137" s="1" t="s">
        <v>787</v>
      </c>
      <c r="G137" s="62" t="str">
        <f t="shared" si="53"/>
        <v>20120</v>
      </c>
      <c r="H137" s="1">
        <v>10620120</v>
      </c>
      <c r="I137" s="1" t="s">
        <v>387</v>
      </c>
      <c r="J137" s="61">
        <v>16</v>
      </c>
      <c r="K137" s="61">
        <v>7</v>
      </c>
      <c r="L137" s="61">
        <v>8.8000000000000007</v>
      </c>
      <c r="M137" s="69">
        <f t="shared" si="30"/>
        <v>1.1200000000000001</v>
      </c>
      <c r="N137" s="69">
        <f t="shared" si="31"/>
        <v>1.4080000000000001</v>
      </c>
      <c r="O137" s="56">
        <v>57.865500000000004</v>
      </c>
      <c r="P137" s="57">
        <f t="shared" si="32"/>
        <v>925.84800000000007</v>
      </c>
      <c r="Q137" s="58">
        <f t="shared" si="33"/>
        <v>449.73186528497411</v>
      </c>
      <c r="R137" s="58">
        <f t="shared" si="34"/>
        <v>299.82124352331607</v>
      </c>
      <c r="S137" s="66">
        <f t="shared" si="54"/>
        <v>16.202340000000003</v>
      </c>
      <c r="T137" s="64">
        <f t="shared" si="35"/>
        <v>60</v>
      </c>
      <c r="U137" s="66">
        <f t="shared" si="36"/>
        <v>1002.0503400000001</v>
      </c>
      <c r="V137" s="68">
        <f t="shared" si="37"/>
        <v>62.628146250000007</v>
      </c>
      <c r="W137" s="68">
        <f t="shared" si="38"/>
        <v>486.74725064766841</v>
      </c>
      <c r="X137" s="68">
        <f t="shared" si="39"/>
        <v>324.49816709844561</v>
      </c>
      <c r="Z137" s="63"/>
      <c r="AA137" s="63"/>
    </row>
    <row r="138" spans="1:27" hidden="1" x14ac:dyDescent="0.25">
      <c r="A138" t="str">
        <f t="shared" si="52"/>
        <v>10620120C26/05/2026E</v>
      </c>
      <c r="B138" s="169" t="s">
        <v>825</v>
      </c>
      <c r="C138" s="61" t="s">
        <v>397</v>
      </c>
      <c r="D138" s="61" t="s">
        <v>591</v>
      </c>
      <c r="E138" s="61" t="s">
        <v>594</v>
      </c>
      <c r="F138" s="1" t="s">
        <v>787</v>
      </c>
      <c r="G138" s="62" t="str">
        <f t="shared" si="53"/>
        <v>20120</v>
      </c>
      <c r="H138" s="1">
        <v>10620120</v>
      </c>
      <c r="I138" s="1" t="s">
        <v>388</v>
      </c>
      <c r="J138" s="61">
        <v>14</v>
      </c>
      <c r="K138" s="61">
        <v>5.2</v>
      </c>
      <c r="L138" s="61">
        <v>8.3000000000000007</v>
      </c>
      <c r="M138" s="69">
        <f t="shared" si="30"/>
        <v>0.72799999999999998</v>
      </c>
      <c r="N138" s="69">
        <f t="shared" si="31"/>
        <v>1.1620000000000001</v>
      </c>
      <c r="O138" s="56">
        <v>42.505095600000004</v>
      </c>
      <c r="P138" s="57">
        <f t="shared" si="32"/>
        <v>595.07133840000006</v>
      </c>
      <c r="Q138" s="58">
        <f t="shared" si="33"/>
        <v>396.01020745341617</v>
      </c>
      <c r="R138" s="58">
        <f t="shared" si="34"/>
        <v>264.0068049689441</v>
      </c>
      <c r="S138" s="66">
        <f t="shared" si="54"/>
        <v>10.413748422000001</v>
      </c>
      <c r="T138" s="64">
        <f t="shared" si="35"/>
        <v>52.5</v>
      </c>
      <c r="U138" s="66">
        <f t="shared" si="36"/>
        <v>657.98508682200008</v>
      </c>
      <c r="V138" s="68">
        <f t="shared" si="37"/>
        <v>46.998934773000009</v>
      </c>
      <c r="W138" s="68">
        <f t="shared" si="38"/>
        <v>437.87827428260874</v>
      </c>
      <c r="X138" s="68">
        <f t="shared" si="39"/>
        <v>291.91884952173916</v>
      </c>
      <c r="Z138" s="63"/>
      <c r="AA138" s="63"/>
    </row>
    <row r="139" spans="1:27" hidden="1" x14ac:dyDescent="0.25">
      <c r="A139" t="str">
        <f t="shared" si="52"/>
        <v>10620120B26/05/2026M</v>
      </c>
      <c r="B139" s="169" t="s">
        <v>826</v>
      </c>
      <c r="C139" s="61" t="s">
        <v>396</v>
      </c>
      <c r="D139" s="61" t="s">
        <v>591</v>
      </c>
      <c r="E139" s="61" t="s">
        <v>594</v>
      </c>
      <c r="F139" s="1" t="s">
        <v>787</v>
      </c>
      <c r="G139" s="62" t="str">
        <f t="shared" si="53"/>
        <v>20120</v>
      </c>
      <c r="H139" s="1">
        <v>10620120</v>
      </c>
      <c r="I139" s="1" t="s">
        <v>387</v>
      </c>
      <c r="J139" s="61">
        <v>11</v>
      </c>
      <c r="K139" s="61">
        <v>6.8</v>
      </c>
      <c r="L139" s="61">
        <v>8.8000000000000007</v>
      </c>
      <c r="M139" s="69">
        <f t="shared" si="30"/>
        <v>0.748</v>
      </c>
      <c r="N139" s="69">
        <f t="shared" si="31"/>
        <v>0.96800000000000008</v>
      </c>
      <c r="O139" s="56">
        <f>INDEX(Rate_Chart!$A$1:$AK$127,MATCH(Data!K139,Rate_Chart!$A$1:$A$127,0),MATCH(Data!L139,Rate_Chart!$A$1:$AK$1,0))</f>
        <v>56.212200000000003</v>
      </c>
      <c r="P139" s="57">
        <f t="shared" si="32"/>
        <v>618.33420000000001</v>
      </c>
      <c r="Q139" s="58">
        <f t="shared" si="33"/>
        <v>443.78052631578947</v>
      </c>
      <c r="R139" s="58">
        <f t="shared" si="34"/>
        <v>295.8536842105263</v>
      </c>
      <c r="S139" s="66">
        <f t="shared" si="54"/>
        <v>10.8208485</v>
      </c>
      <c r="T139" s="64">
        <f t="shared" si="35"/>
        <v>41.25</v>
      </c>
      <c r="U139" s="66">
        <f t="shared" si="36"/>
        <v>670.40504850000002</v>
      </c>
      <c r="V139" s="68">
        <f t="shared" si="37"/>
        <v>60.945913500000003</v>
      </c>
      <c r="W139" s="68">
        <f t="shared" si="38"/>
        <v>481.15194868421054</v>
      </c>
      <c r="X139" s="68">
        <f t="shared" si="39"/>
        <v>320.76796578947369</v>
      </c>
      <c r="Z139" s="63"/>
      <c r="AA139" s="63"/>
    </row>
    <row r="140" spans="1:27" hidden="1" x14ac:dyDescent="0.25">
      <c r="A140" t="str">
        <f t="shared" si="52"/>
        <v>10620120B26/05/2026E</v>
      </c>
      <c r="B140" s="169" t="s">
        <v>826</v>
      </c>
      <c r="C140" s="61" t="s">
        <v>397</v>
      </c>
      <c r="D140" s="61" t="s">
        <v>591</v>
      </c>
      <c r="E140" s="61" t="s">
        <v>594</v>
      </c>
      <c r="F140" s="1" t="s">
        <v>787</v>
      </c>
      <c r="G140" s="62" t="str">
        <f t="shared" si="53"/>
        <v>20120</v>
      </c>
      <c r="H140" s="1">
        <v>10620120</v>
      </c>
      <c r="I140" s="1" t="s">
        <v>387</v>
      </c>
      <c r="J140" s="61">
        <v>17</v>
      </c>
      <c r="K140" s="61">
        <v>7.1</v>
      </c>
      <c r="L140" s="61">
        <v>9</v>
      </c>
      <c r="M140" s="69">
        <f t="shared" si="30"/>
        <v>1.2069999999999999</v>
      </c>
      <c r="N140" s="69">
        <f t="shared" si="31"/>
        <v>1.53</v>
      </c>
      <c r="O140" s="56">
        <f>INDEX(Rate_Chart!$A$1:$AK$127,MATCH(Data!K140,Rate_Chart!$A$1:$A$127,0),MATCH(Data!L140,Rate_Chart!$A$1:$AK$1,0))</f>
        <v>59.284999999999997</v>
      </c>
      <c r="P140" s="57">
        <f t="shared" si="32"/>
        <v>1007.8449999999999</v>
      </c>
      <c r="Q140" s="58">
        <f t="shared" si="33"/>
        <v>452.55725190839689</v>
      </c>
      <c r="R140" s="58">
        <f t="shared" si="34"/>
        <v>301.70483460559791</v>
      </c>
      <c r="S140" s="66">
        <f t="shared" si="54"/>
        <v>17.637287499999999</v>
      </c>
      <c r="T140" s="64">
        <f t="shared" si="35"/>
        <v>63.75</v>
      </c>
      <c r="U140" s="66">
        <f t="shared" si="36"/>
        <v>1089.2322875</v>
      </c>
      <c r="V140" s="68">
        <f t="shared" si="37"/>
        <v>64.072487499999994</v>
      </c>
      <c r="W140" s="68">
        <f t="shared" si="38"/>
        <v>489.10295801526712</v>
      </c>
      <c r="X140" s="68">
        <f t="shared" si="39"/>
        <v>326.06863867684473</v>
      </c>
      <c r="Z140" s="63"/>
      <c r="AA140" s="63"/>
    </row>
    <row r="141" spans="1:27" hidden="1" x14ac:dyDescent="0.25">
      <c r="A141" t="str">
        <f t="shared" si="52"/>
        <v>10620120C27/05/2026E</v>
      </c>
      <c r="B141" s="169" t="s">
        <v>826</v>
      </c>
      <c r="C141" s="61" t="s">
        <v>397</v>
      </c>
      <c r="D141" s="61" t="s">
        <v>591</v>
      </c>
      <c r="E141" s="61" t="s">
        <v>594</v>
      </c>
      <c r="F141" s="1" t="s">
        <v>787</v>
      </c>
      <c r="G141" s="62" t="str">
        <f t="shared" si="53"/>
        <v>20120</v>
      </c>
      <c r="H141" s="1">
        <v>10620120</v>
      </c>
      <c r="I141" s="1" t="s">
        <v>388</v>
      </c>
      <c r="J141" s="61">
        <v>11</v>
      </c>
      <c r="K141" s="61">
        <v>5</v>
      </c>
      <c r="L141" s="61">
        <v>8.5</v>
      </c>
      <c r="M141" s="69">
        <f t="shared" si="30"/>
        <v>0.55000000000000004</v>
      </c>
      <c r="N141" s="69">
        <f t="shared" si="31"/>
        <v>0.93500000000000005</v>
      </c>
      <c r="O141" s="56">
        <f>INDEX(Rate_Chart!$A$1:$AK$127,MATCH(Data!K141,Rate_Chart!$A$1:$A$127,0),MATCH(Data!L141,Rate_Chart!$A$1:$AK$1,0))</f>
        <v>44.481181500000005</v>
      </c>
      <c r="P141" s="57">
        <f t="shared" si="32"/>
        <v>489.29299650000007</v>
      </c>
      <c r="Q141" s="58">
        <f t="shared" si="33"/>
        <v>417.01107656250002</v>
      </c>
      <c r="R141" s="58">
        <f t="shared" si="34"/>
        <v>278.00738437500002</v>
      </c>
      <c r="S141" s="66">
        <f t="shared" si="54"/>
        <v>8.5626274387500025</v>
      </c>
      <c r="T141" s="64">
        <f t="shared" si="35"/>
        <v>41.25</v>
      </c>
      <c r="U141" s="66">
        <f t="shared" si="36"/>
        <v>539.10562393875011</v>
      </c>
      <c r="V141" s="68">
        <f t="shared" si="37"/>
        <v>49.009602176250013</v>
      </c>
      <c r="W141" s="68">
        <f t="shared" si="38"/>
        <v>459.46502040234384</v>
      </c>
      <c r="X141" s="68">
        <f t="shared" si="39"/>
        <v>306.31001360156256</v>
      </c>
      <c r="Z141" s="63"/>
      <c r="AA141" s="63"/>
    </row>
    <row r="142" spans="1:27" hidden="1" x14ac:dyDescent="0.25">
      <c r="A142" t="str">
        <f t="shared" si="52"/>
        <v>10620120B27/05/2026M</v>
      </c>
      <c r="B142" s="169" t="s">
        <v>827</v>
      </c>
      <c r="C142" s="61" t="s">
        <v>396</v>
      </c>
      <c r="D142" s="61" t="s">
        <v>591</v>
      </c>
      <c r="E142" s="61" t="s">
        <v>594</v>
      </c>
      <c r="F142" s="1" t="s">
        <v>787</v>
      </c>
      <c r="G142" s="62" t="str">
        <f t="shared" si="53"/>
        <v>20120</v>
      </c>
      <c r="H142" s="1">
        <v>10620120</v>
      </c>
      <c r="I142" s="1" t="s">
        <v>387</v>
      </c>
      <c r="J142" s="61">
        <v>12</v>
      </c>
      <c r="K142" s="61">
        <v>7.7</v>
      </c>
      <c r="L142" s="61">
        <v>9</v>
      </c>
      <c r="M142" s="69">
        <f t="shared" si="30"/>
        <v>0.92400000000000004</v>
      </c>
      <c r="N142" s="69">
        <f t="shared" si="31"/>
        <v>1.08</v>
      </c>
      <c r="O142" s="56">
        <f>INDEX(Rate_Chart!$A$1:$AK$127,MATCH(Data!K142,Rate_Chart!$A$1:$A$127,0),MATCH(Data!L142,Rate_Chart!$A$1:$AK$1,0))</f>
        <v>64.295000000000002</v>
      </c>
      <c r="P142" s="57">
        <f t="shared" si="32"/>
        <v>771.54</v>
      </c>
      <c r="Q142" s="58">
        <f t="shared" si="33"/>
        <v>469.30656934306569</v>
      </c>
      <c r="R142" s="58">
        <f t="shared" si="34"/>
        <v>312.87104622871044</v>
      </c>
      <c r="S142" s="66">
        <f t="shared" si="54"/>
        <v>13.501950000000001</v>
      </c>
      <c r="T142" s="64">
        <f t="shared" si="35"/>
        <v>45</v>
      </c>
      <c r="U142" s="66">
        <f t="shared" si="36"/>
        <v>830.04194999999993</v>
      </c>
      <c r="V142" s="68">
        <f t="shared" si="37"/>
        <v>69.170162499999989</v>
      </c>
      <c r="W142" s="68">
        <f t="shared" si="38"/>
        <v>504.89169708029186</v>
      </c>
      <c r="X142" s="68">
        <f t="shared" si="39"/>
        <v>336.59446472019459</v>
      </c>
      <c r="Z142" s="63"/>
      <c r="AA142" s="63"/>
    </row>
    <row r="143" spans="1:27" hidden="1" x14ac:dyDescent="0.25">
      <c r="A143" t="str">
        <f t="shared" si="52"/>
        <v>10620120B28/05/2026E</v>
      </c>
      <c r="B143" s="169" t="s">
        <v>827</v>
      </c>
      <c r="C143" s="61" t="s">
        <v>397</v>
      </c>
      <c r="D143" s="61" t="s">
        <v>591</v>
      </c>
      <c r="E143" s="61" t="s">
        <v>594</v>
      </c>
      <c r="F143" s="1" t="s">
        <v>787</v>
      </c>
      <c r="G143" s="62" t="str">
        <f t="shared" si="53"/>
        <v>20120</v>
      </c>
      <c r="H143" s="1">
        <v>10620120</v>
      </c>
      <c r="I143" s="1" t="s">
        <v>387</v>
      </c>
      <c r="J143" s="61">
        <v>13</v>
      </c>
      <c r="K143" s="61">
        <v>6.5</v>
      </c>
      <c r="L143" s="61">
        <v>9</v>
      </c>
      <c r="M143" s="69">
        <f t="shared" si="30"/>
        <v>0.84499999999999997</v>
      </c>
      <c r="N143" s="69">
        <f t="shared" si="31"/>
        <v>1.17</v>
      </c>
      <c r="O143" s="56">
        <f>INDEX(Rate_Chart!$A$1:$AK$127,MATCH(Data!K143,Rate_Chart!$A$1:$A$127,0),MATCH(Data!L143,Rate_Chart!$A$1:$AK$1,0))</f>
        <v>54.274999999999999</v>
      </c>
      <c r="P143" s="57">
        <f t="shared" si="32"/>
        <v>705.57499999999993</v>
      </c>
      <c r="Q143" s="58">
        <f t="shared" si="33"/>
        <v>434.2</v>
      </c>
      <c r="R143" s="58">
        <f t="shared" si="34"/>
        <v>289.46666666666664</v>
      </c>
      <c r="S143" s="66">
        <f t="shared" si="54"/>
        <v>12.3475625</v>
      </c>
      <c r="T143" s="64">
        <f t="shared" si="35"/>
        <v>48.75</v>
      </c>
      <c r="U143" s="66">
        <f t="shared" si="36"/>
        <v>766.67256249999991</v>
      </c>
      <c r="V143" s="68">
        <f t="shared" si="37"/>
        <v>58.974812499999992</v>
      </c>
      <c r="W143" s="68">
        <f t="shared" si="38"/>
        <v>471.79849999999993</v>
      </c>
      <c r="X143" s="68">
        <f t="shared" si="39"/>
        <v>314.53233333333327</v>
      </c>
      <c r="Z143" s="63"/>
      <c r="AA143" s="63"/>
    </row>
    <row r="144" spans="1:27" hidden="1" x14ac:dyDescent="0.25">
      <c r="A144" t="str">
        <f t="shared" si="52"/>
        <v>10620120B28/05/2026M</v>
      </c>
      <c r="B144" s="169" t="s">
        <v>828</v>
      </c>
      <c r="C144" s="61" t="s">
        <v>396</v>
      </c>
      <c r="D144" s="61" t="s">
        <v>591</v>
      </c>
      <c r="E144" s="61" t="s">
        <v>594</v>
      </c>
      <c r="F144" s="1" t="s">
        <v>787</v>
      </c>
      <c r="G144" s="62" t="str">
        <f t="shared" si="53"/>
        <v>20120</v>
      </c>
      <c r="H144" s="1">
        <v>10620120</v>
      </c>
      <c r="I144" s="1" t="s">
        <v>387</v>
      </c>
      <c r="J144" s="61">
        <v>7</v>
      </c>
      <c r="K144" s="61">
        <v>5.9</v>
      </c>
      <c r="L144" s="61">
        <v>8.8000000000000007</v>
      </c>
      <c r="M144" s="69">
        <f t="shared" si="30"/>
        <v>0.41300000000000003</v>
      </c>
      <c r="N144" s="69">
        <f t="shared" si="31"/>
        <v>0.6160000000000001</v>
      </c>
      <c r="O144" s="56">
        <f>INDEX(Rate_Chart!$A$1:$AK$127,MATCH(Data!K144,Rate_Chart!$A$1:$A$127,0),MATCH(Data!L144,Rate_Chart!$A$1:$AK$1,0))</f>
        <v>48.772350000000003</v>
      </c>
      <c r="P144" s="57">
        <f t="shared" si="32"/>
        <v>341.40645000000001</v>
      </c>
      <c r="Q144" s="58">
        <f t="shared" si="33"/>
        <v>414.49589235127479</v>
      </c>
      <c r="R144" s="58">
        <f t="shared" si="34"/>
        <v>276.33059490084986</v>
      </c>
      <c r="S144" s="66">
        <f t="shared" si="54"/>
        <v>5.9746128750000009</v>
      </c>
      <c r="T144" s="64">
        <f t="shared" si="35"/>
        <v>26.25</v>
      </c>
      <c r="U144" s="66">
        <f t="shared" si="36"/>
        <v>373.631062875</v>
      </c>
      <c r="V144" s="68">
        <f t="shared" si="37"/>
        <v>53.375866125000002</v>
      </c>
      <c r="W144" s="68">
        <f t="shared" si="38"/>
        <v>453.61925885269125</v>
      </c>
      <c r="X144" s="68">
        <f t="shared" si="39"/>
        <v>302.41283923512748</v>
      </c>
      <c r="Z144" s="63"/>
      <c r="AA144" s="63"/>
    </row>
    <row r="145" spans="1:27" hidden="1" x14ac:dyDescent="0.25">
      <c r="A145" t="str">
        <f t="shared" si="52"/>
        <v>10620120B28/05/2026E</v>
      </c>
      <c r="B145" s="169" t="s">
        <v>828</v>
      </c>
      <c r="C145" s="61" t="s">
        <v>397</v>
      </c>
      <c r="D145" s="61" t="s">
        <v>591</v>
      </c>
      <c r="E145" s="61" t="s">
        <v>594</v>
      </c>
      <c r="F145" s="1" t="s">
        <v>787</v>
      </c>
      <c r="G145" s="62" t="str">
        <f t="shared" si="53"/>
        <v>20120</v>
      </c>
      <c r="H145" s="1">
        <v>10620120</v>
      </c>
      <c r="I145" s="1" t="s">
        <v>387</v>
      </c>
      <c r="J145" s="61">
        <v>12</v>
      </c>
      <c r="K145" s="61">
        <v>7</v>
      </c>
      <c r="L145" s="61">
        <v>8.8000000000000007</v>
      </c>
      <c r="M145" s="69">
        <f t="shared" si="30"/>
        <v>0.84</v>
      </c>
      <c r="N145" s="69">
        <f t="shared" si="31"/>
        <v>1.056</v>
      </c>
      <c r="O145" s="56">
        <f>INDEX(Rate_Chart!$A$1:$AK$127,MATCH(Data!K145,Rate_Chart!$A$1:$A$127,0),MATCH(Data!L145,Rate_Chart!$A$1:$AK$1,0))</f>
        <v>57.865500000000004</v>
      </c>
      <c r="P145" s="57">
        <f t="shared" si="32"/>
        <v>694.38600000000008</v>
      </c>
      <c r="Q145" s="58">
        <f t="shared" si="33"/>
        <v>449.73186528497411</v>
      </c>
      <c r="R145" s="58">
        <f t="shared" si="34"/>
        <v>299.82124352331607</v>
      </c>
      <c r="S145" s="66">
        <f t="shared" si="54"/>
        <v>12.151755000000003</v>
      </c>
      <c r="T145" s="64">
        <f t="shared" si="35"/>
        <v>45</v>
      </c>
      <c r="U145" s="66">
        <f t="shared" si="36"/>
        <v>751.53775500000006</v>
      </c>
      <c r="V145" s="68">
        <f t="shared" si="37"/>
        <v>62.628146250000007</v>
      </c>
      <c r="W145" s="68">
        <f t="shared" si="38"/>
        <v>486.74725064766841</v>
      </c>
      <c r="X145" s="68">
        <f t="shared" si="39"/>
        <v>324.49816709844561</v>
      </c>
      <c r="Z145" s="63"/>
      <c r="AA145" s="63"/>
    </row>
    <row r="146" spans="1:27" hidden="1" x14ac:dyDescent="0.25">
      <c r="A146" t="str">
        <f t="shared" si="52"/>
        <v>10620120C22/05/2026E</v>
      </c>
      <c r="B146" s="169" t="s">
        <v>828</v>
      </c>
      <c r="C146" s="61" t="s">
        <v>397</v>
      </c>
      <c r="D146" s="61" t="s">
        <v>591</v>
      </c>
      <c r="E146" s="61" t="s">
        <v>594</v>
      </c>
      <c r="F146" s="1" t="s">
        <v>787</v>
      </c>
      <c r="G146" s="62" t="str">
        <f t="shared" si="53"/>
        <v>20120</v>
      </c>
      <c r="H146" s="1">
        <v>10620120</v>
      </c>
      <c r="I146" s="1" t="s">
        <v>388</v>
      </c>
      <c r="J146" s="61">
        <v>10</v>
      </c>
      <c r="K146" s="61">
        <v>4.2</v>
      </c>
      <c r="L146" s="61">
        <v>8.1999999999999993</v>
      </c>
      <c r="M146" s="69">
        <f t="shared" si="30"/>
        <v>0.42</v>
      </c>
      <c r="N146" s="69">
        <f t="shared" si="31"/>
        <v>0.82</v>
      </c>
      <c r="O146" s="56">
        <f>INDEX(Rate_Chart!$A$1:$AK$127,MATCH(Data!K146,Rate_Chart!$A$1:$A$127,0),MATCH(Data!L146,Rate_Chart!$A$1:$AK$1,0))</f>
        <v>40.311139799999999</v>
      </c>
      <c r="P146" s="57">
        <f t="shared" si="32"/>
        <v>403.11139800000001</v>
      </c>
      <c r="Q146" s="58">
        <f t="shared" si="33"/>
        <v>417.01179103448277</v>
      </c>
      <c r="R146" s="58">
        <f t="shared" si="34"/>
        <v>278.00786068965516</v>
      </c>
      <c r="S146" s="66">
        <f t="shared" si="54"/>
        <v>7.0544494650000011</v>
      </c>
      <c r="T146" s="64">
        <f t="shared" si="35"/>
        <v>37.5</v>
      </c>
      <c r="U146" s="66">
        <f t="shared" si="36"/>
        <v>447.66584746500001</v>
      </c>
      <c r="V146" s="68">
        <f t="shared" si="37"/>
        <v>44.766584746500001</v>
      </c>
      <c r="W146" s="68">
        <f t="shared" si="38"/>
        <v>463.10260082586211</v>
      </c>
      <c r="X146" s="68">
        <f t="shared" si="39"/>
        <v>308.73506721724141</v>
      </c>
      <c r="Z146" s="63"/>
      <c r="AA146" s="63"/>
    </row>
    <row r="147" spans="1:27" hidden="1" x14ac:dyDescent="0.25">
      <c r="A147" t="str">
        <f t="shared" si="52"/>
        <v>10620121B22/05/2026M</v>
      </c>
      <c r="B147" s="169" t="s">
        <v>822</v>
      </c>
      <c r="C147" s="61" t="s">
        <v>396</v>
      </c>
      <c r="D147" s="61" t="s">
        <v>591</v>
      </c>
      <c r="E147" s="61" t="s">
        <v>592</v>
      </c>
      <c r="F147" s="1" t="s">
        <v>811</v>
      </c>
      <c r="G147" s="62" t="str">
        <f t="shared" si="53"/>
        <v>20121</v>
      </c>
      <c r="H147" s="1">
        <v>10620121</v>
      </c>
      <c r="I147" s="1" t="s">
        <v>387</v>
      </c>
      <c r="J147" s="61">
        <v>14</v>
      </c>
      <c r="K147" s="61">
        <v>6.5</v>
      </c>
      <c r="L147" s="61">
        <v>8.8000000000000007</v>
      </c>
      <c r="M147" s="69">
        <f t="shared" si="30"/>
        <v>0.91</v>
      </c>
      <c r="N147" s="69">
        <f t="shared" si="31"/>
        <v>1.2320000000000002</v>
      </c>
      <c r="O147" s="56">
        <v>53.732250000000001</v>
      </c>
      <c r="P147" s="57">
        <f t="shared" si="32"/>
        <v>752.25149999999996</v>
      </c>
      <c r="Q147" s="58">
        <f t="shared" si="33"/>
        <v>434.49258760107813</v>
      </c>
      <c r="R147" s="58">
        <f t="shared" si="34"/>
        <v>289.66172506738542</v>
      </c>
      <c r="S147" s="66">
        <f t="shared" si="54"/>
        <v>13.164401250000001</v>
      </c>
      <c r="T147" s="64">
        <f t="shared" si="35"/>
        <v>52.5</v>
      </c>
      <c r="U147" s="66">
        <f t="shared" si="36"/>
        <v>817.91590124999993</v>
      </c>
      <c r="V147" s="68">
        <f t="shared" si="37"/>
        <v>58.422564374999993</v>
      </c>
      <c r="W147" s="68">
        <f t="shared" si="38"/>
        <v>472.41965801886784</v>
      </c>
      <c r="X147" s="68">
        <f t="shared" si="39"/>
        <v>314.9464386792452</v>
      </c>
      <c r="Z147" s="63"/>
      <c r="AA147" s="63"/>
    </row>
    <row r="148" spans="1:27" hidden="1" x14ac:dyDescent="0.25">
      <c r="A148" t="str">
        <f t="shared" si="52"/>
        <v>10620121C22/05/2026M</v>
      </c>
      <c r="B148" s="169" t="s">
        <v>822</v>
      </c>
      <c r="C148" s="61" t="s">
        <v>396</v>
      </c>
      <c r="D148" s="61" t="s">
        <v>591</v>
      </c>
      <c r="E148" s="61" t="s">
        <v>592</v>
      </c>
      <c r="F148" s="1" t="s">
        <v>811</v>
      </c>
      <c r="G148" s="62" t="str">
        <f t="shared" si="53"/>
        <v>20121</v>
      </c>
      <c r="H148" s="1">
        <v>10620121</v>
      </c>
      <c r="I148" s="1" t="s">
        <v>388</v>
      </c>
      <c r="J148" s="61">
        <v>69</v>
      </c>
      <c r="K148" s="61">
        <v>3.5</v>
      </c>
      <c r="L148" s="61">
        <v>8</v>
      </c>
      <c r="M148" s="69">
        <f t="shared" si="30"/>
        <v>2.415</v>
      </c>
      <c r="N148" s="69">
        <f t="shared" si="31"/>
        <v>5.52</v>
      </c>
      <c r="O148" s="56">
        <v>34.981056000000002</v>
      </c>
      <c r="P148" s="57">
        <f t="shared" si="32"/>
        <v>2413.6928640000001</v>
      </c>
      <c r="Q148" s="58">
        <f t="shared" si="33"/>
        <v>396.01195471698111</v>
      </c>
      <c r="R148" s="58">
        <f t="shared" si="34"/>
        <v>264.00796981132072</v>
      </c>
      <c r="S148" s="66">
        <f t="shared" si="54"/>
        <v>42.239625120000007</v>
      </c>
      <c r="T148" s="64">
        <f t="shared" si="35"/>
        <v>258.75</v>
      </c>
      <c r="U148" s="66">
        <f t="shared" si="36"/>
        <v>2714.6824891200004</v>
      </c>
      <c r="V148" s="68">
        <f t="shared" si="37"/>
        <v>39.343224480000003</v>
      </c>
      <c r="W148" s="68">
        <f t="shared" si="38"/>
        <v>445.39499411320753</v>
      </c>
      <c r="X148" s="68">
        <f t="shared" si="39"/>
        <v>296.92999607547171</v>
      </c>
      <c r="Z148" s="63"/>
      <c r="AA148" s="63"/>
    </row>
    <row r="149" spans="1:27" hidden="1" x14ac:dyDescent="0.25">
      <c r="A149" t="str">
        <f t="shared" si="52"/>
        <v>10620121B22/05/2026E</v>
      </c>
      <c r="B149" s="169" t="s">
        <v>822</v>
      </c>
      <c r="C149" s="61" t="s">
        <v>397</v>
      </c>
      <c r="D149" s="61" t="s">
        <v>591</v>
      </c>
      <c r="E149" s="61" t="s">
        <v>592</v>
      </c>
      <c r="F149" s="1" t="s">
        <v>811</v>
      </c>
      <c r="G149" s="62" t="str">
        <f t="shared" si="53"/>
        <v>20121</v>
      </c>
      <c r="H149" s="1">
        <v>10620121</v>
      </c>
      <c r="I149" s="1" t="s">
        <v>387</v>
      </c>
      <c r="J149" s="61">
        <v>13</v>
      </c>
      <c r="K149" s="61">
        <v>6.1</v>
      </c>
      <c r="L149" s="61">
        <v>9</v>
      </c>
      <c r="M149" s="69">
        <f t="shared" si="30"/>
        <v>0.79299999999999993</v>
      </c>
      <c r="N149" s="69">
        <f t="shared" si="31"/>
        <v>1.17</v>
      </c>
      <c r="O149" s="56">
        <v>50.935000000000002</v>
      </c>
      <c r="P149" s="57">
        <f t="shared" si="32"/>
        <v>662.15499999999997</v>
      </c>
      <c r="Q149" s="58">
        <f t="shared" si="33"/>
        <v>420.95041322314052</v>
      </c>
      <c r="R149" s="58">
        <f t="shared" si="34"/>
        <v>280.63360881542701</v>
      </c>
      <c r="S149" s="66">
        <f t="shared" si="54"/>
        <v>11.5877125</v>
      </c>
      <c r="T149" s="64">
        <f t="shared" si="35"/>
        <v>48.75</v>
      </c>
      <c r="U149" s="66">
        <f t="shared" si="36"/>
        <v>722.49271249999993</v>
      </c>
      <c r="V149" s="68">
        <f t="shared" si="37"/>
        <v>55.576362499999995</v>
      </c>
      <c r="W149" s="68">
        <f t="shared" si="38"/>
        <v>459.30878099173549</v>
      </c>
      <c r="X149" s="68">
        <f t="shared" si="39"/>
        <v>306.20585399449033</v>
      </c>
      <c r="Z149" s="63"/>
      <c r="AA149" s="63"/>
    </row>
    <row r="150" spans="1:27" hidden="1" x14ac:dyDescent="0.25">
      <c r="A150" t="str">
        <f t="shared" si="52"/>
        <v>10620121C23/05/2026E</v>
      </c>
      <c r="B150" s="169" t="s">
        <v>822</v>
      </c>
      <c r="C150" s="61" t="s">
        <v>397</v>
      </c>
      <c r="D150" s="61" t="s">
        <v>591</v>
      </c>
      <c r="E150" s="61" t="s">
        <v>592</v>
      </c>
      <c r="F150" s="1" t="s">
        <v>811</v>
      </c>
      <c r="G150" s="62" t="str">
        <f t="shared" si="53"/>
        <v>20121</v>
      </c>
      <c r="H150" s="1">
        <v>10620121</v>
      </c>
      <c r="I150" s="1" t="s">
        <v>388</v>
      </c>
      <c r="J150" s="61">
        <v>73</v>
      </c>
      <c r="K150" s="61">
        <v>3.6</v>
      </c>
      <c r="L150" s="61">
        <v>8</v>
      </c>
      <c r="M150" s="69">
        <f t="shared" si="30"/>
        <v>2.6280000000000001</v>
      </c>
      <c r="N150" s="69">
        <f t="shared" si="31"/>
        <v>5.84</v>
      </c>
      <c r="O150" s="56">
        <v>35.377056000000003</v>
      </c>
      <c r="P150" s="57">
        <f t="shared" si="32"/>
        <v>2582.5250880000003</v>
      </c>
      <c r="Q150" s="58">
        <f t="shared" si="33"/>
        <v>396.01182089552236</v>
      </c>
      <c r="R150" s="58">
        <f t="shared" si="34"/>
        <v>264.00788059701489</v>
      </c>
      <c r="S150" s="66">
        <f t="shared" si="54"/>
        <v>45.194189040000012</v>
      </c>
      <c r="T150" s="64">
        <f t="shared" si="35"/>
        <v>273.75</v>
      </c>
      <c r="U150" s="66">
        <f t="shared" si="36"/>
        <v>2901.4692770400002</v>
      </c>
      <c r="V150" s="68">
        <f t="shared" si="37"/>
        <v>39.746154480000001</v>
      </c>
      <c r="W150" s="68">
        <f t="shared" si="38"/>
        <v>444.91963970149249</v>
      </c>
      <c r="X150" s="68">
        <f t="shared" si="39"/>
        <v>296.61309313432832</v>
      </c>
      <c r="Z150" s="63"/>
      <c r="AA150" s="63"/>
    </row>
    <row r="151" spans="1:27" hidden="1" x14ac:dyDescent="0.25">
      <c r="A151" t="str">
        <f t="shared" si="52"/>
        <v>10620121B23/05/2026M</v>
      </c>
      <c r="B151" s="169" t="s">
        <v>823</v>
      </c>
      <c r="C151" s="61" t="s">
        <v>396</v>
      </c>
      <c r="D151" s="61" t="s">
        <v>591</v>
      </c>
      <c r="E151" s="61" t="s">
        <v>592</v>
      </c>
      <c r="F151" s="1" t="s">
        <v>811</v>
      </c>
      <c r="G151" s="62" t="str">
        <f t="shared" si="53"/>
        <v>20121</v>
      </c>
      <c r="H151" s="1">
        <v>10620121</v>
      </c>
      <c r="I151" s="1" t="s">
        <v>387</v>
      </c>
      <c r="J151" s="61">
        <v>23</v>
      </c>
      <c r="K151" s="61">
        <v>7.2</v>
      </c>
      <c r="L151" s="61">
        <v>9</v>
      </c>
      <c r="M151" s="69">
        <f t="shared" si="30"/>
        <v>1.6559999999999999</v>
      </c>
      <c r="N151" s="69">
        <f t="shared" si="31"/>
        <v>2.0699999999999998</v>
      </c>
      <c r="O151" s="56">
        <v>60.120000000000005</v>
      </c>
      <c r="P151" s="57">
        <f t="shared" si="32"/>
        <v>1382.7600000000002</v>
      </c>
      <c r="Q151" s="58">
        <f t="shared" si="33"/>
        <v>455.4545454545455</v>
      </c>
      <c r="R151" s="58">
        <f t="shared" si="34"/>
        <v>303.63636363636368</v>
      </c>
      <c r="S151" s="66">
        <f t="shared" si="54"/>
        <v>24.198300000000007</v>
      </c>
      <c r="T151" s="64">
        <f t="shared" si="35"/>
        <v>86.25</v>
      </c>
      <c r="U151" s="66">
        <f t="shared" si="36"/>
        <v>1493.2083000000002</v>
      </c>
      <c r="V151" s="68">
        <f t="shared" si="37"/>
        <v>64.922100000000015</v>
      </c>
      <c r="W151" s="68">
        <f t="shared" si="38"/>
        <v>491.834090909091</v>
      </c>
      <c r="X151" s="68">
        <f t="shared" si="39"/>
        <v>327.88939393939398</v>
      </c>
      <c r="Z151" s="63"/>
      <c r="AA151" s="63"/>
    </row>
    <row r="152" spans="1:27" hidden="1" x14ac:dyDescent="0.25">
      <c r="A152" t="str">
        <f t="shared" si="52"/>
        <v>10620121C23/05/2026M</v>
      </c>
      <c r="B152" s="169" t="s">
        <v>823</v>
      </c>
      <c r="C152" s="61" t="s">
        <v>396</v>
      </c>
      <c r="D152" s="61" t="s">
        <v>591</v>
      </c>
      <c r="E152" s="61" t="s">
        <v>592</v>
      </c>
      <c r="F152" s="1" t="s">
        <v>811</v>
      </c>
      <c r="G152" s="62" t="str">
        <f t="shared" si="53"/>
        <v>20121</v>
      </c>
      <c r="H152" s="1">
        <v>10620121</v>
      </c>
      <c r="I152" s="1" t="s">
        <v>388</v>
      </c>
      <c r="J152" s="61">
        <v>72</v>
      </c>
      <c r="K152" s="61">
        <v>3.8</v>
      </c>
      <c r="L152" s="61">
        <v>8</v>
      </c>
      <c r="M152" s="69">
        <f t="shared" si="30"/>
        <v>2.7359999999999998</v>
      </c>
      <c r="N152" s="69">
        <f t="shared" si="31"/>
        <v>5.76</v>
      </c>
      <c r="O152" s="56">
        <v>36.169056000000005</v>
      </c>
      <c r="P152" s="57">
        <f t="shared" si="32"/>
        <v>2604.1720320000004</v>
      </c>
      <c r="Q152" s="58">
        <f t="shared" si="33"/>
        <v>396.01156204379566</v>
      </c>
      <c r="R152" s="58">
        <f t="shared" si="34"/>
        <v>264.00770802919709</v>
      </c>
      <c r="S152" s="66">
        <f t="shared" si="54"/>
        <v>45.573010560000014</v>
      </c>
      <c r="T152" s="64">
        <f t="shared" si="35"/>
        <v>270</v>
      </c>
      <c r="U152" s="66">
        <f t="shared" si="36"/>
        <v>2919.7450425600005</v>
      </c>
      <c r="V152" s="68">
        <f t="shared" si="37"/>
        <v>40.552014480000004</v>
      </c>
      <c r="W152" s="68">
        <f t="shared" si="38"/>
        <v>444.000158540146</v>
      </c>
      <c r="X152" s="68">
        <f t="shared" si="39"/>
        <v>296.00010569343067</v>
      </c>
      <c r="Z152" s="63"/>
      <c r="AA152" s="63"/>
    </row>
    <row r="153" spans="1:27" hidden="1" x14ac:dyDescent="0.25">
      <c r="A153" t="str">
        <f t="shared" si="52"/>
        <v>10620121B23/05/2026E</v>
      </c>
      <c r="B153" s="169" t="s">
        <v>823</v>
      </c>
      <c r="C153" s="61" t="s">
        <v>397</v>
      </c>
      <c r="D153" s="61" t="s">
        <v>591</v>
      </c>
      <c r="E153" s="61" t="s">
        <v>592</v>
      </c>
      <c r="F153" s="1" t="s">
        <v>811</v>
      </c>
      <c r="G153" s="62" t="str">
        <f t="shared" si="53"/>
        <v>20121</v>
      </c>
      <c r="H153" s="1">
        <v>10620121</v>
      </c>
      <c r="I153" s="1" t="s">
        <v>387</v>
      </c>
      <c r="J153" s="61">
        <v>10</v>
      </c>
      <c r="K153" s="61">
        <v>5.9</v>
      </c>
      <c r="L153" s="61">
        <v>9</v>
      </c>
      <c r="M153" s="69">
        <f t="shared" si="30"/>
        <v>0.59</v>
      </c>
      <c r="N153" s="69">
        <f t="shared" si="31"/>
        <v>0.9</v>
      </c>
      <c r="O153" s="56">
        <v>49.265000000000001</v>
      </c>
      <c r="P153" s="57">
        <f t="shared" si="32"/>
        <v>492.65</v>
      </c>
      <c r="Q153" s="58">
        <f t="shared" si="33"/>
        <v>413.99159663865549</v>
      </c>
      <c r="R153" s="58">
        <f t="shared" si="34"/>
        <v>275.99439775910366</v>
      </c>
      <c r="S153" s="66">
        <f t="shared" si="54"/>
        <v>8.6213750000000005</v>
      </c>
      <c r="T153" s="64">
        <f t="shared" si="35"/>
        <v>37.5</v>
      </c>
      <c r="U153" s="66">
        <f t="shared" si="36"/>
        <v>538.77137500000003</v>
      </c>
      <c r="V153" s="68">
        <f t="shared" si="37"/>
        <v>53.877137500000003</v>
      </c>
      <c r="W153" s="68">
        <f t="shared" si="38"/>
        <v>452.74905462184881</v>
      </c>
      <c r="X153" s="68">
        <f t="shared" si="39"/>
        <v>301.83270308123252</v>
      </c>
      <c r="Z153" s="63"/>
      <c r="AA153" s="63"/>
    </row>
    <row r="154" spans="1:27" hidden="1" x14ac:dyDescent="0.25">
      <c r="A154" t="str">
        <f t="shared" si="52"/>
        <v>10620121C24/05/2026E</v>
      </c>
      <c r="B154" s="169" t="s">
        <v>823</v>
      </c>
      <c r="C154" s="61" t="s">
        <v>397</v>
      </c>
      <c r="D154" s="61" t="s">
        <v>591</v>
      </c>
      <c r="E154" s="61" t="s">
        <v>592</v>
      </c>
      <c r="F154" s="1" t="s">
        <v>811</v>
      </c>
      <c r="G154" s="62" t="str">
        <f t="shared" si="53"/>
        <v>20121</v>
      </c>
      <c r="H154" s="1">
        <v>10620121</v>
      </c>
      <c r="I154" s="1" t="s">
        <v>388</v>
      </c>
      <c r="J154" s="61">
        <v>70</v>
      </c>
      <c r="K154" s="61">
        <v>3.4</v>
      </c>
      <c r="L154" s="61">
        <v>8</v>
      </c>
      <c r="M154" s="69">
        <f t="shared" si="30"/>
        <v>2.38</v>
      </c>
      <c r="N154" s="69">
        <f t="shared" si="31"/>
        <v>5.6</v>
      </c>
      <c r="O154" s="56">
        <v>34.585056000000002</v>
      </c>
      <c r="P154" s="57">
        <f t="shared" si="32"/>
        <v>2420.9539199999999</v>
      </c>
      <c r="Q154" s="58">
        <f t="shared" si="33"/>
        <v>396.01209160305342</v>
      </c>
      <c r="R154" s="58">
        <f t="shared" si="34"/>
        <v>264.00806106870226</v>
      </c>
      <c r="S154" s="66">
        <f t="shared" si="54"/>
        <v>42.366693600000005</v>
      </c>
      <c r="T154" s="64">
        <f t="shared" si="35"/>
        <v>262.5</v>
      </c>
      <c r="U154" s="66">
        <f t="shared" si="36"/>
        <v>2725.8206135999999</v>
      </c>
      <c r="V154" s="68">
        <f t="shared" si="37"/>
        <v>38.940294479999999</v>
      </c>
      <c r="W154" s="68">
        <f t="shared" si="38"/>
        <v>445.8812345038167</v>
      </c>
      <c r="X154" s="68">
        <f t="shared" si="39"/>
        <v>297.25415633587778</v>
      </c>
      <c r="Z154" s="63"/>
      <c r="AA154" s="63"/>
    </row>
    <row r="155" spans="1:27" hidden="1" x14ac:dyDescent="0.25">
      <c r="A155" t="str">
        <f t="shared" si="52"/>
        <v>10620121B24/05/2026M</v>
      </c>
      <c r="B155" s="169" t="s">
        <v>824</v>
      </c>
      <c r="C155" s="61" t="s">
        <v>396</v>
      </c>
      <c r="D155" s="61" t="s">
        <v>591</v>
      </c>
      <c r="E155" s="61" t="s">
        <v>592</v>
      </c>
      <c r="F155" s="1" t="s">
        <v>811</v>
      </c>
      <c r="G155" s="62" t="str">
        <f t="shared" si="53"/>
        <v>20121</v>
      </c>
      <c r="H155" s="1">
        <v>10620121</v>
      </c>
      <c r="I155" s="1" t="s">
        <v>387</v>
      </c>
      <c r="J155" s="61">
        <v>19</v>
      </c>
      <c r="K155" s="61">
        <v>7</v>
      </c>
      <c r="L155" s="61">
        <v>9</v>
      </c>
      <c r="M155" s="69">
        <f t="shared" si="30"/>
        <v>1.33</v>
      </c>
      <c r="N155" s="69">
        <f t="shared" si="31"/>
        <v>1.71</v>
      </c>
      <c r="O155" s="56">
        <v>58.45</v>
      </c>
      <c r="P155" s="57">
        <f t="shared" si="32"/>
        <v>1110.55</v>
      </c>
      <c r="Q155" s="58">
        <f t="shared" si="33"/>
        <v>449.61538461538464</v>
      </c>
      <c r="R155" s="58">
        <f t="shared" si="34"/>
        <v>299.74358974358978</v>
      </c>
      <c r="S155" s="66">
        <f t="shared" si="54"/>
        <v>19.434625</v>
      </c>
      <c r="T155" s="64">
        <f t="shared" si="35"/>
        <v>71.25</v>
      </c>
      <c r="U155" s="66">
        <f t="shared" si="36"/>
        <v>1201.2346250000001</v>
      </c>
      <c r="V155" s="68">
        <f t="shared" si="37"/>
        <v>63.222875000000002</v>
      </c>
      <c r="W155" s="68">
        <f t="shared" si="38"/>
        <v>486.32980769230767</v>
      </c>
      <c r="X155" s="68">
        <f t="shared" si="39"/>
        <v>324.21987179487178</v>
      </c>
      <c r="Z155" s="63"/>
      <c r="AA155" s="63"/>
    </row>
    <row r="156" spans="1:27" hidden="1" x14ac:dyDescent="0.25">
      <c r="A156" t="str">
        <f t="shared" si="52"/>
        <v>10620121C24/05/2026M</v>
      </c>
      <c r="B156" s="169" t="s">
        <v>824</v>
      </c>
      <c r="C156" s="61" t="s">
        <v>396</v>
      </c>
      <c r="D156" s="61" t="s">
        <v>591</v>
      </c>
      <c r="E156" s="61" t="s">
        <v>592</v>
      </c>
      <c r="F156" s="1" t="s">
        <v>811</v>
      </c>
      <c r="G156" s="62" t="str">
        <f t="shared" si="53"/>
        <v>20121</v>
      </c>
      <c r="H156" s="1">
        <v>10620121</v>
      </c>
      <c r="I156" s="1" t="s">
        <v>388</v>
      </c>
      <c r="J156" s="61">
        <v>72</v>
      </c>
      <c r="K156" s="61">
        <v>3.8</v>
      </c>
      <c r="L156" s="61">
        <v>8.3000000000000007</v>
      </c>
      <c r="M156" s="69">
        <f t="shared" si="30"/>
        <v>2.7359999999999998</v>
      </c>
      <c r="N156" s="69">
        <f t="shared" si="31"/>
        <v>5.976</v>
      </c>
      <c r="O156" s="56">
        <v>36.961095600000007</v>
      </c>
      <c r="P156" s="57">
        <f t="shared" si="32"/>
        <v>2661.1988832000006</v>
      </c>
      <c r="Q156" s="58">
        <f t="shared" si="33"/>
        <v>396.01173857142862</v>
      </c>
      <c r="R156" s="58">
        <f t="shared" si="34"/>
        <v>264.00782571428573</v>
      </c>
      <c r="S156" s="66">
        <f t="shared" si="54"/>
        <v>46.570980456000015</v>
      </c>
      <c r="T156" s="64">
        <f t="shared" si="35"/>
        <v>270</v>
      </c>
      <c r="U156" s="66">
        <f t="shared" si="36"/>
        <v>2977.7698636560008</v>
      </c>
      <c r="V156" s="68">
        <f t="shared" si="37"/>
        <v>41.357914773000012</v>
      </c>
      <c r="W156" s="68">
        <f t="shared" si="38"/>
        <v>443.12051542500012</v>
      </c>
      <c r="X156" s="68">
        <f t="shared" si="39"/>
        <v>295.41367695000008</v>
      </c>
      <c r="Z156" s="63"/>
      <c r="AA156" s="63"/>
    </row>
    <row r="157" spans="1:27" hidden="1" x14ac:dyDescent="0.25">
      <c r="A157" t="str">
        <f t="shared" si="52"/>
        <v>10620121B24/05/2026E</v>
      </c>
      <c r="B157" s="169" t="s">
        <v>824</v>
      </c>
      <c r="C157" s="61" t="s">
        <v>397</v>
      </c>
      <c r="D157" s="61" t="s">
        <v>591</v>
      </c>
      <c r="E157" s="61" t="s">
        <v>592</v>
      </c>
      <c r="F157" s="1" t="s">
        <v>811</v>
      </c>
      <c r="G157" s="62" t="str">
        <f t="shared" si="53"/>
        <v>20121</v>
      </c>
      <c r="H157" s="1">
        <v>10620121</v>
      </c>
      <c r="I157" s="1" t="s">
        <v>387</v>
      </c>
      <c r="J157" s="61">
        <v>9</v>
      </c>
      <c r="K157" s="61">
        <v>7</v>
      </c>
      <c r="L157" s="61">
        <v>9</v>
      </c>
      <c r="M157" s="69">
        <f t="shared" si="30"/>
        <v>0.63</v>
      </c>
      <c r="N157" s="69">
        <f t="shared" si="31"/>
        <v>0.81</v>
      </c>
      <c r="O157" s="56">
        <v>58.45</v>
      </c>
      <c r="P157" s="57">
        <f t="shared" si="32"/>
        <v>526.05000000000007</v>
      </c>
      <c r="Q157" s="58">
        <f t="shared" si="33"/>
        <v>449.61538461538464</v>
      </c>
      <c r="R157" s="58">
        <f t="shared" si="34"/>
        <v>299.74358974358978</v>
      </c>
      <c r="S157" s="66">
        <f t="shared" si="54"/>
        <v>9.2058750000000025</v>
      </c>
      <c r="T157" s="64">
        <f t="shared" si="35"/>
        <v>33.75</v>
      </c>
      <c r="U157" s="66">
        <f t="shared" si="36"/>
        <v>569.00587500000006</v>
      </c>
      <c r="V157" s="68">
        <f t="shared" si="37"/>
        <v>63.222875000000009</v>
      </c>
      <c r="W157" s="68">
        <f t="shared" si="38"/>
        <v>486.32980769230772</v>
      </c>
      <c r="X157" s="68">
        <f t="shared" si="39"/>
        <v>324.21987179487184</v>
      </c>
      <c r="Z157" s="63"/>
      <c r="AA157" s="63"/>
    </row>
    <row r="158" spans="1:27" hidden="1" x14ac:dyDescent="0.25">
      <c r="A158" t="str">
        <f t="shared" si="52"/>
        <v>10620121C25/05/2026E</v>
      </c>
      <c r="B158" s="169" t="s">
        <v>824</v>
      </c>
      <c r="C158" s="61" t="s">
        <v>397</v>
      </c>
      <c r="D158" s="61" t="s">
        <v>591</v>
      </c>
      <c r="E158" s="61" t="s">
        <v>592</v>
      </c>
      <c r="F158" s="1" t="s">
        <v>811</v>
      </c>
      <c r="G158" s="62" t="str">
        <f t="shared" si="53"/>
        <v>20121</v>
      </c>
      <c r="H158" s="1">
        <v>10620121</v>
      </c>
      <c r="I158" s="1" t="s">
        <v>388</v>
      </c>
      <c r="J158" s="61">
        <v>64</v>
      </c>
      <c r="K158" s="61">
        <v>3.9</v>
      </c>
      <c r="L158" s="61">
        <v>8.1999999999999993</v>
      </c>
      <c r="M158" s="69">
        <f t="shared" si="30"/>
        <v>2.496</v>
      </c>
      <c r="N158" s="69">
        <f t="shared" si="31"/>
        <v>5.2479999999999993</v>
      </c>
      <c r="O158" s="56">
        <v>37.0930824</v>
      </c>
      <c r="P158" s="57">
        <f t="shared" si="32"/>
        <v>2373.9572736</v>
      </c>
      <c r="Q158" s="58">
        <f t="shared" si="33"/>
        <v>396.01155587188612</v>
      </c>
      <c r="R158" s="58">
        <f t="shared" si="34"/>
        <v>264.00770391459076</v>
      </c>
      <c r="S158" s="66">
        <f t="shared" si="54"/>
        <v>41.544252288000003</v>
      </c>
      <c r="T158" s="64">
        <f t="shared" si="35"/>
        <v>240</v>
      </c>
      <c r="U158" s="66">
        <f t="shared" si="36"/>
        <v>2655.5015258879998</v>
      </c>
      <c r="V158" s="68">
        <f t="shared" si="37"/>
        <v>41.492211341999997</v>
      </c>
      <c r="W158" s="68">
        <f t="shared" si="38"/>
        <v>442.97734528825623</v>
      </c>
      <c r="X158" s="68">
        <f t="shared" si="39"/>
        <v>295.3182301921708</v>
      </c>
      <c r="Z158" s="63"/>
      <c r="AA158" s="63"/>
    </row>
    <row r="159" spans="1:27" hidden="1" x14ac:dyDescent="0.25">
      <c r="A159" t="str">
        <f t="shared" si="52"/>
        <v>10620121B25/05/2026M</v>
      </c>
      <c r="B159" s="169" t="s">
        <v>825</v>
      </c>
      <c r="C159" s="61" t="s">
        <v>396</v>
      </c>
      <c r="D159" s="61" t="s">
        <v>591</v>
      </c>
      <c r="E159" s="61" t="s">
        <v>592</v>
      </c>
      <c r="F159" s="1" t="s">
        <v>811</v>
      </c>
      <c r="G159" s="62" t="str">
        <f t="shared" si="53"/>
        <v>20121</v>
      </c>
      <c r="H159" s="1">
        <v>10620121</v>
      </c>
      <c r="I159" s="1" t="s">
        <v>387</v>
      </c>
      <c r="J159" s="61">
        <v>19</v>
      </c>
      <c r="K159" s="61">
        <v>7</v>
      </c>
      <c r="L159" s="61">
        <v>9</v>
      </c>
      <c r="M159" s="69">
        <f t="shared" si="30"/>
        <v>1.33</v>
      </c>
      <c r="N159" s="69">
        <f t="shared" si="31"/>
        <v>1.71</v>
      </c>
      <c r="O159" s="56">
        <v>58.45</v>
      </c>
      <c r="P159" s="57">
        <f t="shared" si="32"/>
        <v>1110.55</v>
      </c>
      <c r="Q159" s="58">
        <f t="shared" si="33"/>
        <v>449.61538461538464</v>
      </c>
      <c r="R159" s="58">
        <f t="shared" si="34"/>
        <v>299.74358974358978</v>
      </c>
      <c r="S159" s="66">
        <f t="shared" si="54"/>
        <v>19.434625</v>
      </c>
      <c r="T159" s="64">
        <f t="shared" si="35"/>
        <v>71.25</v>
      </c>
      <c r="U159" s="66">
        <f t="shared" si="36"/>
        <v>1201.2346250000001</v>
      </c>
      <c r="V159" s="68">
        <f t="shared" si="37"/>
        <v>63.222875000000002</v>
      </c>
      <c r="W159" s="68">
        <f t="shared" si="38"/>
        <v>486.32980769230767</v>
      </c>
      <c r="X159" s="68">
        <f t="shared" si="39"/>
        <v>324.21987179487178</v>
      </c>
      <c r="Z159" s="63"/>
      <c r="AA159" s="63"/>
    </row>
    <row r="160" spans="1:27" hidden="1" x14ac:dyDescent="0.25">
      <c r="A160" t="str">
        <f t="shared" si="52"/>
        <v>10620121C25/05/2026M</v>
      </c>
      <c r="B160" s="169" t="s">
        <v>825</v>
      </c>
      <c r="C160" s="61" t="s">
        <v>396</v>
      </c>
      <c r="D160" s="61" t="s">
        <v>591</v>
      </c>
      <c r="E160" s="61" t="s">
        <v>592</v>
      </c>
      <c r="F160" s="1" t="s">
        <v>811</v>
      </c>
      <c r="G160" s="62" t="str">
        <f t="shared" si="53"/>
        <v>20121</v>
      </c>
      <c r="H160" s="1">
        <v>10620121</v>
      </c>
      <c r="I160" s="1" t="s">
        <v>388</v>
      </c>
      <c r="J160" s="61">
        <v>69</v>
      </c>
      <c r="K160" s="61">
        <v>4</v>
      </c>
      <c r="L160" s="61">
        <v>8</v>
      </c>
      <c r="M160" s="69">
        <f t="shared" si="30"/>
        <v>2.76</v>
      </c>
      <c r="N160" s="69">
        <f t="shared" si="31"/>
        <v>5.52</v>
      </c>
      <c r="O160" s="56">
        <v>36.961055999999999</v>
      </c>
      <c r="P160" s="57">
        <f t="shared" si="32"/>
        <v>2550.312864</v>
      </c>
      <c r="Q160" s="58">
        <f t="shared" si="33"/>
        <v>396.01131428571426</v>
      </c>
      <c r="R160" s="58">
        <f t="shared" si="34"/>
        <v>264.00754285714282</v>
      </c>
      <c r="S160" s="66">
        <f t="shared" si="54"/>
        <v>44.630475120000007</v>
      </c>
      <c r="T160" s="64">
        <f t="shared" si="35"/>
        <v>258.75</v>
      </c>
      <c r="U160" s="66">
        <f t="shared" si="36"/>
        <v>2853.69333912</v>
      </c>
      <c r="V160" s="68">
        <f t="shared" si="37"/>
        <v>41.35787448</v>
      </c>
      <c r="W160" s="68">
        <f t="shared" si="38"/>
        <v>443.12008371428567</v>
      </c>
      <c r="X160" s="68">
        <f t="shared" si="39"/>
        <v>295.41338914285711</v>
      </c>
      <c r="Z160" s="63"/>
      <c r="AA160" s="63"/>
    </row>
    <row r="161" spans="1:27" hidden="1" x14ac:dyDescent="0.25">
      <c r="A161" t="str">
        <f t="shared" si="52"/>
        <v>10620121B25/05/2026E</v>
      </c>
      <c r="B161" s="169" t="s">
        <v>825</v>
      </c>
      <c r="C161" s="61" t="s">
        <v>397</v>
      </c>
      <c r="D161" s="61" t="s">
        <v>591</v>
      </c>
      <c r="E161" s="61" t="s">
        <v>592</v>
      </c>
      <c r="F161" s="1" t="s">
        <v>811</v>
      </c>
      <c r="G161" s="62" t="str">
        <f t="shared" si="53"/>
        <v>20121</v>
      </c>
      <c r="H161" s="1">
        <v>10620121</v>
      </c>
      <c r="I161" s="1" t="s">
        <v>387</v>
      </c>
      <c r="J161" s="61">
        <v>4</v>
      </c>
      <c r="K161" s="61">
        <v>6.3</v>
      </c>
      <c r="L161" s="61">
        <v>8.8000000000000007</v>
      </c>
      <c r="M161" s="69">
        <f t="shared" si="30"/>
        <v>0.252</v>
      </c>
      <c r="N161" s="69">
        <f t="shared" si="31"/>
        <v>0.35200000000000004</v>
      </c>
      <c r="O161" s="56">
        <v>52.078949999999999</v>
      </c>
      <c r="P161" s="57">
        <f t="shared" si="32"/>
        <v>208.3158</v>
      </c>
      <c r="Q161" s="58">
        <f t="shared" si="33"/>
        <v>428.04616438356163</v>
      </c>
      <c r="R161" s="58">
        <f t="shared" si="34"/>
        <v>285.36410958904111</v>
      </c>
      <c r="S161" s="66">
        <f t="shared" si="54"/>
        <v>3.6455265000000003</v>
      </c>
      <c r="T161" s="64">
        <f t="shared" si="35"/>
        <v>15</v>
      </c>
      <c r="U161" s="66">
        <f t="shared" si="36"/>
        <v>226.96132649999998</v>
      </c>
      <c r="V161" s="68">
        <f t="shared" si="37"/>
        <v>56.740331624999996</v>
      </c>
      <c r="W161" s="68">
        <f t="shared" si="38"/>
        <v>466.35889006849311</v>
      </c>
      <c r="X161" s="68">
        <f t="shared" si="39"/>
        <v>310.90592671232872</v>
      </c>
      <c r="Z161" s="63"/>
      <c r="AA161" s="63"/>
    </row>
    <row r="162" spans="1:27" hidden="1" x14ac:dyDescent="0.25">
      <c r="A162" t="str">
        <f t="shared" si="52"/>
        <v>10620121C26/05/2026E</v>
      </c>
      <c r="B162" s="169" t="s">
        <v>825</v>
      </c>
      <c r="C162" s="61" t="s">
        <v>397</v>
      </c>
      <c r="D162" s="61" t="s">
        <v>591</v>
      </c>
      <c r="E162" s="61" t="s">
        <v>592</v>
      </c>
      <c r="F162" s="1" t="s">
        <v>811</v>
      </c>
      <c r="G162" s="62" t="str">
        <f t="shared" si="53"/>
        <v>20121</v>
      </c>
      <c r="H162" s="1">
        <v>10620121</v>
      </c>
      <c r="I162" s="1" t="s">
        <v>388</v>
      </c>
      <c r="J162" s="61">
        <v>71</v>
      </c>
      <c r="K162" s="61">
        <v>3.8</v>
      </c>
      <c r="L162" s="61">
        <v>8.4</v>
      </c>
      <c r="M162" s="69">
        <f t="shared" ref="M162:M225" si="55">K162*J162/100</f>
        <v>2.698</v>
      </c>
      <c r="N162" s="69">
        <f t="shared" ref="N162:N225" si="56">L162*J162/100</f>
        <v>5.9639999999999995</v>
      </c>
      <c r="O162" s="56">
        <v>37.225108800000008</v>
      </c>
      <c r="P162" s="57">
        <f t="shared" ref="P162:P225" si="57">O162*J162</f>
        <v>2642.9827248000006</v>
      </c>
      <c r="Q162" s="58">
        <f t="shared" ref="Q162:Q225" si="58">O162/(K162%+L162%*2/3)</f>
        <v>396.01179574468091</v>
      </c>
      <c r="R162" s="58">
        <f t="shared" ref="R162:R225" si="59">Q162*2/3</f>
        <v>264.00786382978725</v>
      </c>
      <c r="S162" s="66">
        <f t="shared" si="54"/>
        <v>46.252197684000016</v>
      </c>
      <c r="T162" s="64">
        <f t="shared" ref="T162:T225" si="60">J162*3.75</f>
        <v>266.25</v>
      </c>
      <c r="U162" s="66">
        <f t="shared" ref="U162:U225" si="61">S162+T162+P162</f>
        <v>2955.4849224840004</v>
      </c>
      <c r="V162" s="68">
        <f t="shared" ref="V162:V225" si="62">U162/J162</f>
        <v>41.626548204000009</v>
      </c>
      <c r="W162" s="68">
        <f t="shared" ref="W162:W225" si="63">V162/(K162%+L162%*2/3)</f>
        <v>442.83561919148946</v>
      </c>
      <c r="X162" s="68">
        <f t="shared" ref="X162:X225" si="64">W162*2/3</f>
        <v>295.22374612765964</v>
      </c>
      <c r="Z162" s="63"/>
      <c r="AA162" s="63"/>
    </row>
    <row r="163" spans="1:27" hidden="1" x14ac:dyDescent="0.25">
      <c r="A163" t="str">
        <f t="shared" si="52"/>
        <v>10620121B26/05/2026M</v>
      </c>
      <c r="B163" s="169" t="s">
        <v>826</v>
      </c>
      <c r="C163" s="61" t="s">
        <v>396</v>
      </c>
      <c r="D163" s="61" t="s">
        <v>591</v>
      </c>
      <c r="E163" s="61" t="s">
        <v>592</v>
      </c>
      <c r="F163" s="1" t="s">
        <v>811</v>
      </c>
      <c r="G163" s="62" t="str">
        <f t="shared" si="53"/>
        <v>20121</v>
      </c>
      <c r="H163" s="1">
        <v>10620121</v>
      </c>
      <c r="I163" s="1" t="s">
        <v>387</v>
      </c>
      <c r="J163" s="61">
        <v>16</v>
      </c>
      <c r="K163" s="61">
        <v>7.8</v>
      </c>
      <c r="L163" s="61">
        <v>9</v>
      </c>
      <c r="M163" s="69">
        <f t="shared" si="55"/>
        <v>1.248</v>
      </c>
      <c r="N163" s="69">
        <f t="shared" si="56"/>
        <v>1.44</v>
      </c>
      <c r="O163" s="56">
        <f>INDEX(Rate_Chart!$A$1:$AK$127,MATCH(Data!K163,Rate_Chart!$A$1:$A$127,0),MATCH(Data!L163,Rate_Chart!$A$1:$AK$1,0))</f>
        <v>65.13</v>
      </c>
      <c r="P163" s="57">
        <f t="shared" si="57"/>
        <v>1042.08</v>
      </c>
      <c r="Q163" s="58">
        <f t="shared" si="58"/>
        <v>471.95652173913038</v>
      </c>
      <c r="R163" s="58">
        <f t="shared" si="59"/>
        <v>314.63768115942025</v>
      </c>
      <c r="S163" s="66">
        <f t="shared" si="54"/>
        <v>18.2364</v>
      </c>
      <c r="T163" s="64">
        <f t="shared" si="60"/>
        <v>60</v>
      </c>
      <c r="U163" s="66">
        <f t="shared" si="61"/>
        <v>1120.3163999999999</v>
      </c>
      <c r="V163" s="68">
        <f t="shared" si="62"/>
        <v>70.019774999999996</v>
      </c>
      <c r="W163" s="68">
        <f t="shared" si="63"/>
        <v>507.3896739130434</v>
      </c>
      <c r="X163" s="68">
        <f t="shared" si="64"/>
        <v>338.25978260869562</v>
      </c>
      <c r="Z163" s="63"/>
      <c r="AA163" s="63"/>
    </row>
    <row r="164" spans="1:27" hidden="1" x14ac:dyDescent="0.25">
      <c r="A164" t="str">
        <f t="shared" si="52"/>
        <v>10620121C26/05/2026M</v>
      </c>
      <c r="B164" s="169" t="s">
        <v>826</v>
      </c>
      <c r="C164" s="61" t="s">
        <v>396</v>
      </c>
      <c r="D164" s="61" t="s">
        <v>591</v>
      </c>
      <c r="E164" s="61" t="s">
        <v>592</v>
      </c>
      <c r="F164" s="1" t="s">
        <v>811</v>
      </c>
      <c r="G164" s="62" t="str">
        <f t="shared" si="53"/>
        <v>20121</v>
      </c>
      <c r="H164" s="1">
        <v>10620121</v>
      </c>
      <c r="I164" s="1" t="s">
        <v>388</v>
      </c>
      <c r="J164" s="61">
        <v>58</v>
      </c>
      <c r="K164" s="61">
        <v>3.9</v>
      </c>
      <c r="L164" s="61">
        <v>8.4</v>
      </c>
      <c r="M164" s="69">
        <f t="shared" si="55"/>
        <v>2.262</v>
      </c>
      <c r="N164" s="69">
        <f t="shared" si="56"/>
        <v>4.8720000000000008</v>
      </c>
      <c r="O164" s="56">
        <f>INDEX(Rate_Chart!$A$1:$AK$127,MATCH(Data!K164,Rate_Chart!$A$1:$A$127,0),MATCH(Data!L164,Rate_Chart!$A$1:$AK$1,0))</f>
        <v>39.616167600000011</v>
      </c>
      <c r="P164" s="57">
        <f t="shared" si="57"/>
        <v>2297.7377208000007</v>
      </c>
      <c r="Q164" s="58">
        <f t="shared" si="58"/>
        <v>417.01229052631589</v>
      </c>
      <c r="R164" s="58">
        <f t="shared" si="59"/>
        <v>278.0081936842106</v>
      </c>
      <c r="S164" s="66">
        <f t="shared" si="54"/>
        <v>40.21041011400002</v>
      </c>
      <c r="T164" s="64">
        <f t="shared" si="60"/>
        <v>217.5</v>
      </c>
      <c r="U164" s="66">
        <f t="shared" si="61"/>
        <v>2555.4481309140006</v>
      </c>
      <c r="V164" s="68">
        <f t="shared" si="62"/>
        <v>44.05945053300001</v>
      </c>
      <c r="W164" s="68">
        <f t="shared" si="63"/>
        <v>463.78368982105275</v>
      </c>
      <c r="X164" s="68">
        <f t="shared" si="64"/>
        <v>309.18912654736852</v>
      </c>
      <c r="Z164" s="63"/>
      <c r="AA164" s="63"/>
    </row>
    <row r="165" spans="1:27" hidden="1" x14ac:dyDescent="0.25">
      <c r="A165" t="str">
        <f t="shared" si="52"/>
        <v>10620121B26/05/2026E</v>
      </c>
      <c r="B165" s="169" t="s">
        <v>826</v>
      </c>
      <c r="C165" s="61" t="s">
        <v>397</v>
      </c>
      <c r="D165" s="61" t="s">
        <v>591</v>
      </c>
      <c r="E165" s="61" t="s">
        <v>592</v>
      </c>
      <c r="F165" s="1" t="s">
        <v>811</v>
      </c>
      <c r="G165" s="62" t="str">
        <f t="shared" si="53"/>
        <v>20121</v>
      </c>
      <c r="H165" s="1">
        <v>10620121</v>
      </c>
      <c r="I165" s="1" t="s">
        <v>387</v>
      </c>
      <c r="J165" s="61">
        <v>17</v>
      </c>
      <c r="K165" s="61">
        <v>7</v>
      </c>
      <c r="L165" s="61">
        <v>9</v>
      </c>
      <c r="M165" s="69">
        <f t="shared" si="55"/>
        <v>1.19</v>
      </c>
      <c r="N165" s="69">
        <f t="shared" si="56"/>
        <v>1.53</v>
      </c>
      <c r="O165" s="56">
        <f>INDEX(Rate_Chart!$A$1:$AK$127,MATCH(Data!K165,Rate_Chart!$A$1:$A$127,0),MATCH(Data!L165,Rate_Chart!$A$1:$AK$1,0))</f>
        <v>58.45</v>
      </c>
      <c r="P165" s="57">
        <f t="shared" si="57"/>
        <v>993.65000000000009</v>
      </c>
      <c r="Q165" s="58">
        <f t="shared" si="58"/>
        <v>449.61538461538464</v>
      </c>
      <c r="R165" s="58">
        <f t="shared" si="59"/>
        <v>299.74358974358978</v>
      </c>
      <c r="S165" s="66">
        <f t="shared" si="54"/>
        <v>17.388875000000002</v>
      </c>
      <c r="T165" s="64">
        <f t="shared" si="60"/>
        <v>63.75</v>
      </c>
      <c r="U165" s="66">
        <f t="shared" si="61"/>
        <v>1074.7888750000002</v>
      </c>
      <c r="V165" s="68">
        <f t="shared" si="62"/>
        <v>63.222875000000009</v>
      </c>
      <c r="W165" s="68">
        <f t="shared" si="63"/>
        <v>486.32980769230772</v>
      </c>
      <c r="X165" s="68">
        <f t="shared" si="64"/>
        <v>324.21987179487184</v>
      </c>
      <c r="Z165" s="63"/>
      <c r="AA165" s="63"/>
    </row>
    <row r="166" spans="1:27" hidden="1" x14ac:dyDescent="0.25">
      <c r="A166" t="str">
        <f t="shared" si="52"/>
        <v>10620121C27/05/2026E</v>
      </c>
      <c r="B166" s="169" t="s">
        <v>826</v>
      </c>
      <c r="C166" s="61" t="s">
        <v>397</v>
      </c>
      <c r="D166" s="61" t="s">
        <v>591</v>
      </c>
      <c r="E166" s="61" t="s">
        <v>592</v>
      </c>
      <c r="F166" s="1" t="s">
        <v>811</v>
      </c>
      <c r="G166" s="62" t="str">
        <f t="shared" si="53"/>
        <v>20121</v>
      </c>
      <c r="H166" s="1">
        <v>10620121</v>
      </c>
      <c r="I166" s="1" t="s">
        <v>388</v>
      </c>
      <c r="J166" s="61">
        <v>73</v>
      </c>
      <c r="K166" s="61">
        <v>3.9</v>
      </c>
      <c r="L166" s="61">
        <v>8.4</v>
      </c>
      <c r="M166" s="69">
        <f t="shared" si="55"/>
        <v>2.847</v>
      </c>
      <c r="N166" s="69">
        <f t="shared" si="56"/>
        <v>6.1320000000000006</v>
      </c>
      <c r="O166" s="56">
        <f>INDEX(Rate_Chart!$A$1:$AK$127,MATCH(Data!K166,Rate_Chart!$A$1:$A$127,0),MATCH(Data!L166,Rate_Chart!$A$1:$AK$1,0))</f>
        <v>39.616167600000011</v>
      </c>
      <c r="P166" s="57">
        <f t="shared" si="57"/>
        <v>2891.9802348000007</v>
      </c>
      <c r="Q166" s="58">
        <f t="shared" si="58"/>
        <v>417.01229052631589</v>
      </c>
      <c r="R166" s="58">
        <f t="shared" si="59"/>
        <v>278.0081936842106</v>
      </c>
      <c r="S166" s="66">
        <f t="shared" si="54"/>
        <v>50.609654109000019</v>
      </c>
      <c r="T166" s="64">
        <f t="shared" si="60"/>
        <v>273.75</v>
      </c>
      <c r="U166" s="66">
        <f t="shared" si="61"/>
        <v>3216.3398889090008</v>
      </c>
      <c r="V166" s="68">
        <f t="shared" si="62"/>
        <v>44.05945053300001</v>
      </c>
      <c r="W166" s="68">
        <f t="shared" si="63"/>
        <v>463.78368982105275</v>
      </c>
      <c r="X166" s="68">
        <f t="shared" si="64"/>
        <v>309.18912654736852</v>
      </c>
      <c r="Z166" s="63"/>
      <c r="AA166" s="63"/>
    </row>
    <row r="167" spans="1:27" hidden="1" x14ac:dyDescent="0.25">
      <c r="A167" t="str">
        <f t="shared" si="52"/>
        <v>10620121B27/05/2026M</v>
      </c>
      <c r="B167" s="169" t="s">
        <v>827</v>
      </c>
      <c r="C167" s="61" t="s">
        <v>396</v>
      </c>
      <c r="D167" s="61" t="s">
        <v>591</v>
      </c>
      <c r="E167" s="61" t="s">
        <v>592</v>
      </c>
      <c r="F167" s="1" t="s">
        <v>811</v>
      </c>
      <c r="G167" s="62" t="str">
        <f t="shared" si="53"/>
        <v>20121</v>
      </c>
      <c r="H167" s="1">
        <v>10620121</v>
      </c>
      <c r="I167" s="1" t="s">
        <v>387</v>
      </c>
      <c r="J167" s="61">
        <v>21</v>
      </c>
      <c r="K167" s="61">
        <v>6.8</v>
      </c>
      <c r="L167" s="61">
        <v>9</v>
      </c>
      <c r="M167" s="69">
        <f t="shared" si="55"/>
        <v>1.4279999999999999</v>
      </c>
      <c r="N167" s="69">
        <f t="shared" si="56"/>
        <v>1.89</v>
      </c>
      <c r="O167" s="56">
        <f>INDEX(Rate_Chart!$A$1:$AK$127,MATCH(Data!K167,Rate_Chart!$A$1:$A$127,0),MATCH(Data!L167,Rate_Chart!$A$1:$AK$1,0))</f>
        <v>56.78</v>
      </c>
      <c r="P167" s="57">
        <f t="shared" si="57"/>
        <v>1192.3800000000001</v>
      </c>
      <c r="Q167" s="58">
        <f t="shared" si="58"/>
        <v>443.59375</v>
      </c>
      <c r="R167" s="58">
        <f t="shared" si="59"/>
        <v>295.72916666666669</v>
      </c>
      <c r="S167" s="66">
        <f t="shared" si="54"/>
        <v>20.866650000000003</v>
      </c>
      <c r="T167" s="64">
        <f t="shared" si="60"/>
        <v>78.75</v>
      </c>
      <c r="U167" s="66">
        <f t="shared" si="61"/>
        <v>1291.99665</v>
      </c>
      <c r="V167" s="68">
        <f t="shared" si="62"/>
        <v>61.523650000000004</v>
      </c>
      <c r="W167" s="68">
        <f t="shared" si="63"/>
        <v>480.65351562500001</v>
      </c>
      <c r="X167" s="68">
        <f t="shared" si="64"/>
        <v>320.43567708333336</v>
      </c>
      <c r="Z167" s="63"/>
      <c r="AA167" s="63"/>
    </row>
    <row r="168" spans="1:27" hidden="1" x14ac:dyDescent="0.25">
      <c r="A168" t="str">
        <f t="shared" si="52"/>
        <v>10620121C27/05/2026M</v>
      </c>
      <c r="B168" s="169" t="s">
        <v>827</v>
      </c>
      <c r="C168" s="61" t="s">
        <v>396</v>
      </c>
      <c r="D168" s="61" t="s">
        <v>591</v>
      </c>
      <c r="E168" s="61" t="s">
        <v>592</v>
      </c>
      <c r="F168" s="1" t="s">
        <v>811</v>
      </c>
      <c r="G168" s="62" t="str">
        <f t="shared" si="53"/>
        <v>20121</v>
      </c>
      <c r="H168" s="1">
        <v>10620121</v>
      </c>
      <c r="I168" s="1" t="s">
        <v>388</v>
      </c>
      <c r="J168" s="61">
        <v>58</v>
      </c>
      <c r="K168" s="61">
        <v>4</v>
      </c>
      <c r="L168" s="61">
        <v>8.4</v>
      </c>
      <c r="M168" s="69">
        <f t="shared" si="55"/>
        <v>2.3199999999999998</v>
      </c>
      <c r="N168" s="69">
        <f t="shared" si="56"/>
        <v>4.8720000000000008</v>
      </c>
      <c r="O168" s="56">
        <f>INDEX(Rate_Chart!$A$1:$AK$127,MATCH(Data!K168,Rate_Chart!$A$1:$A$127,0),MATCH(Data!L168,Rate_Chart!$A$1:$AK$1,0))</f>
        <v>40.033167600000006</v>
      </c>
      <c r="P168" s="57">
        <f t="shared" si="57"/>
        <v>2321.9237208000004</v>
      </c>
      <c r="Q168" s="58">
        <f t="shared" si="58"/>
        <v>417.01216250000004</v>
      </c>
      <c r="R168" s="58">
        <f t="shared" si="59"/>
        <v>278.00810833333338</v>
      </c>
      <c r="S168" s="66">
        <f t="shared" si="54"/>
        <v>40.63366511400001</v>
      </c>
      <c r="T168" s="64">
        <f t="shared" si="60"/>
        <v>217.5</v>
      </c>
      <c r="U168" s="66">
        <f t="shared" si="61"/>
        <v>2580.0573859140004</v>
      </c>
      <c r="V168" s="68">
        <f t="shared" si="62"/>
        <v>44.483748033000005</v>
      </c>
      <c r="W168" s="68">
        <f t="shared" si="63"/>
        <v>463.37237534375004</v>
      </c>
      <c r="X168" s="68">
        <f t="shared" si="64"/>
        <v>308.91491689583336</v>
      </c>
      <c r="Z168" s="63"/>
      <c r="AA168" s="63"/>
    </row>
    <row r="169" spans="1:27" hidden="1" x14ac:dyDescent="0.25">
      <c r="A169" t="str">
        <f t="shared" si="52"/>
        <v>10620121B27/05/2026E</v>
      </c>
      <c r="B169" s="169" t="s">
        <v>827</v>
      </c>
      <c r="C169" s="61" t="s">
        <v>397</v>
      </c>
      <c r="D169" s="61" t="s">
        <v>591</v>
      </c>
      <c r="E169" s="61" t="s">
        <v>592</v>
      </c>
      <c r="F169" s="1" t="s">
        <v>811</v>
      </c>
      <c r="G169" s="62" t="str">
        <f t="shared" si="53"/>
        <v>20121</v>
      </c>
      <c r="H169" s="1">
        <v>10620121</v>
      </c>
      <c r="I169" s="1" t="s">
        <v>387</v>
      </c>
      <c r="J169" s="61">
        <v>14</v>
      </c>
      <c r="K169" s="61">
        <v>5.6</v>
      </c>
      <c r="L169" s="61">
        <v>9</v>
      </c>
      <c r="M169" s="69">
        <f t="shared" si="55"/>
        <v>0.78399999999999992</v>
      </c>
      <c r="N169" s="69">
        <f t="shared" si="56"/>
        <v>1.26</v>
      </c>
      <c r="O169" s="56">
        <f>INDEX(Rate_Chart!$A$1:$AK$127,MATCH(Data!K169,Rate_Chart!$A$1:$A$127,0),MATCH(Data!L169,Rate_Chart!$A$1:$AK$1,0))</f>
        <v>46.76</v>
      </c>
      <c r="P169" s="57">
        <f t="shared" si="57"/>
        <v>654.64</v>
      </c>
      <c r="Q169" s="58">
        <f t="shared" si="58"/>
        <v>403.10344827586209</v>
      </c>
      <c r="R169" s="58">
        <f t="shared" si="59"/>
        <v>268.73563218390808</v>
      </c>
      <c r="S169" s="66">
        <f t="shared" si="54"/>
        <v>11.456200000000001</v>
      </c>
      <c r="T169" s="64">
        <f t="shared" si="60"/>
        <v>52.5</v>
      </c>
      <c r="U169" s="66">
        <f t="shared" si="61"/>
        <v>718.59619999999995</v>
      </c>
      <c r="V169" s="68">
        <f t="shared" si="62"/>
        <v>51.328299999999999</v>
      </c>
      <c r="W169" s="68">
        <f t="shared" si="63"/>
        <v>442.48534482758623</v>
      </c>
      <c r="X169" s="68">
        <f t="shared" si="64"/>
        <v>294.99022988505749</v>
      </c>
      <c r="Z169" s="63"/>
      <c r="AA169" s="63"/>
    </row>
    <row r="170" spans="1:27" hidden="1" x14ac:dyDescent="0.25">
      <c r="A170" t="str">
        <f t="shared" si="52"/>
        <v>10620121C28/05/2026E</v>
      </c>
      <c r="B170" s="169" t="s">
        <v>827</v>
      </c>
      <c r="C170" s="61" t="s">
        <v>397</v>
      </c>
      <c r="D170" s="61" t="s">
        <v>591</v>
      </c>
      <c r="E170" s="61" t="s">
        <v>592</v>
      </c>
      <c r="F170" s="1" t="s">
        <v>811</v>
      </c>
      <c r="G170" s="62" t="str">
        <f t="shared" si="53"/>
        <v>20121</v>
      </c>
      <c r="H170" s="1">
        <v>10620121</v>
      </c>
      <c r="I170" s="1" t="s">
        <v>388</v>
      </c>
      <c r="J170" s="61">
        <v>61</v>
      </c>
      <c r="K170" s="61">
        <v>3.7</v>
      </c>
      <c r="L170" s="61">
        <v>8.1999999999999993</v>
      </c>
      <c r="M170" s="69">
        <f t="shared" si="55"/>
        <v>2.2570000000000001</v>
      </c>
      <c r="N170" s="69">
        <f t="shared" si="56"/>
        <v>5.0019999999999989</v>
      </c>
      <c r="O170" s="56">
        <f>INDEX(Rate_Chart!$A$1:$AK$127,MATCH(Data!K170,Rate_Chart!$A$1:$A$127,0),MATCH(Data!L170,Rate_Chart!$A$1:$AK$1,0))</f>
        <v>38.226139799999999</v>
      </c>
      <c r="P170" s="57">
        <f t="shared" si="57"/>
        <v>2331.7945277999997</v>
      </c>
      <c r="Q170" s="58">
        <f t="shared" si="58"/>
        <v>417.01243418181815</v>
      </c>
      <c r="R170" s="58">
        <f t="shared" si="59"/>
        <v>278.00828945454543</v>
      </c>
      <c r="S170" s="66">
        <f t="shared" si="54"/>
        <v>40.806404236500001</v>
      </c>
      <c r="T170" s="64">
        <f t="shared" si="60"/>
        <v>228.75</v>
      </c>
      <c r="U170" s="66">
        <f t="shared" si="61"/>
        <v>2601.3509320364997</v>
      </c>
      <c r="V170" s="68">
        <f t="shared" si="62"/>
        <v>42.645097246499994</v>
      </c>
      <c r="W170" s="68">
        <f t="shared" si="63"/>
        <v>465.21924268909078</v>
      </c>
      <c r="X170" s="68">
        <f t="shared" si="64"/>
        <v>310.14616179272718</v>
      </c>
      <c r="Z170" s="63"/>
      <c r="AA170" s="63"/>
    </row>
    <row r="171" spans="1:27" hidden="1" x14ac:dyDescent="0.25">
      <c r="A171" t="str">
        <f t="shared" si="52"/>
        <v>10620121B28/05/2026M</v>
      </c>
      <c r="B171" s="169" t="s">
        <v>828</v>
      </c>
      <c r="C171" s="61" t="s">
        <v>396</v>
      </c>
      <c r="D171" s="61" t="s">
        <v>591</v>
      </c>
      <c r="E171" s="61" t="s">
        <v>592</v>
      </c>
      <c r="F171" s="1" t="s">
        <v>811</v>
      </c>
      <c r="G171" s="62" t="str">
        <f t="shared" si="53"/>
        <v>20121</v>
      </c>
      <c r="H171" s="1">
        <v>10620121</v>
      </c>
      <c r="I171" s="1" t="s">
        <v>387</v>
      </c>
      <c r="J171" s="61">
        <v>17</v>
      </c>
      <c r="K171" s="61">
        <v>6.5</v>
      </c>
      <c r="L171" s="61">
        <v>9</v>
      </c>
      <c r="M171" s="69">
        <f t="shared" si="55"/>
        <v>1.105</v>
      </c>
      <c r="N171" s="69">
        <f t="shared" si="56"/>
        <v>1.53</v>
      </c>
      <c r="O171" s="56">
        <f>INDEX(Rate_Chart!$A$1:$AK$127,MATCH(Data!K171,Rate_Chart!$A$1:$A$127,0),MATCH(Data!L171,Rate_Chart!$A$1:$AK$1,0))</f>
        <v>54.274999999999999</v>
      </c>
      <c r="P171" s="57">
        <f t="shared" si="57"/>
        <v>922.67499999999995</v>
      </c>
      <c r="Q171" s="58">
        <f t="shared" si="58"/>
        <v>434.2</v>
      </c>
      <c r="R171" s="58">
        <f t="shared" si="59"/>
        <v>289.46666666666664</v>
      </c>
      <c r="S171" s="66">
        <f t="shared" si="54"/>
        <v>16.146812499999999</v>
      </c>
      <c r="T171" s="64">
        <f t="shared" si="60"/>
        <v>63.75</v>
      </c>
      <c r="U171" s="66">
        <f t="shared" si="61"/>
        <v>1002.5718125</v>
      </c>
      <c r="V171" s="68">
        <f t="shared" si="62"/>
        <v>58.974812499999999</v>
      </c>
      <c r="W171" s="68">
        <f t="shared" si="63"/>
        <v>471.79849999999999</v>
      </c>
      <c r="X171" s="68">
        <f t="shared" si="64"/>
        <v>314.53233333333333</v>
      </c>
      <c r="Z171" s="63"/>
      <c r="AA171" s="63"/>
    </row>
    <row r="172" spans="1:27" hidden="1" x14ac:dyDescent="0.25">
      <c r="A172" t="str">
        <f t="shared" si="52"/>
        <v>10620121C28/05/2026M</v>
      </c>
      <c r="B172" s="169" t="s">
        <v>828</v>
      </c>
      <c r="C172" s="61" t="s">
        <v>396</v>
      </c>
      <c r="D172" s="61" t="s">
        <v>591</v>
      </c>
      <c r="E172" s="61" t="s">
        <v>592</v>
      </c>
      <c r="F172" s="1" t="s">
        <v>811</v>
      </c>
      <c r="G172" s="62" t="str">
        <f t="shared" si="53"/>
        <v>20121</v>
      </c>
      <c r="H172" s="1">
        <v>10620121</v>
      </c>
      <c r="I172" s="1" t="s">
        <v>388</v>
      </c>
      <c r="J172" s="61">
        <v>58</v>
      </c>
      <c r="K172" s="61">
        <v>3.8</v>
      </c>
      <c r="L172" s="61">
        <v>8</v>
      </c>
      <c r="M172" s="69">
        <f t="shared" si="55"/>
        <v>2.2039999999999997</v>
      </c>
      <c r="N172" s="69">
        <f t="shared" si="56"/>
        <v>4.6399999999999997</v>
      </c>
      <c r="O172" s="56">
        <f>INDEX(Rate_Chart!$A$1:$AK$127,MATCH(Data!K172,Rate_Chart!$A$1:$A$127,0),MATCH(Data!L172,Rate_Chart!$A$1:$AK$1,0))</f>
        <v>38.087112000000005</v>
      </c>
      <c r="P172" s="57">
        <f t="shared" si="57"/>
        <v>2209.0524960000002</v>
      </c>
      <c r="Q172" s="58">
        <f t="shared" si="58"/>
        <v>417.01217518248177</v>
      </c>
      <c r="R172" s="58">
        <f t="shared" si="59"/>
        <v>278.00811678832116</v>
      </c>
      <c r="S172" s="66">
        <f t="shared" si="54"/>
        <v>38.658418680000011</v>
      </c>
      <c r="T172" s="64">
        <f t="shared" si="60"/>
        <v>217.5</v>
      </c>
      <c r="U172" s="66">
        <f t="shared" si="61"/>
        <v>2465.2109146800003</v>
      </c>
      <c r="V172" s="68">
        <f t="shared" si="62"/>
        <v>42.503636460000003</v>
      </c>
      <c r="W172" s="68">
        <f t="shared" si="63"/>
        <v>465.36828240875911</v>
      </c>
      <c r="X172" s="68">
        <f t="shared" si="64"/>
        <v>310.24552160583943</v>
      </c>
      <c r="Z172" s="63"/>
      <c r="AA172" s="63"/>
    </row>
    <row r="173" spans="1:27" hidden="1" x14ac:dyDescent="0.25">
      <c r="A173" t="str">
        <f t="shared" si="52"/>
        <v>10620121C22/05/2026E</v>
      </c>
      <c r="B173" s="169" t="s">
        <v>828</v>
      </c>
      <c r="C173" s="61" t="s">
        <v>397</v>
      </c>
      <c r="D173" s="61" t="s">
        <v>591</v>
      </c>
      <c r="E173" s="61" t="s">
        <v>592</v>
      </c>
      <c r="F173" s="1" t="s">
        <v>811</v>
      </c>
      <c r="G173" s="62" t="str">
        <f t="shared" si="53"/>
        <v>20121</v>
      </c>
      <c r="H173" s="1">
        <v>10620121</v>
      </c>
      <c r="I173" s="1" t="s">
        <v>388</v>
      </c>
      <c r="J173" s="61">
        <v>72</v>
      </c>
      <c r="K173" s="61">
        <v>3</v>
      </c>
      <c r="L173" s="61">
        <v>8</v>
      </c>
      <c r="M173" s="69">
        <f t="shared" si="55"/>
        <v>2.16</v>
      </c>
      <c r="N173" s="69">
        <f t="shared" si="56"/>
        <v>5.76</v>
      </c>
      <c r="O173" s="56">
        <f>INDEX(Rate_Chart!$A$1:$AK$127,MATCH(Data!K173,Rate_Chart!$A$1:$A$127,0),MATCH(Data!L173,Rate_Chart!$A$1:$AK$1,0))</f>
        <v>34.751112000000006</v>
      </c>
      <c r="P173" s="57">
        <f t="shared" si="57"/>
        <v>2502.0800640000007</v>
      </c>
      <c r="Q173" s="58">
        <f t="shared" si="58"/>
        <v>417.01334400000002</v>
      </c>
      <c r="R173" s="58">
        <f t="shared" si="59"/>
        <v>278.00889599999999</v>
      </c>
      <c r="S173" s="66">
        <f t="shared" si="54"/>
        <v>43.786401120000015</v>
      </c>
      <c r="T173" s="64">
        <f t="shared" si="60"/>
        <v>270</v>
      </c>
      <c r="U173" s="66">
        <f t="shared" si="61"/>
        <v>2815.8664651200006</v>
      </c>
      <c r="V173" s="68">
        <f t="shared" si="62"/>
        <v>39.109256460000012</v>
      </c>
      <c r="W173" s="68">
        <f t="shared" si="63"/>
        <v>469.31107752000008</v>
      </c>
      <c r="X173" s="68">
        <f t="shared" si="64"/>
        <v>312.87405168000004</v>
      </c>
      <c r="Z173" s="63"/>
      <c r="AA173" s="63"/>
    </row>
    <row r="174" spans="1:27" hidden="1" x14ac:dyDescent="0.25">
      <c r="A174" t="str">
        <f t="shared" si="52"/>
        <v>10620122C23/05/2026M</v>
      </c>
      <c r="B174" s="169" t="s">
        <v>822</v>
      </c>
      <c r="C174" s="61" t="s">
        <v>396</v>
      </c>
      <c r="D174" s="61" t="s">
        <v>591</v>
      </c>
      <c r="E174" s="61" t="s">
        <v>594</v>
      </c>
      <c r="F174" s="1" t="s">
        <v>801</v>
      </c>
      <c r="G174" s="62" t="str">
        <f t="shared" si="53"/>
        <v>20122</v>
      </c>
      <c r="H174" s="1">
        <v>10620122</v>
      </c>
      <c r="I174" s="1" t="s">
        <v>388</v>
      </c>
      <c r="J174" s="61">
        <v>20</v>
      </c>
      <c r="K174" s="61">
        <v>3</v>
      </c>
      <c r="L174" s="61">
        <v>8</v>
      </c>
      <c r="M174" s="69">
        <f t="shared" si="55"/>
        <v>0.6</v>
      </c>
      <c r="N174" s="69">
        <f t="shared" si="56"/>
        <v>1.6</v>
      </c>
      <c r="O174" s="56">
        <v>33.001056000000005</v>
      </c>
      <c r="P174" s="57">
        <f t="shared" si="57"/>
        <v>660.02112000000011</v>
      </c>
      <c r="Q174" s="58">
        <f t="shared" si="58"/>
        <v>396.01267200000001</v>
      </c>
      <c r="R174" s="58">
        <f t="shared" si="59"/>
        <v>264.00844799999999</v>
      </c>
      <c r="S174" s="66">
        <f t="shared" si="54"/>
        <v>11.550369600000003</v>
      </c>
      <c r="T174" s="64">
        <f t="shared" si="60"/>
        <v>75</v>
      </c>
      <c r="U174" s="66">
        <f t="shared" si="61"/>
        <v>746.57148960000018</v>
      </c>
      <c r="V174" s="68">
        <f t="shared" si="62"/>
        <v>37.328574480000007</v>
      </c>
      <c r="W174" s="68">
        <f t="shared" si="63"/>
        <v>447.94289376000006</v>
      </c>
      <c r="X174" s="68">
        <f t="shared" si="64"/>
        <v>298.62859584000006</v>
      </c>
      <c r="Z174" s="63"/>
      <c r="AA174" s="63"/>
    </row>
    <row r="175" spans="1:27" hidden="1" x14ac:dyDescent="0.25">
      <c r="A175" t="str">
        <f t="shared" si="52"/>
        <v>10620122C24/05/2026M</v>
      </c>
      <c r="B175" s="169" t="s">
        <v>823</v>
      </c>
      <c r="C175" s="61" t="s">
        <v>396</v>
      </c>
      <c r="D175" s="61" t="s">
        <v>591</v>
      </c>
      <c r="E175" s="61" t="s">
        <v>594</v>
      </c>
      <c r="F175" s="1" t="s">
        <v>801</v>
      </c>
      <c r="G175" s="62" t="str">
        <f t="shared" si="53"/>
        <v>20122</v>
      </c>
      <c r="H175" s="1">
        <v>10620122</v>
      </c>
      <c r="I175" s="1" t="s">
        <v>388</v>
      </c>
      <c r="J175" s="61">
        <v>17</v>
      </c>
      <c r="K175" s="61">
        <v>3</v>
      </c>
      <c r="L175" s="61">
        <v>8</v>
      </c>
      <c r="M175" s="69">
        <f t="shared" si="55"/>
        <v>0.51</v>
      </c>
      <c r="N175" s="69">
        <f t="shared" si="56"/>
        <v>1.36</v>
      </c>
      <c r="O175" s="56">
        <v>33.001056000000005</v>
      </c>
      <c r="P175" s="57">
        <f t="shared" si="57"/>
        <v>561.01795200000015</v>
      </c>
      <c r="Q175" s="58">
        <f t="shared" si="58"/>
        <v>396.01267200000001</v>
      </c>
      <c r="R175" s="58">
        <f t="shared" si="59"/>
        <v>264.00844799999999</v>
      </c>
      <c r="S175" s="66">
        <f t="shared" si="54"/>
        <v>9.8178141600000028</v>
      </c>
      <c r="T175" s="64">
        <f t="shared" si="60"/>
        <v>63.75</v>
      </c>
      <c r="U175" s="66">
        <f t="shared" si="61"/>
        <v>634.58576616000016</v>
      </c>
      <c r="V175" s="68">
        <f t="shared" si="62"/>
        <v>37.328574480000007</v>
      </c>
      <c r="W175" s="68">
        <f t="shared" si="63"/>
        <v>447.94289376000006</v>
      </c>
      <c r="X175" s="68">
        <f t="shared" si="64"/>
        <v>298.62859584000006</v>
      </c>
      <c r="Z175" s="63"/>
      <c r="AA175" s="63"/>
    </row>
    <row r="176" spans="1:27" hidden="1" x14ac:dyDescent="0.25">
      <c r="A176" t="str">
        <f t="shared" si="52"/>
        <v>10620122C25/05/2026M</v>
      </c>
      <c r="B176" s="169" t="s">
        <v>824</v>
      </c>
      <c r="C176" s="61" t="s">
        <v>396</v>
      </c>
      <c r="D176" s="61" t="s">
        <v>591</v>
      </c>
      <c r="E176" s="61" t="s">
        <v>594</v>
      </c>
      <c r="F176" s="1" t="s">
        <v>801</v>
      </c>
      <c r="G176" s="62" t="str">
        <f t="shared" si="53"/>
        <v>20122</v>
      </c>
      <c r="H176" s="1">
        <v>10620122</v>
      </c>
      <c r="I176" s="1" t="s">
        <v>388</v>
      </c>
      <c r="J176" s="61">
        <v>17</v>
      </c>
      <c r="K176" s="61">
        <v>3</v>
      </c>
      <c r="L176" s="61">
        <v>8</v>
      </c>
      <c r="M176" s="69">
        <f t="shared" si="55"/>
        <v>0.51</v>
      </c>
      <c r="N176" s="69">
        <f t="shared" si="56"/>
        <v>1.36</v>
      </c>
      <c r="O176" s="56">
        <v>33.001056000000005</v>
      </c>
      <c r="P176" s="57">
        <f t="shared" si="57"/>
        <v>561.01795200000015</v>
      </c>
      <c r="Q176" s="58">
        <f t="shared" si="58"/>
        <v>396.01267200000001</v>
      </c>
      <c r="R176" s="58">
        <f t="shared" si="59"/>
        <v>264.00844799999999</v>
      </c>
      <c r="S176" s="66">
        <f t="shared" si="54"/>
        <v>9.8178141600000028</v>
      </c>
      <c r="T176" s="64">
        <f t="shared" si="60"/>
        <v>63.75</v>
      </c>
      <c r="U176" s="66">
        <f t="shared" si="61"/>
        <v>634.58576616000016</v>
      </c>
      <c r="V176" s="68">
        <f t="shared" si="62"/>
        <v>37.328574480000007</v>
      </c>
      <c r="W176" s="68">
        <f t="shared" si="63"/>
        <v>447.94289376000006</v>
      </c>
      <c r="X176" s="68">
        <f t="shared" si="64"/>
        <v>298.62859584000006</v>
      </c>
      <c r="Z176" s="63"/>
      <c r="AA176" s="63"/>
    </row>
    <row r="177" spans="1:27" hidden="1" x14ac:dyDescent="0.25">
      <c r="A177" t="str">
        <f t="shared" si="52"/>
        <v>10620122C26/05/2026M</v>
      </c>
      <c r="B177" s="169" t="s">
        <v>825</v>
      </c>
      <c r="C177" s="61" t="s">
        <v>396</v>
      </c>
      <c r="D177" s="61" t="s">
        <v>591</v>
      </c>
      <c r="E177" s="61" t="s">
        <v>594</v>
      </c>
      <c r="F177" s="1" t="s">
        <v>801</v>
      </c>
      <c r="G177" s="62" t="str">
        <f t="shared" si="53"/>
        <v>20122</v>
      </c>
      <c r="H177" s="1">
        <v>10620122</v>
      </c>
      <c r="I177" s="1" t="s">
        <v>388</v>
      </c>
      <c r="J177" s="61">
        <v>18</v>
      </c>
      <c r="K177" s="61">
        <v>3</v>
      </c>
      <c r="L177" s="61">
        <v>8</v>
      </c>
      <c r="M177" s="69">
        <f t="shared" si="55"/>
        <v>0.54</v>
      </c>
      <c r="N177" s="69">
        <f t="shared" si="56"/>
        <v>1.44</v>
      </c>
      <c r="O177" s="56">
        <v>33.001056000000005</v>
      </c>
      <c r="P177" s="57">
        <f t="shared" si="57"/>
        <v>594.0190080000001</v>
      </c>
      <c r="Q177" s="58">
        <f t="shared" si="58"/>
        <v>396.01267200000001</v>
      </c>
      <c r="R177" s="58">
        <f t="shared" si="59"/>
        <v>264.00844799999999</v>
      </c>
      <c r="S177" s="66">
        <f t="shared" si="54"/>
        <v>10.395332640000003</v>
      </c>
      <c r="T177" s="64">
        <f t="shared" si="60"/>
        <v>67.5</v>
      </c>
      <c r="U177" s="66">
        <f t="shared" si="61"/>
        <v>671.91434064000009</v>
      </c>
      <c r="V177" s="68">
        <f t="shared" si="62"/>
        <v>37.328574480000007</v>
      </c>
      <c r="W177" s="68">
        <f t="shared" si="63"/>
        <v>447.94289376000006</v>
      </c>
      <c r="X177" s="68">
        <f t="shared" si="64"/>
        <v>298.62859584000006</v>
      </c>
      <c r="Z177" s="63"/>
      <c r="AA177" s="63"/>
    </row>
    <row r="178" spans="1:27" hidden="1" x14ac:dyDescent="0.25">
      <c r="A178" t="str">
        <f t="shared" si="52"/>
        <v>10620122C27/05/2026M</v>
      </c>
      <c r="B178" s="169" t="s">
        <v>826</v>
      </c>
      <c r="C178" s="61" t="s">
        <v>396</v>
      </c>
      <c r="D178" s="61" t="s">
        <v>591</v>
      </c>
      <c r="E178" s="61" t="s">
        <v>594</v>
      </c>
      <c r="F178" s="1" t="s">
        <v>801</v>
      </c>
      <c r="G178" s="62" t="str">
        <f t="shared" si="53"/>
        <v>20122</v>
      </c>
      <c r="H178" s="1">
        <v>10620122</v>
      </c>
      <c r="I178" s="1" t="s">
        <v>388</v>
      </c>
      <c r="J178" s="61">
        <v>17</v>
      </c>
      <c r="K178" s="61">
        <v>3</v>
      </c>
      <c r="L178" s="61">
        <v>8</v>
      </c>
      <c r="M178" s="69">
        <f t="shared" si="55"/>
        <v>0.51</v>
      </c>
      <c r="N178" s="69">
        <f t="shared" si="56"/>
        <v>1.36</v>
      </c>
      <c r="O178" s="56">
        <f>INDEX(Rate_Chart!$A$1:$AK$127,MATCH(Data!K178,Rate_Chart!$A$1:$A$127,0),MATCH(Data!L178,Rate_Chart!$A$1:$AK$1,0))</f>
        <v>34.751112000000006</v>
      </c>
      <c r="P178" s="57">
        <f t="shared" si="57"/>
        <v>590.76890400000013</v>
      </c>
      <c r="Q178" s="58">
        <f t="shared" si="58"/>
        <v>417.01334400000002</v>
      </c>
      <c r="R178" s="58">
        <f t="shared" si="59"/>
        <v>278.00889599999999</v>
      </c>
      <c r="S178" s="66">
        <f t="shared" si="54"/>
        <v>10.338455820000004</v>
      </c>
      <c r="T178" s="64">
        <f t="shared" si="60"/>
        <v>63.75</v>
      </c>
      <c r="U178" s="66">
        <f t="shared" si="61"/>
        <v>664.85735982000017</v>
      </c>
      <c r="V178" s="68">
        <f t="shared" si="62"/>
        <v>39.109256460000012</v>
      </c>
      <c r="W178" s="68">
        <f t="shared" si="63"/>
        <v>469.31107752000008</v>
      </c>
      <c r="X178" s="68">
        <f t="shared" si="64"/>
        <v>312.87405168000004</v>
      </c>
      <c r="Z178" s="63"/>
      <c r="AA178" s="63"/>
    </row>
    <row r="179" spans="1:27" hidden="1" x14ac:dyDescent="0.25">
      <c r="A179" t="str">
        <f t="shared" si="52"/>
        <v>10620122C28/05/2026M</v>
      </c>
      <c r="B179" s="169" t="s">
        <v>827</v>
      </c>
      <c r="C179" s="61" t="s">
        <v>396</v>
      </c>
      <c r="D179" s="61" t="s">
        <v>591</v>
      </c>
      <c r="E179" s="61" t="s">
        <v>594</v>
      </c>
      <c r="F179" s="1" t="s">
        <v>801</v>
      </c>
      <c r="G179" s="62" t="str">
        <f t="shared" si="53"/>
        <v>20122</v>
      </c>
      <c r="H179" s="1">
        <v>10620122</v>
      </c>
      <c r="I179" s="1" t="s">
        <v>388</v>
      </c>
      <c r="J179" s="61">
        <v>19</v>
      </c>
      <c r="K179" s="61">
        <v>3</v>
      </c>
      <c r="L179" s="61">
        <v>8</v>
      </c>
      <c r="M179" s="69">
        <f t="shared" si="55"/>
        <v>0.56999999999999995</v>
      </c>
      <c r="N179" s="69">
        <f t="shared" si="56"/>
        <v>1.52</v>
      </c>
      <c r="O179" s="56">
        <f>INDEX(Rate_Chart!$A$1:$AK$127,MATCH(Data!K179,Rate_Chart!$A$1:$A$127,0),MATCH(Data!L179,Rate_Chart!$A$1:$AK$1,0))</f>
        <v>34.751112000000006</v>
      </c>
      <c r="P179" s="57">
        <f t="shared" si="57"/>
        <v>660.27112800000009</v>
      </c>
      <c r="Q179" s="58">
        <f t="shared" si="58"/>
        <v>417.01334400000002</v>
      </c>
      <c r="R179" s="58">
        <f t="shared" si="59"/>
        <v>278.00889599999999</v>
      </c>
      <c r="S179" s="66">
        <f t="shared" si="54"/>
        <v>11.554744740000002</v>
      </c>
      <c r="T179" s="64">
        <f t="shared" si="60"/>
        <v>71.25</v>
      </c>
      <c r="U179" s="66">
        <f t="shared" si="61"/>
        <v>743.07587274000014</v>
      </c>
      <c r="V179" s="68">
        <f t="shared" si="62"/>
        <v>39.109256460000005</v>
      </c>
      <c r="W179" s="68">
        <f t="shared" si="63"/>
        <v>469.31107752000003</v>
      </c>
      <c r="X179" s="68">
        <f t="shared" si="64"/>
        <v>312.87405168000004</v>
      </c>
      <c r="Z179" s="63"/>
      <c r="AA179" s="63"/>
    </row>
    <row r="180" spans="1:27" hidden="1" x14ac:dyDescent="0.25">
      <c r="A180" t="str">
        <f t="shared" si="52"/>
        <v>10620122C22/05/2026M</v>
      </c>
      <c r="B180" s="169" t="s">
        <v>828</v>
      </c>
      <c r="C180" s="61" t="s">
        <v>396</v>
      </c>
      <c r="D180" s="61" t="s">
        <v>591</v>
      </c>
      <c r="E180" s="61" t="s">
        <v>594</v>
      </c>
      <c r="F180" s="1" t="s">
        <v>801</v>
      </c>
      <c r="G180" s="62" t="str">
        <f t="shared" si="53"/>
        <v>20122</v>
      </c>
      <c r="H180" s="1">
        <v>10620122</v>
      </c>
      <c r="I180" s="1" t="s">
        <v>388</v>
      </c>
      <c r="J180" s="61">
        <v>16</v>
      </c>
      <c r="K180" s="61">
        <v>3</v>
      </c>
      <c r="L180" s="61">
        <v>8</v>
      </c>
      <c r="M180" s="69">
        <f t="shared" si="55"/>
        <v>0.48</v>
      </c>
      <c r="N180" s="69">
        <f t="shared" si="56"/>
        <v>1.28</v>
      </c>
      <c r="O180" s="56">
        <f>INDEX(Rate_Chart!$A$1:$AK$127,MATCH(Data!K180,Rate_Chart!$A$1:$A$127,0),MATCH(Data!L180,Rate_Chart!$A$1:$AK$1,0))</f>
        <v>34.751112000000006</v>
      </c>
      <c r="P180" s="57">
        <f t="shared" si="57"/>
        <v>556.0177920000001</v>
      </c>
      <c r="Q180" s="58">
        <f t="shared" si="58"/>
        <v>417.01334400000002</v>
      </c>
      <c r="R180" s="58">
        <f t="shared" si="59"/>
        <v>278.00889599999999</v>
      </c>
      <c r="S180" s="66">
        <f t="shared" si="54"/>
        <v>9.7303113600000035</v>
      </c>
      <c r="T180" s="64">
        <f t="shared" si="60"/>
        <v>60</v>
      </c>
      <c r="U180" s="66">
        <f t="shared" si="61"/>
        <v>625.74810336000007</v>
      </c>
      <c r="V180" s="68">
        <f t="shared" si="62"/>
        <v>39.109256460000005</v>
      </c>
      <c r="W180" s="68">
        <f t="shared" si="63"/>
        <v>469.31107752000003</v>
      </c>
      <c r="X180" s="68">
        <f t="shared" si="64"/>
        <v>312.87405168000004</v>
      </c>
      <c r="Z180" s="63"/>
      <c r="AA180" s="63"/>
    </row>
    <row r="181" spans="1:27" hidden="1" x14ac:dyDescent="0.25">
      <c r="A181" t="str">
        <f t="shared" si="52"/>
        <v>10620123C22/05/2026M</v>
      </c>
      <c r="B181" s="169" t="s">
        <v>822</v>
      </c>
      <c r="C181" s="61" t="s">
        <v>396</v>
      </c>
      <c r="D181" s="61" t="s">
        <v>591</v>
      </c>
      <c r="E181" s="61" t="s">
        <v>593</v>
      </c>
      <c r="F181" s="1" t="s">
        <v>815</v>
      </c>
      <c r="G181" s="62" t="str">
        <f t="shared" si="53"/>
        <v>20123</v>
      </c>
      <c r="H181" s="1">
        <v>10620123</v>
      </c>
      <c r="I181" s="1" t="s">
        <v>388</v>
      </c>
      <c r="J181" s="61">
        <v>18</v>
      </c>
      <c r="K181" s="61">
        <v>4.5</v>
      </c>
      <c r="L181" s="61">
        <v>8</v>
      </c>
      <c r="M181" s="69">
        <f t="shared" si="55"/>
        <v>0.81</v>
      </c>
      <c r="N181" s="69">
        <f t="shared" si="56"/>
        <v>1.44</v>
      </c>
      <c r="O181" s="56">
        <v>38.941056000000003</v>
      </c>
      <c r="P181" s="57">
        <f t="shared" si="57"/>
        <v>700.93900800000006</v>
      </c>
      <c r="Q181" s="58">
        <f t="shared" si="58"/>
        <v>396.01073898305089</v>
      </c>
      <c r="R181" s="58">
        <f t="shared" si="59"/>
        <v>264.00715932203394</v>
      </c>
      <c r="S181" s="66">
        <f t="shared" si="54"/>
        <v>12.266432640000001</v>
      </c>
      <c r="T181" s="64">
        <f t="shared" si="60"/>
        <v>67.5</v>
      </c>
      <c r="U181" s="66">
        <f t="shared" si="61"/>
        <v>780.70544064000001</v>
      </c>
      <c r="V181" s="68">
        <f t="shared" si="62"/>
        <v>43.372524480000003</v>
      </c>
      <c r="W181" s="68">
        <f t="shared" si="63"/>
        <v>441.07652013559328</v>
      </c>
      <c r="X181" s="68">
        <f t="shared" si="64"/>
        <v>294.05101342372888</v>
      </c>
      <c r="Z181" s="63"/>
      <c r="AA181" s="63"/>
    </row>
    <row r="182" spans="1:27" hidden="1" x14ac:dyDescent="0.25">
      <c r="A182" t="str">
        <f t="shared" si="52"/>
        <v>10620123C23/05/2026E</v>
      </c>
      <c r="B182" s="169" t="s">
        <v>822</v>
      </c>
      <c r="C182" s="61" t="s">
        <v>397</v>
      </c>
      <c r="D182" s="61" t="s">
        <v>591</v>
      </c>
      <c r="E182" s="61" t="s">
        <v>593</v>
      </c>
      <c r="F182" s="1" t="s">
        <v>815</v>
      </c>
      <c r="G182" s="62" t="str">
        <f t="shared" si="53"/>
        <v>20123</v>
      </c>
      <c r="H182" s="1">
        <v>10620123</v>
      </c>
      <c r="I182" s="1" t="s">
        <v>388</v>
      </c>
      <c r="J182" s="61">
        <v>9</v>
      </c>
      <c r="K182" s="61">
        <v>3.1</v>
      </c>
      <c r="L182" s="61">
        <v>8</v>
      </c>
      <c r="M182" s="69">
        <f t="shared" si="55"/>
        <v>0.27900000000000003</v>
      </c>
      <c r="N182" s="69">
        <f t="shared" si="56"/>
        <v>0.72</v>
      </c>
      <c r="O182" s="56">
        <v>33.397056000000006</v>
      </c>
      <c r="P182" s="57">
        <f t="shared" si="57"/>
        <v>300.57350400000007</v>
      </c>
      <c r="Q182" s="58">
        <f t="shared" si="58"/>
        <v>396.01252173913048</v>
      </c>
      <c r="R182" s="58">
        <f t="shared" si="59"/>
        <v>264.008347826087</v>
      </c>
      <c r="S182" s="66">
        <f t="shared" si="54"/>
        <v>5.260036320000002</v>
      </c>
      <c r="T182" s="64">
        <f t="shared" si="60"/>
        <v>33.75</v>
      </c>
      <c r="U182" s="66">
        <f t="shared" si="61"/>
        <v>339.58354032000005</v>
      </c>
      <c r="V182" s="68">
        <f t="shared" si="62"/>
        <v>37.731504480000005</v>
      </c>
      <c r="W182" s="68">
        <f t="shared" si="63"/>
        <v>447.40914403162054</v>
      </c>
      <c r="X182" s="68">
        <f t="shared" si="64"/>
        <v>298.27276268774705</v>
      </c>
      <c r="Z182" s="63"/>
      <c r="AA182" s="63"/>
    </row>
    <row r="183" spans="1:27" hidden="1" x14ac:dyDescent="0.25">
      <c r="A183" t="str">
        <f t="shared" si="52"/>
        <v>10620123C23/05/2026M</v>
      </c>
      <c r="B183" s="169" t="s">
        <v>823</v>
      </c>
      <c r="C183" s="61" t="s">
        <v>396</v>
      </c>
      <c r="D183" s="61" t="s">
        <v>591</v>
      </c>
      <c r="E183" s="61" t="s">
        <v>593</v>
      </c>
      <c r="F183" s="1" t="s">
        <v>815</v>
      </c>
      <c r="G183" s="62" t="str">
        <f t="shared" si="53"/>
        <v>20123</v>
      </c>
      <c r="H183" s="1">
        <v>10620123</v>
      </c>
      <c r="I183" s="1" t="s">
        <v>388</v>
      </c>
      <c r="J183" s="61">
        <v>17</v>
      </c>
      <c r="K183" s="61">
        <v>3.7</v>
      </c>
      <c r="L183" s="61">
        <v>8</v>
      </c>
      <c r="M183" s="69">
        <f t="shared" si="55"/>
        <v>0.629</v>
      </c>
      <c r="N183" s="69">
        <f t="shared" si="56"/>
        <v>1.36</v>
      </c>
      <c r="O183" s="56">
        <v>35.773056000000004</v>
      </c>
      <c r="P183" s="57">
        <f t="shared" si="57"/>
        <v>608.14195200000006</v>
      </c>
      <c r="Q183" s="58">
        <f t="shared" si="58"/>
        <v>396.01169003690035</v>
      </c>
      <c r="R183" s="58">
        <f t="shared" si="59"/>
        <v>264.00779335793356</v>
      </c>
      <c r="S183" s="66">
        <f t="shared" si="54"/>
        <v>10.642484160000002</v>
      </c>
      <c r="T183" s="64">
        <f t="shared" si="60"/>
        <v>63.75</v>
      </c>
      <c r="U183" s="66">
        <f t="shared" si="61"/>
        <v>682.53443616000004</v>
      </c>
      <c r="V183" s="68">
        <f t="shared" si="62"/>
        <v>40.149084479999999</v>
      </c>
      <c r="W183" s="68">
        <f t="shared" si="63"/>
        <v>444.45480974169732</v>
      </c>
      <c r="X183" s="68">
        <f t="shared" si="64"/>
        <v>296.30320649446486</v>
      </c>
      <c r="Z183" s="63"/>
      <c r="AA183" s="63"/>
    </row>
    <row r="184" spans="1:27" hidden="1" x14ac:dyDescent="0.25">
      <c r="A184" t="str">
        <f t="shared" si="52"/>
        <v>10620123C24/05/2026E</v>
      </c>
      <c r="B184" s="169" t="s">
        <v>823</v>
      </c>
      <c r="C184" s="61" t="s">
        <v>397</v>
      </c>
      <c r="D184" s="61" t="s">
        <v>591</v>
      </c>
      <c r="E184" s="61" t="s">
        <v>593</v>
      </c>
      <c r="F184" s="1" t="s">
        <v>815</v>
      </c>
      <c r="G184" s="62" t="str">
        <f t="shared" si="53"/>
        <v>20123</v>
      </c>
      <c r="H184" s="1">
        <v>10620123</v>
      </c>
      <c r="I184" s="1" t="s">
        <v>388</v>
      </c>
      <c r="J184" s="61">
        <v>10</v>
      </c>
      <c r="K184" s="61">
        <v>3</v>
      </c>
      <c r="L184" s="61">
        <v>8</v>
      </c>
      <c r="M184" s="69">
        <f t="shared" si="55"/>
        <v>0.3</v>
      </c>
      <c r="N184" s="69">
        <f t="shared" si="56"/>
        <v>0.8</v>
      </c>
      <c r="O184" s="56">
        <v>33.001056000000005</v>
      </c>
      <c r="P184" s="57">
        <f t="shared" si="57"/>
        <v>330.01056000000005</v>
      </c>
      <c r="Q184" s="58">
        <f t="shared" si="58"/>
        <v>396.01267200000001</v>
      </c>
      <c r="R184" s="58">
        <f t="shared" si="59"/>
        <v>264.00844799999999</v>
      </c>
      <c r="S184" s="66">
        <f t="shared" si="54"/>
        <v>5.7751848000000017</v>
      </c>
      <c r="T184" s="64">
        <f t="shared" si="60"/>
        <v>37.5</v>
      </c>
      <c r="U184" s="66">
        <f t="shared" si="61"/>
        <v>373.28574480000009</v>
      </c>
      <c r="V184" s="68">
        <f t="shared" si="62"/>
        <v>37.328574480000007</v>
      </c>
      <c r="W184" s="68">
        <f t="shared" si="63"/>
        <v>447.94289376000006</v>
      </c>
      <c r="X184" s="68">
        <f t="shared" si="64"/>
        <v>298.62859584000006</v>
      </c>
      <c r="Z184" s="63"/>
      <c r="AA184" s="63"/>
    </row>
    <row r="185" spans="1:27" hidden="1" x14ac:dyDescent="0.25">
      <c r="A185" t="str">
        <f t="shared" si="52"/>
        <v>10620123C24/05/2026M</v>
      </c>
      <c r="B185" s="169" t="s">
        <v>824</v>
      </c>
      <c r="C185" s="61" t="s">
        <v>396</v>
      </c>
      <c r="D185" s="61" t="s">
        <v>591</v>
      </c>
      <c r="E185" s="61" t="s">
        <v>593</v>
      </c>
      <c r="F185" s="1" t="s">
        <v>815</v>
      </c>
      <c r="G185" s="62" t="str">
        <f t="shared" si="53"/>
        <v>20123</v>
      </c>
      <c r="H185" s="1">
        <v>10620123</v>
      </c>
      <c r="I185" s="1" t="s">
        <v>388</v>
      </c>
      <c r="J185" s="61">
        <v>16</v>
      </c>
      <c r="K185" s="61">
        <v>3.6</v>
      </c>
      <c r="L185" s="61">
        <v>8</v>
      </c>
      <c r="M185" s="69">
        <f t="shared" si="55"/>
        <v>0.57600000000000007</v>
      </c>
      <c r="N185" s="69">
        <f t="shared" si="56"/>
        <v>1.28</v>
      </c>
      <c r="O185" s="56">
        <v>35.377056000000003</v>
      </c>
      <c r="P185" s="57">
        <f t="shared" si="57"/>
        <v>566.03289600000005</v>
      </c>
      <c r="Q185" s="58">
        <f t="shared" si="58"/>
        <v>396.01182089552236</v>
      </c>
      <c r="R185" s="58">
        <f t="shared" si="59"/>
        <v>264.00788059701489</v>
      </c>
      <c r="S185" s="66">
        <f t="shared" si="54"/>
        <v>9.9055756800000019</v>
      </c>
      <c r="T185" s="64">
        <f t="shared" si="60"/>
        <v>60</v>
      </c>
      <c r="U185" s="66">
        <f t="shared" si="61"/>
        <v>635.93847168000002</v>
      </c>
      <c r="V185" s="68">
        <f t="shared" si="62"/>
        <v>39.746154480000001</v>
      </c>
      <c r="W185" s="68">
        <f t="shared" si="63"/>
        <v>444.91963970149249</v>
      </c>
      <c r="X185" s="68">
        <f t="shared" si="64"/>
        <v>296.61309313432832</v>
      </c>
      <c r="Z185" s="63"/>
      <c r="AA185" s="63"/>
    </row>
    <row r="186" spans="1:27" hidden="1" x14ac:dyDescent="0.25">
      <c r="A186" t="str">
        <f t="shared" si="52"/>
        <v>10620123C25/05/2026E</v>
      </c>
      <c r="B186" s="169" t="s">
        <v>824</v>
      </c>
      <c r="C186" s="61" t="s">
        <v>397</v>
      </c>
      <c r="D186" s="61" t="s">
        <v>591</v>
      </c>
      <c r="E186" s="61" t="s">
        <v>593</v>
      </c>
      <c r="F186" s="1" t="s">
        <v>815</v>
      </c>
      <c r="G186" s="62" t="str">
        <f t="shared" si="53"/>
        <v>20123</v>
      </c>
      <c r="H186" s="1">
        <v>10620123</v>
      </c>
      <c r="I186" s="1" t="s">
        <v>388</v>
      </c>
      <c r="J186" s="61">
        <v>11</v>
      </c>
      <c r="K186" s="61">
        <v>3.6</v>
      </c>
      <c r="L186" s="61">
        <v>8.1</v>
      </c>
      <c r="M186" s="69">
        <f t="shared" si="55"/>
        <v>0.39600000000000002</v>
      </c>
      <c r="N186" s="69">
        <f t="shared" si="56"/>
        <v>0.8909999999999999</v>
      </c>
      <c r="O186" s="56">
        <v>35.641069200000004</v>
      </c>
      <c r="P186" s="57">
        <f t="shared" si="57"/>
        <v>392.05176120000004</v>
      </c>
      <c r="Q186" s="58">
        <f t="shared" si="58"/>
        <v>396.01188000000008</v>
      </c>
      <c r="R186" s="58">
        <f t="shared" si="59"/>
        <v>264.00792000000007</v>
      </c>
      <c r="S186" s="66">
        <f t="shared" si="54"/>
        <v>6.8609058210000011</v>
      </c>
      <c r="T186" s="64">
        <f t="shared" si="60"/>
        <v>41.25</v>
      </c>
      <c r="U186" s="66">
        <f t="shared" si="61"/>
        <v>440.16266702100006</v>
      </c>
      <c r="V186" s="68">
        <f t="shared" si="62"/>
        <v>40.014787911000006</v>
      </c>
      <c r="W186" s="68">
        <f t="shared" si="63"/>
        <v>444.60875456666673</v>
      </c>
      <c r="X186" s="68">
        <f t="shared" si="64"/>
        <v>296.4058363777778</v>
      </c>
      <c r="Z186" s="63"/>
      <c r="AA186" s="63"/>
    </row>
    <row r="187" spans="1:27" hidden="1" x14ac:dyDescent="0.25">
      <c r="A187" t="str">
        <f t="shared" si="52"/>
        <v>10620123C25/05/2026M</v>
      </c>
      <c r="B187" s="169" t="s">
        <v>825</v>
      </c>
      <c r="C187" s="61" t="s">
        <v>396</v>
      </c>
      <c r="D187" s="61" t="s">
        <v>591</v>
      </c>
      <c r="E187" s="61" t="s">
        <v>593</v>
      </c>
      <c r="F187" s="1" t="s">
        <v>815</v>
      </c>
      <c r="G187" s="62" t="str">
        <f t="shared" si="53"/>
        <v>20123</v>
      </c>
      <c r="H187" s="1">
        <v>10620123</v>
      </c>
      <c r="I187" s="1" t="s">
        <v>388</v>
      </c>
      <c r="J187" s="61">
        <v>10</v>
      </c>
      <c r="K187" s="61">
        <v>3.7</v>
      </c>
      <c r="L187" s="61">
        <v>8</v>
      </c>
      <c r="M187" s="69">
        <f t="shared" si="55"/>
        <v>0.37</v>
      </c>
      <c r="N187" s="69">
        <f t="shared" si="56"/>
        <v>0.8</v>
      </c>
      <c r="O187" s="56">
        <v>35.773056000000004</v>
      </c>
      <c r="P187" s="57">
        <f t="shared" si="57"/>
        <v>357.73056000000003</v>
      </c>
      <c r="Q187" s="58">
        <f t="shared" si="58"/>
        <v>396.01169003690035</v>
      </c>
      <c r="R187" s="58">
        <f t="shared" si="59"/>
        <v>264.00779335793356</v>
      </c>
      <c r="S187" s="66">
        <f t="shared" si="54"/>
        <v>6.2602848000000009</v>
      </c>
      <c r="T187" s="64">
        <f t="shared" si="60"/>
        <v>37.5</v>
      </c>
      <c r="U187" s="66">
        <f t="shared" si="61"/>
        <v>401.49084480000005</v>
      </c>
      <c r="V187" s="68">
        <f t="shared" si="62"/>
        <v>40.149084480000006</v>
      </c>
      <c r="W187" s="68">
        <f t="shared" si="63"/>
        <v>444.45480974169743</v>
      </c>
      <c r="X187" s="68">
        <f t="shared" si="64"/>
        <v>296.30320649446497</v>
      </c>
      <c r="Z187" s="63"/>
      <c r="AA187" s="63"/>
    </row>
    <row r="188" spans="1:27" hidden="1" x14ac:dyDescent="0.25">
      <c r="A188" t="str">
        <f t="shared" si="52"/>
        <v>10620123C26/05/2026E</v>
      </c>
      <c r="B188" s="169" t="s">
        <v>825</v>
      </c>
      <c r="C188" s="61" t="s">
        <v>397</v>
      </c>
      <c r="D188" s="61" t="s">
        <v>591</v>
      </c>
      <c r="E188" s="61" t="s">
        <v>593</v>
      </c>
      <c r="F188" s="1" t="s">
        <v>815</v>
      </c>
      <c r="G188" s="62" t="str">
        <f t="shared" si="53"/>
        <v>20123</v>
      </c>
      <c r="H188" s="1">
        <v>10620123</v>
      </c>
      <c r="I188" s="1" t="s">
        <v>388</v>
      </c>
      <c r="J188" s="61">
        <v>9</v>
      </c>
      <c r="K188" s="61">
        <v>3.6</v>
      </c>
      <c r="L188" s="61">
        <v>8.1999999999999993</v>
      </c>
      <c r="M188" s="69">
        <f t="shared" si="55"/>
        <v>0.32400000000000001</v>
      </c>
      <c r="N188" s="69">
        <f t="shared" si="56"/>
        <v>0.73799999999999999</v>
      </c>
      <c r="O188" s="56">
        <v>35.905082400000005</v>
      </c>
      <c r="P188" s="57">
        <f t="shared" si="57"/>
        <v>323.14574160000006</v>
      </c>
      <c r="Q188" s="58">
        <f t="shared" si="58"/>
        <v>396.01193823529417</v>
      </c>
      <c r="R188" s="58">
        <f t="shared" si="59"/>
        <v>264.00795882352946</v>
      </c>
      <c r="S188" s="66">
        <f t="shared" si="54"/>
        <v>5.6550504780000015</v>
      </c>
      <c r="T188" s="64">
        <f t="shared" si="60"/>
        <v>33.75</v>
      </c>
      <c r="U188" s="66">
        <f t="shared" si="61"/>
        <v>362.55079207800009</v>
      </c>
      <c r="V188" s="68">
        <f t="shared" si="62"/>
        <v>40.283421342000011</v>
      </c>
      <c r="W188" s="68">
        <f t="shared" si="63"/>
        <v>444.3024412720589</v>
      </c>
      <c r="X188" s="68">
        <f t="shared" si="64"/>
        <v>296.20162751470593</v>
      </c>
      <c r="Z188" s="63"/>
      <c r="AA188" s="63"/>
    </row>
    <row r="189" spans="1:27" hidden="1" x14ac:dyDescent="0.25">
      <c r="A189" t="str">
        <f t="shared" si="52"/>
        <v>10620123C26/05/2026M</v>
      </c>
      <c r="B189" s="169" t="s">
        <v>826</v>
      </c>
      <c r="C189" s="61" t="s">
        <v>396</v>
      </c>
      <c r="D189" s="61" t="s">
        <v>591</v>
      </c>
      <c r="E189" s="61" t="s">
        <v>593</v>
      </c>
      <c r="F189" s="1" t="s">
        <v>815</v>
      </c>
      <c r="G189" s="62" t="str">
        <f t="shared" si="53"/>
        <v>20123</v>
      </c>
      <c r="H189" s="1">
        <v>10620123</v>
      </c>
      <c r="I189" s="1" t="s">
        <v>388</v>
      </c>
      <c r="J189" s="61">
        <v>13</v>
      </c>
      <c r="K189" s="61">
        <v>3.8</v>
      </c>
      <c r="L189" s="61">
        <v>8.3000000000000007</v>
      </c>
      <c r="M189" s="69">
        <f t="shared" si="55"/>
        <v>0.49399999999999999</v>
      </c>
      <c r="N189" s="69">
        <f t="shared" si="56"/>
        <v>1.079</v>
      </c>
      <c r="O189" s="56">
        <f>INDEX(Rate_Chart!$A$1:$AK$127,MATCH(Data!K189,Rate_Chart!$A$1:$A$127,0),MATCH(Data!L189,Rate_Chart!$A$1:$AK$1,0))</f>
        <v>38.921153700000005</v>
      </c>
      <c r="P189" s="57">
        <f t="shared" si="57"/>
        <v>505.97499810000005</v>
      </c>
      <c r="Q189" s="58">
        <f t="shared" si="58"/>
        <v>417.01236107142859</v>
      </c>
      <c r="R189" s="58">
        <f t="shared" si="59"/>
        <v>278.00824071428571</v>
      </c>
      <c r="S189" s="66">
        <f t="shared" si="54"/>
        <v>8.8545624667500018</v>
      </c>
      <c r="T189" s="64">
        <f t="shared" si="60"/>
        <v>48.75</v>
      </c>
      <c r="U189" s="66">
        <f t="shared" si="61"/>
        <v>563.57956056675005</v>
      </c>
      <c r="V189" s="68">
        <f t="shared" si="62"/>
        <v>43.352273889750002</v>
      </c>
      <c r="W189" s="68">
        <f t="shared" si="63"/>
        <v>464.48864881874999</v>
      </c>
      <c r="X189" s="68">
        <f t="shared" si="64"/>
        <v>309.6590992125</v>
      </c>
      <c r="Z189" s="63"/>
      <c r="AA189" s="63"/>
    </row>
    <row r="190" spans="1:27" hidden="1" x14ac:dyDescent="0.25">
      <c r="A190" t="str">
        <f t="shared" si="52"/>
        <v>10620123C27/05/2026E</v>
      </c>
      <c r="B190" s="169" t="s">
        <v>826</v>
      </c>
      <c r="C190" s="61" t="s">
        <v>397</v>
      </c>
      <c r="D190" s="61" t="s">
        <v>591</v>
      </c>
      <c r="E190" s="61" t="s">
        <v>593</v>
      </c>
      <c r="F190" s="1" t="s">
        <v>815</v>
      </c>
      <c r="G190" s="62" t="str">
        <f t="shared" si="53"/>
        <v>20123</v>
      </c>
      <c r="H190" s="1">
        <v>10620123</v>
      </c>
      <c r="I190" s="1" t="s">
        <v>388</v>
      </c>
      <c r="J190" s="61">
        <v>11</v>
      </c>
      <c r="K190" s="61">
        <v>3.4</v>
      </c>
      <c r="L190" s="61">
        <v>8</v>
      </c>
      <c r="M190" s="69">
        <f t="shared" si="55"/>
        <v>0.374</v>
      </c>
      <c r="N190" s="69">
        <f t="shared" si="56"/>
        <v>0.88</v>
      </c>
      <c r="O190" s="56">
        <f>INDEX(Rate_Chart!$A$1:$AK$127,MATCH(Data!K190,Rate_Chart!$A$1:$A$127,0),MATCH(Data!L190,Rate_Chart!$A$1:$AK$1,0))</f>
        <v>36.419112000000005</v>
      </c>
      <c r="P190" s="57">
        <f t="shared" si="57"/>
        <v>400.61023200000005</v>
      </c>
      <c r="Q190" s="58">
        <f t="shared" si="58"/>
        <v>417.01273282442747</v>
      </c>
      <c r="R190" s="58">
        <f t="shared" si="59"/>
        <v>278.00848854961833</v>
      </c>
      <c r="S190" s="66">
        <f t="shared" si="54"/>
        <v>7.010679060000002</v>
      </c>
      <c r="T190" s="64">
        <f t="shared" si="60"/>
        <v>41.25</v>
      </c>
      <c r="U190" s="66">
        <f t="shared" si="61"/>
        <v>448.87091106000003</v>
      </c>
      <c r="V190" s="68">
        <f t="shared" si="62"/>
        <v>40.806446460000004</v>
      </c>
      <c r="W190" s="68">
        <f t="shared" si="63"/>
        <v>467.24938694656487</v>
      </c>
      <c r="X190" s="68">
        <f t="shared" si="64"/>
        <v>311.49959129770991</v>
      </c>
      <c r="Z190" s="63"/>
      <c r="AA190" s="63"/>
    </row>
    <row r="191" spans="1:27" hidden="1" x14ac:dyDescent="0.25">
      <c r="A191" t="str">
        <f t="shared" si="52"/>
        <v>10620123C27/05/2026M</v>
      </c>
      <c r="B191" s="169" t="s">
        <v>827</v>
      </c>
      <c r="C191" s="61" t="s">
        <v>396</v>
      </c>
      <c r="D191" s="61" t="s">
        <v>591</v>
      </c>
      <c r="E191" s="61" t="s">
        <v>593</v>
      </c>
      <c r="F191" s="1" t="s">
        <v>815</v>
      </c>
      <c r="G191" s="62" t="str">
        <f t="shared" si="53"/>
        <v>20123</v>
      </c>
      <c r="H191" s="1">
        <v>10620123</v>
      </c>
      <c r="I191" s="1" t="s">
        <v>388</v>
      </c>
      <c r="J191" s="61">
        <v>15</v>
      </c>
      <c r="K191" s="61">
        <v>4.7</v>
      </c>
      <c r="L191" s="61">
        <v>8.3000000000000007</v>
      </c>
      <c r="M191" s="69">
        <f t="shared" si="55"/>
        <v>0.70499999999999996</v>
      </c>
      <c r="N191" s="69">
        <f t="shared" si="56"/>
        <v>1.2450000000000001</v>
      </c>
      <c r="O191" s="56">
        <f>INDEX(Rate_Chart!$A$1:$AK$127,MATCH(Data!K191,Rate_Chart!$A$1:$A$127,0),MATCH(Data!L191,Rate_Chart!$A$1:$AK$1,0))</f>
        <v>42.674153700000005</v>
      </c>
      <c r="P191" s="57">
        <f t="shared" si="57"/>
        <v>640.11230550000005</v>
      </c>
      <c r="Q191" s="58">
        <f t="shared" si="58"/>
        <v>417.01127394136813</v>
      </c>
      <c r="R191" s="58">
        <f t="shared" si="59"/>
        <v>278.00751596091209</v>
      </c>
      <c r="S191" s="66">
        <f t="shared" si="54"/>
        <v>11.201965346250002</v>
      </c>
      <c r="T191" s="64">
        <f t="shared" si="60"/>
        <v>56.25</v>
      </c>
      <c r="U191" s="66">
        <f t="shared" si="61"/>
        <v>707.56427084625011</v>
      </c>
      <c r="V191" s="68">
        <f t="shared" si="62"/>
        <v>47.170951389750009</v>
      </c>
      <c r="W191" s="68">
        <f t="shared" si="63"/>
        <v>460.95392237540727</v>
      </c>
      <c r="X191" s="68">
        <f t="shared" si="64"/>
        <v>307.30261491693818</v>
      </c>
      <c r="Z191" s="63"/>
      <c r="AA191" s="63"/>
    </row>
    <row r="192" spans="1:27" hidden="1" x14ac:dyDescent="0.25">
      <c r="A192" t="str">
        <f t="shared" si="52"/>
        <v>10620123C28/05/2026E</v>
      </c>
      <c r="B192" s="169" t="s">
        <v>827</v>
      </c>
      <c r="C192" s="61" t="s">
        <v>397</v>
      </c>
      <c r="D192" s="61" t="s">
        <v>591</v>
      </c>
      <c r="E192" s="61" t="s">
        <v>593</v>
      </c>
      <c r="F192" s="1" t="s">
        <v>815</v>
      </c>
      <c r="G192" s="62" t="str">
        <f t="shared" si="53"/>
        <v>20123</v>
      </c>
      <c r="H192" s="1">
        <v>10620123</v>
      </c>
      <c r="I192" s="1" t="s">
        <v>388</v>
      </c>
      <c r="J192" s="61">
        <v>7</v>
      </c>
      <c r="K192" s="61">
        <v>3.8</v>
      </c>
      <c r="L192" s="61">
        <v>8.1999999999999993</v>
      </c>
      <c r="M192" s="69">
        <f t="shared" si="55"/>
        <v>0.26599999999999996</v>
      </c>
      <c r="N192" s="69">
        <f t="shared" si="56"/>
        <v>0.57399999999999995</v>
      </c>
      <c r="O192" s="56">
        <f>INDEX(Rate_Chart!$A$1:$AK$127,MATCH(Data!K192,Rate_Chart!$A$1:$A$127,0),MATCH(Data!L192,Rate_Chart!$A$1:$AK$1,0))</f>
        <v>38.6431398</v>
      </c>
      <c r="P192" s="57">
        <f t="shared" si="57"/>
        <v>270.50197860000003</v>
      </c>
      <c r="Q192" s="58">
        <f t="shared" si="58"/>
        <v>417.01230000000004</v>
      </c>
      <c r="R192" s="58">
        <f t="shared" si="59"/>
        <v>278.00820000000004</v>
      </c>
      <c r="S192" s="66">
        <f t="shared" si="54"/>
        <v>4.7337846255000011</v>
      </c>
      <c r="T192" s="64">
        <f t="shared" si="60"/>
        <v>26.25</v>
      </c>
      <c r="U192" s="66">
        <f t="shared" si="61"/>
        <v>301.48576322550002</v>
      </c>
      <c r="V192" s="68">
        <f t="shared" si="62"/>
        <v>43.069394746500002</v>
      </c>
      <c r="W192" s="68">
        <f t="shared" si="63"/>
        <v>464.77764114928061</v>
      </c>
      <c r="X192" s="68">
        <f t="shared" si="64"/>
        <v>309.85176076618706</v>
      </c>
      <c r="Z192" s="63"/>
      <c r="AA192" s="63"/>
    </row>
    <row r="193" spans="1:27" hidden="1" x14ac:dyDescent="0.25">
      <c r="A193" t="str">
        <f t="shared" si="52"/>
        <v>10620123C28/05/2026M</v>
      </c>
      <c r="B193" s="169" t="s">
        <v>828</v>
      </c>
      <c r="C193" s="61" t="s">
        <v>396</v>
      </c>
      <c r="D193" s="61" t="s">
        <v>591</v>
      </c>
      <c r="E193" s="61" t="s">
        <v>593</v>
      </c>
      <c r="F193" s="1" t="s">
        <v>815</v>
      </c>
      <c r="G193" s="62" t="str">
        <f t="shared" si="53"/>
        <v>20123</v>
      </c>
      <c r="H193" s="1">
        <v>10620123</v>
      </c>
      <c r="I193" s="1" t="s">
        <v>388</v>
      </c>
      <c r="J193" s="61">
        <v>17</v>
      </c>
      <c r="K193" s="61">
        <v>3.6</v>
      </c>
      <c r="L193" s="61">
        <v>8</v>
      </c>
      <c r="M193" s="69">
        <f t="shared" si="55"/>
        <v>0.61199999999999999</v>
      </c>
      <c r="N193" s="69">
        <f t="shared" si="56"/>
        <v>1.36</v>
      </c>
      <c r="O193" s="56">
        <f>INDEX(Rate_Chart!$A$1:$AK$127,MATCH(Data!K193,Rate_Chart!$A$1:$A$127,0),MATCH(Data!L193,Rate_Chart!$A$1:$AK$1,0))</f>
        <v>37.253112000000009</v>
      </c>
      <c r="P193" s="57">
        <f t="shared" si="57"/>
        <v>633.30290400000013</v>
      </c>
      <c r="Q193" s="58">
        <f t="shared" si="58"/>
        <v>417.01244776119404</v>
      </c>
      <c r="R193" s="58">
        <f t="shared" si="59"/>
        <v>278.00829850746271</v>
      </c>
      <c r="S193" s="66">
        <f t="shared" si="54"/>
        <v>11.082800820000003</v>
      </c>
      <c r="T193" s="64">
        <f t="shared" si="60"/>
        <v>63.75</v>
      </c>
      <c r="U193" s="66">
        <f t="shared" si="61"/>
        <v>708.13570482000011</v>
      </c>
      <c r="V193" s="68">
        <f t="shared" si="62"/>
        <v>41.655041460000007</v>
      </c>
      <c r="W193" s="68">
        <f t="shared" si="63"/>
        <v>466.28777753731345</v>
      </c>
      <c r="X193" s="68">
        <f t="shared" si="64"/>
        <v>310.85851835820898</v>
      </c>
      <c r="Z193" s="63"/>
      <c r="AA193" s="63"/>
    </row>
    <row r="194" spans="1:27" hidden="1" x14ac:dyDescent="0.25">
      <c r="A194" t="str">
        <f t="shared" si="52"/>
        <v>10620123C22/05/2026E</v>
      </c>
      <c r="B194" s="169" t="s">
        <v>828</v>
      </c>
      <c r="C194" s="61" t="s">
        <v>397</v>
      </c>
      <c r="D194" s="61" t="s">
        <v>591</v>
      </c>
      <c r="E194" s="61" t="s">
        <v>593</v>
      </c>
      <c r="F194" s="1" t="s">
        <v>815</v>
      </c>
      <c r="G194" s="62" t="str">
        <f t="shared" si="53"/>
        <v>20123</v>
      </c>
      <c r="H194" s="1">
        <v>10620123</v>
      </c>
      <c r="I194" s="1" t="s">
        <v>388</v>
      </c>
      <c r="J194" s="61">
        <v>14</v>
      </c>
      <c r="K194" s="61">
        <v>4</v>
      </c>
      <c r="L194" s="61">
        <v>8.1</v>
      </c>
      <c r="M194" s="69">
        <f t="shared" si="55"/>
        <v>0.56000000000000005</v>
      </c>
      <c r="N194" s="69">
        <f t="shared" si="56"/>
        <v>1.1339999999999999</v>
      </c>
      <c r="O194" s="56">
        <f>INDEX(Rate_Chart!$A$1:$AK$127,MATCH(Data!K194,Rate_Chart!$A$1:$A$127,0),MATCH(Data!L194,Rate_Chart!$A$1:$AK$1,0))</f>
        <v>39.199125899999999</v>
      </c>
      <c r="P194" s="57">
        <f t="shared" si="57"/>
        <v>548.78776259999995</v>
      </c>
      <c r="Q194" s="58">
        <f t="shared" si="58"/>
        <v>417.01197765957443</v>
      </c>
      <c r="R194" s="58">
        <f t="shared" si="59"/>
        <v>278.00798510638293</v>
      </c>
      <c r="S194" s="66">
        <f t="shared" si="54"/>
        <v>9.6037858455000009</v>
      </c>
      <c r="T194" s="64">
        <f t="shared" si="60"/>
        <v>52.5</v>
      </c>
      <c r="U194" s="66">
        <f t="shared" si="61"/>
        <v>610.89154844549989</v>
      </c>
      <c r="V194" s="68">
        <f t="shared" si="62"/>
        <v>43.635110603249991</v>
      </c>
      <c r="W194" s="68">
        <f t="shared" si="63"/>
        <v>464.20330428989354</v>
      </c>
      <c r="X194" s="68">
        <f t="shared" si="64"/>
        <v>309.46886952659571</v>
      </c>
      <c r="Z194" s="63"/>
      <c r="AA194" s="63"/>
    </row>
    <row r="195" spans="1:27" hidden="1" x14ac:dyDescent="0.25">
      <c r="A195" t="str">
        <f t="shared" si="52"/>
        <v>10620072B22/05/2026M</v>
      </c>
      <c r="B195" s="169" t="s">
        <v>822</v>
      </c>
      <c r="C195" s="61" t="s">
        <v>396</v>
      </c>
      <c r="D195" s="61" t="s">
        <v>591</v>
      </c>
      <c r="E195" s="61" t="s">
        <v>592</v>
      </c>
      <c r="F195" s="1" t="s">
        <v>342</v>
      </c>
      <c r="G195" s="62" t="str">
        <f t="shared" si="53"/>
        <v>60526</v>
      </c>
      <c r="H195" s="1">
        <v>10620072</v>
      </c>
      <c r="I195" s="1" t="s">
        <v>387</v>
      </c>
      <c r="J195" s="61">
        <v>2</v>
      </c>
      <c r="K195" s="61">
        <v>7.4</v>
      </c>
      <c r="L195" s="61">
        <v>8.8000000000000007</v>
      </c>
      <c r="M195" s="69">
        <f t="shared" si="55"/>
        <v>0.14800000000000002</v>
      </c>
      <c r="N195" s="69">
        <f t="shared" si="56"/>
        <v>0.17600000000000002</v>
      </c>
      <c r="O195" s="56">
        <v>61.172100000000007</v>
      </c>
      <c r="P195" s="57">
        <f t="shared" si="57"/>
        <v>122.34420000000001</v>
      </c>
      <c r="Q195" s="58">
        <f t="shared" si="58"/>
        <v>461.09623115577887</v>
      </c>
      <c r="R195" s="58">
        <f t="shared" si="59"/>
        <v>307.39748743718593</v>
      </c>
      <c r="S195" s="66">
        <f t="shared" si="54"/>
        <v>2.1410235000000006</v>
      </c>
      <c r="T195" s="64">
        <f t="shared" si="60"/>
        <v>7.5</v>
      </c>
      <c r="U195" s="66">
        <f t="shared" si="61"/>
        <v>131.98522350000002</v>
      </c>
      <c r="V195" s="68">
        <f t="shared" si="62"/>
        <v>65.992611750000009</v>
      </c>
      <c r="W195" s="68">
        <f t="shared" si="63"/>
        <v>497.43174685929648</v>
      </c>
      <c r="X195" s="68">
        <f t="shared" si="64"/>
        <v>331.6211645728643</v>
      </c>
      <c r="Z195" s="63"/>
      <c r="AA195" s="63"/>
    </row>
    <row r="196" spans="1:27" hidden="1" x14ac:dyDescent="0.25">
      <c r="A196" t="str">
        <f t="shared" si="52"/>
        <v>10620072C23/05/2026E</v>
      </c>
      <c r="B196" s="169" t="s">
        <v>822</v>
      </c>
      <c r="C196" s="61" t="s">
        <v>397</v>
      </c>
      <c r="D196" s="61" t="s">
        <v>591</v>
      </c>
      <c r="E196" s="61" t="s">
        <v>592</v>
      </c>
      <c r="F196" s="1" t="s">
        <v>342</v>
      </c>
      <c r="G196" s="62" t="str">
        <f t="shared" si="53"/>
        <v>60526</v>
      </c>
      <c r="H196" s="1">
        <v>10620072</v>
      </c>
      <c r="I196" s="1" t="s">
        <v>388</v>
      </c>
      <c r="J196" s="61">
        <v>7</v>
      </c>
      <c r="K196" s="61">
        <v>3</v>
      </c>
      <c r="L196" s="61">
        <v>8</v>
      </c>
      <c r="M196" s="69">
        <f t="shared" si="55"/>
        <v>0.21</v>
      </c>
      <c r="N196" s="69">
        <f t="shared" si="56"/>
        <v>0.56000000000000005</v>
      </c>
      <c r="O196" s="56">
        <v>33.001056000000005</v>
      </c>
      <c r="P196" s="57">
        <f t="shared" si="57"/>
        <v>231.00739200000004</v>
      </c>
      <c r="Q196" s="58">
        <f t="shared" si="58"/>
        <v>396.01267200000001</v>
      </c>
      <c r="R196" s="58">
        <f t="shared" si="59"/>
        <v>264.00844799999999</v>
      </c>
      <c r="S196" s="66">
        <f t="shared" si="54"/>
        <v>4.0426293600000012</v>
      </c>
      <c r="T196" s="64">
        <f t="shared" si="60"/>
        <v>26.25</v>
      </c>
      <c r="U196" s="66">
        <f t="shared" si="61"/>
        <v>261.30002136000002</v>
      </c>
      <c r="V196" s="68">
        <f t="shared" si="62"/>
        <v>37.32857448</v>
      </c>
      <c r="W196" s="68">
        <f t="shared" si="63"/>
        <v>447.94289375999995</v>
      </c>
      <c r="X196" s="68">
        <f t="shared" si="64"/>
        <v>298.62859583999995</v>
      </c>
      <c r="Z196" s="63"/>
      <c r="AA196" s="63"/>
    </row>
    <row r="197" spans="1:27" hidden="1" x14ac:dyDescent="0.25">
      <c r="A197" t="str">
        <f t="shared" ref="A197:A260" si="65">CONCATENATE(H197,I197,B198,C197)</f>
        <v>10620072B23/05/2026M</v>
      </c>
      <c r="B197" s="169" t="s">
        <v>823</v>
      </c>
      <c r="C197" s="61" t="s">
        <v>396</v>
      </c>
      <c r="D197" s="61" t="s">
        <v>591</v>
      </c>
      <c r="E197" s="61" t="s">
        <v>592</v>
      </c>
      <c r="F197" s="1" t="s">
        <v>342</v>
      </c>
      <c r="G197" s="62" t="str">
        <f t="shared" si="53"/>
        <v>60526</v>
      </c>
      <c r="H197" s="1">
        <v>10620072</v>
      </c>
      <c r="I197" s="1" t="s">
        <v>387</v>
      </c>
      <c r="J197" s="61">
        <v>7</v>
      </c>
      <c r="K197" s="61">
        <v>7.2</v>
      </c>
      <c r="L197" s="61">
        <v>8.8000000000000007</v>
      </c>
      <c r="M197" s="69">
        <f t="shared" si="55"/>
        <v>0.504</v>
      </c>
      <c r="N197" s="69">
        <f t="shared" si="56"/>
        <v>0.6160000000000001</v>
      </c>
      <c r="O197" s="56">
        <v>59.518800000000006</v>
      </c>
      <c r="P197" s="57">
        <f t="shared" si="57"/>
        <v>416.63160000000005</v>
      </c>
      <c r="Q197" s="58">
        <f t="shared" si="58"/>
        <v>455.50102040816324</v>
      </c>
      <c r="R197" s="58">
        <f t="shared" si="59"/>
        <v>303.66734693877549</v>
      </c>
      <c r="S197" s="66">
        <f t="shared" si="54"/>
        <v>7.2910530000000016</v>
      </c>
      <c r="T197" s="64">
        <f t="shared" si="60"/>
        <v>26.25</v>
      </c>
      <c r="U197" s="66">
        <f t="shared" si="61"/>
        <v>450.17265300000008</v>
      </c>
      <c r="V197" s="68">
        <f t="shared" si="62"/>
        <v>64.310379000000012</v>
      </c>
      <c r="W197" s="68">
        <f t="shared" si="63"/>
        <v>492.17126785714288</v>
      </c>
      <c r="X197" s="68">
        <f t="shared" si="64"/>
        <v>328.11417857142857</v>
      </c>
      <c r="Z197" s="63"/>
      <c r="AA197" s="63"/>
    </row>
    <row r="198" spans="1:27" hidden="1" x14ac:dyDescent="0.25">
      <c r="A198" t="str">
        <f t="shared" si="65"/>
        <v>10620072C24/05/2026E</v>
      </c>
      <c r="B198" s="169" t="s">
        <v>823</v>
      </c>
      <c r="C198" s="61" t="s">
        <v>397</v>
      </c>
      <c r="D198" s="61" t="s">
        <v>591</v>
      </c>
      <c r="E198" s="61" t="s">
        <v>592</v>
      </c>
      <c r="F198" s="1" t="s">
        <v>342</v>
      </c>
      <c r="G198" s="62" t="str">
        <f t="shared" ref="G198:G261" si="66">MID(F198,2,5)</f>
        <v>60526</v>
      </c>
      <c r="H198" s="1">
        <v>10620072</v>
      </c>
      <c r="I198" s="1" t="s">
        <v>388</v>
      </c>
      <c r="J198" s="61">
        <v>6</v>
      </c>
      <c r="K198" s="61">
        <v>4.5999999999999996</v>
      </c>
      <c r="L198" s="61">
        <v>8.1999999999999993</v>
      </c>
      <c r="M198" s="69">
        <f t="shared" si="55"/>
        <v>0.27599999999999997</v>
      </c>
      <c r="N198" s="69">
        <f t="shared" si="56"/>
        <v>0.49199999999999994</v>
      </c>
      <c r="O198" s="56">
        <v>39.865082400000006</v>
      </c>
      <c r="P198" s="57">
        <f t="shared" si="57"/>
        <v>239.19049440000003</v>
      </c>
      <c r="Q198" s="58">
        <f t="shared" si="58"/>
        <v>396.01075231788087</v>
      </c>
      <c r="R198" s="58">
        <f t="shared" si="59"/>
        <v>264.0071682119206</v>
      </c>
      <c r="S198" s="66">
        <f t="shared" ref="S198:S260" si="67">P198*1.75%</f>
        <v>4.1858336520000012</v>
      </c>
      <c r="T198" s="64">
        <f t="shared" si="60"/>
        <v>22.5</v>
      </c>
      <c r="U198" s="66">
        <f t="shared" si="61"/>
        <v>265.87632805200002</v>
      </c>
      <c r="V198" s="68">
        <f t="shared" si="62"/>
        <v>44.312721342000003</v>
      </c>
      <c r="W198" s="68">
        <f t="shared" si="63"/>
        <v>440.19259611258286</v>
      </c>
      <c r="X198" s="68">
        <f t="shared" si="64"/>
        <v>293.46173074172191</v>
      </c>
      <c r="Z198" s="63"/>
      <c r="AA198" s="63"/>
    </row>
    <row r="199" spans="1:27" hidden="1" x14ac:dyDescent="0.25">
      <c r="A199" t="str">
        <f t="shared" si="65"/>
        <v>10620072B24/05/2026M</v>
      </c>
      <c r="B199" s="169" t="s">
        <v>824</v>
      </c>
      <c r="C199" s="61" t="s">
        <v>396</v>
      </c>
      <c r="D199" s="61" t="s">
        <v>591</v>
      </c>
      <c r="E199" s="61" t="s">
        <v>592</v>
      </c>
      <c r="F199" s="1" t="s">
        <v>342</v>
      </c>
      <c r="G199" s="62" t="str">
        <f t="shared" si="66"/>
        <v>60526</v>
      </c>
      <c r="H199" s="1">
        <v>10620072</v>
      </c>
      <c r="I199" s="1" t="s">
        <v>387</v>
      </c>
      <c r="J199" s="61">
        <v>4</v>
      </c>
      <c r="K199" s="61">
        <v>5.6</v>
      </c>
      <c r="L199" s="61">
        <v>8.4</v>
      </c>
      <c r="M199" s="69">
        <f t="shared" si="55"/>
        <v>0.22399999999999998</v>
      </c>
      <c r="N199" s="69">
        <f t="shared" si="56"/>
        <v>0.33600000000000002</v>
      </c>
      <c r="O199" s="56">
        <v>45.357199999999999</v>
      </c>
      <c r="P199" s="57">
        <f t="shared" si="57"/>
        <v>181.4288</v>
      </c>
      <c r="Q199" s="58">
        <f t="shared" si="58"/>
        <v>404.97500000000002</v>
      </c>
      <c r="R199" s="58">
        <f t="shared" si="59"/>
        <v>269.98333333333335</v>
      </c>
      <c r="S199" s="66">
        <f t="shared" si="67"/>
        <v>3.1750040000000004</v>
      </c>
      <c r="T199" s="64">
        <f t="shared" si="60"/>
        <v>15</v>
      </c>
      <c r="U199" s="66">
        <f t="shared" si="61"/>
        <v>199.603804</v>
      </c>
      <c r="V199" s="68">
        <f t="shared" si="62"/>
        <v>49.900950999999999</v>
      </c>
      <c r="W199" s="68">
        <f t="shared" si="63"/>
        <v>445.54420535714291</v>
      </c>
      <c r="X199" s="68">
        <f t="shared" si="64"/>
        <v>297.02947023809526</v>
      </c>
      <c r="Z199" s="63"/>
      <c r="AA199" s="63"/>
    </row>
    <row r="200" spans="1:27" hidden="1" x14ac:dyDescent="0.25">
      <c r="A200" t="str">
        <f t="shared" si="65"/>
        <v>10620072C25/05/2026E</v>
      </c>
      <c r="B200" s="169" t="s">
        <v>824</v>
      </c>
      <c r="C200" s="61" t="s">
        <v>397</v>
      </c>
      <c r="D200" s="61" t="s">
        <v>591</v>
      </c>
      <c r="E200" s="61" t="s">
        <v>592</v>
      </c>
      <c r="F200" s="1" t="s">
        <v>342</v>
      </c>
      <c r="G200" s="62" t="str">
        <f t="shared" si="66"/>
        <v>60526</v>
      </c>
      <c r="H200" s="1">
        <v>10620072</v>
      </c>
      <c r="I200" s="1" t="s">
        <v>388</v>
      </c>
      <c r="J200" s="61">
        <v>10</v>
      </c>
      <c r="K200" s="61">
        <v>3.5</v>
      </c>
      <c r="L200" s="61">
        <v>8.1999999999999993</v>
      </c>
      <c r="M200" s="69">
        <f t="shared" si="55"/>
        <v>0.35</v>
      </c>
      <c r="N200" s="69">
        <f t="shared" si="56"/>
        <v>0.82</v>
      </c>
      <c r="O200" s="56">
        <v>35.509082400000004</v>
      </c>
      <c r="P200" s="57">
        <f t="shared" si="57"/>
        <v>355.09082400000005</v>
      </c>
      <c r="Q200" s="58">
        <f t="shared" si="58"/>
        <v>396.0120713754647</v>
      </c>
      <c r="R200" s="58">
        <f t="shared" si="59"/>
        <v>264.00804758364313</v>
      </c>
      <c r="S200" s="66">
        <f t="shared" si="67"/>
        <v>6.2140894200000014</v>
      </c>
      <c r="T200" s="64">
        <f t="shared" si="60"/>
        <v>37.5</v>
      </c>
      <c r="U200" s="66">
        <f t="shared" si="61"/>
        <v>398.80491342000005</v>
      </c>
      <c r="V200" s="68">
        <f t="shared" si="62"/>
        <v>39.880491342000006</v>
      </c>
      <c r="W200" s="68">
        <f t="shared" si="63"/>
        <v>444.76384396282532</v>
      </c>
      <c r="X200" s="68">
        <f t="shared" si="64"/>
        <v>296.50922930855023</v>
      </c>
      <c r="Z200" s="63"/>
      <c r="AA200" s="63"/>
    </row>
    <row r="201" spans="1:27" hidden="1" x14ac:dyDescent="0.25">
      <c r="A201" t="str">
        <f t="shared" si="65"/>
        <v>10620072B25/05/2026M</v>
      </c>
      <c r="B201" s="169" t="s">
        <v>825</v>
      </c>
      <c r="C201" s="61" t="s">
        <v>396</v>
      </c>
      <c r="D201" s="61" t="s">
        <v>591</v>
      </c>
      <c r="E201" s="61" t="s">
        <v>592</v>
      </c>
      <c r="F201" s="1" t="s">
        <v>342</v>
      </c>
      <c r="G201" s="62" t="str">
        <f t="shared" si="66"/>
        <v>60526</v>
      </c>
      <c r="H201" s="1">
        <v>10620072</v>
      </c>
      <c r="I201" s="1" t="s">
        <v>387</v>
      </c>
      <c r="J201" s="61">
        <v>7</v>
      </c>
      <c r="K201" s="61">
        <v>7.5</v>
      </c>
      <c r="L201" s="61">
        <v>8.8000000000000007</v>
      </c>
      <c r="M201" s="69">
        <f t="shared" si="55"/>
        <v>0.52500000000000002</v>
      </c>
      <c r="N201" s="69">
        <f t="shared" si="56"/>
        <v>0.6160000000000001</v>
      </c>
      <c r="O201" s="56">
        <v>61.998750000000001</v>
      </c>
      <c r="P201" s="57">
        <f t="shared" si="57"/>
        <v>433.99125000000004</v>
      </c>
      <c r="Q201" s="58">
        <f t="shared" si="58"/>
        <v>463.83104738154617</v>
      </c>
      <c r="R201" s="58">
        <f t="shared" si="59"/>
        <v>309.22069825436409</v>
      </c>
      <c r="S201" s="66">
        <f t="shared" si="67"/>
        <v>7.5948468750000018</v>
      </c>
      <c r="T201" s="64">
        <f t="shared" si="60"/>
        <v>26.25</v>
      </c>
      <c r="U201" s="66">
        <f t="shared" si="61"/>
        <v>467.83609687500007</v>
      </c>
      <c r="V201" s="68">
        <f t="shared" si="62"/>
        <v>66.833728125000007</v>
      </c>
      <c r="W201" s="68">
        <f t="shared" si="63"/>
        <v>500.00295355361607</v>
      </c>
      <c r="X201" s="68">
        <f t="shared" si="64"/>
        <v>333.3353023690774</v>
      </c>
      <c r="Z201" s="63"/>
      <c r="AA201" s="63"/>
    </row>
    <row r="202" spans="1:27" hidden="1" x14ac:dyDescent="0.25">
      <c r="A202" t="str">
        <f t="shared" si="65"/>
        <v>10620072B26/05/2026E</v>
      </c>
      <c r="B202" s="169" t="s">
        <v>825</v>
      </c>
      <c r="C202" s="61" t="s">
        <v>397</v>
      </c>
      <c r="D202" s="61" t="s">
        <v>591</v>
      </c>
      <c r="E202" s="61" t="s">
        <v>592</v>
      </c>
      <c r="F202" s="1" t="s">
        <v>342</v>
      </c>
      <c r="G202" s="62" t="str">
        <f t="shared" si="66"/>
        <v>60526</v>
      </c>
      <c r="H202" s="1">
        <v>10620072</v>
      </c>
      <c r="I202" s="1" t="s">
        <v>387</v>
      </c>
      <c r="J202" s="61">
        <v>6</v>
      </c>
      <c r="K202" s="61">
        <v>5.6</v>
      </c>
      <c r="L202" s="61">
        <v>8.4</v>
      </c>
      <c r="M202" s="69">
        <f t="shared" si="55"/>
        <v>0.33599999999999997</v>
      </c>
      <c r="N202" s="69">
        <f t="shared" si="56"/>
        <v>0.504</v>
      </c>
      <c r="O202" s="56">
        <v>45.357199999999999</v>
      </c>
      <c r="P202" s="57">
        <f t="shared" si="57"/>
        <v>272.14319999999998</v>
      </c>
      <c r="Q202" s="58">
        <f t="shared" si="58"/>
        <v>404.97500000000002</v>
      </c>
      <c r="R202" s="58">
        <f t="shared" si="59"/>
        <v>269.98333333333335</v>
      </c>
      <c r="S202" s="66">
        <f t="shared" si="67"/>
        <v>4.7625060000000001</v>
      </c>
      <c r="T202" s="64">
        <f t="shared" si="60"/>
        <v>22.5</v>
      </c>
      <c r="U202" s="66">
        <f t="shared" si="61"/>
        <v>299.40570600000001</v>
      </c>
      <c r="V202" s="68">
        <f t="shared" si="62"/>
        <v>49.900950999999999</v>
      </c>
      <c r="W202" s="68">
        <f t="shared" si="63"/>
        <v>445.54420535714291</v>
      </c>
      <c r="X202" s="68">
        <f t="shared" si="64"/>
        <v>297.02947023809526</v>
      </c>
      <c r="Z202" s="63"/>
      <c r="AA202" s="63"/>
    </row>
    <row r="203" spans="1:27" hidden="1" x14ac:dyDescent="0.25">
      <c r="A203" t="str">
        <f t="shared" si="65"/>
        <v>10620072B26/05/2026M</v>
      </c>
      <c r="B203" s="169" t="s">
        <v>826</v>
      </c>
      <c r="C203" s="61" t="s">
        <v>396</v>
      </c>
      <c r="D203" s="61" t="s">
        <v>591</v>
      </c>
      <c r="E203" s="61" t="s">
        <v>592</v>
      </c>
      <c r="F203" s="1" t="s">
        <v>342</v>
      </c>
      <c r="G203" s="62" t="str">
        <f t="shared" si="66"/>
        <v>60526</v>
      </c>
      <c r="H203" s="1">
        <v>10620072</v>
      </c>
      <c r="I203" s="1" t="s">
        <v>387</v>
      </c>
      <c r="J203" s="61">
        <v>2</v>
      </c>
      <c r="K203" s="61">
        <v>8.8000000000000007</v>
      </c>
      <c r="L203" s="61">
        <v>9</v>
      </c>
      <c r="M203" s="69">
        <f t="shared" si="55"/>
        <v>0.17600000000000002</v>
      </c>
      <c r="N203" s="69">
        <f t="shared" si="56"/>
        <v>0.18</v>
      </c>
      <c r="O203" s="56">
        <f>INDEX(Rate_Chart!$A$1:$AK$127,MATCH(Data!K203,Rate_Chart!$A$1:$A$127,0),MATCH(Data!L203,Rate_Chart!$A$1:$AK$1,0))</f>
        <v>73.48</v>
      </c>
      <c r="P203" s="57">
        <f t="shared" si="57"/>
        <v>146.96</v>
      </c>
      <c r="Q203" s="58">
        <f t="shared" si="58"/>
        <v>496.48648648648646</v>
      </c>
      <c r="R203" s="58">
        <f t="shared" si="59"/>
        <v>330.99099099099095</v>
      </c>
      <c r="S203" s="66">
        <f t="shared" si="67"/>
        <v>2.5718000000000005</v>
      </c>
      <c r="T203" s="64">
        <f t="shared" si="60"/>
        <v>7.5</v>
      </c>
      <c r="U203" s="66">
        <f t="shared" si="61"/>
        <v>157.0318</v>
      </c>
      <c r="V203" s="68">
        <f t="shared" si="62"/>
        <v>78.515900000000002</v>
      </c>
      <c r="W203" s="68">
        <f t="shared" si="63"/>
        <v>530.51283783783776</v>
      </c>
      <c r="X203" s="68">
        <f t="shared" si="64"/>
        <v>353.67522522522518</v>
      </c>
      <c r="Z203" s="63"/>
      <c r="AA203" s="63"/>
    </row>
    <row r="204" spans="1:27" hidden="1" x14ac:dyDescent="0.25">
      <c r="A204" t="str">
        <f t="shared" si="65"/>
        <v>10620072C27/05/2026E</v>
      </c>
      <c r="B204" s="169" t="s">
        <v>826</v>
      </c>
      <c r="C204" s="61" t="s">
        <v>397</v>
      </c>
      <c r="D204" s="61" t="s">
        <v>591</v>
      </c>
      <c r="E204" s="61" t="s">
        <v>592</v>
      </c>
      <c r="F204" s="1" t="s">
        <v>342</v>
      </c>
      <c r="G204" s="62" t="str">
        <f t="shared" si="66"/>
        <v>60526</v>
      </c>
      <c r="H204" s="1">
        <v>10620072</v>
      </c>
      <c r="I204" s="1" t="s">
        <v>388</v>
      </c>
      <c r="J204" s="61">
        <v>4</v>
      </c>
      <c r="K204" s="61">
        <v>3.1</v>
      </c>
      <c r="L204" s="61">
        <v>8.4</v>
      </c>
      <c r="M204" s="69">
        <f t="shared" si="55"/>
        <v>0.124</v>
      </c>
      <c r="N204" s="69">
        <f t="shared" si="56"/>
        <v>0.33600000000000002</v>
      </c>
      <c r="O204" s="56">
        <f>INDEX(Rate_Chart!$A$1:$AK$127,MATCH(Data!K204,Rate_Chart!$A$1:$A$127,0),MATCH(Data!L204,Rate_Chart!$A$1:$AK$1,0))</f>
        <v>36.280167600000006</v>
      </c>
      <c r="P204" s="57">
        <f t="shared" si="57"/>
        <v>145.12067040000002</v>
      </c>
      <c r="Q204" s="58">
        <f t="shared" si="58"/>
        <v>417.01342068965528</v>
      </c>
      <c r="R204" s="58">
        <f t="shared" si="59"/>
        <v>278.00894712643685</v>
      </c>
      <c r="S204" s="66">
        <f t="shared" si="67"/>
        <v>2.5396117320000005</v>
      </c>
      <c r="T204" s="64">
        <f t="shared" si="60"/>
        <v>15</v>
      </c>
      <c r="U204" s="66">
        <f t="shared" si="61"/>
        <v>162.66028213200002</v>
      </c>
      <c r="V204" s="68">
        <f t="shared" si="62"/>
        <v>40.665070533000005</v>
      </c>
      <c r="W204" s="68">
        <f t="shared" si="63"/>
        <v>467.41460382758629</v>
      </c>
      <c r="X204" s="68">
        <f t="shared" si="64"/>
        <v>311.60973588505755</v>
      </c>
      <c r="Z204" s="63"/>
      <c r="AA204" s="63"/>
    </row>
    <row r="205" spans="1:27" hidden="1" x14ac:dyDescent="0.25">
      <c r="A205" t="str">
        <f t="shared" si="65"/>
        <v>10620072B27/05/2026M</v>
      </c>
      <c r="B205" s="169" t="s">
        <v>827</v>
      </c>
      <c r="C205" s="61" t="s">
        <v>396</v>
      </c>
      <c r="D205" s="61" t="s">
        <v>591</v>
      </c>
      <c r="E205" s="61" t="s">
        <v>592</v>
      </c>
      <c r="F205" s="1" t="s">
        <v>342</v>
      </c>
      <c r="G205" s="62" t="str">
        <f t="shared" si="66"/>
        <v>60526</v>
      </c>
      <c r="H205" s="1">
        <v>10620072</v>
      </c>
      <c r="I205" s="1" t="s">
        <v>387</v>
      </c>
      <c r="J205" s="61">
        <v>4</v>
      </c>
      <c r="K205" s="61">
        <v>8.8000000000000007</v>
      </c>
      <c r="L205" s="61">
        <v>9</v>
      </c>
      <c r="M205" s="69">
        <f t="shared" si="55"/>
        <v>0.35200000000000004</v>
      </c>
      <c r="N205" s="69">
        <f t="shared" si="56"/>
        <v>0.36</v>
      </c>
      <c r="O205" s="56">
        <f>INDEX(Rate_Chart!$A$1:$AK$127,MATCH(Data!K205,Rate_Chart!$A$1:$A$127,0),MATCH(Data!L205,Rate_Chart!$A$1:$AK$1,0))</f>
        <v>73.48</v>
      </c>
      <c r="P205" s="57">
        <f t="shared" si="57"/>
        <v>293.92</v>
      </c>
      <c r="Q205" s="58">
        <f t="shared" si="58"/>
        <v>496.48648648648646</v>
      </c>
      <c r="R205" s="58">
        <f t="shared" si="59"/>
        <v>330.99099099099095</v>
      </c>
      <c r="S205" s="66">
        <f t="shared" si="67"/>
        <v>5.1436000000000011</v>
      </c>
      <c r="T205" s="64">
        <f t="shared" si="60"/>
        <v>15</v>
      </c>
      <c r="U205" s="66">
        <f t="shared" si="61"/>
        <v>314.06360000000001</v>
      </c>
      <c r="V205" s="68">
        <f t="shared" si="62"/>
        <v>78.515900000000002</v>
      </c>
      <c r="W205" s="68">
        <f t="shared" si="63"/>
        <v>530.51283783783776</v>
      </c>
      <c r="X205" s="68">
        <f t="shared" si="64"/>
        <v>353.67522522522518</v>
      </c>
      <c r="Z205" s="63"/>
      <c r="AA205" s="63"/>
    </row>
    <row r="206" spans="1:27" hidden="1" x14ac:dyDescent="0.25">
      <c r="A206" t="str">
        <f t="shared" si="65"/>
        <v>10620072B28/05/2026E</v>
      </c>
      <c r="B206" s="169" t="s">
        <v>827</v>
      </c>
      <c r="C206" s="61" t="s">
        <v>397</v>
      </c>
      <c r="D206" s="61" t="s">
        <v>591</v>
      </c>
      <c r="E206" s="61" t="s">
        <v>592</v>
      </c>
      <c r="F206" s="1" t="s">
        <v>342</v>
      </c>
      <c r="G206" s="62" t="str">
        <f t="shared" si="66"/>
        <v>60526</v>
      </c>
      <c r="H206" s="1">
        <v>10620072</v>
      </c>
      <c r="I206" s="1" t="s">
        <v>387</v>
      </c>
      <c r="J206" s="61">
        <v>6</v>
      </c>
      <c r="K206" s="61">
        <v>5.8</v>
      </c>
      <c r="L206" s="61">
        <v>9</v>
      </c>
      <c r="M206" s="69">
        <f t="shared" si="55"/>
        <v>0.34799999999999998</v>
      </c>
      <c r="N206" s="69">
        <f t="shared" si="56"/>
        <v>0.54</v>
      </c>
      <c r="O206" s="56">
        <f>INDEX(Rate_Chart!$A$1:$AK$127,MATCH(Data!K206,Rate_Chart!$A$1:$A$127,0),MATCH(Data!L206,Rate_Chart!$A$1:$AK$1,0))</f>
        <v>48.43</v>
      </c>
      <c r="P206" s="57">
        <f t="shared" si="57"/>
        <v>290.58</v>
      </c>
      <c r="Q206" s="58">
        <f t="shared" si="58"/>
        <v>410.42372881355936</v>
      </c>
      <c r="R206" s="58">
        <f t="shared" si="59"/>
        <v>273.61581920903956</v>
      </c>
      <c r="S206" s="66">
        <f t="shared" si="67"/>
        <v>5.0851500000000005</v>
      </c>
      <c r="T206" s="64">
        <f t="shared" si="60"/>
        <v>22.5</v>
      </c>
      <c r="U206" s="66">
        <f t="shared" si="61"/>
        <v>318.16514999999998</v>
      </c>
      <c r="V206" s="68">
        <f t="shared" si="62"/>
        <v>53.027524999999997</v>
      </c>
      <c r="W206" s="68">
        <f t="shared" si="63"/>
        <v>449.38580508474575</v>
      </c>
      <c r="X206" s="68">
        <f t="shared" si="64"/>
        <v>299.59053672316384</v>
      </c>
      <c r="Z206" s="63"/>
      <c r="AA206" s="63"/>
    </row>
    <row r="207" spans="1:27" hidden="1" x14ac:dyDescent="0.25">
      <c r="A207" t="str">
        <f t="shared" si="65"/>
        <v>10620072B28/05/2026M</v>
      </c>
      <c r="B207" s="169" t="s">
        <v>828</v>
      </c>
      <c r="C207" s="61" t="s">
        <v>396</v>
      </c>
      <c r="D207" s="61" t="s">
        <v>591</v>
      </c>
      <c r="E207" s="61" t="s">
        <v>592</v>
      </c>
      <c r="F207" s="1" t="s">
        <v>342</v>
      </c>
      <c r="G207" s="62" t="str">
        <f t="shared" si="66"/>
        <v>60526</v>
      </c>
      <c r="H207" s="1">
        <v>10620072</v>
      </c>
      <c r="I207" s="1" t="s">
        <v>387</v>
      </c>
      <c r="J207" s="61">
        <v>2</v>
      </c>
      <c r="K207" s="61">
        <v>7.5</v>
      </c>
      <c r="L207" s="61">
        <v>9</v>
      </c>
      <c r="M207" s="69">
        <f t="shared" si="55"/>
        <v>0.15</v>
      </c>
      <c r="N207" s="69">
        <f t="shared" si="56"/>
        <v>0.18</v>
      </c>
      <c r="O207" s="56">
        <f>INDEX(Rate_Chart!$A$1:$AK$127,MATCH(Data!K207,Rate_Chart!$A$1:$A$127,0),MATCH(Data!L207,Rate_Chart!$A$1:$AK$1,0))</f>
        <v>62.625</v>
      </c>
      <c r="P207" s="57">
        <f t="shared" si="57"/>
        <v>125.25</v>
      </c>
      <c r="Q207" s="58">
        <f t="shared" si="58"/>
        <v>463.88888888888886</v>
      </c>
      <c r="R207" s="58">
        <f t="shared" si="59"/>
        <v>309.25925925925924</v>
      </c>
      <c r="S207" s="66">
        <f t="shared" si="67"/>
        <v>2.191875</v>
      </c>
      <c r="T207" s="64">
        <f t="shared" si="60"/>
        <v>7.5</v>
      </c>
      <c r="U207" s="66">
        <f t="shared" si="61"/>
        <v>134.94187500000001</v>
      </c>
      <c r="V207" s="68">
        <f t="shared" si="62"/>
        <v>67.470937500000005</v>
      </c>
      <c r="W207" s="68">
        <f t="shared" si="63"/>
        <v>499.78472222222223</v>
      </c>
      <c r="X207" s="68">
        <f t="shared" si="64"/>
        <v>333.18981481481484</v>
      </c>
      <c r="Z207" s="63"/>
      <c r="AA207" s="63"/>
    </row>
    <row r="208" spans="1:27" hidden="1" x14ac:dyDescent="0.25">
      <c r="A208" t="str">
        <f t="shared" si="65"/>
        <v>10620072C22/05/2026E</v>
      </c>
      <c r="B208" s="169" t="s">
        <v>828</v>
      </c>
      <c r="C208" s="61" t="s">
        <v>397</v>
      </c>
      <c r="D208" s="61" t="s">
        <v>591</v>
      </c>
      <c r="E208" s="61" t="s">
        <v>592</v>
      </c>
      <c r="F208" s="1" t="s">
        <v>342</v>
      </c>
      <c r="G208" s="62" t="str">
        <f t="shared" si="66"/>
        <v>60526</v>
      </c>
      <c r="H208" s="1">
        <v>10620072</v>
      </c>
      <c r="I208" s="1" t="s">
        <v>388</v>
      </c>
      <c r="J208" s="61">
        <v>4</v>
      </c>
      <c r="K208" s="61">
        <v>3.4</v>
      </c>
      <c r="L208" s="61">
        <v>8.1</v>
      </c>
      <c r="M208" s="69">
        <f t="shared" si="55"/>
        <v>0.13600000000000001</v>
      </c>
      <c r="N208" s="69">
        <f t="shared" si="56"/>
        <v>0.32400000000000001</v>
      </c>
      <c r="O208" s="56">
        <f>INDEX(Rate_Chart!$A$1:$AK$127,MATCH(Data!K208,Rate_Chart!$A$1:$A$127,0),MATCH(Data!L208,Rate_Chart!$A$1:$AK$1,0))</f>
        <v>36.697125900000003</v>
      </c>
      <c r="P208" s="57">
        <f t="shared" si="57"/>
        <v>146.78850360000001</v>
      </c>
      <c r="Q208" s="58">
        <f t="shared" si="58"/>
        <v>417.01279431818188</v>
      </c>
      <c r="R208" s="58">
        <f t="shared" si="59"/>
        <v>278.00852954545456</v>
      </c>
      <c r="S208" s="66">
        <f t="shared" si="67"/>
        <v>2.5687988130000003</v>
      </c>
      <c r="T208" s="64">
        <f t="shared" si="60"/>
        <v>15</v>
      </c>
      <c r="U208" s="66">
        <f t="shared" si="61"/>
        <v>164.35730241300001</v>
      </c>
      <c r="V208" s="68">
        <f t="shared" si="62"/>
        <v>41.089325603250003</v>
      </c>
      <c r="W208" s="68">
        <f t="shared" si="63"/>
        <v>466.92415458238645</v>
      </c>
      <c r="X208" s="68">
        <f t="shared" si="64"/>
        <v>311.28276972159097</v>
      </c>
      <c r="Z208" s="63"/>
      <c r="AA208" s="63"/>
    </row>
    <row r="209" spans="1:27" hidden="1" x14ac:dyDescent="0.25">
      <c r="A209" t="str">
        <f t="shared" si="65"/>
        <v>10620050C22/05/2026M</v>
      </c>
      <c r="B209" s="169" t="s">
        <v>822</v>
      </c>
      <c r="C209" s="61" t="s">
        <v>396</v>
      </c>
      <c r="D209" s="61" t="s">
        <v>591</v>
      </c>
      <c r="E209" s="61" t="s">
        <v>592</v>
      </c>
      <c r="F209" s="1" t="s">
        <v>343</v>
      </c>
      <c r="G209" s="62" t="str">
        <f t="shared" si="66"/>
        <v>60553</v>
      </c>
      <c r="H209" s="1">
        <v>10620050</v>
      </c>
      <c r="I209" s="1" t="s">
        <v>388</v>
      </c>
      <c r="J209" s="61">
        <v>6</v>
      </c>
      <c r="K209" s="61">
        <v>3</v>
      </c>
      <c r="L209" s="61">
        <v>8</v>
      </c>
      <c r="M209" s="69">
        <f t="shared" si="55"/>
        <v>0.18</v>
      </c>
      <c r="N209" s="69">
        <f t="shared" si="56"/>
        <v>0.48</v>
      </c>
      <c r="O209" s="56">
        <v>33.001056000000005</v>
      </c>
      <c r="P209" s="57">
        <f t="shared" si="57"/>
        <v>198.00633600000003</v>
      </c>
      <c r="Q209" s="58">
        <f t="shared" si="58"/>
        <v>396.01267200000001</v>
      </c>
      <c r="R209" s="58">
        <f t="shared" si="59"/>
        <v>264.00844799999999</v>
      </c>
      <c r="S209" s="66">
        <f t="shared" si="67"/>
        <v>3.465110880000001</v>
      </c>
      <c r="T209" s="64">
        <f t="shared" si="60"/>
        <v>22.5</v>
      </c>
      <c r="U209" s="66">
        <f t="shared" si="61"/>
        <v>223.97144688000003</v>
      </c>
      <c r="V209" s="68">
        <f t="shared" si="62"/>
        <v>37.328574480000007</v>
      </c>
      <c r="W209" s="68">
        <f t="shared" si="63"/>
        <v>447.94289376000006</v>
      </c>
      <c r="X209" s="68">
        <f t="shared" si="64"/>
        <v>298.62859584000006</v>
      </c>
      <c r="Z209" s="63"/>
      <c r="AA209" s="63"/>
    </row>
    <row r="210" spans="1:27" hidden="1" x14ac:dyDescent="0.25">
      <c r="A210" t="str">
        <f t="shared" si="65"/>
        <v>10620050C23/05/2026E</v>
      </c>
      <c r="B210" s="169" t="s">
        <v>822</v>
      </c>
      <c r="C210" s="61" t="s">
        <v>397</v>
      </c>
      <c r="D210" s="61" t="s">
        <v>591</v>
      </c>
      <c r="E210" s="61" t="s">
        <v>592</v>
      </c>
      <c r="F210" s="1" t="s">
        <v>343</v>
      </c>
      <c r="G210" s="62" t="str">
        <f t="shared" si="66"/>
        <v>60553</v>
      </c>
      <c r="H210" s="1">
        <v>10620050</v>
      </c>
      <c r="I210" s="1" t="s">
        <v>388</v>
      </c>
      <c r="J210" s="61">
        <v>4</v>
      </c>
      <c r="K210" s="61">
        <v>3</v>
      </c>
      <c r="L210" s="61">
        <v>8</v>
      </c>
      <c r="M210" s="69">
        <f t="shared" si="55"/>
        <v>0.12</v>
      </c>
      <c r="N210" s="69">
        <f t="shared" si="56"/>
        <v>0.32</v>
      </c>
      <c r="O210" s="56">
        <v>33.001056000000005</v>
      </c>
      <c r="P210" s="57">
        <f t="shared" si="57"/>
        <v>132.00422400000002</v>
      </c>
      <c r="Q210" s="58">
        <f t="shared" si="58"/>
        <v>396.01267200000001</v>
      </c>
      <c r="R210" s="58">
        <f t="shared" si="59"/>
        <v>264.00844799999999</v>
      </c>
      <c r="S210" s="66">
        <f t="shared" si="67"/>
        <v>2.3100739200000007</v>
      </c>
      <c r="T210" s="64">
        <f t="shared" si="60"/>
        <v>15</v>
      </c>
      <c r="U210" s="66">
        <f t="shared" si="61"/>
        <v>149.31429792000003</v>
      </c>
      <c r="V210" s="68">
        <f t="shared" si="62"/>
        <v>37.328574480000007</v>
      </c>
      <c r="W210" s="68">
        <f t="shared" si="63"/>
        <v>447.94289376000006</v>
      </c>
      <c r="X210" s="68">
        <f t="shared" si="64"/>
        <v>298.62859584000006</v>
      </c>
      <c r="Z210" s="63"/>
      <c r="AA210" s="63"/>
    </row>
    <row r="211" spans="1:27" hidden="1" x14ac:dyDescent="0.25">
      <c r="A211" t="str">
        <f t="shared" si="65"/>
        <v>10620050C23/05/2026M</v>
      </c>
      <c r="B211" s="169" t="s">
        <v>823</v>
      </c>
      <c r="C211" s="61" t="s">
        <v>396</v>
      </c>
      <c r="D211" s="61" t="s">
        <v>591</v>
      </c>
      <c r="E211" s="61" t="s">
        <v>592</v>
      </c>
      <c r="F211" s="1" t="s">
        <v>343</v>
      </c>
      <c r="G211" s="62" t="str">
        <f t="shared" si="66"/>
        <v>60553</v>
      </c>
      <c r="H211" s="1">
        <v>10620050</v>
      </c>
      <c r="I211" s="1" t="s">
        <v>388</v>
      </c>
      <c r="J211" s="61">
        <v>7</v>
      </c>
      <c r="K211" s="61">
        <v>3</v>
      </c>
      <c r="L211" s="61">
        <v>8</v>
      </c>
      <c r="M211" s="69">
        <f t="shared" si="55"/>
        <v>0.21</v>
      </c>
      <c r="N211" s="69">
        <f t="shared" si="56"/>
        <v>0.56000000000000005</v>
      </c>
      <c r="O211" s="56">
        <v>33.001056000000005</v>
      </c>
      <c r="P211" s="57">
        <f t="shared" si="57"/>
        <v>231.00739200000004</v>
      </c>
      <c r="Q211" s="58">
        <f t="shared" si="58"/>
        <v>396.01267200000001</v>
      </c>
      <c r="R211" s="58">
        <f t="shared" si="59"/>
        <v>264.00844799999999</v>
      </c>
      <c r="S211" s="66">
        <f t="shared" si="67"/>
        <v>4.0426293600000012</v>
      </c>
      <c r="T211" s="64">
        <f t="shared" si="60"/>
        <v>26.25</v>
      </c>
      <c r="U211" s="66">
        <f t="shared" si="61"/>
        <v>261.30002136000002</v>
      </c>
      <c r="V211" s="68">
        <f t="shared" si="62"/>
        <v>37.32857448</v>
      </c>
      <c r="W211" s="68">
        <f t="shared" si="63"/>
        <v>447.94289375999995</v>
      </c>
      <c r="X211" s="68">
        <f t="shared" si="64"/>
        <v>298.62859583999995</v>
      </c>
      <c r="Z211" s="63"/>
      <c r="AA211" s="63"/>
    </row>
    <row r="212" spans="1:27" hidden="1" x14ac:dyDescent="0.25">
      <c r="A212" t="str">
        <f t="shared" si="65"/>
        <v>10620050C24/05/2026E</v>
      </c>
      <c r="B212" s="169" t="s">
        <v>823</v>
      </c>
      <c r="C212" s="61" t="s">
        <v>397</v>
      </c>
      <c r="D212" s="61" t="s">
        <v>591</v>
      </c>
      <c r="E212" s="61" t="s">
        <v>592</v>
      </c>
      <c r="F212" s="1" t="s">
        <v>343</v>
      </c>
      <c r="G212" s="62" t="str">
        <f t="shared" si="66"/>
        <v>60553</v>
      </c>
      <c r="H212" s="1">
        <v>10620050</v>
      </c>
      <c r="I212" s="1" t="s">
        <v>388</v>
      </c>
      <c r="J212" s="61">
        <v>2</v>
      </c>
      <c r="K212" s="61">
        <v>3.8</v>
      </c>
      <c r="L212" s="61">
        <v>8</v>
      </c>
      <c r="M212" s="69">
        <f t="shared" si="55"/>
        <v>7.5999999999999998E-2</v>
      </c>
      <c r="N212" s="69">
        <f t="shared" si="56"/>
        <v>0.16</v>
      </c>
      <c r="O212" s="56">
        <v>36.169056000000005</v>
      </c>
      <c r="P212" s="57">
        <f t="shared" si="57"/>
        <v>72.33811200000001</v>
      </c>
      <c r="Q212" s="58">
        <f t="shared" si="58"/>
        <v>396.01156204379566</v>
      </c>
      <c r="R212" s="58">
        <f t="shared" si="59"/>
        <v>264.00770802919709</v>
      </c>
      <c r="S212" s="66">
        <f t="shared" si="67"/>
        <v>1.2659169600000002</v>
      </c>
      <c r="T212" s="64">
        <f t="shared" si="60"/>
        <v>7.5</v>
      </c>
      <c r="U212" s="66">
        <f t="shared" si="61"/>
        <v>81.104028960000008</v>
      </c>
      <c r="V212" s="68">
        <f t="shared" si="62"/>
        <v>40.552014480000004</v>
      </c>
      <c r="W212" s="68">
        <f t="shared" si="63"/>
        <v>444.000158540146</v>
      </c>
      <c r="X212" s="68">
        <f t="shared" si="64"/>
        <v>296.00010569343067</v>
      </c>
      <c r="Z212" s="63"/>
      <c r="AA212" s="63"/>
    </row>
    <row r="213" spans="1:27" hidden="1" x14ac:dyDescent="0.25">
      <c r="A213" t="str">
        <f t="shared" si="65"/>
        <v>10620050C24/05/2026M</v>
      </c>
      <c r="B213" s="169" t="s">
        <v>824</v>
      </c>
      <c r="C213" s="61" t="s">
        <v>396</v>
      </c>
      <c r="D213" s="61" t="s">
        <v>591</v>
      </c>
      <c r="E213" s="61" t="s">
        <v>592</v>
      </c>
      <c r="F213" s="1" t="s">
        <v>343</v>
      </c>
      <c r="G213" s="62" t="str">
        <f t="shared" si="66"/>
        <v>60553</v>
      </c>
      <c r="H213" s="1">
        <v>10620050</v>
      </c>
      <c r="I213" s="1" t="s">
        <v>388</v>
      </c>
      <c r="J213" s="61">
        <v>3</v>
      </c>
      <c r="K213" s="61">
        <v>3</v>
      </c>
      <c r="L213" s="61">
        <v>8</v>
      </c>
      <c r="M213" s="69">
        <f t="shared" si="55"/>
        <v>0.09</v>
      </c>
      <c r="N213" s="69">
        <f t="shared" si="56"/>
        <v>0.24</v>
      </c>
      <c r="O213" s="56">
        <v>33.001056000000005</v>
      </c>
      <c r="P213" s="57">
        <f t="shared" si="57"/>
        <v>99.003168000000016</v>
      </c>
      <c r="Q213" s="58">
        <f t="shared" si="58"/>
        <v>396.01267200000001</v>
      </c>
      <c r="R213" s="58">
        <f t="shared" si="59"/>
        <v>264.00844799999999</v>
      </c>
      <c r="S213" s="66">
        <f t="shared" si="67"/>
        <v>1.7325554400000005</v>
      </c>
      <c r="T213" s="64">
        <f t="shared" si="60"/>
        <v>11.25</v>
      </c>
      <c r="U213" s="66">
        <f t="shared" si="61"/>
        <v>111.98572344000002</v>
      </c>
      <c r="V213" s="68">
        <f t="shared" si="62"/>
        <v>37.328574480000007</v>
      </c>
      <c r="W213" s="68">
        <f t="shared" si="63"/>
        <v>447.94289376000006</v>
      </c>
      <c r="X213" s="68">
        <f t="shared" si="64"/>
        <v>298.62859584000006</v>
      </c>
      <c r="Z213" s="63"/>
      <c r="AA213" s="63"/>
    </row>
    <row r="214" spans="1:27" hidden="1" x14ac:dyDescent="0.25">
      <c r="A214" t="str">
        <f t="shared" si="65"/>
        <v>10620050C25/05/2026E</v>
      </c>
      <c r="B214" s="169" t="s">
        <v>824</v>
      </c>
      <c r="C214" s="61" t="s">
        <v>397</v>
      </c>
      <c r="D214" s="61" t="s">
        <v>591</v>
      </c>
      <c r="E214" s="61" t="s">
        <v>592</v>
      </c>
      <c r="F214" s="1" t="s">
        <v>343</v>
      </c>
      <c r="G214" s="62" t="str">
        <f t="shared" si="66"/>
        <v>60553</v>
      </c>
      <c r="H214" s="1">
        <v>10620050</v>
      </c>
      <c r="I214" s="1" t="s">
        <v>388</v>
      </c>
      <c r="J214" s="61">
        <v>5</v>
      </c>
      <c r="K214" s="61">
        <v>3</v>
      </c>
      <c r="L214" s="61">
        <v>8</v>
      </c>
      <c r="M214" s="69">
        <f t="shared" si="55"/>
        <v>0.15</v>
      </c>
      <c r="N214" s="69">
        <f t="shared" si="56"/>
        <v>0.4</v>
      </c>
      <c r="O214" s="56">
        <v>33.001056000000005</v>
      </c>
      <c r="P214" s="57">
        <f t="shared" si="57"/>
        <v>165.00528000000003</v>
      </c>
      <c r="Q214" s="58">
        <f t="shared" si="58"/>
        <v>396.01267200000001</v>
      </c>
      <c r="R214" s="58">
        <f t="shared" si="59"/>
        <v>264.00844799999999</v>
      </c>
      <c r="S214" s="66">
        <f t="shared" si="67"/>
        <v>2.8875924000000008</v>
      </c>
      <c r="T214" s="64">
        <f t="shared" si="60"/>
        <v>18.75</v>
      </c>
      <c r="U214" s="66">
        <f t="shared" si="61"/>
        <v>186.64287240000004</v>
      </c>
      <c r="V214" s="68">
        <f t="shared" si="62"/>
        <v>37.328574480000007</v>
      </c>
      <c r="W214" s="68">
        <f t="shared" si="63"/>
        <v>447.94289376000006</v>
      </c>
      <c r="X214" s="68">
        <f t="shared" si="64"/>
        <v>298.62859584000006</v>
      </c>
      <c r="Z214" s="63"/>
      <c r="AA214" s="63"/>
    </row>
    <row r="215" spans="1:27" hidden="1" x14ac:dyDescent="0.25">
      <c r="A215" t="str">
        <f t="shared" si="65"/>
        <v>10620050C25/05/2026M</v>
      </c>
      <c r="B215" s="169" t="s">
        <v>825</v>
      </c>
      <c r="C215" s="61" t="s">
        <v>396</v>
      </c>
      <c r="D215" s="61" t="s">
        <v>591</v>
      </c>
      <c r="E215" s="61" t="s">
        <v>592</v>
      </c>
      <c r="F215" s="1" t="s">
        <v>343</v>
      </c>
      <c r="G215" s="62" t="str">
        <f t="shared" si="66"/>
        <v>60553</v>
      </c>
      <c r="H215" s="1">
        <v>10620050</v>
      </c>
      <c r="I215" s="1" t="s">
        <v>388</v>
      </c>
      <c r="J215" s="61">
        <v>5</v>
      </c>
      <c r="K215" s="61">
        <v>4.3</v>
      </c>
      <c r="L215" s="61">
        <v>8</v>
      </c>
      <c r="M215" s="69">
        <f t="shared" si="55"/>
        <v>0.215</v>
      </c>
      <c r="N215" s="69">
        <f t="shared" si="56"/>
        <v>0.4</v>
      </c>
      <c r="O215" s="56">
        <v>38.149056000000002</v>
      </c>
      <c r="P215" s="57">
        <f t="shared" si="57"/>
        <v>190.74528000000001</v>
      </c>
      <c r="Q215" s="58">
        <f t="shared" si="58"/>
        <v>396.01096193771633</v>
      </c>
      <c r="R215" s="58">
        <f t="shared" si="59"/>
        <v>264.00730795847755</v>
      </c>
      <c r="S215" s="66">
        <f t="shared" si="67"/>
        <v>3.3380424000000004</v>
      </c>
      <c r="T215" s="64">
        <f t="shared" si="60"/>
        <v>18.75</v>
      </c>
      <c r="U215" s="66">
        <f t="shared" si="61"/>
        <v>212.83332240000001</v>
      </c>
      <c r="V215" s="68">
        <f t="shared" si="62"/>
        <v>42.56666448</v>
      </c>
      <c r="W215" s="68">
        <f t="shared" si="63"/>
        <v>441.86848941176476</v>
      </c>
      <c r="X215" s="68">
        <f t="shared" si="64"/>
        <v>294.57899294117652</v>
      </c>
      <c r="Z215" s="63"/>
      <c r="AA215" s="63"/>
    </row>
    <row r="216" spans="1:27" hidden="1" x14ac:dyDescent="0.25">
      <c r="A216" t="str">
        <f t="shared" si="65"/>
        <v>10620050C26/05/2026E</v>
      </c>
      <c r="B216" s="169" t="s">
        <v>825</v>
      </c>
      <c r="C216" s="61" t="s">
        <v>397</v>
      </c>
      <c r="D216" s="61" t="s">
        <v>591</v>
      </c>
      <c r="E216" s="61" t="s">
        <v>592</v>
      </c>
      <c r="F216" s="1" t="s">
        <v>343</v>
      </c>
      <c r="G216" s="62" t="str">
        <f t="shared" si="66"/>
        <v>60553</v>
      </c>
      <c r="H216" s="1">
        <v>10620050</v>
      </c>
      <c r="I216" s="1" t="s">
        <v>388</v>
      </c>
      <c r="J216" s="61">
        <v>2</v>
      </c>
      <c r="K216" s="61">
        <v>4</v>
      </c>
      <c r="L216" s="61">
        <v>8.1999999999999993</v>
      </c>
      <c r="M216" s="69">
        <f t="shared" si="55"/>
        <v>0.08</v>
      </c>
      <c r="N216" s="69">
        <f t="shared" si="56"/>
        <v>0.16399999999999998</v>
      </c>
      <c r="O216" s="56">
        <v>37.489082400000001</v>
      </c>
      <c r="P216" s="57">
        <f t="shared" si="57"/>
        <v>74.978164800000002</v>
      </c>
      <c r="Q216" s="58">
        <f t="shared" si="58"/>
        <v>396.01143380281695</v>
      </c>
      <c r="R216" s="58">
        <f t="shared" si="59"/>
        <v>264.00762253521128</v>
      </c>
      <c r="S216" s="66">
        <f t="shared" si="67"/>
        <v>1.3121178840000001</v>
      </c>
      <c r="T216" s="64">
        <f t="shared" si="60"/>
        <v>7.5</v>
      </c>
      <c r="U216" s="66">
        <f t="shared" si="61"/>
        <v>83.790282684000005</v>
      </c>
      <c r="V216" s="68">
        <f t="shared" si="62"/>
        <v>41.895141342000002</v>
      </c>
      <c r="W216" s="68">
        <f t="shared" si="63"/>
        <v>442.55430995070429</v>
      </c>
      <c r="X216" s="68">
        <f t="shared" si="64"/>
        <v>295.03620663380286</v>
      </c>
      <c r="Z216" s="63"/>
      <c r="AA216" s="63"/>
    </row>
    <row r="217" spans="1:27" hidden="1" x14ac:dyDescent="0.25">
      <c r="A217" t="str">
        <f t="shared" si="65"/>
        <v>10620050C27/05/2026M</v>
      </c>
      <c r="B217" s="169" t="s">
        <v>826</v>
      </c>
      <c r="C217" s="61" t="s">
        <v>396</v>
      </c>
      <c r="D217" s="61" t="s">
        <v>591</v>
      </c>
      <c r="E217" s="61" t="s">
        <v>592</v>
      </c>
      <c r="F217" s="1" t="s">
        <v>343</v>
      </c>
      <c r="G217" s="62" t="str">
        <f t="shared" si="66"/>
        <v>60553</v>
      </c>
      <c r="H217" s="1">
        <v>10620050</v>
      </c>
      <c r="I217" s="1" t="s">
        <v>388</v>
      </c>
      <c r="J217" s="61">
        <v>3</v>
      </c>
      <c r="K217" s="61">
        <v>3</v>
      </c>
      <c r="L217" s="61">
        <v>8</v>
      </c>
      <c r="M217" s="69">
        <f t="shared" si="55"/>
        <v>0.09</v>
      </c>
      <c r="N217" s="69">
        <f t="shared" si="56"/>
        <v>0.24</v>
      </c>
      <c r="O217" s="56">
        <f>INDEX(Rate_Chart!$A$1:$AK$127,MATCH(Data!K217,Rate_Chart!$A$1:$A$127,0),MATCH(Data!L217,Rate_Chart!$A$1:$AK$1,0))</f>
        <v>34.751112000000006</v>
      </c>
      <c r="P217" s="57">
        <f t="shared" si="57"/>
        <v>104.25333600000002</v>
      </c>
      <c r="Q217" s="58">
        <f t="shared" si="58"/>
        <v>417.01334400000002</v>
      </c>
      <c r="R217" s="58">
        <f t="shared" si="59"/>
        <v>278.00889599999999</v>
      </c>
      <c r="S217" s="66">
        <f t="shared" si="67"/>
        <v>1.8244333800000005</v>
      </c>
      <c r="T217" s="64">
        <f t="shared" si="60"/>
        <v>11.25</v>
      </c>
      <c r="U217" s="66">
        <f t="shared" si="61"/>
        <v>117.32776938000002</v>
      </c>
      <c r="V217" s="68">
        <f t="shared" si="62"/>
        <v>39.109256460000005</v>
      </c>
      <c r="W217" s="68">
        <f t="shared" si="63"/>
        <v>469.31107752000003</v>
      </c>
      <c r="X217" s="68">
        <f t="shared" si="64"/>
        <v>312.87405168000004</v>
      </c>
      <c r="Z217" s="63"/>
      <c r="AA217" s="63"/>
    </row>
    <row r="218" spans="1:27" hidden="1" x14ac:dyDescent="0.25">
      <c r="A218" t="str">
        <f t="shared" si="65"/>
        <v>10620050C28/05/2026M</v>
      </c>
      <c r="B218" s="169" t="s">
        <v>827</v>
      </c>
      <c r="C218" s="61" t="s">
        <v>396</v>
      </c>
      <c r="D218" s="61" t="s">
        <v>591</v>
      </c>
      <c r="E218" s="61" t="s">
        <v>592</v>
      </c>
      <c r="F218" s="1" t="s">
        <v>343</v>
      </c>
      <c r="G218" s="62" t="str">
        <f t="shared" si="66"/>
        <v>60553</v>
      </c>
      <c r="H218" s="1">
        <v>10620050</v>
      </c>
      <c r="I218" s="1" t="s">
        <v>388</v>
      </c>
      <c r="J218" s="61">
        <v>5</v>
      </c>
      <c r="K218" s="61">
        <v>4.0999999999999996</v>
      </c>
      <c r="L218" s="61">
        <v>8.3000000000000007</v>
      </c>
      <c r="M218" s="69">
        <f t="shared" si="55"/>
        <v>0.20499999999999999</v>
      </c>
      <c r="N218" s="69">
        <f t="shared" si="56"/>
        <v>0.41499999999999998</v>
      </c>
      <c r="O218" s="56">
        <f>INDEX(Rate_Chart!$A$1:$AK$127,MATCH(Data!K218,Rate_Chart!$A$1:$A$127,0),MATCH(Data!L218,Rate_Chart!$A$1:$AK$1,0))</f>
        <v>40.172153700000003</v>
      </c>
      <c r="P218" s="57">
        <f t="shared" si="57"/>
        <v>200.86076850000001</v>
      </c>
      <c r="Q218" s="58">
        <f t="shared" si="58"/>
        <v>417.01197612456752</v>
      </c>
      <c r="R218" s="58">
        <f t="shared" si="59"/>
        <v>278.00798408304502</v>
      </c>
      <c r="S218" s="66">
        <f t="shared" si="67"/>
        <v>3.5150634487500003</v>
      </c>
      <c r="T218" s="64">
        <f t="shared" si="60"/>
        <v>18.75</v>
      </c>
      <c r="U218" s="66">
        <f t="shared" si="61"/>
        <v>223.12583194875</v>
      </c>
      <c r="V218" s="68">
        <f t="shared" si="62"/>
        <v>44.625166389749999</v>
      </c>
      <c r="W218" s="68">
        <f t="shared" si="63"/>
        <v>463.23702134688585</v>
      </c>
      <c r="X218" s="68">
        <f t="shared" si="64"/>
        <v>308.82468089792388</v>
      </c>
      <c r="Z218" s="63"/>
      <c r="AA218" s="63"/>
    </row>
    <row r="219" spans="1:27" hidden="1" x14ac:dyDescent="0.25">
      <c r="A219" t="str">
        <f t="shared" si="65"/>
        <v>10620050C28/05/2026M</v>
      </c>
      <c r="B219" s="169" t="s">
        <v>828</v>
      </c>
      <c r="C219" s="61" t="s">
        <v>396</v>
      </c>
      <c r="D219" s="61" t="s">
        <v>591</v>
      </c>
      <c r="E219" s="61" t="s">
        <v>592</v>
      </c>
      <c r="F219" s="1" t="s">
        <v>343</v>
      </c>
      <c r="G219" s="62" t="str">
        <f t="shared" si="66"/>
        <v>60553</v>
      </c>
      <c r="H219" s="1">
        <v>10620050</v>
      </c>
      <c r="I219" s="1" t="s">
        <v>388</v>
      </c>
      <c r="J219" s="61">
        <v>4</v>
      </c>
      <c r="K219" s="61">
        <v>3.3</v>
      </c>
      <c r="L219" s="61">
        <v>8</v>
      </c>
      <c r="M219" s="69">
        <f t="shared" si="55"/>
        <v>0.13200000000000001</v>
      </c>
      <c r="N219" s="69">
        <f t="shared" si="56"/>
        <v>0.32</v>
      </c>
      <c r="O219" s="56">
        <f>INDEX(Rate_Chart!$A$1:$AK$127,MATCH(Data!K219,Rate_Chart!$A$1:$A$127,0),MATCH(Data!L219,Rate_Chart!$A$1:$AK$1,0))</f>
        <v>36.002112000000004</v>
      </c>
      <c r="P219" s="57">
        <f t="shared" si="57"/>
        <v>144.00844800000002</v>
      </c>
      <c r="Q219" s="58">
        <f t="shared" si="58"/>
        <v>417.01288030888031</v>
      </c>
      <c r="R219" s="58">
        <f t="shared" si="59"/>
        <v>278.00858687258687</v>
      </c>
      <c r="S219" s="66">
        <f t="shared" si="67"/>
        <v>2.5201478400000004</v>
      </c>
      <c r="T219" s="64">
        <f t="shared" si="60"/>
        <v>15</v>
      </c>
      <c r="U219" s="66">
        <f t="shared" si="61"/>
        <v>161.52859584000001</v>
      </c>
      <c r="V219" s="68">
        <f t="shared" si="62"/>
        <v>40.382148960000002</v>
      </c>
      <c r="W219" s="68">
        <f t="shared" si="63"/>
        <v>467.74689915057911</v>
      </c>
      <c r="X219" s="68">
        <f t="shared" si="64"/>
        <v>311.83126610038607</v>
      </c>
      <c r="Z219" s="63"/>
      <c r="AA219" s="63"/>
    </row>
    <row r="220" spans="1:27" hidden="1" x14ac:dyDescent="0.25">
      <c r="A220" t="str">
        <f t="shared" si="65"/>
        <v>10620050C22/05/2026E</v>
      </c>
      <c r="B220" s="169" t="s">
        <v>828</v>
      </c>
      <c r="C220" s="61" t="s">
        <v>397</v>
      </c>
      <c r="D220" s="61" t="s">
        <v>591</v>
      </c>
      <c r="E220" s="61" t="s">
        <v>592</v>
      </c>
      <c r="F220" s="1" t="s">
        <v>343</v>
      </c>
      <c r="G220" s="62" t="str">
        <f t="shared" si="66"/>
        <v>60553</v>
      </c>
      <c r="H220" s="1">
        <v>10620050</v>
      </c>
      <c r="I220" s="1" t="s">
        <v>388</v>
      </c>
      <c r="J220" s="61">
        <v>1</v>
      </c>
      <c r="K220" s="61">
        <v>3</v>
      </c>
      <c r="L220" s="61">
        <v>8</v>
      </c>
      <c r="M220" s="69">
        <f t="shared" si="55"/>
        <v>0.03</v>
      </c>
      <c r="N220" s="69">
        <f t="shared" si="56"/>
        <v>0.08</v>
      </c>
      <c r="O220" s="56">
        <f>INDEX(Rate_Chart!$A$1:$AK$127,MATCH(Data!K220,Rate_Chart!$A$1:$A$127,0),MATCH(Data!L220,Rate_Chart!$A$1:$AK$1,0))</f>
        <v>34.751112000000006</v>
      </c>
      <c r="P220" s="57">
        <f t="shared" si="57"/>
        <v>34.751112000000006</v>
      </c>
      <c r="Q220" s="58">
        <f t="shared" si="58"/>
        <v>417.01334400000002</v>
      </c>
      <c r="R220" s="58">
        <f t="shared" si="59"/>
        <v>278.00889599999999</v>
      </c>
      <c r="S220" s="66">
        <f t="shared" si="67"/>
        <v>0.60814446000000022</v>
      </c>
      <c r="T220" s="64">
        <f t="shared" si="60"/>
        <v>3.75</v>
      </c>
      <c r="U220" s="66">
        <f t="shared" si="61"/>
        <v>39.109256460000005</v>
      </c>
      <c r="V220" s="68">
        <f t="shared" si="62"/>
        <v>39.109256460000005</v>
      </c>
      <c r="W220" s="68">
        <f t="shared" si="63"/>
        <v>469.31107752000003</v>
      </c>
      <c r="X220" s="68">
        <f t="shared" si="64"/>
        <v>312.87405168000004</v>
      </c>
      <c r="Z220" s="63"/>
      <c r="AA220" s="63"/>
    </row>
    <row r="221" spans="1:27" hidden="1" x14ac:dyDescent="0.25">
      <c r="A221" t="str">
        <f t="shared" si="65"/>
        <v>10620059B22/05/2026M</v>
      </c>
      <c r="B221" s="169" t="s">
        <v>822</v>
      </c>
      <c r="C221" s="61" t="s">
        <v>396</v>
      </c>
      <c r="D221" s="61" t="s">
        <v>591</v>
      </c>
      <c r="E221" s="61" t="s">
        <v>592</v>
      </c>
      <c r="F221" s="1" t="s">
        <v>344</v>
      </c>
      <c r="G221" s="62" t="str">
        <f t="shared" si="66"/>
        <v>60566</v>
      </c>
      <c r="H221" s="1">
        <v>10620059</v>
      </c>
      <c r="I221" s="1" t="s">
        <v>387</v>
      </c>
      <c r="J221" s="61">
        <v>37</v>
      </c>
      <c r="K221" s="61">
        <v>6.3</v>
      </c>
      <c r="L221" s="61">
        <v>8.8000000000000007</v>
      </c>
      <c r="M221" s="69">
        <f t="shared" si="55"/>
        <v>2.331</v>
      </c>
      <c r="N221" s="69">
        <f t="shared" si="56"/>
        <v>3.2560000000000002</v>
      </c>
      <c r="O221" s="56">
        <v>52.078949999999999</v>
      </c>
      <c r="P221" s="57">
        <f t="shared" si="57"/>
        <v>1926.9211499999999</v>
      </c>
      <c r="Q221" s="58">
        <f t="shared" si="58"/>
        <v>428.04616438356163</v>
      </c>
      <c r="R221" s="58">
        <f t="shared" si="59"/>
        <v>285.36410958904111</v>
      </c>
      <c r="S221" s="66">
        <f t="shared" si="67"/>
        <v>33.721120124999999</v>
      </c>
      <c r="T221" s="64">
        <f t="shared" si="60"/>
        <v>138.75</v>
      </c>
      <c r="U221" s="66">
        <f t="shared" si="61"/>
        <v>2099.3922701249999</v>
      </c>
      <c r="V221" s="68">
        <f t="shared" si="62"/>
        <v>56.740331624999996</v>
      </c>
      <c r="W221" s="68">
        <f t="shared" si="63"/>
        <v>466.35889006849311</v>
      </c>
      <c r="X221" s="68">
        <f t="shared" si="64"/>
        <v>310.90592671232872</v>
      </c>
      <c r="Z221" s="63"/>
      <c r="AA221" s="63"/>
    </row>
    <row r="222" spans="1:27" hidden="1" x14ac:dyDescent="0.25">
      <c r="A222" t="str">
        <f t="shared" si="65"/>
        <v>10620059C22/05/2026M</v>
      </c>
      <c r="B222" s="169" t="s">
        <v>822</v>
      </c>
      <c r="C222" s="61" t="s">
        <v>396</v>
      </c>
      <c r="D222" s="61" t="s">
        <v>591</v>
      </c>
      <c r="E222" s="61" t="s">
        <v>592</v>
      </c>
      <c r="F222" s="1" t="s">
        <v>344</v>
      </c>
      <c r="G222" s="62" t="str">
        <f t="shared" si="66"/>
        <v>60566</v>
      </c>
      <c r="H222" s="1">
        <v>10620059</v>
      </c>
      <c r="I222" s="1" t="s">
        <v>388</v>
      </c>
      <c r="J222" s="61">
        <v>29</v>
      </c>
      <c r="K222" s="61">
        <v>3.8</v>
      </c>
      <c r="L222" s="61">
        <v>8.1</v>
      </c>
      <c r="M222" s="69">
        <f t="shared" si="55"/>
        <v>1.1019999999999999</v>
      </c>
      <c r="N222" s="69">
        <f t="shared" si="56"/>
        <v>2.3489999999999998</v>
      </c>
      <c r="O222" s="56">
        <v>36.433069200000006</v>
      </c>
      <c r="P222" s="57">
        <f t="shared" si="57"/>
        <v>1056.5590068000001</v>
      </c>
      <c r="Q222" s="58">
        <f t="shared" si="58"/>
        <v>396.01162173913048</v>
      </c>
      <c r="R222" s="58">
        <f t="shared" si="59"/>
        <v>264.00774782608698</v>
      </c>
      <c r="S222" s="66">
        <f t="shared" si="67"/>
        <v>18.489782619000003</v>
      </c>
      <c r="T222" s="64">
        <f t="shared" si="60"/>
        <v>108.75</v>
      </c>
      <c r="U222" s="66">
        <f t="shared" si="61"/>
        <v>1183.7987894190001</v>
      </c>
      <c r="V222" s="68">
        <f t="shared" si="62"/>
        <v>40.820647911000002</v>
      </c>
      <c r="W222" s="68">
        <f t="shared" si="63"/>
        <v>443.70269468478261</v>
      </c>
      <c r="X222" s="68">
        <f t="shared" si="64"/>
        <v>295.80179645652174</v>
      </c>
      <c r="Z222" s="63"/>
      <c r="AA222" s="63"/>
    </row>
    <row r="223" spans="1:27" hidden="1" x14ac:dyDescent="0.25">
      <c r="A223" t="str">
        <f t="shared" si="65"/>
        <v>10620059B22/05/2026E</v>
      </c>
      <c r="B223" s="169" t="s">
        <v>822</v>
      </c>
      <c r="C223" s="61" t="s">
        <v>397</v>
      </c>
      <c r="D223" s="61" t="s">
        <v>591</v>
      </c>
      <c r="E223" s="61" t="s">
        <v>592</v>
      </c>
      <c r="F223" s="1" t="s">
        <v>344</v>
      </c>
      <c r="G223" s="62" t="str">
        <f t="shared" si="66"/>
        <v>60566</v>
      </c>
      <c r="H223" s="1">
        <v>10620059</v>
      </c>
      <c r="I223" s="1" t="s">
        <v>387</v>
      </c>
      <c r="J223" s="61">
        <v>40</v>
      </c>
      <c r="K223" s="61">
        <v>6.5</v>
      </c>
      <c r="L223" s="61">
        <v>8.8000000000000007</v>
      </c>
      <c r="M223" s="69">
        <f t="shared" si="55"/>
        <v>2.6</v>
      </c>
      <c r="N223" s="69">
        <f t="shared" si="56"/>
        <v>3.52</v>
      </c>
      <c r="O223" s="56">
        <v>53.732250000000001</v>
      </c>
      <c r="P223" s="57">
        <f t="shared" si="57"/>
        <v>2149.29</v>
      </c>
      <c r="Q223" s="58">
        <f t="shared" si="58"/>
        <v>434.49258760107813</v>
      </c>
      <c r="R223" s="58">
        <f t="shared" si="59"/>
        <v>289.66172506738542</v>
      </c>
      <c r="S223" s="66">
        <f t="shared" si="67"/>
        <v>37.612575</v>
      </c>
      <c r="T223" s="64">
        <f t="shared" si="60"/>
        <v>150</v>
      </c>
      <c r="U223" s="66">
        <f t="shared" si="61"/>
        <v>2336.9025750000001</v>
      </c>
      <c r="V223" s="68">
        <f t="shared" si="62"/>
        <v>58.422564375</v>
      </c>
      <c r="W223" s="68">
        <f t="shared" si="63"/>
        <v>472.41965801886789</v>
      </c>
      <c r="X223" s="68">
        <f t="shared" si="64"/>
        <v>314.94643867924526</v>
      </c>
      <c r="Z223" s="63"/>
      <c r="AA223" s="63"/>
    </row>
    <row r="224" spans="1:27" hidden="1" x14ac:dyDescent="0.25">
      <c r="A224" t="str">
        <f t="shared" si="65"/>
        <v>10620059C23/05/2026E</v>
      </c>
      <c r="B224" s="169" t="s">
        <v>822</v>
      </c>
      <c r="C224" s="61" t="s">
        <v>397</v>
      </c>
      <c r="D224" s="61" t="s">
        <v>591</v>
      </c>
      <c r="E224" s="61" t="s">
        <v>592</v>
      </c>
      <c r="F224" s="1" t="s">
        <v>344</v>
      </c>
      <c r="G224" s="62" t="str">
        <f t="shared" si="66"/>
        <v>60566</v>
      </c>
      <c r="H224" s="1">
        <v>10620059</v>
      </c>
      <c r="I224" s="1" t="s">
        <v>388</v>
      </c>
      <c r="J224" s="61">
        <v>78</v>
      </c>
      <c r="K224" s="61">
        <v>3</v>
      </c>
      <c r="L224" s="61">
        <v>8</v>
      </c>
      <c r="M224" s="69">
        <f t="shared" si="55"/>
        <v>2.34</v>
      </c>
      <c r="N224" s="69">
        <f t="shared" si="56"/>
        <v>6.24</v>
      </c>
      <c r="O224" s="56">
        <v>33.001056000000005</v>
      </c>
      <c r="P224" s="57">
        <f t="shared" si="57"/>
        <v>2574.0823680000003</v>
      </c>
      <c r="Q224" s="58">
        <f t="shared" si="58"/>
        <v>396.01267200000001</v>
      </c>
      <c r="R224" s="58">
        <f t="shared" si="59"/>
        <v>264.00844799999999</v>
      </c>
      <c r="S224" s="66">
        <f t="shared" si="67"/>
        <v>45.046441440000009</v>
      </c>
      <c r="T224" s="64">
        <f t="shared" si="60"/>
        <v>292.5</v>
      </c>
      <c r="U224" s="66">
        <f t="shared" si="61"/>
        <v>2911.6288094400002</v>
      </c>
      <c r="V224" s="68">
        <f t="shared" si="62"/>
        <v>37.32857448</v>
      </c>
      <c r="W224" s="68">
        <f t="shared" si="63"/>
        <v>447.94289375999995</v>
      </c>
      <c r="X224" s="68">
        <f t="shared" si="64"/>
        <v>298.62859583999995</v>
      </c>
      <c r="Z224" s="63"/>
      <c r="AA224" s="63"/>
    </row>
    <row r="225" spans="1:27" hidden="1" x14ac:dyDescent="0.25">
      <c r="A225" t="str">
        <f t="shared" si="65"/>
        <v>10620059B23/05/2026M</v>
      </c>
      <c r="B225" s="169" t="s">
        <v>823</v>
      </c>
      <c r="C225" s="61" t="s">
        <v>396</v>
      </c>
      <c r="D225" s="61" t="s">
        <v>591</v>
      </c>
      <c r="E225" s="61" t="s">
        <v>592</v>
      </c>
      <c r="F225" s="1" t="s">
        <v>344</v>
      </c>
      <c r="G225" s="62" t="str">
        <f t="shared" si="66"/>
        <v>60566</v>
      </c>
      <c r="H225" s="1">
        <v>10620059</v>
      </c>
      <c r="I225" s="1" t="s">
        <v>387</v>
      </c>
      <c r="J225" s="61">
        <v>15</v>
      </c>
      <c r="K225" s="61">
        <v>6.4</v>
      </c>
      <c r="L225" s="61">
        <v>8.4</v>
      </c>
      <c r="M225" s="69">
        <f t="shared" si="55"/>
        <v>0.96</v>
      </c>
      <c r="N225" s="69">
        <f t="shared" si="56"/>
        <v>1.26</v>
      </c>
      <c r="O225" s="56">
        <v>51.836799999999997</v>
      </c>
      <c r="P225" s="57">
        <f t="shared" si="57"/>
        <v>777.55199999999991</v>
      </c>
      <c r="Q225" s="58">
        <f t="shared" si="58"/>
        <v>431.9733333333333</v>
      </c>
      <c r="R225" s="58">
        <f t="shared" si="59"/>
        <v>287.98222222222222</v>
      </c>
      <c r="S225" s="66">
        <f t="shared" si="67"/>
        <v>13.60716</v>
      </c>
      <c r="T225" s="64">
        <f t="shared" si="60"/>
        <v>56.25</v>
      </c>
      <c r="U225" s="66">
        <f t="shared" si="61"/>
        <v>847.40915999999993</v>
      </c>
      <c r="V225" s="68">
        <f t="shared" si="62"/>
        <v>56.493943999999992</v>
      </c>
      <c r="W225" s="68">
        <f t="shared" si="63"/>
        <v>470.78286666666662</v>
      </c>
      <c r="X225" s="68">
        <f t="shared" si="64"/>
        <v>313.85524444444439</v>
      </c>
      <c r="Z225" s="63"/>
      <c r="AA225" s="63"/>
    </row>
    <row r="226" spans="1:27" hidden="1" x14ac:dyDescent="0.25">
      <c r="A226" t="str">
        <f t="shared" si="65"/>
        <v>10620059C23/05/2026M</v>
      </c>
      <c r="B226" s="169" t="s">
        <v>823</v>
      </c>
      <c r="C226" s="61" t="s">
        <v>396</v>
      </c>
      <c r="D226" s="61" t="s">
        <v>591</v>
      </c>
      <c r="E226" s="61" t="s">
        <v>592</v>
      </c>
      <c r="F226" s="1" t="s">
        <v>344</v>
      </c>
      <c r="G226" s="62" t="str">
        <f t="shared" si="66"/>
        <v>60566</v>
      </c>
      <c r="H226" s="1">
        <v>10620059</v>
      </c>
      <c r="I226" s="1" t="s">
        <v>388</v>
      </c>
      <c r="J226" s="61">
        <v>32</v>
      </c>
      <c r="K226" s="61">
        <v>3.6</v>
      </c>
      <c r="L226" s="61">
        <v>8</v>
      </c>
      <c r="M226" s="69">
        <f t="shared" ref="M226:M288" si="68">K226*J226/100</f>
        <v>1.1520000000000001</v>
      </c>
      <c r="N226" s="69">
        <f t="shared" ref="N226:N288" si="69">L226*J226/100</f>
        <v>2.56</v>
      </c>
      <c r="O226" s="56">
        <v>35.377056000000003</v>
      </c>
      <c r="P226" s="57">
        <f t="shared" ref="P226:P288" si="70">O226*J226</f>
        <v>1132.0657920000001</v>
      </c>
      <c r="Q226" s="58">
        <f t="shared" ref="Q226:Q288" si="71">O226/(K226%+L226%*2/3)</f>
        <v>396.01182089552236</v>
      </c>
      <c r="R226" s="58">
        <f t="shared" ref="R226:R288" si="72">Q226*2/3</f>
        <v>264.00788059701489</v>
      </c>
      <c r="S226" s="66">
        <f t="shared" si="67"/>
        <v>19.811151360000004</v>
      </c>
      <c r="T226" s="64">
        <f t="shared" ref="T226:T288" si="73">J226*3.75</f>
        <v>120</v>
      </c>
      <c r="U226" s="66">
        <f t="shared" ref="U226:U288" si="74">S226+T226+P226</f>
        <v>1271.87694336</v>
      </c>
      <c r="V226" s="68">
        <f t="shared" ref="V226:V288" si="75">U226/J226</f>
        <v>39.746154480000001</v>
      </c>
      <c r="W226" s="68">
        <f t="shared" ref="W226:W288" si="76">V226/(K226%+L226%*2/3)</f>
        <v>444.91963970149249</v>
      </c>
      <c r="X226" s="68">
        <f t="shared" ref="X226:X288" si="77">W226*2/3</f>
        <v>296.61309313432832</v>
      </c>
      <c r="Z226" s="63"/>
      <c r="AA226" s="63"/>
    </row>
    <row r="227" spans="1:27" hidden="1" x14ac:dyDescent="0.25">
      <c r="A227" t="str">
        <f t="shared" si="65"/>
        <v>10620059B23/05/2026E</v>
      </c>
      <c r="B227" s="169" t="s">
        <v>823</v>
      </c>
      <c r="C227" s="61" t="s">
        <v>397</v>
      </c>
      <c r="D227" s="61" t="s">
        <v>591</v>
      </c>
      <c r="E227" s="61" t="s">
        <v>592</v>
      </c>
      <c r="F227" s="1" t="s">
        <v>344</v>
      </c>
      <c r="G227" s="62" t="str">
        <f t="shared" si="66"/>
        <v>60566</v>
      </c>
      <c r="H227" s="1">
        <v>10620059</v>
      </c>
      <c r="I227" s="1" t="s">
        <v>387</v>
      </c>
      <c r="J227" s="61">
        <v>21</v>
      </c>
      <c r="K227" s="61">
        <v>6.2</v>
      </c>
      <c r="L227" s="61">
        <v>8.4</v>
      </c>
      <c r="M227" s="69">
        <f t="shared" si="68"/>
        <v>1.3020000000000003</v>
      </c>
      <c r="N227" s="69">
        <f t="shared" si="69"/>
        <v>1.764</v>
      </c>
      <c r="O227" s="56">
        <v>50.216900000000003</v>
      </c>
      <c r="P227" s="57">
        <f t="shared" si="70"/>
        <v>1054.5549000000001</v>
      </c>
      <c r="Q227" s="58">
        <f t="shared" si="71"/>
        <v>425.56694915254241</v>
      </c>
      <c r="R227" s="58">
        <f t="shared" si="72"/>
        <v>283.71129943502825</v>
      </c>
      <c r="S227" s="66">
        <f t="shared" si="67"/>
        <v>18.454710750000004</v>
      </c>
      <c r="T227" s="64">
        <f t="shared" si="73"/>
        <v>78.75</v>
      </c>
      <c r="U227" s="66">
        <f t="shared" si="74"/>
        <v>1151.7596107500001</v>
      </c>
      <c r="V227" s="68">
        <f t="shared" si="75"/>
        <v>54.845695750000004</v>
      </c>
      <c r="W227" s="68">
        <f t="shared" si="76"/>
        <v>464.79403177966105</v>
      </c>
      <c r="X227" s="68">
        <f t="shared" si="77"/>
        <v>309.86268785310739</v>
      </c>
      <c r="Z227" s="63"/>
      <c r="AA227" s="63"/>
    </row>
    <row r="228" spans="1:27" hidden="1" x14ac:dyDescent="0.25">
      <c r="A228" t="str">
        <f t="shared" si="65"/>
        <v>10620059C24/05/2026E</v>
      </c>
      <c r="B228" s="169" t="s">
        <v>823</v>
      </c>
      <c r="C228" s="61" t="s">
        <v>397</v>
      </c>
      <c r="D228" s="61" t="s">
        <v>591</v>
      </c>
      <c r="E228" s="61" t="s">
        <v>592</v>
      </c>
      <c r="F228" s="1" t="s">
        <v>344</v>
      </c>
      <c r="G228" s="62" t="str">
        <f t="shared" si="66"/>
        <v>60566</v>
      </c>
      <c r="H228" s="1">
        <v>10620059</v>
      </c>
      <c r="I228" s="1" t="s">
        <v>388</v>
      </c>
      <c r="J228" s="61">
        <v>76</v>
      </c>
      <c r="K228" s="61">
        <v>3</v>
      </c>
      <c r="L228" s="61">
        <v>8</v>
      </c>
      <c r="M228" s="69">
        <f t="shared" si="68"/>
        <v>2.2799999999999998</v>
      </c>
      <c r="N228" s="69">
        <f t="shared" si="69"/>
        <v>6.08</v>
      </c>
      <c r="O228" s="56">
        <v>33.001056000000005</v>
      </c>
      <c r="P228" s="57">
        <f t="shared" si="70"/>
        <v>2508.0802560000002</v>
      </c>
      <c r="Q228" s="58">
        <f t="shared" si="71"/>
        <v>396.01267200000001</v>
      </c>
      <c r="R228" s="58">
        <f t="shared" si="72"/>
        <v>264.00844799999999</v>
      </c>
      <c r="S228" s="66">
        <f t="shared" si="67"/>
        <v>43.891404480000006</v>
      </c>
      <c r="T228" s="64">
        <f t="shared" si="73"/>
        <v>285</v>
      </c>
      <c r="U228" s="66">
        <f t="shared" si="74"/>
        <v>2836.9716604800001</v>
      </c>
      <c r="V228" s="68">
        <f t="shared" si="75"/>
        <v>37.32857448</v>
      </c>
      <c r="W228" s="68">
        <f t="shared" si="76"/>
        <v>447.94289375999995</v>
      </c>
      <c r="X228" s="68">
        <f t="shared" si="77"/>
        <v>298.62859583999995</v>
      </c>
      <c r="Z228" s="63"/>
      <c r="AA228" s="63"/>
    </row>
    <row r="229" spans="1:27" hidden="1" x14ac:dyDescent="0.25">
      <c r="A229" t="str">
        <f t="shared" si="65"/>
        <v>10620059B24/05/2026M</v>
      </c>
      <c r="B229" s="169" t="s">
        <v>824</v>
      </c>
      <c r="C229" s="61" t="s">
        <v>396</v>
      </c>
      <c r="D229" s="61" t="s">
        <v>591</v>
      </c>
      <c r="E229" s="61" t="s">
        <v>592</v>
      </c>
      <c r="F229" s="1" t="s">
        <v>344</v>
      </c>
      <c r="G229" s="62" t="str">
        <f t="shared" si="66"/>
        <v>60566</v>
      </c>
      <c r="H229" s="1">
        <v>10620059</v>
      </c>
      <c r="I229" s="1" t="s">
        <v>387</v>
      </c>
      <c r="J229" s="61">
        <v>8</v>
      </c>
      <c r="K229" s="61">
        <v>6.9</v>
      </c>
      <c r="L229" s="61">
        <v>8.8000000000000007</v>
      </c>
      <c r="M229" s="69">
        <f t="shared" si="68"/>
        <v>0.55200000000000005</v>
      </c>
      <c r="N229" s="69">
        <f t="shared" si="69"/>
        <v>0.70400000000000007</v>
      </c>
      <c r="O229" s="56">
        <v>57.038850000000004</v>
      </c>
      <c r="P229" s="57">
        <f t="shared" si="70"/>
        <v>456.31080000000003</v>
      </c>
      <c r="Q229" s="58">
        <f t="shared" si="71"/>
        <v>446.77950391644907</v>
      </c>
      <c r="R229" s="58">
        <f t="shared" si="72"/>
        <v>297.85300261096603</v>
      </c>
      <c r="S229" s="66">
        <f t="shared" si="67"/>
        <v>7.9854390000000013</v>
      </c>
      <c r="T229" s="64">
        <f t="shared" si="73"/>
        <v>30</v>
      </c>
      <c r="U229" s="66">
        <f t="shared" si="74"/>
        <v>494.29623900000001</v>
      </c>
      <c r="V229" s="68">
        <f t="shared" si="75"/>
        <v>61.787029875000002</v>
      </c>
      <c r="W229" s="68">
        <f t="shared" si="76"/>
        <v>483.97151338120102</v>
      </c>
      <c r="X229" s="68">
        <f t="shared" si="77"/>
        <v>322.64767558746735</v>
      </c>
      <c r="Z229" s="63"/>
      <c r="AA229" s="63"/>
    </row>
    <row r="230" spans="1:27" hidden="1" x14ac:dyDescent="0.25">
      <c r="A230" t="str">
        <f t="shared" si="65"/>
        <v>10620059B24/05/2026E</v>
      </c>
      <c r="B230" s="169" t="s">
        <v>824</v>
      </c>
      <c r="C230" s="61" t="s">
        <v>397</v>
      </c>
      <c r="D230" s="61" t="s">
        <v>591</v>
      </c>
      <c r="E230" s="61" t="s">
        <v>592</v>
      </c>
      <c r="F230" s="1" t="s">
        <v>344</v>
      </c>
      <c r="G230" s="62" t="str">
        <f t="shared" si="66"/>
        <v>60566</v>
      </c>
      <c r="H230" s="1">
        <v>10620059</v>
      </c>
      <c r="I230" s="1" t="s">
        <v>387</v>
      </c>
      <c r="J230" s="61">
        <v>34</v>
      </c>
      <c r="K230" s="61">
        <v>6</v>
      </c>
      <c r="L230" s="61">
        <v>8.6</v>
      </c>
      <c r="M230" s="69">
        <f t="shared" si="68"/>
        <v>2.04</v>
      </c>
      <c r="N230" s="69">
        <f t="shared" si="69"/>
        <v>2.9239999999999999</v>
      </c>
      <c r="O230" s="56">
        <v>49.097999999999999</v>
      </c>
      <c r="P230" s="57">
        <f t="shared" si="70"/>
        <v>1669.3319999999999</v>
      </c>
      <c r="Q230" s="58">
        <f t="shared" si="71"/>
        <v>418.44886363636368</v>
      </c>
      <c r="R230" s="58">
        <f t="shared" si="72"/>
        <v>278.96590909090912</v>
      </c>
      <c r="S230" s="66">
        <f t="shared" si="67"/>
        <v>29.21331</v>
      </c>
      <c r="T230" s="64">
        <f t="shared" si="73"/>
        <v>127.5</v>
      </c>
      <c r="U230" s="66">
        <f t="shared" si="74"/>
        <v>1826.04531</v>
      </c>
      <c r="V230" s="68">
        <f t="shared" si="75"/>
        <v>53.707214999999998</v>
      </c>
      <c r="W230" s="68">
        <f t="shared" si="76"/>
        <v>457.7319460227273</v>
      </c>
      <c r="X230" s="68">
        <f t="shared" si="77"/>
        <v>305.15463068181822</v>
      </c>
      <c r="Z230" s="63"/>
      <c r="AA230" s="63"/>
    </row>
    <row r="231" spans="1:27" hidden="1" x14ac:dyDescent="0.25">
      <c r="A231" t="str">
        <f t="shared" si="65"/>
        <v>10620059C25/05/2026E</v>
      </c>
      <c r="B231" s="169" t="s">
        <v>824</v>
      </c>
      <c r="C231" s="61" t="s">
        <v>397</v>
      </c>
      <c r="D231" s="61" t="s">
        <v>591</v>
      </c>
      <c r="E231" s="61" t="s">
        <v>592</v>
      </c>
      <c r="F231" s="1" t="s">
        <v>344</v>
      </c>
      <c r="G231" s="62" t="str">
        <f t="shared" si="66"/>
        <v>60566</v>
      </c>
      <c r="H231" s="1">
        <v>10620059</v>
      </c>
      <c r="I231" s="1" t="s">
        <v>388</v>
      </c>
      <c r="J231" s="61">
        <v>73</v>
      </c>
      <c r="K231" s="61">
        <v>3</v>
      </c>
      <c r="L231" s="61">
        <v>8</v>
      </c>
      <c r="M231" s="69">
        <f t="shared" si="68"/>
        <v>2.19</v>
      </c>
      <c r="N231" s="69">
        <f t="shared" si="69"/>
        <v>5.84</v>
      </c>
      <c r="O231" s="56">
        <v>33.001056000000005</v>
      </c>
      <c r="P231" s="57">
        <f t="shared" si="70"/>
        <v>2409.0770880000005</v>
      </c>
      <c r="Q231" s="58">
        <f t="shared" si="71"/>
        <v>396.01267200000001</v>
      </c>
      <c r="R231" s="58">
        <f t="shared" si="72"/>
        <v>264.00844799999999</v>
      </c>
      <c r="S231" s="66">
        <f t="shared" si="67"/>
        <v>42.158849040000014</v>
      </c>
      <c r="T231" s="64">
        <f t="shared" si="73"/>
        <v>273.75</v>
      </c>
      <c r="U231" s="66">
        <f t="shared" si="74"/>
        <v>2724.9859370400004</v>
      </c>
      <c r="V231" s="68">
        <f t="shared" si="75"/>
        <v>37.328574480000007</v>
      </c>
      <c r="W231" s="68">
        <f t="shared" si="76"/>
        <v>447.94289376000006</v>
      </c>
      <c r="X231" s="68">
        <f t="shared" si="77"/>
        <v>298.62859584000006</v>
      </c>
      <c r="Z231" s="63"/>
      <c r="AA231" s="63"/>
    </row>
    <row r="232" spans="1:27" hidden="1" x14ac:dyDescent="0.25">
      <c r="A232" t="str">
        <f t="shared" si="65"/>
        <v>10620059B25/05/2026M</v>
      </c>
      <c r="B232" s="169" t="s">
        <v>825</v>
      </c>
      <c r="C232" s="61" t="s">
        <v>396</v>
      </c>
      <c r="D232" s="61" t="s">
        <v>591</v>
      </c>
      <c r="E232" s="61" t="s">
        <v>592</v>
      </c>
      <c r="F232" s="1" t="s">
        <v>344</v>
      </c>
      <c r="G232" s="62" t="str">
        <f t="shared" si="66"/>
        <v>60566</v>
      </c>
      <c r="H232" s="1">
        <v>10620059</v>
      </c>
      <c r="I232" s="1" t="s">
        <v>387</v>
      </c>
      <c r="J232" s="61">
        <v>17</v>
      </c>
      <c r="K232" s="61">
        <v>7.7</v>
      </c>
      <c r="L232" s="61">
        <v>8.8000000000000007</v>
      </c>
      <c r="M232" s="69">
        <f t="shared" si="68"/>
        <v>1.3090000000000002</v>
      </c>
      <c r="N232" s="69">
        <f t="shared" si="69"/>
        <v>1.4960000000000002</v>
      </c>
      <c r="O232" s="56">
        <v>63.652050000000003</v>
      </c>
      <c r="P232" s="57">
        <f t="shared" si="70"/>
        <v>1082.08485</v>
      </c>
      <c r="Q232" s="58">
        <f t="shared" si="71"/>
        <v>469.17972972972979</v>
      </c>
      <c r="R232" s="58">
        <f t="shared" si="72"/>
        <v>312.78648648648652</v>
      </c>
      <c r="S232" s="66">
        <f t="shared" si="67"/>
        <v>18.936484875000001</v>
      </c>
      <c r="T232" s="64">
        <f t="shared" si="73"/>
        <v>63.75</v>
      </c>
      <c r="U232" s="66">
        <f t="shared" si="74"/>
        <v>1164.7713348749999</v>
      </c>
      <c r="V232" s="68">
        <f t="shared" si="75"/>
        <v>68.51596087499999</v>
      </c>
      <c r="W232" s="68">
        <f t="shared" si="76"/>
        <v>505.03165264127762</v>
      </c>
      <c r="X232" s="68">
        <f t="shared" si="77"/>
        <v>336.68776842751839</v>
      </c>
      <c r="Z232" s="63"/>
      <c r="AA232" s="63"/>
    </row>
    <row r="233" spans="1:27" hidden="1" x14ac:dyDescent="0.25">
      <c r="A233" t="str">
        <f t="shared" si="65"/>
        <v>10620059C26/05/2026E</v>
      </c>
      <c r="B233" s="169" t="s">
        <v>825</v>
      </c>
      <c r="C233" s="61" t="s">
        <v>397</v>
      </c>
      <c r="D233" s="61" t="s">
        <v>591</v>
      </c>
      <c r="E233" s="61" t="s">
        <v>592</v>
      </c>
      <c r="F233" s="1" t="s">
        <v>344</v>
      </c>
      <c r="G233" s="62" t="str">
        <f t="shared" si="66"/>
        <v>60566</v>
      </c>
      <c r="H233" s="1">
        <v>10620059</v>
      </c>
      <c r="I233" s="1" t="s">
        <v>388</v>
      </c>
      <c r="J233" s="61">
        <v>41</v>
      </c>
      <c r="K233" s="61">
        <v>3.2</v>
      </c>
      <c r="L233" s="61">
        <v>8.1</v>
      </c>
      <c r="M233" s="69">
        <f t="shared" si="68"/>
        <v>1.3120000000000003</v>
      </c>
      <c r="N233" s="69">
        <f t="shared" si="69"/>
        <v>3.3209999999999997</v>
      </c>
      <c r="O233" s="56">
        <v>34.057069200000001</v>
      </c>
      <c r="P233" s="57">
        <f t="shared" si="70"/>
        <v>1396.3398372000001</v>
      </c>
      <c r="Q233" s="58">
        <f t="shared" si="71"/>
        <v>396.01243255813955</v>
      </c>
      <c r="R233" s="58">
        <f t="shared" si="72"/>
        <v>264.00828837209303</v>
      </c>
      <c r="S233" s="66">
        <f t="shared" si="67"/>
        <v>24.435947151000004</v>
      </c>
      <c r="T233" s="64">
        <f t="shared" si="73"/>
        <v>153.75</v>
      </c>
      <c r="U233" s="66">
        <f t="shared" si="74"/>
        <v>1574.5257843510001</v>
      </c>
      <c r="V233" s="68">
        <f t="shared" si="75"/>
        <v>38.403067911000001</v>
      </c>
      <c r="W233" s="68">
        <f t="shared" si="76"/>
        <v>446.5473012906977</v>
      </c>
      <c r="X233" s="68">
        <f t="shared" si="77"/>
        <v>297.69820086046514</v>
      </c>
      <c r="Z233" s="63"/>
      <c r="AA233" s="63"/>
    </row>
    <row r="234" spans="1:27" hidden="1" x14ac:dyDescent="0.25">
      <c r="A234" t="str">
        <f t="shared" si="65"/>
        <v>10620059B26/05/2026M</v>
      </c>
      <c r="B234" s="169" t="s">
        <v>826</v>
      </c>
      <c r="C234" s="61" t="s">
        <v>396</v>
      </c>
      <c r="D234" s="61" t="s">
        <v>591</v>
      </c>
      <c r="E234" s="61" t="s">
        <v>592</v>
      </c>
      <c r="F234" s="1" t="s">
        <v>344</v>
      </c>
      <c r="G234" s="62" t="str">
        <f t="shared" si="66"/>
        <v>60566</v>
      </c>
      <c r="H234" s="1">
        <v>10620059</v>
      </c>
      <c r="I234" s="1" t="s">
        <v>387</v>
      </c>
      <c r="J234" s="61">
        <v>28</v>
      </c>
      <c r="K234" s="61">
        <v>6.3</v>
      </c>
      <c r="L234" s="61">
        <v>8.8000000000000007</v>
      </c>
      <c r="M234" s="69">
        <f t="shared" si="68"/>
        <v>1.764</v>
      </c>
      <c r="N234" s="69">
        <f t="shared" si="69"/>
        <v>2.4640000000000004</v>
      </c>
      <c r="O234" s="56">
        <f>INDEX(Rate_Chart!$A$1:$AK$127,MATCH(Data!K234,Rate_Chart!$A$1:$A$127,0),MATCH(Data!L234,Rate_Chart!$A$1:$AK$1,0))</f>
        <v>52.078949999999999</v>
      </c>
      <c r="P234" s="57">
        <f t="shared" si="70"/>
        <v>1458.2105999999999</v>
      </c>
      <c r="Q234" s="58">
        <f t="shared" si="71"/>
        <v>428.04616438356163</v>
      </c>
      <c r="R234" s="58">
        <f t="shared" si="72"/>
        <v>285.36410958904111</v>
      </c>
      <c r="S234" s="66">
        <f t="shared" si="67"/>
        <v>25.5186855</v>
      </c>
      <c r="T234" s="64">
        <f t="shared" si="73"/>
        <v>105</v>
      </c>
      <c r="U234" s="66">
        <f t="shared" si="74"/>
        <v>1588.7292854999998</v>
      </c>
      <c r="V234" s="68">
        <f t="shared" si="75"/>
        <v>56.740331624999996</v>
      </c>
      <c r="W234" s="68">
        <f t="shared" si="76"/>
        <v>466.35889006849311</v>
      </c>
      <c r="X234" s="68">
        <f t="shared" si="77"/>
        <v>310.90592671232872</v>
      </c>
      <c r="Z234" s="63"/>
      <c r="AA234" s="63"/>
    </row>
    <row r="235" spans="1:27" hidden="1" x14ac:dyDescent="0.25">
      <c r="A235" t="str">
        <f t="shared" si="65"/>
        <v>10620059B26/05/2026E</v>
      </c>
      <c r="B235" s="169" t="s">
        <v>826</v>
      </c>
      <c r="C235" s="61" t="s">
        <v>397</v>
      </c>
      <c r="D235" s="61" t="s">
        <v>591</v>
      </c>
      <c r="E235" s="61" t="s">
        <v>592</v>
      </c>
      <c r="F235" s="1" t="s">
        <v>344</v>
      </c>
      <c r="G235" s="62" t="str">
        <f t="shared" si="66"/>
        <v>60566</v>
      </c>
      <c r="H235" s="1">
        <v>10620059</v>
      </c>
      <c r="I235" s="1" t="s">
        <v>387</v>
      </c>
      <c r="J235" s="61">
        <v>40</v>
      </c>
      <c r="K235" s="61">
        <v>6</v>
      </c>
      <c r="L235" s="61">
        <v>9</v>
      </c>
      <c r="M235" s="69">
        <f t="shared" si="68"/>
        <v>2.4</v>
      </c>
      <c r="N235" s="69">
        <f t="shared" si="69"/>
        <v>3.6</v>
      </c>
      <c r="O235" s="56">
        <f>INDEX(Rate_Chart!$A$1:$AK$127,MATCH(Data!K235,Rate_Chart!$A$1:$A$127,0),MATCH(Data!L235,Rate_Chart!$A$1:$AK$1,0))</f>
        <v>50.1</v>
      </c>
      <c r="P235" s="57">
        <f t="shared" si="70"/>
        <v>2004</v>
      </c>
      <c r="Q235" s="58">
        <f t="shared" si="71"/>
        <v>417.5</v>
      </c>
      <c r="R235" s="58">
        <f t="shared" si="72"/>
        <v>278.33333333333331</v>
      </c>
      <c r="S235" s="66">
        <f t="shared" si="67"/>
        <v>35.07</v>
      </c>
      <c r="T235" s="64">
        <f t="shared" si="73"/>
        <v>150</v>
      </c>
      <c r="U235" s="66">
        <f t="shared" si="74"/>
        <v>2189.0700000000002</v>
      </c>
      <c r="V235" s="68">
        <f t="shared" si="75"/>
        <v>54.726750000000003</v>
      </c>
      <c r="W235" s="68">
        <f t="shared" si="76"/>
        <v>456.05625000000003</v>
      </c>
      <c r="X235" s="68">
        <f t="shared" si="77"/>
        <v>304.03750000000002</v>
      </c>
      <c r="Z235" s="63"/>
      <c r="AA235" s="63"/>
    </row>
    <row r="236" spans="1:27" hidden="1" x14ac:dyDescent="0.25">
      <c r="A236" t="str">
        <f t="shared" si="65"/>
        <v>10620059C27/05/2026E</v>
      </c>
      <c r="B236" s="169" t="s">
        <v>826</v>
      </c>
      <c r="C236" s="61" t="s">
        <v>397</v>
      </c>
      <c r="D236" s="61" t="s">
        <v>591</v>
      </c>
      <c r="E236" s="61" t="s">
        <v>592</v>
      </c>
      <c r="F236" s="1" t="s">
        <v>344</v>
      </c>
      <c r="G236" s="62" t="str">
        <f t="shared" si="66"/>
        <v>60566</v>
      </c>
      <c r="H236" s="1">
        <v>10620059</v>
      </c>
      <c r="I236" s="1" t="s">
        <v>388</v>
      </c>
      <c r="J236" s="61">
        <v>68</v>
      </c>
      <c r="K236" s="61">
        <v>3.2</v>
      </c>
      <c r="L236" s="61">
        <v>8.1999999999999993</v>
      </c>
      <c r="M236" s="69">
        <f t="shared" si="68"/>
        <v>2.1760000000000002</v>
      </c>
      <c r="N236" s="69">
        <f t="shared" si="69"/>
        <v>5.5759999999999987</v>
      </c>
      <c r="O236" s="56">
        <f>INDEX(Rate_Chart!$A$1:$AK$127,MATCH(Data!K236,Rate_Chart!$A$1:$A$127,0),MATCH(Data!L236,Rate_Chart!$A$1:$AK$1,0))</f>
        <v>36.141139799999998</v>
      </c>
      <c r="P236" s="57">
        <f t="shared" si="70"/>
        <v>2457.5975063999999</v>
      </c>
      <c r="Q236" s="58">
        <f t="shared" si="71"/>
        <v>417.0131515384615</v>
      </c>
      <c r="R236" s="58">
        <f t="shared" si="72"/>
        <v>278.00876769230769</v>
      </c>
      <c r="S236" s="66">
        <f t="shared" si="67"/>
        <v>43.007956362000002</v>
      </c>
      <c r="T236" s="64">
        <f t="shared" si="73"/>
        <v>255</v>
      </c>
      <c r="U236" s="66">
        <f t="shared" si="74"/>
        <v>2755.6054627620001</v>
      </c>
      <c r="V236" s="68">
        <f t="shared" si="75"/>
        <v>40.5236097465</v>
      </c>
      <c r="W236" s="68">
        <f t="shared" si="76"/>
        <v>467.58011245961535</v>
      </c>
      <c r="X236" s="68">
        <f t="shared" si="77"/>
        <v>311.72007497307692</v>
      </c>
      <c r="Z236" s="63"/>
      <c r="AA236" s="63"/>
    </row>
    <row r="237" spans="1:27" hidden="1" x14ac:dyDescent="0.25">
      <c r="A237" t="str">
        <f t="shared" si="65"/>
        <v>10620059B27/05/2026M</v>
      </c>
      <c r="B237" s="169" t="s">
        <v>827</v>
      </c>
      <c r="C237" s="61" t="s">
        <v>396</v>
      </c>
      <c r="D237" s="61" t="s">
        <v>591</v>
      </c>
      <c r="E237" s="61" t="s">
        <v>592</v>
      </c>
      <c r="F237" s="1" t="s">
        <v>344</v>
      </c>
      <c r="G237" s="62" t="str">
        <f t="shared" si="66"/>
        <v>60566</v>
      </c>
      <c r="H237" s="1">
        <v>10620059</v>
      </c>
      <c r="I237" s="1" t="s">
        <v>387</v>
      </c>
      <c r="J237" s="61">
        <v>11</v>
      </c>
      <c r="K237" s="61">
        <v>7.6</v>
      </c>
      <c r="L237" s="61">
        <v>9</v>
      </c>
      <c r="M237" s="69">
        <f t="shared" si="68"/>
        <v>0.83599999999999997</v>
      </c>
      <c r="N237" s="69">
        <f t="shared" si="69"/>
        <v>0.99</v>
      </c>
      <c r="O237" s="56">
        <f>INDEX(Rate_Chart!$A$1:$AK$127,MATCH(Data!K237,Rate_Chart!$A$1:$A$127,0),MATCH(Data!L237,Rate_Chart!$A$1:$AK$1,0))</f>
        <v>63.46</v>
      </c>
      <c r="P237" s="57">
        <f t="shared" si="70"/>
        <v>698.06000000000006</v>
      </c>
      <c r="Q237" s="58">
        <f t="shared" si="71"/>
        <v>466.61764705882348</v>
      </c>
      <c r="R237" s="58">
        <f t="shared" si="72"/>
        <v>311.07843137254901</v>
      </c>
      <c r="S237" s="66">
        <f t="shared" si="67"/>
        <v>12.216050000000003</v>
      </c>
      <c r="T237" s="64">
        <f t="shared" si="73"/>
        <v>41.25</v>
      </c>
      <c r="U237" s="66">
        <f t="shared" si="74"/>
        <v>751.52605000000005</v>
      </c>
      <c r="V237" s="68">
        <f t="shared" si="75"/>
        <v>68.320550000000011</v>
      </c>
      <c r="W237" s="68">
        <f t="shared" si="76"/>
        <v>502.35698529411769</v>
      </c>
      <c r="X237" s="68">
        <f t="shared" si="77"/>
        <v>334.90465686274513</v>
      </c>
      <c r="Z237" s="63"/>
      <c r="AA237" s="63"/>
    </row>
    <row r="238" spans="1:27" hidden="1" x14ac:dyDescent="0.25">
      <c r="A238" t="str">
        <f t="shared" si="65"/>
        <v>10620059B27/05/2026E</v>
      </c>
      <c r="B238" s="169" t="s">
        <v>827</v>
      </c>
      <c r="C238" s="61" t="s">
        <v>397</v>
      </c>
      <c r="D238" s="61" t="s">
        <v>591</v>
      </c>
      <c r="E238" s="61" t="s">
        <v>592</v>
      </c>
      <c r="F238" s="1" t="s">
        <v>344</v>
      </c>
      <c r="G238" s="62" t="str">
        <f t="shared" si="66"/>
        <v>60566</v>
      </c>
      <c r="H238" s="1">
        <v>10620059</v>
      </c>
      <c r="I238" s="1" t="s">
        <v>387</v>
      </c>
      <c r="J238" s="61">
        <v>8</v>
      </c>
      <c r="K238" s="61">
        <v>6.2</v>
      </c>
      <c r="L238" s="61">
        <v>9</v>
      </c>
      <c r="M238" s="69">
        <f t="shared" si="68"/>
        <v>0.496</v>
      </c>
      <c r="N238" s="69">
        <f t="shared" si="69"/>
        <v>0.72</v>
      </c>
      <c r="O238" s="56">
        <f>INDEX(Rate_Chart!$A$1:$AK$127,MATCH(Data!K238,Rate_Chart!$A$1:$A$127,0),MATCH(Data!L238,Rate_Chart!$A$1:$AK$1,0))</f>
        <v>51.77</v>
      </c>
      <c r="P238" s="57">
        <f t="shared" si="70"/>
        <v>414.16</v>
      </c>
      <c r="Q238" s="58">
        <f t="shared" si="71"/>
        <v>424.34426229508199</v>
      </c>
      <c r="R238" s="58">
        <f t="shared" si="72"/>
        <v>282.89617486338801</v>
      </c>
      <c r="S238" s="66">
        <f t="shared" si="67"/>
        <v>7.2478000000000007</v>
      </c>
      <c r="T238" s="64">
        <f t="shared" si="73"/>
        <v>30</v>
      </c>
      <c r="U238" s="66">
        <f t="shared" si="74"/>
        <v>451.40780000000001</v>
      </c>
      <c r="V238" s="68">
        <f t="shared" si="75"/>
        <v>56.425975000000001</v>
      </c>
      <c r="W238" s="68">
        <f t="shared" si="76"/>
        <v>462.50799180327868</v>
      </c>
      <c r="X238" s="68">
        <f t="shared" si="77"/>
        <v>308.33866120218579</v>
      </c>
      <c r="Z238" s="63"/>
      <c r="AA238" s="63"/>
    </row>
    <row r="239" spans="1:27" hidden="1" x14ac:dyDescent="0.25">
      <c r="A239" t="str">
        <f t="shared" si="65"/>
        <v>10620059C28/05/2026E</v>
      </c>
      <c r="B239" s="169" t="s">
        <v>827</v>
      </c>
      <c r="C239" s="61" t="s">
        <v>397</v>
      </c>
      <c r="D239" s="61" t="s">
        <v>591</v>
      </c>
      <c r="E239" s="61" t="s">
        <v>592</v>
      </c>
      <c r="F239" s="1" t="s">
        <v>344</v>
      </c>
      <c r="G239" s="62" t="str">
        <f t="shared" si="66"/>
        <v>60566</v>
      </c>
      <c r="H239" s="1">
        <v>10620059</v>
      </c>
      <c r="I239" s="1" t="s">
        <v>388</v>
      </c>
      <c r="J239" s="61">
        <v>33</v>
      </c>
      <c r="K239" s="61">
        <v>3.3</v>
      </c>
      <c r="L239" s="61">
        <v>8.1</v>
      </c>
      <c r="M239" s="69">
        <f t="shared" si="68"/>
        <v>1.089</v>
      </c>
      <c r="N239" s="69">
        <f t="shared" si="69"/>
        <v>2.673</v>
      </c>
      <c r="O239" s="56">
        <f>INDEX(Rate_Chart!$A$1:$AK$127,MATCH(Data!K239,Rate_Chart!$A$1:$A$127,0),MATCH(Data!L239,Rate_Chart!$A$1:$AK$1,0))</f>
        <v>36.280125900000002</v>
      </c>
      <c r="P239" s="57">
        <f t="shared" si="70"/>
        <v>1197.2441547000001</v>
      </c>
      <c r="Q239" s="58">
        <f t="shared" si="71"/>
        <v>417.0129413793104</v>
      </c>
      <c r="R239" s="58">
        <f t="shared" si="72"/>
        <v>278.00862758620696</v>
      </c>
      <c r="S239" s="66">
        <f t="shared" si="67"/>
        <v>20.951772707250004</v>
      </c>
      <c r="T239" s="64">
        <f t="shared" si="73"/>
        <v>123.75</v>
      </c>
      <c r="U239" s="66">
        <f t="shared" si="74"/>
        <v>1341.9459274072501</v>
      </c>
      <c r="V239" s="68">
        <f t="shared" si="75"/>
        <v>40.665028103250002</v>
      </c>
      <c r="W239" s="68">
        <f t="shared" si="76"/>
        <v>467.4141161293104</v>
      </c>
      <c r="X239" s="68">
        <f t="shared" si="77"/>
        <v>311.6094107528736</v>
      </c>
      <c r="Z239" s="63"/>
      <c r="AA239" s="63"/>
    </row>
    <row r="240" spans="1:27" hidden="1" x14ac:dyDescent="0.25">
      <c r="A240" t="str">
        <f t="shared" si="65"/>
        <v>10620059C28/05/2026M</v>
      </c>
      <c r="B240" s="169" t="s">
        <v>828</v>
      </c>
      <c r="C240" s="61" t="s">
        <v>396</v>
      </c>
      <c r="D240" s="61" t="s">
        <v>591</v>
      </c>
      <c r="E240" s="61" t="s">
        <v>592</v>
      </c>
      <c r="F240" s="1" t="s">
        <v>344</v>
      </c>
      <c r="G240" s="62" t="str">
        <f t="shared" si="66"/>
        <v>60566</v>
      </c>
      <c r="H240" s="1">
        <v>10620059</v>
      </c>
      <c r="I240" s="1" t="s">
        <v>388</v>
      </c>
      <c r="J240" s="61">
        <v>12</v>
      </c>
      <c r="K240" s="61">
        <v>3.2</v>
      </c>
      <c r="L240" s="61">
        <v>8.1</v>
      </c>
      <c r="M240" s="69">
        <f t="shared" si="68"/>
        <v>0.38400000000000006</v>
      </c>
      <c r="N240" s="69">
        <f t="shared" si="69"/>
        <v>0.97199999999999986</v>
      </c>
      <c r="O240" s="56">
        <f>INDEX(Rate_Chart!$A$1:$AK$127,MATCH(Data!K240,Rate_Chart!$A$1:$A$127,0),MATCH(Data!L240,Rate_Chart!$A$1:$AK$1,0))</f>
        <v>35.8631259</v>
      </c>
      <c r="P240" s="57">
        <f t="shared" si="70"/>
        <v>430.3575108</v>
      </c>
      <c r="Q240" s="58">
        <f t="shared" si="71"/>
        <v>417.01309186046512</v>
      </c>
      <c r="R240" s="58">
        <f t="shared" si="72"/>
        <v>278.00872790697673</v>
      </c>
      <c r="S240" s="66">
        <f t="shared" si="67"/>
        <v>7.5312564390000007</v>
      </c>
      <c r="T240" s="64">
        <f t="shared" si="73"/>
        <v>45</v>
      </c>
      <c r="U240" s="66">
        <f t="shared" si="74"/>
        <v>482.888767239</v>
      </c>
      <c r="V240" s="68">
        <f t="shared" si="75"/>
        <v>40.24073060325</v>
      </c>
      <c r="W240" s="68">
        <f t="shared" si="76"/>
        <v>467.91547213081401</v>
      </c>
      <c r="X240" s="68">
        <f t="shared" si="77"/>
        <v>311.94364808720934</v>
      </c>
      <c r="Z240" s="63"/>
      <c r="AA240" s="63"/>
    </row>
    <row r="241" spans="1:27" hidden="1" x14ac:dyDescent="0.25">
      <c r="A241" t="str">
        <f t="shared" si="65"/>
        <v>10620059C22/05/2026E</v>
      </c>
      <c r="B241" s="169" t="s">
        <v>828</v>
      </c>
      <c r="C241" s="61" t="s">
        <v>397</v>
      </c>
      <c r="D241" s="61" t="s">
        <v>591</v>
      </c>
      <c r="E241" s="61" t="s">
        <v>592</v>
      </c>
      <c r="F241" s="1" t="s">
        <v>344</v>
      </c>
      <c r="G241" s="62" t="str">
        <f t="shared" si="66"/>
        <v>60566</v>
      </c>
      <c r="H241" s="1">
        <v>10620059</v>
      </c>
      <c r="I241" s="1" t="s">
        <v>388</v>
      </c>
      <c r="J241" s="61">
        <v>114</v>
      </c>
      <c r="K241" s="61">
        <v>3.3</v>
      </c>
      <c r="L241" s="61">
        <v>8.1</v>
      </c>
      <c r="M241" s="69">
        <f t="shared" si="68"/>
        <v>3.762</v>
      </c>
      <c r="N241" s="69">
        <f t="shared" si="69"/>
        <v>9.234</v>
      </c>
      <c r="O241" s="56">
        <f>INDEX(Rate_Chart!$A$1:$AK$127,MATCH(Data!K241,Rate_Chart!$A$1:$A$127,0),MATCH(Data!L241,Rate_Chart!$A$1:$AK$1,0))</f>
        <v>36.280125900000002</v>
      </c>
      <c r="P241" s="57">
        <f t="shared" si="70"/>
        <v>4135.9343526000002</v>
      </c>
      <c r="Q241" s="58">
        <f t="shared" si="71"/>
        <v>417.0129413793104</v>
      </c>
      <c r="R241" s="58">
        <f t="shared" si="72"/>
        <v>278.00862758620696</v>
      </c>
      <c r="S241" s="66">
        <f t="shared" si="67"/>
        <v>72.378851170500013</v>
      </c>
      <c r="T241" s="64">
        <f t="shared" si="73"/>
        <v>427.5</v>
      </c>
      <c r="U241" s="66">
        <f t="shared" si="74"/>
        <v>4635.8132037705</v>
      </c>
      <c r="V241" s="68">
        <f t="shared" si="75"/>
        <v>40.665028103250002</v>
      </c>
      <c r="W241" s="68">
        <f t="shared" si="76"/>
        <v>467.4141161293104</v>
      </c>
      <c r="X241" s="68">
        <f t="shared" si="77"/>
        <v>311.6094107528736</v>
      </c>
      <c r="Z241" s="63"/>
      <c r="AA241" s="63"/>
    </row>
    <row r="242" spans="1:27" hidden="1" x14ac:dyDescent="0.25">
      <c r="A242" t="str">
        <f t="shared" si="65"/>
        <v>10620067B22/05/2026M</v>
      </c>
      <c r="B242" s="169" t="s">
        <v>822</v>
      </c>
      <c r="C242" s="61" t="s">
        <v>396</v>
      </c>
      <c r="D242" s="61" t="s">
        <v>591</v>
      </c>
      <c r="E242" s="61" t="s">
        <v>592</v>
      </c>
      <c r="F242" s="1" t="s">
        <v>345</v>
      </c>
      <c r="G242" s="62" t="str">
        <f t="shared" si="66"/>
        <v>60573</v>
      </c>
      <c r="H242" s="1">
        <v>10620067</v>
      </c>
      <c r="I242" s="1" t="s">
        <v>387</v>
      </c>
      <c r="J242" s="61">
        <v>81</v>
      </c>
      <c r="K242" s="61">
        <v>6.7</v>
      </c>
      <c r="L242" s="61">
        <v>8.8000000000000007</v>
      </c>
      <c r="M242" s="69">
        <f t="shared" si="68"/>
        <v>5.4270000000000005</v>
      </c>
      <c r="N242" s="69">
        <f t="shared" si="69"/>
        <v>7.128000000000001</v>
      </c>
      <c r="O242" s="56">
        <v>55.385550000000002</v>
      </c>
      <c r="P242" s="57">
        <f t="shared" si="70"/>
        <v>4486.22955</v>
      </c>
      <c r="Q242" s="58">
        <f t="shared" si="71"/>
        <v>440.73381962864721</v>
      </c>
      <c r="R242" s="58">
        <f t="shared" si="72"/>
        <v>293.82254641909816</v>
      </c>
      <c r="S242" s="66">
        <f t="shared" si="67"/>
        <v>78.509017125000014</v>
      </c>
      <c r="T242" s="64">
        <f t="shared" si="73"/>
        <v>303.75</v>
      </c>
      <c r="U242" s="66">
        <f t="shared" si="74"/>
        <v>4868.4885671250004</v>
      </c>
      <c r="V242" s="68">
        <f t="shared" si="75"/>
        <v>60.104797125000005</v>
      </c>
      <c r="W242" s="68">
        <f t="shared" si="76"/>
        <v>478.28751027851456</v>
      </c>
      <c r="X242" s="68">
        <f t="shared" si="77"/>
        <v>318.85834018567635</v>
      </c>
      <c r="Z242" s="63"/>
      <c r="AA242" s="63"/>
    </row>
    <row r="243" spans="1:27" hidden="1" x14ac:dyDescent="0.25">
      <c r="A243" t="str">
        <f t="shared" si="65"/>
        <v>10620067C22/05/2026M</v>
      </c>
      <c r="B243" s="169" t="s">
        <v>822</v>
      </c>
      <c r="C243" s="61" t="s">
        <v>396</v>
      </c>
      <c r="D243" s="61" t="s">
        <v>591</v>
      </c>
      <c r="E243" s="61" t="s">
        <v>592</v>
      </c>
      <c r="F243" s="1" t="s">
        <v>345</v>
      </c>
      <c r="G243" s="62" t="str">
        <f t="shared" si="66"/>
        <v>60573</v>
      </c>
      <c r="H243" s="1">
        <v>10620067</v>
      </c>
      <c r="I243" s="1" t="s">
        <v>388</v>
      </c>
      <c r="J243" s="61">
        <v>81</v>
      </c>
      <c r="K243" s="61">
        <v>3</v>
      </c>
      <c r="L243" s="61">
        <v>8</v>
      </c>
      <c r="M243" s="69">
        <f t="shared" si="68"/>
        <v>2.4300000000000002</v>
      </c>
      <c r="N243" s="69">
        <f t="shared" si="69"/>
        <v>6.48</v>
      </c>
      <c r="O243" s="56">
        <v>33.001056000000005</v>
      </c>
      <c r="P243" s="57">
        <f t="shared" si="70"/>
        <v>2673.0855360000005</v>
      </c>
      <c r="Q243" s="58">
        <f t="shared" si="71"/>
        <v>396.01267200000001</v>
      </c>
      <c r="R243" s="58">
        <f t="shared" si="72"/>
        <v>264.00844799999999</v>
      </c>
      <c r="S243" s="66">
        <f t="shared" si="67"/>
        <v>46.778996880000015</v>
      </c>
      <c r="T243" s="64">
        <f t="shared" si="73"/>
        <v>303.75</v>
      </c>
      <c r="U243" s="66">
        <f t="shared" si="74"/>
        <v>3023.6145328800003</v>
      </c>
      <c r="V243" s="68">
        <f t="shared" si="75"/>
        <v>37.32857448</v>
      </c>
      <c r="W243" s="68">
        <f t="shared" si="76"/>
        <v>447.94289375999995</v>
      </c>
      <c r="X243" s="68">
        <f t="shared" si="77"/>
        <v>298.62859583999995</v>
      </c>
      <c r="Z243" s="63"/>
      <c r="AA243" s="63"/>
    </row>
    <row r="244" spans="1:27" hidden="1" x14ac:dyDescent="0.25">
      <c r="A244" t="str">
        <f t="shared" si="65"/>
        <v>10620067B22/05/2026E</v>
      </c>
      <c r="B244" s="169" t="s">
        <v>822</v>
      </c>
      <c r="C244" s="61" t="s">
        <v>397</v>
      </c>
      <c r="D244" s="61" t="s">
        <v>591</v>
      </c>
      <c r="E244" s="61" t="s">
        <v>592</v>
      </c>
      <c r="F244" s="1" t="s">
        <v>345</v>
      </c>
      <c r="G244" s="62" t="str">
        <f t="shared" si="66"/>
        <v>60573</v>
      </c>
      <c r="H244" s="1">
        <v>10620067</v>
      </c>
      <c r="I244" s="1" t="s">
        <v>387</v>
      </c>
      <c r="J244" s="61">
        <v>67</v>
      </c>
      <c r="K244" s="61">
        <v>6.9</v>
      </c>
      <c r="L244" s="61">
        <v>8.8000000000000007</v>
      </c>
      <c r="M244" s="69">
        <f t="shared" si="68"/>
        <v>4.6230000000000002</v>
      </c>
      <c r="N244" s="69">
        <f t="shared" si="69"/>
        <v>5.8959999999999999</v>
      </c>
      <c r="O244" s="56">
        <v>57.038850000000004</v>
      </c>
      <c r="P244" s="57">
        <f t="shared" si="70"/>
        <v>3821.6029500000004</v>
      </c>
      <c r="Q244" s="58">
        <f t="shared" si="71"/>
        <v>446.77950391644907</v>
      </c>
      <c r="R244" s="58">
        <f t="shared" si="72"/>
        <v>297.85300261096603</v>
      </c>
      <c r="S244" s="66">
        <f t="shared" si="67"/>
        <v>66.878051625000012</v>
      </c>
      <c r="T244" s="64">
        <f t="shared" si="73"/>
        <v>251.25</v>
      </c>
      <c r="U244" s="66">
        <f t="shared" si="74"/>
        <v>4139.7310016250003</v>
      </c>
      <c r="V244" s="68">
        <f t="shared" si="75"/>
        <v>61.787029875000002</v>
      </c>
      <c r="W244" s="68">
        <f t="shared" si="76"/>
        <v>483.97151338120102</v>
      </c>
      <c r="X244" s="68">
        <f t="shared" si="77"/>
        <v>322.64767558746735</v>
      </c>
      <c r="Z244" s="63"/>
      <c r="AA244" s="63"/>
    </row>
    <row r="245" spans="1:27" hidden="1" x14ac:dyDescent="0.25">
      <c r="A245" t="str">
        <f t="shared" si="65"/>
        <v>10620067C23/05/2026E</v>
      </c>
      <c r="B245" s="169" t="s">
        <v>822</v>
      </c>
      <c r="C245" s="61" t="s">
        <v>397</v>
      </c>
      <c r="D245" s="61" t="s">
        <v>591</v>
      </c>
      <c r="E245" s="61" t="s">
        <v>592</v>
      </c>
      <c r="F245" s="1" t="s">
        <v>345</v>
      </c>
      <c r="G245" s="62" t="str">
        <f t="shared" si="66"/>
        <v>60573</v>
      </c>
      <c r="H245" s="1">
        <v>10620067</v>
      </c>
      <c r="I245" s="1" t="s">
        <v>388</v>
      </c>
      <c r="J245" s="61">
        <v>106</v>
      </c>
      <c r="K245" s="61">
        <v>3</v>
      </c>
      <c r="L245" s="61">
        <v>8</v>
      </c>
      <c r="M245" s="69">
        <f t="shared" si="68"/>
        <v>3.18</v>
      </c>
      <c r="N245" s="69">
        <f t="shared" si="69"/>
        <v>8.48</v>
      </c>
      <c r="O245" s="56">
        <v>33.001056000000005</v>
      </c>
      <c r="P245" s="57">
        <f t="shared" si="70"/>
        <v>3498.1119360000007</v>
      </c>
      <c r="Q245" s="58">
        <f t="shared" si="71"/>
        <v>396.01267200000001</v>
      </c>
      <c r="R245" s="58">
        <f t="shared" si="72"/>
        <v>264.00844799999999</v>
      </c>
      <c r="S245" s="66">
        <f t="shared" si="67"/>
        <v>61.216958880000021</v>
      </c>
      <c r="T245" s="64">
        <f t="shared" si="73"/>
        <v>397.5</v>
      </c>
      <c r="U245" s="66">
        <f t="shared" si="74"/>
        <v>3956.8288948800009</v>
      </c>
      <c r="V245" s="68">
        <f t="shared" si="75"/>
        <v>37.328574480000007</v>
      </c>
      <c r="W245" s="68">
        <f t="shared" si="76"/>
        <v>447.94289376000006</v>
      </c>
      <c r="X245" s="68">
        <f t="shared" si="77"/>
        <v>298.62859584000006</v>
      </c>
      <c r="Z245" s="63"/>
      <c r="AA245" s="63"/>
    </row>
    <row r="246" spans="1:27" hidden="1" x14ac:dyDescent="0.25">
      <c r="A246" t="str">
        <f t="shared" si="65"/>
        <v>10620067B23/05/2026M</v>
      </c>
      <c r="B246" s="169" t="s">
        <v>823</v>
      </c>
      <c r="C246" s="61" t="s">
        <v>396</v>
      </c>
      <c r="D246" s="61" t="s">
        <v>591</v>
      </c>
      <c r="E246" s="61" t="s">
        <v>592</v>
      </c>
      <c r="F246" s="1" t="s">
        <v>345</v>
      </c>
      <c r="G246" s="62" t="str">
        <f t="shared" si="66"/>
        <v>60573</v>
      </c>
      <c r="H246" s="1">
        <v>10620067</v>
      </c>
      <c r="I246" s="1" t="s">
        <v>387</v>
      </c>
      <c r="J246" s="61">
        <v>41</v>
      </c>
      <c r="K246" s="61">
        <v>6.9</v>
      </c>
      <c r="L246" s="61">
        <v>8.8000000000000007</v>
      </c>
      <c r="M246" s="69">
        <f t="shared" si="68"/>
        <v>2.8290000000000002</v>
      </c>
      <c r="N246" s="69">
        <f t="shared" si="69"/>
        <v>3.6080000000000001</v>
      </c>
      <c r="O246" s="56">
        <v>57.038850000000004</v>
      </c>
      <c r="P246" s="57">
        <f t="shared" si="70"/>
        <v>2338.59285</v>
      </c>
      <c r="Q246" s="58">
        <f t="shared" si="71"/>
        <v>446.77950391644907</v>
      </c>
      <c r="R246" s="58">
        <f t="shared" si="72"/>
        <v>297.85300261096603</v>
      </c>
      <c r="S246" s="66">
        <f t="shared" si="67"/>
        <v>40.925374875000003</v>
      </c>
      <c r="T246" s="64">
        <f t="shared" si="73"/>
        <v>153.75</v>
      </c>
      <c r="U246" s="66">
        <f t="shared" si="74"/>
        <v>2533.2682248749998</v>
      </c>
      <c r="V246" s="68">
        <f t="shared" si="75"/>
        <v>61.787029874999995</v>
      </c>
      <c r="W246" s="68">
        <f t="shared" si="76"/>
        <v>483.97151338120096</v>
      </c>
      <c r="X246" s="68">
        <f t="shared" si="77"/>
        <v>322.64767558746729</v>
      </c>
      <c r="Z246" s="63"/>
      <c r="AA246" s="63"/>
    </row>
    <row r="247" spans="1:27" hidden="1" x14ac:dyDescent="0.25">
      <c r="A247" t="str">
        <f t="shared" si="65"/>
        <v>10620067C23/05/2026M</v>
      </c>
      <c r="B247" s="169" t="s">
        <v>823</v>
      </c>
      <c r="C247" s="61" t="s">
        <v>396</v>
      </c>
      <c r="D247" s="61" t="s">
        <v>591</v>
      </c>
      <c r="E247" s="61" t="s">
        <v>592</v>
      </c>
      <c r="F247" s="1" t="s">
        <v>345</v>
      </c>
      <c r="G247" s="62" t="str">
        <f t="shared" si="66"/>
        <v>60573</v>
      </c>
      <c r="H247" s="1">
        <v>10620067</v>
      </c>
      <c r="I247" s="1" t="s">
        <v>388</v>
      </c>
      <c r="J247" s="61">
        <v>81</v>
      </c>
      <c r="K247" s="61">
        <v>3</v>
      </c>
      <c r="L247" s="61">
        <v>8</v>
      </c>
      <c r="M247" s="69">
        <f t="shared" si="68"/>
        <v>2.4300000000000002</v>
      </c>
      <c r="N247" s="69">
        <f t="shared" si="69"/>
        <v>6.48</v>
      </c>
      <c r="O247" s="56">
        <v>33.001056000000005</v>
      </c>
      <c r="P247" s="57">
        <f t="shared" si="70"/>
        <v>2673.0855360000005</v>
      </c>
      <c r="Q247" s="58">
        <f t="shared" si="71"/>
        <v>396.01267200000001</v>
      </c>
      <c r="R247" s="58">
        <f t="shared" si="72"/>
        <v>264.00844799999999</v>
      </c>
      <c r="S247" s="66">
        <f t="shared" si="67"/>
        <v>46.778996880000015</v>
      </c>
      <c r="T247" s="64">
        <f t="shared" si="73"/>
        <v>303.75</v>
      </c>
      <c r="U247" s="66">
        <f t="shared" si="74"/>
        <v>3023.6145328800003</v>
      </c>
      <c r="V247" s="68">
        <f t="shared" si="75"/>
        <v>37.32857448</v>
      </c>
      <c r="W247" s="68">
        <f t="shared" si="76"/>
        <v>447.94289375999995</v>
      </c>
      <c r="X247" s="68">
        <f t="shared" si="77"/>
        <v>298.62859583999995</v>
      </c>
      <c r="Z247" s="63"/>
      <c r="AA247" s="63"/>
    </row>
    <row r="248" spans="1:27" hidden="1" x14ac:dyDescent="0.25">
      <c r="A248" t="str">
        <f t="shared" si="65"/>
        <v>10620067B23/05/2026E</v>
      </c>
      <c r="B248" s="169" t="s">
        <v>823</v>
      </c>
      <c r="C248" s="61" t="s">
        <v>397</v>
      </c>
      <c r="D248" s="61" t="s">
        <v>591</v>
      </c>
      <c r="E248" s="61" t="s">
        <v>592</v>
      </c>
      <c r="F248" s="1" t="s">
        <v>345</v>
      </c>
      <c r="G248" s="62" t="str">
        <f t="shared" si="66"/>
        <v>60573</v>
      </c>
      <c r="H248" s="1">
        <v>10620067</v>
      </c>
      <c r="I248" s="1" t="s">
        <v>387</v>
      </c>
      <c r="J248" s="61">
        <v>129</v>
      </c>
      <c r="K248" s="61">
        <v>6.2</v>
      </c>
      <c r="L248" s="61">
        <v>9</v>
      </c>
      <c r="M248" s="69">
        <f t="shared" si="68"/>
        <v>7.9980000000000011</v>
      </c>
      <c r="N248" s="69">
        <f t="shared" si="69"/>
        <v>11.61</v>
      </c>
      <c r="O248" s="56">
        <v>51.77</v>
      </c>
      <c r="P248" s="57">
        <f t="shared" si="70"/>
        <v>6678.3300000000008</v>
      </c>
      <c r="Q248" s="58">
        <f t="shared" si="71"/>
        <v>424.34426229508199</v>
      </c>
      <c r="R248" s="58">
        <f t="shared" si="72"/>
        <v>282.89617486338801</v>
      </c>
      <c r="S248" s="66">
        <f t="shared" si="67"/>
        <v>116.87077500000002</v>
      </c>
      <c r="T248" s="64">
        <f t="shared" si="73"/>
        <v>483.75</v>
      </c>
      <c r="U248" s="66">
        <f t="shared" si="74"/>
        <v>7278.9507750000012</v>
      </c>
      <c r="V248" s="68">
        <f t="shared" si="75"/>
        <v>56.425975000000008</v>
      </c>
      <c r="W248" s="68">
        <f t="shared" si="76"/>
        <v>462.50799180327874</v>
      </c>
      <c r="X248" s="68">
        <f t="shared" si="77"/>
        <v>308.33866120218585</v>
      </c>
      <c r="Z248" s="63"/>
      <c r="AA248" s="63"/>
    </row>
    <row r="249" spans="1:27" hidden="1" x14ac:dyDescent="0.25">
      <c r="A249" t="str">
        <f t="shared" si="65"/>
        <v>10620067C24/05/2026E</v>
      </c>
      <c r="B249" s="169" t="s">
        <v>823</v>
      </c>
      <c r="C249" s="61" t="s">
        <v>397</v>
      </c>
      <c r="D249" s="61" t="s">
        <v>591</v>
      </c>
      <c r="E249" s="61" t="s">
        <v>592</v>
      </c>
      <c r="F249" s="1" t="s">
        <v>345</v>
      </c>
      <c r="G249" s="62" t="str">
        <f t="shared" si="66"/>
        <v>60573</v>
      </c>
      <c r="H249" s="1">
        <v>10620067</v>
      </c>
      <c r="I249" s="1" t="s">
        <v>388</v>
      </c>
      <c r="J249" s="61">
        <v>96</v>
      </c>
      <c r="K249" s="61">
        <v>3</v>
      </c>
      <c r="L249" s="61">
        <v>8</v>
      </c>
      <c r="M249" s="69">
        <f t="shared" si="68"/>
        <v>2.88</v>
      </c>
      <c r="N249" s="69">
        <f t="shared" si="69"/>
        <v>7.68</v>
      </c>
      <c r="O249" s="56">
        <v>33.001056000000005</v>
      </c>
      <c r="P249" s="57">
        <f t="shared" si="70"/>
        <v>3168.1013760000005</v>
      </c>
      <c r="Q249" s="58">
        <f t="shared" si="71"/>
        <v>396.01267200000001</v>
      </c>
      <c r="R249" s="58">
        <f t="shared" si="72"/>
        <v>264.00844799999999</v>
      </c>
      <c r="S249" s="66">
        <f t="shared" si="67"/>
        <v>55.441774080000016</v>
      </c>
      <c r="T249" s="64">
        <f t="shared" si="73"/>
        <v>360</v>
      </c>
      <c r="U249" s="66">
        <f t="shared" si="74"/>
        <v>3583.5431500800005</v>
      </c>
      <c r="V249" s="68">
        <f t="shared" si="75"/>
        <v>37.328574480000007</v>
      </c>
      <c r="W249" s="68">
        <f t="shared" si="76"/>
        <v>447.94289376000006</v>
      </c>
      <c r="X249" s="68">
        <f t="shared" si="77"/>
        <v>298.62859584000006</v>
      </c>
      <c r="Z249" s="63"/>
      <c r="AA249" s="63"/>
    </row>
    <row r="250" spans="1:27" hidden="1" x14ac:dyDescent="0.25">
      <c r="A250" t="str">
        <f t="shared" si="65"/>
        <v>10620067B24/05/2026M</v>
      </c>
      <c r="B250" s="169" t="s">
        <v>824</v>
      </c>
      <c r="C250" s="61" t="s">
        <v>396</v>
      </c>
      <c r="D250" s="61" t="s">
        <v>591</v>
      </c>
      <c r="E250" s="61" t="s">
        <v>592</v>
      </c>
      <c r="F250" s="1" t="s">
        <v>345</v>
      </c>
      <c r="G250" s="62" t="str">
        <f t="shared" si="66"/>
        <v>60573</v>
      </c>
      <c r="H250" s="1">
        <v>10620067</v>
      </c>
      <c r="I250" s="1" t="s">
        <v>387</v>
      </c>
      <c r="J250" s="61">
        <v>90</v>
      </c>
      <c r="K250" s="61">
        <v>6.9</v>
      </c>
      <c r="L250" s="61">
        <v>8.8000000000000007</v>
      </c>
      <c r="M250" s="69">
        <f t="shared" si="68"/>
        <v>6.21</v>
      </c>
      <c r="N250" s="69">
        <f t="shared" si="69"/>
        <v>7.9200000000000008</v>
      </c>
      <c r="O250" s="56">
        <v>57.038850000000004</v>
      </c>
      <c r="P250" s="57">
        <f t="shared" si="70"/>
        <v>5133.4965000000002</v>
      </c>
      <c r="Q250" s="58">
        <f t="shared" si="71"/>
        <v>446.77950391644907</v>
      </c>
      <c r="R250" s="58">
        <f t="shared" si="72"/>
        <v>297.85300261096603</v>
      </c>
      <c r="S250" s="66">
        <f t="shared" si="67"/>
        <v>89.836188750000005</v>
      </c>
      <c r="T250" s="64">
        <f t="shared" si="73"/>
        <v>337.5</v>
      </c>
      <c r="U250" s="66">
        <f t="shared" si="74"/>
        <v>5560.8326887500007</v>
      </c>
      <c r="V250" s="68">
        <f t="shared" si="75"/>
        <v>61.787029875000009</v>
      </c>
      <c r="W250" s="68">
        <f t="shared" si="76"/>
        <v>483.97151338120108</v>
      </c>
      <c r="X250" s="68">
        <f t="shared" si="77"/>
        <v>322.6476755874674</v>
      </c>
      <c r="Z250" s="63"/>
      <c r="AA250" s="63"/>
    </row>
    <row r="251" spans="1:27" hidden="1" x14ac:dyDescent="0.25">
      <c r="A251" t="str">
        <f t="shared" si="65"/>
        <v>10620067C24/05/2026M</v>
      </c>
      <c r="B251" s="169" t="s">
        <v>824</v>
      </c>
      <c r="C251" s="61" t="s">
        <v>396</v>
      </c>
      <c r="D251" s="61" t="s">
        <v>591</v>
      </c>
      <c r="E251" s="61" t="s">
        <v>592</v>
      </c>
      <c r="F251" s="1" t="s">
        <v>345</v>
      </c>
      <c r="G251" s="62" t="str">
        <f t="shared" si="66"/>
        <v>60573</v>
      </c>
      <c r="H251" s="1">
        <v>10620067</v>
      </c>
      <c r="I251" s="1" t="s">
        <v>388</v>
      </c>
      <c r="J251" s="61">
        <v>40</v>
      </c>
      <c r="K251" s="61">
        <v>3</v>
      </c>
      <c r="L251" s="61">
        <v>8</v>
      </c>
      <c r="M251" s="69">
        <f t="shared" si="68"/>
        <v>1.2</v>
      </c>
      <c r="N251" s="69">
        <f t="shared" si="69"/>
        <v>3.2</v>
      </c>
      <c r="O251" s="56">
        <v>33.001056000000005</v>
      </c>
      <c r="P251" s="57">
        <f t="shared" si="70"/>
        <v>1320.0422400000002</v>
      </c>
      <c r="Q251" s="58">
        <f t="shared" si="71"/>
        <v>396.01267200000001</v>
      </c>
      <c r="R251" s="58">
        <f t="shared" si="72"/>
        <v>264.00844799999999</v>
      </c>
      <c r="S251" s="66">
        <f t="shared" si="67"/>
        <v>23.100739200000007</v>
      </c>
      <c r="T251" s="64">
        <f t="shared" si="73"/>
        <v>150</v>
      </c>
      <c r="U251" s="66">
        <f t="shared" si="74"/>
        <v>1493.1429792000004</v>
      </c>
      <c r="V251" s="68">
        <f t="shared" si="75"/>
        <v>37.328574480000007</v>
      </c>
      <c r="W251" s="68">
        <f t="shared" si="76"/>
        <v>447.94289376000006</v>
      </c>
      <c r="X251" s="68">
        <f t="shared" si="77"/>
        <v>298.62859584000006</v>
      </c>
      <c r="Z251" s="63"/>
      <c r="AA251" s="63"/>
    </row>
    <row r="252" spans="1:27" hidden="1" x14ac:dyDescent="0.25">
      <c r="A252" t="str">
        <f t="shared" si="65"/>
        <v>10620067B24/05/2026E</v>
      </c>
      <c r="B252" s="169" t="s">
        <v>824</v>
      </c>
      <c r="C252" s="61" t="s">
        <v>397</v>
      </c>
      <c r="D252" s="61" t="s">
        <v>591</v>
      </c>
      <c r="E252" s="61" t="s">
        <v>592</v>
      </c>
      <c r="F252" s="1" t="s">
        <v>345</v>
      </c>
      <c r="G252" s="62" t="str">
        <f t="shared" si="66"/>
        <v>60573</v>
      </c>
      <c r="H252" s="1">
        <v>10620067</v>
      </c>
      <c r="I252" s="1" t="s">
        <v>387</v>
      </c>
      <c r="J252" s="61">
        <v>77</v>
      </c>
      <c r="K252" s="61">
        <v>6.2</v>
      </c>
      <c r="L252" s="61">
        <v>8.8000000000000007</v>
      </c>
      <c r="M252" s="69">
        <f t="shared" si="68"/>
        <v>4.774</v>
      </c>
      <c r="N252" s="69">
        <f t="shared" si="69"/>
        <v>6.7759999999999998</v>
      </c>
      <c r="O252" s="56">
        <v>51.252300000000005</v>
      </c>
      <c r="P252" s="57">
        <f t="shared" si="70"/>
        <v>3946.4271000000003</v>
      </c>
      <c r="Q252" s="58">
        <f t="shared" si="71"/>
        <v>424.74281767955802</v>
      </c>
      <c r="R252" s="58">
        <f t="shared" si="72"/>
        <v>283.1618784530387</v>
      </c>
      <c r="S252" s="66">
        <f t="shared" si="67"/>
        <v>69.062474250000008</v>
      </c>
      <c r="T252" s="64">
        <f t="shared" si="73"/>
        <v>288.75</v>
      </c>
      <c r="U252" s="66">
        <f t="shared" si="74"/>
        <v>4304.2395742500003</v>
      </c>
      <c r="V252" s="68">
        <f t="shared" si="75"/>
        <v>55.899215250000005</v>
      </c>
      <c r="W252" s="68">
        <f t="shared" si="76"/>
        <v>463.25316505524864</v>
      </c>
      <c r="X252" s="68">
        <f t="shared" si="77"/>
        <v>308.83544337016576</v>
      </c>
      <c r="Z252" s="63"/>
      <c r="AA252" s="63"/>
    </row>
    <row r="253" spans="1:27" hidden="1" x14ac:dyDescent="0.25">
      <c r="A253" t="str">
        <f t="shared" si="65"/>
        <v>10620067C25/05/2026E</v>
      </c>
      <c r="B253" s="169" t="s">
        <v>824</v>
      </c>
      <c r="C253" s="61" t="s">
        <v>397</v>
      </c>
      <c r="D253" s="61" t="s">
        <v>591</v>
      </c>
      <c r="E253" s="61" t="s">
        <v>592</v>
      </c>
      <c r="F253" s="1" t="s">
        <v>345</v>
      </c>
      <c r="G253" s="62" t="str">
        <f t="shared" si="66"/>
        <v>60573</v>
      </c>
      <c r="H253" s="1">
        <v>10620067</v>
      </c>
      <c r="I253" s="1" t="s">
        <v>388</v>
      </c>
      <c r="J253" s="61">
        <v>102</v>
      </c>
      <c r="K253" s="61">
        <v>3</v>
      </c>
      <c r="L253" s="61">
        <v>8</v>
      </c>
      <c r="M253" s="69">
        <f t="shared" si="68"/>
        <v>3.06</v>
      </c>
      <c r="N253" s="69">
        <f t="shared" si="69"/>
        <v>8.16</v>
      </c>
      <c r="O253" s="56">
        <v>33.001056000000005</v>
      </c>
      <c r="P253" s="57">
        <f t="shared" si="70"/>
        <v>3366.1077120000004</v>
      </c>
      <c r="Q253" s="58">
        <f t="shared" si="71"/>
        <v>396.01267200000001</v>
      </c>
      <c r="R253" s="58">
        <f t="shared" si="72"/>
        <v>264.00844799999999</v>
      </c>
      <c r="S253" s="66">
        <f t="shared" si="67"/>
        <v>58.906884960000014</v>
      </c>
      <c r="T253" s="64">
        <f t="shared" si="73"/>
        <v>382.5</v>
      </c>
      <c r="U253" s="66">
        <f t="shared" si="74"/>
        <v>3807.5145969600003</v>
      </c>
      <c r="V253" s="68">
        <f t="shared" si="75"/>
        <v>37.32857448</v>
      </c>
      <c r="W253" s="68">
        <f t="shared" si="76"/>
        <v>447.94289375999995</v>
      </c>
      <c r="X253" s="68">
        <f t="shared" si="77"/>
        <v>298.62859583999995</v>
      </c>
      <c r="Z253" s="63"/>
      <c r="AA253" s="63"/>
    </row>
    <row r="254" spans="1:27" hidden="1" x14ac:dyDescent="0.25">
      <c r="A254" t="str">
        <f t="shared" si="65"/>
        <v>10620067B25/05/2026M</v>
      </c>
      <c r="B254" s="169" t="s">
        <v>825</v>
      </c>
      <c r="C254" s="61" t="s">
        <v>396</v>
      </c>
      <c r="D254" s="61" t="s">
        <v>591</v>
      </c>
      <c r="E254" s="61" t="s">
        <v>592</v>
      </c>
      <c r="F254" s="1" t="s">
        <v>345</v>
      </c>
      <c r="G254" s="62" t="str">
        <f t="shared" si="66"/>
        <v>60573</v>
      </c>
      <c r="H254" s="1">
        <v>10620067</v>
      </c>
      <c r="I254" s="1" t="s">
        <v>387</v>
      </c>
      <c r="J254" s="61">
        <v>82</v>
      </c>
      <c r="K254" s="61">
        <v>6.9</v>
      </c>
      <c r="L254" s="61">
        <v>8.6</v>
      </c>
      <c r="M254" s="69">
        <f t="shared" si="68"/>
        <v>5.6580000000000004</v>
      </c>
      <c r="N254" s="69">
        <f t="shared" si="69"/>
        <v>7.0519999999999996</v>
      </c>
      <c r="O254" s="56">
        <v>56.462699999999998</v>
      </c>
      <c r="P254" s="57">
        <f t="shared" si="70"/>
        <v>4629.9413999999997</v>
      </c>
      <c r="Q254" s="58">
        <f t="shared" si="71"/>
        <v>446.93430079155672</v>
      </c>
      <c r="R254" s="58">
        <f t="shared" si="72"/>
        <v>297.95620052770448</v>
      </c>
      <c r="S254" s="66">
        <f t="shared" si="67"/>
        <v>81.023974500000008</v>
      </c>
      <c r="T254" s="64">
        <f t="shared" si="73"/>
        <v>307.5</v>
      </c>
      <c r="U254" s="66">
        <f t="shared" si="74"/>
        <v>5018.4653744999996</v>
      </c>
      <c r="V254" s="68">
        <f t="shared" si="75"/>
        <v>61.200797249999994</v>
      </c>
      <c r="W254" s="68">
        <f t="shared" si="76"/>
        <v>484.4390283641161</v>
      </c>
      <c r="X254" s="68">
        <f t="shared" si="77"/>
        <v>322.95935224274405</v>
      </c>
      <c r="Z254" s="63"/>
      <c r="AA254" s="63"/>
    </row>
    <row r="255" spans="1:27" hidden="1" x14ac:dyDescent="0.25">
      <c r="A255" t="str">
        <f t="shared" si="65"/>
        <v>10620067C25/05/2026M</v>
      </c>
      <c r="B255" s="169" t="s">
        <v>825</v>
      </c>
      <c r="C255" s="61" t="s">
        <v>396</v>
      </c>
      <c r="D255" s="61" t="s">
        <v>591</v>
      </c>
      <c r="E255" s="61" t="s">
        <v>592</v>
      </c>
      <c r="F255" s="1" t="s">
        <v>345</v>
      </c>
      <c r="G255" s="62" t="str">
        <f t="shared" si="66"/>
        <v>60573</v>
      </c>
      <c r="H255" s="1">
        <v>10620067</v>
      </c>
      <c r="I255" s="1" t="s">
        <v>388</v>
      </c>
      <c r="J255" s="61">
        <v>41</v>
      </c>
      <c r="K255" s="61">
        <v>3</v>
      </c>
      <c r="L255" s="61">
        <v>8</v>
      </c>
      <c r="M255" s="69">
        <f t="shared" si="68"/>
        <v>1.23</v>
      </c>
      <c r="N255" s="69">
        <f t="shared" si="69"/>
        <v>3.28</v>
      </c>
      <c r="O255" s="56">
        <v>33.001056000000005</v>
      </c>
      <c r="P255" s="57">
        <f t="shared" si="70"/>
        <v>1353.0432960000003</v>
      </c>
      <c r="Q255" s="58">
        <f t="shared" si="71"/>
        <v>396.01267200000001</v>
      </c>
      <c r="R255" s="58">
        <f t="shared" si="72"/>
        <v>264.00844799999999</v>
      </c>
      <c r="S255" s="66">
        <f t="shared" si="67"/>
        <v>23.678257680000009</v>
      </c>
      <c r="T255" s="64">
        <f t="shared" si="73"/>
        <v>153.75</v>
      </c>
      <c r="U255" s="66">
        <f t="shared" si="74"/>
        <v>1530.4715536800004</v>
      </c>
      <c r="V255" s="68">
        <f t="shared" si="75"/>
        <v>37.328574480000007</v>
      </c>
      <c r="W255" s="68">
        <f t="shared" si="76"/>
        <v>447.94289376000006</v>
      </c>
      <c r="X255" s="68">
        <f t="shared" si="77"/>
        <v>298.62859584000006</v>
      </c>
      <c r="Z255" s="63"/>
      <c r="AA255" s="63"/>
    </row>
    <row r="256" spans="1:27" hidden="1" x14ac:dyDescent="0.25">
      <c r="A256" t="str">
        <f t="shared" si="65"/>
        <v>10620067B25/05/2026E</v>
      </c>
      <c r="B256" s="169" t="s">
        <v>825</v>
      </c>
      <c r="C256" s="61" t="s">
        <v>397</v>
      </c>
      <c r="D256" s="61" t="s">
        <v>591</v>
      </c>
      <c r="E256" s="61" t="s">
        <v>592</v>
      </c>
      <c r="F256" s="1" t="s">
        <v>345</v>
      </c>
      <c r="G256" s="62" t="str">
        <f t="shared" si="66"/>
        <v>60573</v>
      </c>
      <c r="H256" s="1">
        <v>10620067</v>
      </c>
      <c r="I256" s="1" t="s">
        <v>387</v>
      </c>
      <c r="J256" s="61">
        <v>68</v>
      </c>
      <c r="K256" s="61">
        <v>6.5</v>
      </c>
      <c r="L256" s="61">
        <v>8.8000000000000007</v>
      </c>
      <c r="M256" s="69">
        <f t="shared" si="68"/>
        <v>4.42</v>
      </c>
      <c r="N256" s="69">
        <f t="shared" si="69"/>
        <v>5.9840000000000009</v>
      </c>
      <c r="O256" s="56">
        <v>53.732250000000001</v>
      </c>
      <c r="P256" s="57">
        <f t="shared" si="70"/>
        <v>3653.7930000000001</v>
      </c>
      <c r="Q256" s="58">
        <f t="shared" si="71"/>
        <v>434.49258760107813</v>
      </c>
      <c r="R256" s="58">
        <f t="shared" si="72"/>
        <v>289.66172506738542</v>
      </c>
      <c r="S256" s="66">
        <f t="shared" si="67"/>
        <v>63.941377500000009</v>
      </c>
      <c r="T256" s="64">
        <f t="shared" si="73"/>
        <v>255</v>
      </c>
      <c r="U256" s="66">
        <f t="shared" si="74"/>
        <v>3972.7343774999999</v>
      </c>
      <c r="V256" s="68">
        <f t="shared" si="75"/>
        <v>58.422564375</v>
      </c>
      <c r="W256" s="68">
        <f t="shared" si="76"/>
        <v>472.41965801886789</v>
      </c>
      <c r="X256" s="68">
        <f t="shared" si="77"/>
        <v>314.94643867924526</v>
      </c>
      <c r="Z256" s="63"/>
      <c r="AA256" s="63"/>
    </row>
    <row r="257" spans="1:27" hidden="1" x14ac:dyDescent="0.25">
      <c r="A257" t="str">
        <f t="shared" si="65"/>
        <v>10620067C26/05/2026E</v>
      </c>
      <c r="B257" s="169" t="s">
        <v>825</v>
      </c>
      <c r="C257" s="61" t="s">
        <v>397</v>
      </c>
      <c r="D257" s="61" t="s">
        <v>591</v>
      </c>
      <c r="E257" s="61" t="s">
        <v>592</v>
      </c>
      <c r="F257" s="1" t="s">
        <v>345</v>
      </c>
      <c r="G257" s="62" t="str">
        <f t="shared" si="66"/>
        <v>60573</v>
      </c>
      <c r="H257" s="1">
        <v>10620067</v>
      </c>
      <c r="I257" s="1" t="s">
        <v>388</v>
      </c>
      <c r="J257" s="61">
        <v>79</v>
      </c>
      <c r="K257" s="61">
        <v>3</v>
      </c>
      <c r="L257" s="61">
        <v>8</v>
      </c>
      <c r="M257" s="69">
        <f t="shared" si="68"/>
        <v>2.37</v>
      </c>
      <c r="N257" s="69">
        <f t="shared" si="69"/>
        <v>6.32</v>
      </c>
      <c r="O257" s="56">
        <v>33.001056000000005</v>
      </c>
      <c r="P257" s="57">
        <f t="shared" si="70"/>
        <v>2607.0834240000004</v>
      </c>
      <c r="Q257" s="58">
        <f t="shared" si="71"/>
        <v>396.01267200000001</v>
      </c>
      <c r="R257" s="58">
        <f t="shared" si="72"/>
        <v>264.00844799999999</v>
      </c>
      <c r="S257" s="66">
        <f t="shared" si="67"/>
        <v>45.623959920000011</v>
      </c>
      <c r="T257" s="64">
        <f t="shared" si="73"/>
        <v>296.25</v>
      </c>
      <c r="U257" s="66">
        <f t="shared" si="74"/>
        <v>2948.9573839200002</v>
      </c>
      <c r="V257" s="68">
        <f t="shared" si="75"/>
        <v>37.32857448</v>
      </c>
      <c r="W257" s="68">
        <f t="shared" si="76"/>
        <v>447.94289375999995</v>
      </c>
      <c r="X257" s="68">
        <f t="shared" si="77"/>
        <v>298.62859583999995</v>
      </c>
      <c r="Z257" s="63"/>
      <c r="AA257" s="63"/>
    </row>
    <row r="258" spans="1:27" hidden="1" x14ac:dyDescent="0.25">
      <c r="A258" t="str">
        <f t="shared" si="65"/>
        <v>10620067B26/05/2026M</v>
      </c>
      <c r="B258" s="169" t="s">
        <v>826</v>
      </c>
      <c r="C258" s="61" t="s">
        <v>396</v>
      </c>
      <c r="D258" s="61" t="s">
        <v>591</v>
      </c>
      <c r="E258" s="61" t="s">
        <v>592</v>
      </c>
      <c r="F258" s="1" t="s">
        <v>345</v>
      </c>
      <c r="G258" s="62" t="str">
        <f t="shared" si="66"/>
        <v>60573</v>
      </c>
      <c r="H258" s="1">
        <v>10620067</v>
      </c>
      <c r="I258" s="1" t="s">
        <v>387</v>
      </c>
      <c r="J258" s="61">
        <v>91</v>
      </c>
      <c r="K258" s="61">
        <v>6.7</v>
      </c>
      <c r="L258" s="61">
        <v>8.8000000000000007</v>
      </c>
      <c r="M258" s="69">
        <f t="shared" si="68"/>
        <v>6.0970000000000004</v>
      </c>
      <c r="N258" s="69">
        <f t="shared" si="69"/>
        <v>8.0080000000000009</v>
      </c>
      <c r="O258" s="56">
        <f>INDEX(Rate_Chart!$A$1:$AK$127,MATCH(Data!K258,Rate_Chart!$A$1:$A$127,0),MATCH(Data!L258,Rate_Chart!$A$1:$AK$1,0))</f>
        <v>55.385550000000002</v>
      </c>
      <c r="P258" s="57">
        <f t="shared" si="70"/>
        <v>5040.0850500000006</v>
      </c>
      <c r="Q258" s="58">
        <f t="shared" si="71"/>
        <v>440.73381962864721</v>
      </c>
      <c r="R258" s="58">
        <f t="shared" si="72"/>
        <v>293.82254641909816</v>
      </c>
      <c r="S258" s="66">
        <f t="shared" si="67"/>
        <v>88.201488375000025</v>
      </c>
      <c r="T258" s="64">
        <f t="shared" si="73"/>
        <v>341.25</v>
      </c>
      <c r="U258" s="66">
        <f t="shared" si="74"/>
        <v>5469.5365383750004</v>
      </c>
      <c r="V258" s="68">
        <f t="shared" si="75"/>
        <v>60.104797125000005</v>
      </c>
      <c r="W258" s="68">
        <f t="shared" si="76"/>
        <v>478.28751027851456</v>
      </c>
      <c r="X258" s="68">
        <f t="shared" si="77"/>
        <v>318.85834018567635</v>
      </c>
      <c r="Z258" s="63"/>
      <c r="AA258" s="63"/>
    </row>
    <row r="259" spans="1:27" hidden="1" x14ac:dyDescent="0.25">
      <c r="A259" t="str">
        <f t="shared" si="65"/>
        <v>10620067B26/05/2026E</v>
      </c>
      <c r="B259" s="169" t="s">
        <v>826</v>
      </c>
      <c r="C259" s="61" t="s">
        <v>397</v>
      </c>
      <c r="D259" s="61" t="s">
        <v>591</v>
      </c>
      <c r="E259" s="61" t="s">
        <v>592</v>
      </c>
      <c r="F259" s="1" t="s">
        <v>345</v>
      </c>
      <c r="G259" s="62" t="str">
        <f t="shared" si="66"/>
        <v>60573</v>
      </c>
      <c r="H259" s="1">
        <v>10620067</v>
      </c>
      <c r="I259" s="1" t="s">
        <v>387</v>
      </c>
      <c r="J259" s="61">
        <v>18</v>
      </c>
      <c r="K259" s="61">
        <v>6.9</v>
      </c>
      <c r="L259" s="61">
        <v>9</v>
      </c>
      <c r="M259" s="69">
        <f t="shared" si="68"/>
        <v>1.242</v>
      </c>
      <c r="N259" s="69">
        <f t="shared" si="69"/>
        <v>1.62</v>
      </c>
      <c r="O259" s="56">
        <f>INDEX(Rate_Chart!$A$1:$AK$127,MATCH(Data!K259,Rate_Chart!$A$1:$A$127,0),MATCH(Data!L259,Rate_Chart!$A$1:$AK$1,0))</f>
        <v>57.615000000000002</v>
      </c>
      <c r="P259" s="57">
        <f t="shared" si="70"/>
        <v>1037.07</v>
      </c>
      <c r="Q259" s="58">
        <f t="shared" si="71"/>
        <v>446.62790697674421</v>
      </c>
      <c r="R259" s="58">
        <f t="shared" si="72"/>
        <v>297.75193798449612</v>
      </c>
      <c r="S259" s="66">
        <f t="shared" si="67"/>
        <v>18.148724999999999</v>
      </c>
      <c r="T259" s="64">
        <f t="shared" si="73"/>
        <v>67.5</v>
      </c>
      <c r="U259" s="66">
        <f t="shared" si="74"/>
        <v>1122.7187249999999</v>
      </c>
      <c r="V259" s="68">
        <f t="shared" si="75"/>
        <v>62.373262499999996</v>
      </c>
      <c r="W259" s="68">
        <f t="shared" si="76"/>
        <v>483.51366279069765</v>
      </c>
      <c r="X259" s="68">
        <f t="shared" si="77"/>
        <v>322.3424418604651</v>
      </c>
      <c r="Z259" s="63"/>
      <c r="AA259" s="63"/>
    </row>
    <row r="260" spans="1:27" hidden="1" x14ac:dyDescent="0.25">
      <c r="A260" t="str">
        <f t="shared" si="65"/>
        <v>10620067C27/05/2026E</v>
      </c>
      <c r="B260" s="169" t="s">
        <v>826</v>
      </c>
      <c r="C260" s="61" t="s">
        <v>397</v>
      </c>
      <c r="D260" s="61" t="s">
        <v>591</v>
      </c>
      <c r="E260" s="61" t="s">
        <v>592</v>
      </c>
      <c r="F260" s="1" t="s">
        <v>345</v>
      </c>
      <c r="G260" s="62" t="str">
        <f t="shared" si="66"/>
        <v>60573</v>
      </c>
      <c r="H260" s="1">
        <v>10620067</v>
      </c>
      <c r="I260" s="1" t="s">
        <v>388</v>
      </c>
      <c r="J260" s="61">
        <v>102</v>
      </c>
      <c r="K260" s="61">
        <v>3.1</v>
      </c>
      <c r="L260" s="61">
        <v>8</v>
      </c>
      <c r="M260" s="69">
        <f t="shared" si="68"/>
        <v>3.1619999999999999</v>
      </c>
      <c r="N260" s="69">
        <f t="shared" si="69"/>
        <v>8.16</v>
      </c>
      <c r="O260" s="56">
        <f>INDEX(Rate_Chart!$A$1:$AK$127,MATCH(Data!K260,Rate_Chart!$A$1:$A$127,0),MATCH(Data!L260,Rate_Chart!$A$1:$AK$1,0))</f>
        <v>35.168112000000008</v>
      </c>
      <c r="P260" s="57">
        <f t="shared" si="70"/>
        <v>3587.1474240000007</v>
      </c>
      <c r="Q260" s="58">
        <f t="shared" si="71"/>
        <v>417.01318577075102</v>
      </c>
      <c r="R260" s="58">
        <f t="shared" si="72"/>
        <v>278.00879051383401</v>
      </c>
      <c r="S260" s="66">
        <f t="shared" si="67"/>
        <v>62.775079920000017</v>
      </c>
      <c r="T260" s="64">
        <f t="shared" si="73"/>
        <v>382.5</v>
      </c>
      <c r="U260" s="66">
        <f t="shared" si="74"/>
        <v>4032.4225039200005</v>
      </c>
      <c r="V260" s="68">
        <f t="shared" si="75"/>
        <v>39.533553960000006</v>
      </c>
      <c r="W260" s="68">
        <f t="shared" si="76"/>
        <v>468.77731968379447</v>
      </c>
      <c r="X260" s="68">
        <f t="shared" si="77"/>
        <v>312.51821312252963</v>
      </c>
      <c r="Z260" s="63"/>
      <c r="AA260" s="63"/>
    </row>
    <row r="261" spans="1:27" hidden="1" x14ac:dyDescent="0.25">
      <c r="A261" t="str">
        <f t="shared" ref="A261:A324" si="78">CONCATENATE(H261,I261,B262,C261)</f>
        <v>10620067B27/05/2026M</v>
      </c>
      <c r="B261" s="169" t="s">
        <v>827</v>
      </c>
      <c r="C261" s="61" t="s">
        <v>396</v>
      </c>
      <c r="D261" s="61" t="s">
        <v>591</v>
      </c>
      <c r="E261" s="61" t="s">
        <v>592</v>
      </c>
      <c r="F261" s="1" t="s">
        <v>345</v>
      </c>
      <c r="G261" s="62" t="str">
        <f t="shared" si="66"/>
        <v>60573</v>
      </c>
      <c r="H261" s="1">
        <v>10620067</v>
      </c>
      <c r="I261" s="1" t="s">
        <v>387</v>
      </c>
      <c r="J261" s="61">
        <v>41</v>
      </c>
      <c r="K261" s="61">
        <v>7.1</v>
      </c>
      <c r="L261" s="61">
        <v>9</v>
      </c>
      <c r="M261" s="69">
        <f t="shared" si="68"/>
        <v>2.9109999999999996</v>
      </c>
      <c r="N261" s="69">
        <f t="shared" si="69"/>
        <v>3.69</v>
      </c>
      <c r="O261" s="56">
        <f>INDEX(Rate_Chart!$A$1:$AK$127,MATCH(Data!K261,Rate_Chart!$A$1:$A$127,0),MATCH(Data!L261,Rate_Chart!$A$1:$AK$1,0))</f>
        <v>59.284999999999997</v>
      </c>
      <c r="P261" s="57">
        <f t="shared" si="70"/>
        <v>2430.6849999999999</v>
      </c>
      <c r="Q261" s="58">
        <f t="shared" si="71"/>
        <v>452.55725190839689</v>
      </c>
      <c r="R261" s="58">
        <f t="shared" si="72"/>
        <v>301.70483460559791</v>
      </c>
      <c r="S261" s="66">
        <f t="shared" ref="S261:S324" si="79">P261*1.75%</f>
        <v>42.536987500000002</v>
      </c>
      <c r="T261" s="64">
        <f t="shared" si="73"/>
        <v>153.75</v>
      </c>
      <c r="U261" s="66">
        <f t="shared" si="74"/>
        <v>2626.9719875000001</v>
      </c>
      <c r="V261" s="68">
        <f t="shared" si="75"/>
        <v>64.072487500000008</v>
      </c>
      <c r="W261" s="68">
        <f t="shared" si="76"/>
        <v>489.10295801526723</v>
      </c>
      <c r="X261" s="68">
        <f t="shared" si="77"/>
        <v>326.06863867684484</v>
      </c>
      <c r="Z261" s="63"/>
      <c r="AA261" s="63"/>
    </row>
    <row r="262" spans="1:27" hidden="1" x14ac:dyDescent="0.25">
      <c r="A262" t="str">
        <f t="shared" si="78"/>
        <v>10620067C27/05/2026M</v>
      </c>
      <c r="B262" s="169" t="s">
        <v>827</v>
      </c>
      <c r="C262" s="61" t="s">
        <v>396</v>
      </c>
      <c r="D262" s="61" t="s">
        <v>591</v>
      </c>
      <c r="E262" s="61" t="s">
        <v>592</v>
      </c>
      <c r="F262" s="1" t="s">
        <v>345</v>
      </c>
      <c r="G262" s="62" t="str">
        <f t="shared" ref="G262:G325" si="80">MID(F262,2,5)</f>
        <v>60573</v>
      </c>
      <c r="H262" s="1">
        <v>10620067</v>
      </c>
      <c r="I262" s="1" t="s">
        <v>388</v>
      </c>
      <c r="J262" s="61">
        <v>41</v>
      </c>
      <c r="K262" s="61">
        <v>3.2</v>
      </c>
      <c r="L262" s="61">
        <v>8.1</v>
      </c>
      <c r="M262" s="69">
        <f t="shared" si="68"/>
        <v>1.3120000000000003</v>
      </c>
      <c r="N262" s="69">
        <f t="shared" si="69"/>
        <v>3.3209999999999997</v>
      </c>
      <c r="O262" s="56">
        <f>INDEX(Rate_Chart!$A$1:$AK$127,MATCH(Data!K262,Rate_Chart!$A$1:$A$127,0),MATCH(Data!L262,Rate_Chart!$A$1:$AK$1,0))</f>
        <v>35.8631259</v>
      </c>
      <c r="P262" s="57">
        <f t="shared" si="70"/>
        <v>1470.3881618999999</v>
      </c>
      <c r="Q262" s="58">
        <f t="shared" si="71"/>
        <v>417.01309186046512</v>
      </c>
      <c r="R262" s="58">
        <f t="shared" si="72"/>
        <v>278.00872790697673</v>
      </c>
      <c r="S262" s="66">
        <f t="shared" si="79"/>
        <v>25.731792833250001</v>
      </c>
      <c r="T262" s="64">
        <f t="shared" si="73"/>
        <v>153.75</v>
      </c>
      <c r="U262" s="66">
        <f t="shared" si="74"/>
        <v>1649.8699547332499</v>
      </c>
      <c r="V262" s="68">
        <f t="shared" si="75"/>
        <v>40.24073060325</v>
      </c>
      <c r="W262" s="68">
        <f t="shared" si="76"/>
        <v>467.91547213081401</v>
      </c>
      <c r="X262" s="68">
        <f t="shared" si="77"/>
        <v>311.94364808720934</v>
      </c>
      <c r="Z262" s="63"/>
      <c r="AA262" s="63"/>
    </row>
    <row r="263" spans="1:27" hidden="1" x14ac:dyDescent="0.25">
      <c r="A263" t="str">
        <f t="shared" si="78"/>
        <v>10620067B28/05/2026E</v>
      </c>
      <c r="B263" s="169" t="s">
        <v>827</v>
      </c>
      <c r="C263" s="61" t="s">
        <v>397</v>
      </c>
      <c r="D263" s="61" t="s">
        <v>591</v>
      </c>
      <c r="E263" s="61" t="s">
        <v>592</v>
      </c>
      <c r="F263" s="1" t="s">
        <v>345</v>
      </c>
      <c r="G263" s="62" t="str">
        <f t="shared" si="80"/>
        <v>60573</v>
      </c>
      <c r="H263" s="1">
        <v>10620067</v>
      </c>
      <c r="I263" s="1" t="s">
        <v>387</v>
      </c>
      <c r="J263" s="61">
        <v>25</v>
      </c>
      <c r="K263" s="61">
        <v>6.5</v>
      </c>
      <c r="L263" s="61">
        <v>9</v>
      </c>
      <c r="M263" s="69">
        <f t="shared" si="68"/>
        <v>1.625</v>
      </c>
      <c r="N263" s="69">
        <f t="shared" si="69"/>
        <v>2.25</v>
      </c>
      <c r="O263" s="56">
        <f>INDEX(Rate_Chart!$A$1:$AK$127,MATCH(Data!K263,Rate_Chart!$A$1:$A$127,0),MATCH(Data!L263,Rate_Chart!$A$1:$AK$1,0))</f>
        <v>54.274999999999999</v>
      </c>
      <c r="P263" s="57">
        <f t="shared" si="70"/>
        <v>1356.875</v>
      </c>
      <c r="Q263" s="58">
        <f t="shared" si="71"/>
        <v>434.2</v>
      </c>
      <c r="R263" s="58">
        <f t="shared" si="72"/>
        <v>289.46666666666664</v>
      </c>
      <c r="S263" s="66">
        <f t="shared" si="79"/>
        <v>23.745312500000001</v>
      </c>
      <c r="T263" s="64">
        <f t="shared" si="73"/>
        <v>93.75</v>
      </c>
      <c r="U263" s="66">
        <f t="shared" si="74"/>
        <v>1474.3703125</v>
      </c>
      <c r="V263" s="68">
        <f t="shared" si="75"/>
        <v>58.974812499999999</v>
      </c>
      <c r="W263" s="68">
        <f t="shared" si="76"/>
        <v>471.79849999999999</v>
      </c>
      <c r="X263" s="68">
        <f t="shared" si="77"/>
        <v>314.53233333333333</v>
      </c>
      <c r="Z263" s="63"/>
      <c r="AA263" s="63"/>
    </row>
    <row r="264" spans="1:27" hidden="1" x14ac:dyDescent="0.25">
      <c r="A264" t="str">
        <f t="shared" si="78"/>
        <v>10620067B28/05/2026M</v>
      </c>
      <c r="B264" s="169" t="s">
        <v>828</v>
      </c>
      <c r="C264" s="61" t="s">
        <v>396</v>
      </c>
      <c r="D264" s="61" t="s">
        <v>591</v>
      </c>
      <c r="E264" s="61" t="s">
        <v>592</v>
      </c>
      <c r="F264" s="1" t="s">
        <v>345</v>
      </c>
      <c r="G264" s="62" t="str">
        <f t="shared" si="80"/>
        <v>60573</v>
      </c>
      <c r="H264" s="1">
        <v>10620067</v>
      </c>
      <c r="I264" s="1" t="s">
        <v>387</v>
      </c>
      <c r="J264" s="61">
        <v>75</v>
      </c>
      <c r="K264" s="61">
        <v>7.1</v>
      </c>
      <c r="L264" s="61">
        <v>8.8000000000000007</v>
      </c>
      <c r="M264" s="69">
        <f t="shared" si="68"/>
        <v>5.3250000000000002</v>
      </c>
      <c r="N264" s="69">
        <f t="shared" si="69"/>
        <v>6.6</v>
      </c>
      <c r="O264" s="56">
        <f>INDEX(Rate_Chart!$A$1:$AK$127,MATCH(Data!K264,Rate_Chart!$A$1:$A$127,0),MATCH(Data!L264,Rate_Chart!$A$1:$AK$1,0))</f>
        <v>58.692149999999998</v>
      </c>
      <c r="P264" s="57">
        <f t="shared" si="70"/>
        <v>4401.9112500000001</v>
      </c>
      <c r="Q264" s="58">
        <f t="shared" si="71"/>
        <v>452.63868894601546</v>
      </c>
      <c r="R264" s="58">
        <f t="shared" si="72"/>
        <v>301.75912596401031</v>
      </c>
      <c r="S264" s="66">
        <f t="shared" si="79"/>
        <v>77.03344687500001</v>
      </c>
      <c r="T264" s="64">
        <f t="shared" si="73"/>
        <v>281.25</v>
      </c>
      <c r="U264" s="66">
        <f t="shared" si="74"/>
        <v>4760.1946968749999</v>
      </c>
      <c r="V264" s="68">
        <f t="shared" si="75"/>
        <v>63.469262624999999</v>
      </c>
      <c r="W264" s="68">
        <f t="shared" si="76"/>
        <v>489.48017448586126</v>
      </c>
      <c r="X264" s="68">
        <f t="shared" si="77"/>
        <v>326.32011632390748</v>
      </c>
      <c r="Z264" s="63"/>
      <c r="AA264" s="63"/>
    </row>
    <row r="265" spans="1:27" hidden="1" x14ac:dyDescent="0.25">
      <c r="A265" t="str">
        <f t="shared" si="78"/>
        <v>10620067B22/05/2026E</v>
      </c>
      <c r="B265" s="169" t="s">
        <v>828</v>
      </c>
      <c r="C265" s="61" t="s">
        <v>397</v>
      </c>
      <c r="D265" s="61" t="s">
        <v>591</v>
      </c>
      <c r="E265" s="61" t="s">
        <v>592</v>
      </c>
      <c r="F265" s="1" t="s">
        <v>345</v>
      </c>
      <c r="G265" s="62" t="str">
        <f t="shared" si="80"/>
        <v>60573</v>
      </c>
      <c r="H265" s="1">
        <v>10620067</v>
      </c>
      <c r="I265" s="1" t="s">
        <v>387</v>
      </c>
      <c r="J265" s="61">
        <v>68</v>
      </c>
      <c r="K265" s="61">
        <v>6.1</v>
      </c>
      <c r="L265" s="61">
        <v>8.8000000000000007</v>
      </c>
      <c r="M265" s="69">
        <f t="shared" si="68"/>
        <v>4.1479999999999997</v>
      </c>
      <c r="N265" s="69">
        <f t="shared" si="69"/>
        <v>5.9840000000000009</v>
      </c>
      <c r="O265" s="56">
        <f>INDEX(Rate_Chart!$A$1:$AK$127,MATCH(Data!K265,Rate_Chart!$A$1:$A$127,0),MATCH(Data!L265,Rate_Chart!$A$1:$AK$1,0))</f>
        <v>50.425650000000005</v>
      </c>
      <c r="P265" s="57">
        <f t="shared" si="70"/>
        <v>3428.9442000000004</v>
      </c>
      <c r="Q265" s="58">
        <f t="shared" si="71"/>
        <v>421.38426183844012</v>
      </c>
      <c r="R265" s="58">
        <f t="shared" si="72"/>
        <v>280.92284122562677</v>
      </c>
      <c r="S265" s="66">
        <f t="shared" si="79"/>
        <v>60.006523500000014</v>
      </c>
      <c r="T265" s="64">
        <f t="shared" si="73"/>
        <v>255</v>
      </c>
      <c r="U265" s="66">
        <f t="shared" si="74"/>
        <v>3743.9507235000005</v>
      </c>
      <c r="V265" s="68">
        <f t="shared" si="75"/>
        <v>55.058098875000006</v>
      </c>
      <c r="W265" s="68">
        <f t="shared" si="76"/>
        <v>460.09553377437328</v>
      </c>
      <c r="X265" s="68">
        <f t="shared" si="77"/>
        <v>306.73035584958217</v>
      </c>
      <c r="Z265" s="63"/>
      <c r="AA265" s="63"/>
    </row>
    <row r="266" spans="1:27" hidden="1" x14ac:dyDescent="0.25">
      <c r="A266" t="str">
        <f t="shared" si="78"/>
        <v>10620076C22/05/2026M</v>
      </c>
      <c r="B266" s="169" t="s">
        <v>822</v>
      </c>
      <c r="C266" s="61" t="s">
        <v>396</v>
      </c>
      <c r="D266" s="61" t="s">
        <v>591</v>
      </c>
      <c r="E266" s="61" t="s">
        <v>592</v>
      </c>
      <c r="F266" s="1" t="s">
        <v>346</v>
      </c>
      <c r="G266" s="62" t="str">
        <f t="shared" si="80"/>
        <v>60604</v>
      </c>
      <c r="H266" s="1">
        <v>10620076</v>
      </c>
      <c r="I266" s="1" t="s">
        <v>388</v>
      </c>
      <c r="J266" s="61">
        <v>23</v>
      </c>
      <c r="K266" s="61">
        <v>5.0999999999999996</v>
      </c>
      <c r="L266" s="61">
        <v>8.5</v>
      </c>
      <c r="M266" s="69">
        <f t="shared" si="68"/>
        <v>1.173</v>
      </c>
      <c r="N266" s="69">
        <f t="shared" si="69"/>
        <v>1.9550000000000001</v>
      </c>
      <c r="O266" s="56">
        <v>42.637122000000005</v>
      </c>
      <c r="P266" s="57">
        <f t="shared" si="70"/>
        <v>980.65380600000015</v>
      </c>
      <c r="Q266" s="58">
        <f t="shared" si="71"/>
        <v>396.01042105263167</v>
      </c>
      <c r="R266" s="58">
        <f t="shared" si="72"/>
        <v>264.00694736842109</v>
      </c>
      <c r="S266" s="66">
        <f t="shared" si="79"/>
        <v>17.161441605000004</v>
      </c>
      <c r="T266" s="64">
        <f t="shared" si="73"/>
        <v>86.25</v>
      </c>
      <c r="U266" s="66">
        <f t="shared" si="74"/>
        <v>1084.0652476050002</v>
      </c>
      <c r="V266" s="68">
        <f t="shared" si="75"/>
        <v>47.133271635000007</v>
      </c>
      <c r="W266" s="68">
        <f t="shared" si="76"/>
        <v>437.77032478328181</v>
      </c>
      <c r="X266" s="68">
        <f t="shared" si="77"/>
        <v>291.84688318885452</v>
      </c>
      <c r="Z266" s="63"/>
      <c r="AA266" s="63"/>
    </row>
    <row r="267" spans="1:27" hidden="1" x14ac:dyDescent="0.25">
      <c r="A267" t="str">
        <f t="shared" si="78"/>
        <v>10620076C23/05/2026E</v>
      </c>
      <c r="B267" s="169" t="s">
        <v>822</v>
      </c>
      <c r="C267" s="61" t="s">
        <v>397</v>
      </c>
      <c r="D267" s="61" t="s">
        <v>591</v>
      </c>
      <c r="E267" s="61" t="s">
        <v>592</v>
      </c>
      <c r="F267" s="1" t="s">
        <v>346</v>
      </c>
      <c r="G267" s="62" t="str">
        <f t="shared" si="80"/>
        <v>60604</v>
      </c>
      <c r="H267" s="1">
        <v>10620076</v>
      </c>
      <c r="I267" s="1" t="s">
        <v>388</v>
      </c>
      <c r="J267" s="61">
        <v>24</v>
      </c>
      <c r="K267" s="61">
        <v>3.6</v>
      </c>
      <c r="L267" s="61">
        <v>8</v>
      </c>
      <c r="M267" s="69">
        <f t="shared" si="68"/>
        <v>0.8640000000000001</v>
      </c>
      <c r="N267" s="69">
        <f t="shared" si="69"/>
        <v>1.92</v>
      </c>
      <c r="O267" s="56">
        <v>35.377056000000003</v>
      </c>
      <c r="P267" s="57">
        <f t="shared" si="70"/>
        <v>849.04934400000002</v>
      </c>
      <c r="Q267" s="58">
        <f t="shared" si="71"/>
        <v>396.01182089552236</v>
      </c>
      <c r="R267" s="58">
        <f t="shared" si="72"/>
        <v>264.00788059701489</v>
      </c>
      <c r="S267" s="66">
        <f t="shared" si="79"/>
        <v>14.858363520000001</v>
      </c>
      <c r="T267" s="64">
        <f t="shared" si="73"/>
        <v>90</v>
      </c>
      <c r="U267" s="66">
        <f t="shared" si="74"/>
        <v>953.90770752000003</v>
      </c>
      <c r="V267" s="68">
        <f t="shared" si="75"/>
        <v>39.746154480000001</v>
      </c>
      <c r="W267" s="68">
        <f t="shared" si="76"/>
        <v>444.91963970149249</v>
      </c>
      <c r="X267" s="68">
        <f t="shared" si="77"/>
        <v>296.61309313432832</v>
      </c>
      <c r="Z267" s="63"/>
      <c r="AA267" s="63"/>
    </row>
    <row r="268" spans="1:27" hidden="1" x14ac:dyDescent="0.25">
      <c r="A268" t="str">
        <f t="shared" si="78"/>
        <v>10620076C23/05/2026M</v>
      </c>
      <c r="B268" s="169" t="s">
        <v>823</v>
      </c>
      <c r="C268" s="61" t="s">
        <v>396</v>
      </c>
      <c r="D268" s="61" t="s">
        <v>591</v>
      </c>
      <c r="E268" s="61" t="s">
        <v>592</v>
      </c>
      <c r="F268" s="1" t="s">
        <v>346</v>
      </c>
      <c r="G268" s="62" t="str">
        <f t="shared" si="80"/>
        <v>60604</v>
      </c>
      <c r="H268" s="1">
        <v>10620076</v>
      </c>
      <c r="I268" s="1" t="s">
        <v>388</v>
      </c>
      <c r="J268" s="61">
        <v>26</v>
      </c>
      <c r="K268" s="61">
        <v>4.8</v>
      </c>
      <c r="L268" s="61">
        <v>8.1999999999999993</v>
      </c>
      <c r="M268" s="69">
        <f t="shared" si="68"/>
        <v>1.248</v>
      </c>
      <c r="N268" s="69">
        <f t="shared" si="69"/>
        <v>2.1319999999999997</v>
      </c>
      <c r="O268" s="56">
        <v>40.6570824</v>
      </c>
      <c r="P268" s="57">
        <f t="shared" si="70"/>
        <v>1057.0841424</v>
      </c>
      <c r="Q268" s="58">
        <f t="shared" si="71"/>
        <v>396.01054285714292</v>
      </c>
      <c r="R268" s="58">
        <f t="shared" si="72"/>
        <v>264.00702857142863</v>
      </c>
      <c r="S268" s="66">
        <f t="shared" si="79"/>
        <v>18.498972492000004</v>
      </c>
      <c r="T268" s="64">
        <f t="shared" si="73"/>
        <v>97.5</v>
      </c>
      <c r="U268" s="66">
        <f t="shared" si="74"/>
        <v>1173.0831148920001</v>
      </c>
      <c r="V268" s="68">
        <f t="shared" si="75"/>
        <v>45.118581342000006</v>
      </c>
      <c r="W268" s="68">
        <f t="shared" si="76"/>
        <v>439.46670138311697</v>
      </c>
      <c r="X268" s="68">
        <f t="shared" si="77"/>
        <v>292.97780092207796</v>
      </c>
      <c r="Z268" s="63"/>
      <c r="AA268" s="63"/>
    </row>
    <row r="269" spans="1:27" hidden="1" x14ac:dyDescent="0.25">
      <c r="A269" t="str">
        <f t="shared" si="78"/>
        <v>10620076C24/05/2026E</v>
      </c>
      <c r="B269" s="169" t="s">
        <v>823</v>
      </c>
      <c r="C269" s="61" t="s">
        <v>397</v>
      </c>
      <c r="D269" s="61" t="s">
        <v>591</v>
      </c>
      <c r="E269" s="61" t="s">
        <v>592</v>
      </c>
      <c r="F269" s="1" t="s">
        <v>346</v>
      </c>
      <c r="G269" s="62" t="str">
        <f t="shared" si="80"/>
        <v>60604</v>
      </c>
      <c r="H269" s="1">
        <v>10620076</v>
      </c>
      <c r="I269" s="1" t="s">
        <v>388</v>
      </c>
      <c r="J269" s="61">
        <v>26</v>
      </c>
      <c r="K269" s="61">
        <v>3.9</v>
      </c>
      <c r="L269" s="61">
        <v>8.1</v>
      </c>
      <c r="M269" s="69">
        <f t="shared" si="68"/>
        <v>1.014</v>
      </c>
      <c r="N269" s="69">
        <f t="shared" si="69"/>
        <v>2.1059999999999999</v>
      </c>
      <c r="O269" s="56">
        <v>36.829069200000006</v>
      </c>
      <c r="P269" s="57">
        <f t="shared" si="70"/>
        <v>957.55579920000014</v>
      </c>
      <c r="Q269" s="58">
        <f t="shared" si="71"/>
        <v>396.01149677419363</v>
      </c>
      <c r="R269" s="58">
        <f t="shared" si="72"/>
        <v>264.00766451612907</v>
      </c>
      <c r="S269" s="66">
        <f t="shared" si="79"/>
        <v>16.757226486000004</v>
      </c>
      <c r="T269" s="64">
        <f t="shared" si="73"/>
        <v>97.5</v>
      </c>
      <c r="U269" s="66">
        <f t="shared" si="74"/>
        <v>1071.8130256860002</v>
      </c>
      <c r="V269" s="68">
        <f t="shared" si="75"/>
        <v>41.223577911000007</v>
      </c>
      <c r="W269" s="68">
        <f t="shared" si="76"/>
        <v>443.2642786129033</v>
      </c>
      <c r="X269" s="68">
        <f t="shared" si="77"/>
        <v>295.50951907526888</v>
      </c>
      <c r="Z269" s="63"/>
      <c r="AA269" s="63"/>
    </row>
    <row r="270" spans="1:27" hidden="1" x14ac:dyDescent="0.25">
      <c r="A270" t="str">
        <f t="shared" si="78"/>
        <v>10620076C24/05/2026M</v>
      </c>
      <c r="B270" s="169" t="s">
        <v>824</v>
      </c>
      <c r="C270" s="61" t="s">
        <v>396</v>
      </c>
      <c r="D270" s="61" t="s">
        <v>591</v>
      </c>
      <c r="E270" s="61" t="s">
        <v>592</v>
      </c>
      <c r="F270" s="1" t="s">
        <v>346</v>
      </c>
      <c r="G270" s="62" t="str">
        <f t="shared" si="80"/>
        <v>60604</v>
      </c>
      <c r="H270" s="1">
        <v>10620076</v>
      </c>
      <c r="I270" s="1" t="s">
        <v>388</v>
      </c>
      <c r="J270" s="61">
        <v>19</v>
      </c>
      <c r="K270" s="61">
        <v>5.0999999999999996</v>
      </c>
      <c r="L270" s="61">
        <v>8.1999999999999993</v>
      </c>
      <c r="M270" s="69">
        <f t="shared" si="68"/>
        <v>0.96899999999999986</v>
      </c>
      <c r="N270" s="69">
        <f t="shared" si="69"/>
        <v>1.5579999999999998</v>
      </c>
      <c r="O270" s="56">
        <v>41.845082399999995</v>
      </c>
      <c r="P270" s="57">
        <f t="shared" si="70"/>
        <v>795.05656559999989</v>
      </c>
      <c r="Q270" s="58">
        <f t="shared" si="71"/>
        <v>396.010243533123</v>
      </c>
      <c r="R270" s="58">
        <f t="shared" si="72"/>
        <v>264.006829022082</v>
      </c>
      <c r="S270" s="66">
        <f t="shared" si="79"/>
        <v>13.913489898</v>
      </c>
      <c r="T270" s="64">
        <f t="shared" si="73"/>
        <v>71.25</v>
      </c>
      <c r="U270" s="66">
        <f t="shared" si="74"/>
        <v>880.22005549799985</v>
      </c>
      <c r="V270" s="68">
        <f t="shared" si="75"/>
        <v>46.327371341999992</v>
      </c>
      <c r="W270" s="68">
        <f t="shared" si="76"/>
        <v>438.42938178548894</v>
      </c>
      <c r="X270" s="68">
        <f t="shared" si="77"/>
        <v>292.2862545236593</v>
      </c>
      <c r="Z270" s="63"/>
      <c r="AA270" s="63"/>
    </row>
    <row r="271" spans="1:27" hidden="1" x14ac:dyDescent="0.25">
      <c r="A271" t="str">
        <f t="shared" si="78"/>
        <v>10620076C25/05/2026E</v>
      </c>
      <c r="B271" s="169" t="s">
        <v>824</v>
      </c>
      <c r="C271" s="61" t="s">
        <v>397</v>
      </c>
      <c r="D271" s="61" t="s">
        <v>591</v>
      </c>
      <c r="E271" s="61" t="s">
        <v>592</v>
      </c>
      <c r="F271" s="1" t="s">
        <v>346</v>
      </c>
      <c r="G271" s="62" t="str">
        <f t="shared" si="80"/>
        <v>60604</v>
      </c>
      <c r="H271" s="1">
        <v>10620076</v>
      </c>
      <c r="I271" s="1" t="s">
        <v>388</v>
      </c>
      <c r="J271" s="61">
        <v>30</v>
      </c>
      <c r="K271" s="61">
        <v>4.0999999999999996</v>
      </c>
      <c r="L271" s="61">
        <v>8.1</v>
      </c>
      <c r="M271" s="69">
        <f t="shared" si="68"/>
        <v>1.2299999999999998</v>
      </c>
      <c r="N271" s="69">
        <f t="shared" si="69"/>
        <v>2.4300000000000002</v>
      </c>
      <c r="O271" s="56">
        <v>37.621069200000001</v>
      </c>
      <c r="P271" s="57">
        <f t="shared" si="70"/>
        <v>1128.6320760000001</v>
      </c>
      <c r="Q271" s="58">
        <f t="shared" si="71"/>
        <v>396.01125473684209</v>
      </c>
      <c r="R271" s="58">
        <f t="shared" si="72"/>
        <v>264.00750315789475</v>
      </c>
      <c r="S271" s="66">
        <f t="shared" si="79"/>
        <v>19.751061330000002</v>
      </c>
      <c r="T271" s="64">
        <f t="shared" si="73"/>
        <v>112.5</v>
      </c>
      <c r="U271" s="66">
        <f t="shared" si="74"/>
        <v>1260.8831373300002</v>
      </c>
      <c r="V271" s="68">
        <f t="shared" si="75"/>
        <v>42.029437911000009</v>
      </c>
      <c r="W271" s="68">
        <f t="shared" si="76"/>
        <v>442.41513590526324</v>
      </c>
      <c r="X271" s="68">
        <f t="shared" si="77"/>
        <v>294.94342393684218</v>
      </c>
      <c r="Z271" s="63"/>
      <c r="AA271" s="63"/>
    </row>
    <row r="272" spans="1:27" hidden="1" x14ac:dyDescent="0.25">
      <c r="A272" t="str">
        <f t="shared" si="78"/>
        <v>10620076C26/05/2026E</v>
      </c>
      <c r="B272" s="169" t="s">
        <v>825</v>
      </c>
      <c r="C272" s="61" t="s">
        <v>397</v>
      </c>
      <c r="D272" s="61" t="s">
        <v>591</v>
      </c>
      <c r="E272" s="61" t="s">
        <v>592</v>
      </c>
      <c r="F272" s="1" t="s">
        <v>346</v>
      </c>
      <c r="G272" s="62" t="str">
        <f t="shared" si="80"/>
        <v>60604</v>
      </c>
      <c r="H272" s="1">
        <v>10620076</v>
      </c>
      <c r="I272" s="1" t="s">
        <v>388</v>
      </c>
      <c r="J272" s="61">
        <v>29</v>
      </c>
      <c r="K272" s="61">
        <v>4.2</v>
      </c>
      <c r="L272" s="61">
        <v>8.3000000000000007</v>
      </c>
      <c r="M272" s="69">
        <f t="shared" si="68"/>
        <v>1.2180000000000002</v>
      </c>
      <c r="N272" s="69">
        <f t="shared" si="69"/>
        <v>2.407</v>
      </c>
      <c r="O272" s="56">
        <v>38.54509560000001</v>
      </c>
      <c r="P272" s="57">
        <f t="shared" si="70"/>
        <v>1117.8077724000002</v>
      </c>
      <c r="Q272" s="58">
        <f t="shared" si="71"/>
        <v>396.01125616438361</v>
      </c>
      <c r="R272" s="58">
        <f t="shared" si="72"/>
        <v>264.00750410958909</v>
      </c>
      <c r="S272" s="66">
        <f t="shared" si="79"/>
        <v>19.561636017000005</v>
      </c>
      <c r="T272" s="64">
        <f t="shared" si="73"/>
        <v>108.75</v>
      </c>
      <c r="U272" s="66">
        <f t="shared" si="74"/>
        <v>1246.1194084170002</v>
      </c>
      <c r="V272" s="68">
        <f t="shared" si="75"/>
        <v>42.969634773000003</v>
      </c>
      <c r="W272" s="68">
        <f t="shared" si="76"/>
        <v>441.46885040753426</v>
      </c>
      <c r="X272" s="68">
        <f t="shared" si="77"/>
        <v>294.31256693835616</v>
      </c>
      <c r="Z272" s="63"/>
      <c r="AA272" s="63"/>
    </row>
    <row r="273" spans="1:27" hidden="1" x14ac:dyDescent="0.25">
      <c r="A273" t="str">
        <f t="shared" si="78"/>
        <v>10620076C26/05/2026M</v>
      </c>
      <c r="B273" s="169" t="s">
        <v>826</v>
      </c>
      <c r="C273" s="61" t="s">
        <v>396</v>
      </c>
      <c r="D273" s="61" t="s">
        <v>591</v>
      </c>
      <c r="E273" s="61" t="s">
        <v>592</v>
      </c>
      <c r="F273" s="1" t="s">
        <v>346</v>
      </c>
      <c r="G273" s="62" t="str">
        <f t="shared" si="80"/>
        <v>60604</v>
      </c>
      <c r="H273" s="1">
        <v>10620076</v>
      </c>
      <c r="I273" s="1" t="s">
        <v>388</v>
      </c>
      <c r="J273" s="61">
        <v>18</v>
      </c>
      <c r="K273" s="61">
        <v>4.5999999999999996</v>
      </c>
      <c r="L273" s="61">
        <v>8.3000000000000007</v>
      </c>
      <c r="M273" s="69">
        <f t="shared" si="68"/>
        <v>0.82799999999999996</v>
      </c>
      <c r="N273" s="69">
        <f t="shared" si="69"/>
        <v>1.494</v>
      </c>
      <c r="O273" s="56">
        <f>INDEX(Rate_Chart!$A$1:$AK$127,MATCH(Data!K273,Rate_Chart!$A$1:$A$127,0),MATCH(Data!L273,Rate_Chart!$A$1:$AK$1,0))</f>
        <v>42.257153700000003</v>
      </c>
      <c r="P273" s="57">
        <f t="shared" si="70"/>
        <v>760.62876660000006</v>
      </c>
      <c r="Q273" s="58">
        <f t="shared" si="71"/>
        <v>417.01138519736844</v>
      </c>
      <c r="R273" s="58">
        <f t="shared" si="72"/>
        <v>278.00759013157898</v>
      </c>
      <c r="S273" s="66">
        <f t="shared" si="79"/>
        <v>13.311003415500002</v>
      </c>
      <c r="T273" s="64">
        <f t="shared" si="73"/>
        <v>67.5</v>
      </c>
      <c r="U273" s="66">
        <f t="shared" si="74"/>
        <v>841.43977001550002</v>
      </c>
      <c r="V273" s="68">
        <f t="shared" si="75"/>
        <v>46.74665388975</v>
      </c>
      <c r="W273" s="68">
        <f t="shared" si="76"/>
        <v>461.31566338569081</v>
      </c>
      <c r="X273" s="68">
        <f t="shared" si="77"/>
        <v>307.54377559046054</v>
      </c>
      <c r="Z273" s="63"/>
      <c r="AA273" s="63"/>
    </row>
    <row r="274" spans="1:27" hidden="1" x14ac:dyDescent="0.25">
      <c r="A274" t="str">
        <f t="shared" si="78"/>
        <v>10620076C22/05/2026E</v>
      </c>
      <c r="B274" s="169" t="s">
        <v>826</v>
      </c>
      <c r="C274" s="61" t="s">
        <v>397</v>
      </c>
      <c r="D274" s="61" t="s">
        <v>591</v>
      </c>
      <c r="E274" s="61" t="s">
        <v>592</v>
      </c>
      <c r="F274" s="1" t="s">
        <v>346</v>
      </c>
      <c r="G274" s="62" t="str">
        <f t="shared" si="80"/>
        <v>60604</v>
      </c>
      <c r="H274" s="1">
        <v>10620076</v>
      </c>
      <c r="I274" s="1" t="s">
        <v>388</v>
      </c>
      <c r="J274" s="61">
        <v>28</v>
      </c>
      <c r="K274" s="61">
        <v>4.5</v>
      </c>
      <c r="L274" s="61">
        <v>8.5</v>
      </c>
      <c r="M274" s="69">
        <f t="shared" si="68"/>
        <v>1.26</v>
      </c>
      <c r="N274" s="69">
        <f t="shared" si="69"/>
        <v>2.38</v>
      </c>
      <c r="O274" s="56">
        <f>INDEX(Rate_Chart!$A$1:$AK$127,MATCH(Data!K274,Rate_Chart!$A$1:$A$127,0),MATCH(Data!L274,Rate_Chart!$A$1:$AK$1,0))</f>
        <v>42.396181500000004</v>
      </c>
      <c r="P274" s="57">
        <f t="shared" si="70"/>
        <v>1187.0930820000001</v>
      </c>
      <c r="Q274" s="58">
        <f t="shared" si="71"/>
        <v>417.01162131147544</v>
      </c>
      <c r="R274" s="58">
        <f t="shared" si="72"/>
        <v>278.00774754098364</v>
      </c>
      <c r="S274" s="66">
        <f t="shared" si="79"/>
        <v>20.774128935000004</v>
      </c>
      <c r="T274" s="64">
        <f t="shared" si="73"/>
        <v>105</v>
      </c>
      <c r="U274" s="66">
        <f t="shared" si="74"/>
        <v>1312.867210935</v>
      </c>
      <c r="V274" s="68">
        <f t="shared" si="75"/>
        <v>46.888114676249998</v>
      </c>
      <c r="W274" s="68">
        <f t="shared" si="76"/>
        <v>461.19457058606554</v>
      </c>
      <c r="X274" s="68">
        <f t="shared" si="77"/>
        <v>307.46304705737703</v>
      </c>
      <c r="Z274" s="63"/>
      <c r="AA274" s="63"/>
    </row>
    <row r="275" spans="1:27" hidden="1" x14ac:dyDescent="0.25">
      <c r="A275" t="str">
        <f t="shared" si="78"/>
        <v>10620061B22/05/2026M</v>
      </c>
      <c r="B275" s="169" t="s">
        <v>822</v>
      </c>
      <c r="C275" s="61" t="s">
        <v>396</v>
      </c>
      <c r="D275" s="61" t="s">
        <v>591</v>
      </c>
      <c r="E275" s="61" t="s">
        <v>810</v>
      </c>
      <c r="F275" s="1" t="s">
        <v>347</v>
      </c>
      <c r="G275" s="62" t="str">
        <f t="shared" si="80"/>
        <v>60605</v>
      </c>
      <c r="H275" s="1">
        <v>10620061</v>
      </c>
      <c r="I275" s="1" t="s">
        <v>387</v>
      </c>
      <c r="J275" s="61">
        <v>56</v>
      </c>
      <c r="K275" s="61">
        <v>6.2</v>
      </c>
      <c r="L275" s="61">
        <v>8.8000000000000007</v>
      </c>
      <c r="M275" s="69">
        <f t="shared" si="68"/>
        <v>3.472</v>
      </c>
      <c r="N275" s="69">
        <f t="shared" si="69"/>
        <v>4.9280000000000008</v>
      </c>
      <c r="O275" s="56">
        <v>51.252300000000005</v>
      </c>
      <c r="P275" s="57">
        <f t="shared" si="70"/>
        <v>2870.1288000000004</v>
      </c>
      <c r="Q275" s="58">
        <f t="shared" si="71"/>
        <v>424.74281767955802</v>
      </c>
      <c r="R275" s="58">
        <f t="shared" si="72"/>
        <v>283.1618784530387</v>
      </c>
      <c r="S275" s="66">
        <f t="shared" si="79"/>
        <v>50.227254000000009</v>
      </c>
      <c r="T275" s="64">
        <f t="shared" si="73"/>
        <v>210</v>
      </c>
      <c r="U275" s="66">
        <f t="shared" si="74"/>
        <v>3130.3560540000003</v>
      </c>
      <c r="V275" s="68">
        <f t="shared" si="75"/>
        <v>55.899215250000005</v>
      </c>
      <c r="W275" s="68">
        <f t="shared" si="76"/>
        <v>463.25316505524864</v>
      </c>
      <c r="X275" s="68">
        <f t="shared" si="77"/>
        <v>308.83544337016576</v>
      </c>
      <c r="Z275" s="63"/>
      <c r="AA275" s="63"/>
    </row>
    <row r="276" spans="1:27" hidden="1" x14ac:dyDescent="0.25">
      <c r="A276" t="str">
        <f t="shared" si="78"/>
        <v>10620061B22/05/2026E</v>
      </c>
      <c r="B276" s="169" t="s">
        <v>822</v>
      </c>
      <c r="C276" s="61" t="s">
        <v>397</v>
      </c>
      <c r="D276" s="61" t="s">
        <v>591</v>
      </c>
      <c r="E276" s="61" t="s">
        <v>810</v>
      </c>
      <c r="F276" s="1" t="s">
        <v>347</v>
      </c>
      <c r="G276" s="62" t="str">
        <f t="shared" si="80"/>
        <v>60605</v>
      </c>
      <c r="H276" s="1">
        <v>10620061</v>
      </c>
      <c r="I276" s="1" t="s">
        <v>387</v>
      </c>
      <c r="J276" s="61">
        <v>18</v>
      </c>
      <c r="K276" s="61">
        <v>5.6</v>
      </c>
      <c r="L276" s="61">
        <v>8.4</v>
      </c>
      <c r="M276" s="69">
        <f t="shared" si="68"/>
        <v>1.008</v>
      </c>
      <c r="N276" s="69">
        <f t="shared" si="69"/>
        <v>1.5120000000000002</v>
      </c>
      <c r="O276" s="56">
        <v>45.357199999999999</v>
      </c>
      <c r="P276" s="57">
        <f t="shared" si="70"/>
        <v>816.42959999999994</v>
      </c>
      <c r="Q276" s="58">
        <f t="shared" si="71"/>
        <v>404.97500000000002</v>
      </c>
      <c r="R276" s="58">
        <f t="shared" si="72"/>
        <v>269.98333333333335</v>
      </c>
      <c r="S276" s="66">
        <f t="shared" si="79"/>
        <v>14.287518</v>
      </c>
      <c r="T276" s="64">
        <f t="shared" si="73"/>
        <v>67.5</v>
      </c>
      <c r="U276" s="66">
        <f t="shared" si="74"/>
        <v>898.21711799999991</v>
      </c>
      <c r="V276" s="68">
        <f t="shared" si="75"/>
        <v>49.900950999999992</v>
      </c>
      <c r="W276" s="68">
        <f t="shared" si="76"/>
        <v>445.54420535714286</v>
      </c>
      <c r="X276" s="68">
        <f t="shared" si="77"/>
        <v>297.02947023809526</v>
      </c>
      <c r="Z276" s="63"/>
      <c r="AA276" s="63"/>
    </row>
    <row r="277" spans="1:27" hidden="1" x14ac:dyDescent="0.25">
      <c r="A277" t="str">
        <f t="shared" si="78"/>
        <v>10620061C23/05/2026E</v>
      </c>
      <c r="B277" s="169" t="s">
        <v>822</v>
      </c>
      <c r="C277" s="61" t="s">
        <v>397</v>
      </c>
      <c r="D277" s="61" t="s">
        <v>591</v>
      </c>
      <c r="E277" s="61" t="s">
        <v>810</v>
      </c>
      <c r="F277" s="1" t="s">
        <v>347</v>
      </c>
      <c r="G277" s="62" t="str">
        <f t="shared" si="80"/>
        <v>60605</v>
      </c>
      <c r="H277" s="1">
        <v>10620061</v>
      </c>
      <c r="I277" s="1" t="s">
        <v>388</v>
      </c>
      <c r="J277" s="61">
        <v>40</v>
      </c>
      <c r="K277" s="61">
        <v>3.4</v>
      </c>
      <c r="L277" s="61">
        <v>8.1</v>
      </c>
      <c r="M277" s="69">
        <f t="shared" si="68"/>
        <v>1.36</v>
      </c>
      <c r="N277" s="69">
        <f t="shared" si="69"/>
        <v>3.24</v>
      </c>
      <c r="O277" s="56">
        <v>34.849069200000002</v>
      </c>
      <c r="P277" s="57">
        <f t="shared" si="70"/>
        <v>1393.9627680000001</v>
      </c>
      <c r="Q277" s="58">
        <f t="shared" si="71"/>
        <v>396.01215000000008</v>
      </c>
      <c r="R277" s="58">
        <f t="shared" si="72"/>
        <v>264.00810000000007</v>
      </c>
      <c r="S277" s="66">
        <f t="shared" si="79"/>
        <v>24.394348440000005</v>
      </c>
      <c r="T277" s="64">
        <f t="shared" si="73"/>
        <v>150</v>
      </c>
      <c r="U277" s="66">
        <f t="shared" si="74"/>
        <v>1568.35711644</v>
      </c>
      <c r="V277" s="68">
        <f t="shared" si="75"/>
        <v>39.208927911000004</v>
      </c>
      <c r="W277" s="68">
        <f t="shared" si="76"/>
        <v>445.55599898863642</v>
      </c>
      <c r="X277" s="68">
        <f t="shared" si="77"/>
        <v>297.03733265909096</v>
      </c>
      <c r="Z277" s="63"/>
      <c r="AA277" s="63"/>
    </row>
    <row r="278" spans="1:27" hidden="1" x14ac:dyDescent="0.25">
      <c r="A278" t="str">
        <f t="shared" si="78"/>
        <v>10620061B23/05/2026M</v>
      </c>
      <c r="B278" s="169" t="s">
        <v>823</v>
      </c>
      <c r="C278" s="61" t="s">
        <v>396</v>
      </c>
      <c r="D278" s="61" t="s">
        <v>591</v>
      </c>
      <c r="E278" s="61" t="s">
        <v>810</v>
      </c>
      <c r="F278" s="1" t="s">
        <v>347</v>
      </c>
      <c r="G278" s="62" t="str">
        <f t="shared" si="80"/>
        <v>60605</v>
      </c>
      <c r="H278" s="1">
        <v>10620061</v>
      </c>
      <c r="I278" s="1" t="s">
        <v>387</v>
      </c>
      <c r="J278" s="61">
        <v>61</v>
      </c>
      <c r="K278" s="61">
        <v>6.6</v>
      </c>
      <c r="L278" s="61">
        <v>8.8000000000000007</v>
      </c>
      <c r="M278" s="69">
        <f t="shared" si="68"/>
        <v>4.0259999999999998</v>
      </c>
      <c r="N278" s="69">
        <f t="shared" si="69"/>
        <v>5.3680000000000003</v>
      </c>
      <c r="O278" s="56">
        <v>54.558900000000001</v>
      </c>
      <c r="P278" s="57">
        <f t="shared" si="70"/>
        <v>3328.0929000000001</v>
      </c>
      <c r="Q278" s="58">
        <f t="shared" si="71"/>
        <v>437.63823529411764</v>
      </c>
      <c r="R278" s="58">
        <f t="shared" si="72"/>
        <v>291.75882352941176</v>
      </c>
      <c r="S278" s="66">
        <f t="shared" si="79"/>
        <v>58.241625750000004</v>
      </c>
      <c r="T278" s="64">
        <f t="shared" si="73"/>
        <v>228.75</v>
      </c>
      <c r="U278" s="66">
        <f t="shared" si="74"/>
        <v>3615.08452575</v>
      </c>
      <c r="V278" s="68">
        <f t="shared" si="75"/>
        <v>59.263680749999999</v>
      </c>
      <c r="W278" s="68">
        <f t="shared" si="76"/>
        <v>475.37711831550797</v>
      </c>
      <c r="X278" s="68">
        <f t="shared" si="77"/>
        <v>316.91807887700531</v>
      </c>
      <c r="Z278" s="63"/>
      <c r="AA278" s="63"/>
    </row>
    <row r="279" spans="1:27" hidden="1" x14ac:dyDescent="0.25">
      <c r="A279" t="str">
        <f t="shared" si="78"/>
        <v>10620061C23/05/2026M</v>
      </c>
      <c r="B279" s="169" t="s">
        <v>823</v>
      </c>
      <c r="C279" s="61" t="s">
        <v>396</v>
      </c>
      <c r="D279" s="61" t="s">
        <v>591</v>
      </c>
      <c r="E279" s="61" t="s">
        <v>810</v>
      </c>
      <c r="F279" s="1" t="s">
        <v>347</v>
      </c>
      <c r="G279" s="62" t="str">
        <f t="shared" si="80"/>
        <v>60605</v>
      </c>
      <c r="H279" s="1">
        <v>10620061</v>
      </c>
      <c r="I279" s="1" t="s">
        <v>388</v>
      </c>
      <c r="J279" s="61">
        <v>67</v>
      </c>
      <c r="K279" s="61">
        <v>3.3</v>
      </c>
      <c r="L279" s="61">
        <v>8</v>
      </c>
      <c r="M279" s="69">
        <f t="shared" si="68"/>
        <v>2.2109999999999999</v>
      </c>
      <c r="N279" s="69">
        <f t="shared" si="69"/>
        <v>5.36</v>
      </c>
      <c r="O279" s="56">
        <v>34.189056000000008</v>
      </c>
      <c r="P279" s="57">
        <f t="shared" si="70"/>
        <v>2290.6667520000005</v>
      </c>
      <c r="Q279" s="58">
        <f t="shared" si="71"/>
        <v>396.01223166023169</v>
      </c>
      <c r="R279" s="58">
        <f t="shared" si="72"/>
        <v>264.00815444015444</v>
      </c>
      <c r="S279" s="66">
        <f t="shared" si="79"/>
        <v>40.086668160000016</v>
      </c>
      <c r="T279" s="64">
        <f t="shared" si="73"/>
        <v>251.25</v>
      </c>
      <c r="U279" s="66">
        <f t="shared" si="74"/>
        <v>2582.0034201600006</v>
      </c>
      <c r="V279" s="68">
        <f t="shared" si="75"/>
        <v>38.537364480000008</v>
      </c>
      <c r="W279" s="68">
        <f t="shared" si="76"/>
        <v>446.37873915057918</v>
      </c>
      <c r="X279" s="68">
        <f t="shared" si="77"/>
        <v>297.5858261003861</v>
      </c>
      <c r="Z279" s="63"/>
      <c r="AA279" s="63"/>
    </row>
    <row r="280" spans="1:27" hidden="1" x14ac:dyDescent="0.25">
      <c r="A280" t="str">
        <f t="shared" si="78"/>
        <v>10620061C24/05/2026E</v>
      </c>
      <c r="B280" s="169" t="s">
        <v>823</v>
      </c>
      <c r="C280" s="61" t="s">
        <v>397</v>
      </c>
      <c r="D280" s="61" t="s">
        <v>591</v>
      </c>
      <c r="E280" s="61" t="s">
        <v>810</v>
      </c>
      <c r="F280" s="1" t="s">
        <v>347</v>
      </c>
      <c r="G280" s="62" t="str">
        <f t="shared" si="80"/>
        <v>60605</v>
      </c>
      <c r="H280" s="1">
        <v>10620061</v>
      </c>
      <c r="I280" s="1" t="s">
        <v>388</v>
      </c>
      <c r="J280" s="61">
        <v>64</v>
      </c>
      <c r="K280" s="61">
        <v>4.0999999999999996</v>
      </c>
      <c r="L280" s="61">
        <v>8.1</v>
      </c>
      <c r="M280" s="69">
        <f t="shared" si="68"/>
        <v>2.6239999999999997</v>
      </c>
      <c r="N280" s="69">
        <f t="shared" si="69"/>
        <v>5.1840000000000002</v>
      </c>
      <c r="O280" s="56">
        <v>37.621069200000001</v>
      </c>
      <c r="P280" s="57">
        <f t="shared" si="70"/>
        <v>2407.7484288000001</v>
      </c>
      <c r="Q280" s="58">
        <f t="shared" si="71"/>
        <v>396.01125473684209</v>
      </c>
      <c r="R280" s="58">
        <f t="shared" si="72"/>
        <v>264.00750315789475</v>
      </c>
      <c r="S280" s="66">
        <f t="shared" si="79"/>
        <v>42.135597504000003</v>
      </c>
      <c r="T280" s="64">
        <f t="shared" si="73"/>
        <v>240</v>
      </c>
      <c r="U280" s="66">
        <f t="shared" si="74"/>
        <v>2689.8840263040001</v>
      </c>
      <c r="V280" s="68">
        <f t="shared" si="75"/>
        <v>42.029437911000002</v>
      </c>
      <c r="W280" s="68">
        <f t="shared" si="76"/>
        <v>442.41513590526318</v>
      </c>
      <c r="X280" s="68">
        <f t="shared" si="77"/>
        <v>294.94342393684212</v>
      </c>
      <c r="Z280" s="63"/>
      <c r="AA280" s="63"/>
    </row>
    <row r="281" spans="1:27" hidden="1" x14ac:dyDescent="0.25">
      <c r="A281" t="str">
        <f t="shared" si="78"/>
        <v>10620061B24/05/2026M</v>
      </c>
      <c r="B281" s="169" t="s">
        <v>824</v>
      </c>
      <c r="C281" s="61" t="s">
        <v>396</v>
      </c>
      <c r="D281" s="61" t="s">
        <v>591</v>
      </c>
      <c r="E281" s="61" t="s">
        <v>810</v>
      </c>
      <c r="F281" s="1" t="s">
        <v>347</v>
      </c>
      <c r="G281" s="62" t="str">
        <f t="shared" si="80"/>
        <v>60605</v>
      </c>
      <c r="H281" s="1">
        <v>10620061</v>
      </c>
      <c r="I281" s="1" t="s">
        <v>387</v>
      </c>
      <c r="J281" s="61">
        <v>66</v>
      </c>
      <c r="K281" s="61">
        <v>5.7</v>
      </c>
      <c r="L281" s="61">
        <v>8.6</v>
      </c>
      <c r="M281" s="69">
        <f t="shared" si="68"/>
        <v>3.762</v>
      </c>
      <c r="N281" s="69">
        <f t="shared" si="69"/>
        <v>5.6760000000000002</v>
      </c>
      <c r="O281" s="56">
        <v>46.643099999999997</v>
      </c>
      <c r="P281" s="57">
        <f t="shared" si="70"/>
        <v>3078.4445999999998</v>
      </c>
      <c r="Q281" s="58">
        <f t="shared" si="71"/>
        <v>407.95714285714286</v>
      </c>
      <c r="R281" s="58">
        <f t="shared" si="72"/>
        <v>271.97142857142859</v>
      </c>
      <c r="S281" s="66">
        <f t="shared" si="79"/>
        <v>53.872780500000005</v>
      </c>
      <c r="T281" s="64">
        <f t="shared" si="73"/>
        <v>247.5</v>
      </c>
      <c r="U281" s="66">
        <f t="shared" si="74"/>
        <v>3379.8173804999997</v>
      </c>
      <c r="V281" s="68">
        <f t="shared" si="75"/>
        <v>51.209354249999997</v>
      </c>
      <c r="W281" s="68">
        <f t="shared" si="76"/>
        <v>447.89522667638482</v>
      </c>
      <c r="X281" s="68">
        <f t="shared" si="77"/>
        <v>298.59681778425653</v>
      </c>
      <c r="Z281" s="63"/>
      <c r="AA281" s="63"/>
    </row>
    <row r="282" spans="1:27" hidden="1" x14ac:dyDescent="0.25">
      <c r="A282" t="str">
        <f t="shared" si="78"/>
        <v>10620061C25/05/2026E</v>
      </c>
      <c r="B282" s="169" t="s">
        <v>824</v>
      </c>
      <c r="C282" s="61" t="s">
        <v>397</v>
      </c>
      <c r="D282" s="61" t="s">
        <v>591</v>
      </c>
      <c r="E282" s="61" t="s">
        <v>810</v>
      </c>
      <c r="F282" s="1" t="s">
        <v>347</v>
      </c>
      <c r="G282" s="62" t="str">
        <f t="shared" si="80"/>
        <v>60605</v>
      </c>
      <c r="H282" s="1">
        <v>10620061</v>
      </c>
      <c r="I282" s="1" t="s">
        <v>388</v>
      </c>
      <c r="J282" s="61">
        <v>65</v>
      </c>
      <c r="K282" s="61">
        <v>4.0999999999999996</v>
      </c>
      <c r="L282" s="61">
        <v>8.3000000000000007</v>
      </c>
      <c r="M282" s="69">
        <f t="shared" si="68"/>
        <v>2.665</v>
      </c>
      <c r="N282" s="69">
        <f t="shared" si="69"/>
        <v>5.3949999999999996</v>
      </c>
      <c r="O282" s="56">
        <v>38.149095600000003</v>
      </c>
      <c r="P282" s="57">
        <f t="shared" si="70"/>
        <v>2479.6912139999999</v>
      </c>
      <c r="Q282" s="58">
        <f t="shared" si="71"/>
        <v>396.01137301038068</v>
      </c>
      <c r="R282" s="58">
        <f t="shared" si="72"/>
        <v>264.00758200692047</v>
      </c>
      <c r="S282" s="66">
        <f t="shared" si="79"/>
        <v>43.394596245000002</v>
      </c>
      <c r="T282" s="64">
        <f t="shared" si="73"/>
        <v>243.75</v>
      </c>
      <c r="U282" s="66">
        <f t="shared" si="74"/>
        <v>2766.8358102450002</v>
      </c>
      <c r="V282" s="68">
        <f t="shared" si="75"/>
        <v>42.566704773000005</v>
      </c>
      <c r="W282" s="68">
        <f t="shared" si="76"/>
        <v>441.8689076782008</v>
      </c>
      <c r="X282" s="68">
        <f t="shared" si="77"/>
        <v>294.5792717854672</v>
      </c>
      <c r="Z282" s="63"/>
      <c r="AA282" s="63"/>
    </row>
    <row r="283" spans="1:27" hidden="1" x14ac:dyDescent="0.25">
      <c r="A283" t="str">
        <f t="shared" si="78"/>
        <v>10620061B25/05/2026M</v>
      </c>
      <c r="B283" s="169" t="s">
        <v>825</v>
      </c>
      <c r="C283" s="61" t="s">
        <v>396</v>
      </c>
      <c r="D283" s="61" t="s">
        <v>591</v>
      </c>
      <c r="E283" s="61" t="s">
        <v>810</v>
      </c>
      <c r="F283" s="1" t="s">
        <v>347</v>
      </c>
      <c r="G283" s="62" t="str">
        <f t="shared" si="80"/>
        <v>60605</v>
      </c>
      <c r="H283" s="1">
        <v>10620061</v>
      </c>
      <c r="I283" s="1" t="s">
        <v>387</v>
      </c>
      <c r="J283" s="61">
        <v>59</v>
      </c>
      <c r="K283" s="61">
        <v>6.7</v>
      </c>
      <c r="L283" s="61">
        <v>8.8000000000000007</v>
      </c>
      <c r="M283" s="69">
        <f t="shared" si="68"/>
        <v>3.9530000000000003</v>
      </c>
      <c r="N283" s="69">
        <f t="shared" si="69"/>
        <v>5.1920000000000002</v>
      </c>
      <c r="O283" s="56">
        <v>55.385550000000002</v>
      </c>
      <c r="P283" s="57">
        <f t="shared" si="70"/>
        <v>3267.7474500000003</v>
      </c>
      <c r="Q283" s="58">
        <f t="shared" si="71"/>
        <v>440.73381962864721</v>
      </c>
      <c r="R283" s="58">
        <f t="shared" si="72"/>
        <v>293.82254641909816</v>
      </c>
      <c r="S283" s="66">
        <f t="shared" si="79"/>
        <v>57.185580375000008</v>
      </c>
      <c r="T283" s="64">
        <f t="shared" si="73"/>
        <v>221.25</v>
      </c>
      <c r="U283" s="66">
        <f t="shared" si="74"/>
        <v>3546.1830303750003</v>
      </c>
      <c r="V283" s="68">
        <f t="shared" si="75"/>
        <v>60.104797125000005</v>
      </c>
      <c r="W283" s="68">
        <f t="shared" si="76"/>
        <v>478.28751027851456</v>
      </c>
      <c r="X283" s="68">
        <f t="shared" si="77"/>
        <v>318.85834018567635</v>
      </c>
      <c r="Z283" s="63"/>
      <c r="AA283" s="63"/>
    </row>
    <row r="284" spans="1:27" hidden="1" x14ac:dyDescent="0.25">
      <c r="A284" t="str">
        <f t="shared" si="78"/>
        <v>10620061C25/05/2026M</v>
      </c>
      <c r="B284" s="169" t="s">
        <v>825</v>
      </c>
      <c r="C284" s="61" t="s">
        <v>396</v>
      </c>
      <c r="D284" s="61" t="s">
        <v>591</v>
      </c>
      <c r="E284" s="61" t="s">
        <v>810</v>
      </c>
      <c r="F284" s="1" t="s">
        <v>347</v>
      </c>
      <c r="G284" s="62" t="str">
        <f t="shared" si="80"/>
        <v>60605</v>
      </c>
      <c r="H284" s="1">
        <v>10620061</v>
      </c>
      <c r="I284" s="1" t="s">
        <v>388</v>
      </c>
      <c r="J284" s="61">
        <v>73</v>
      </c>
      <c r="K284" s="61">
        <v>3.3</v>
      </c>
      <c r="L284" s="61">
        <v>8</v>
      </c>
      <c r="M284" s="69">
        <f t="shared" si="68"/>
        <v>2.4089999999999998</v>
      </c>
      <c r="N284" s="69">
        <f t="shared" si="69"/>
        <v>5.84</v>
      </c>
      <c r="O284" s="56">
        <v>34.189056000000008</v>
      </c>
      <c r="P284" s="57">
        <f t="shared" si="70"/>
        <v>2495.8010880000006</v>
      </c>
      <c r="Q284" s="58">
        <f t="shared" si="71"/>
        <v>396.01223166023169</v>
      </c>
      <c r="R284" s="58">
        <f t="shared" si="72"/>
        <v>264.00815444015444</v>
      </c>
      <c r="S284" s="66">
        <f t="shared" si="79"/>
        <v>43.676519040000017</v>
      </c>
      <c r="T284" s="64">
        <f t="shared" si="73"/>
        <v>273.75</v>
      </c>
      <c r="U284" s="66">
        <f t="shared" si="74"/>
        <v>2813.2276070400007</v>
      </c>
      <c r="V284" s="68">
        <f t="shared" si="75"/>
        <v>38.537364480000008</v>
      </c>
      <c r="W284" s="68">
        <f t="shared" si="76"/>
        <v>446.37873915057918</v>
      </c>
      <c r="X284" s="68">
        <f t="shared" si="77"/>
        <v>297.5858261003861</v>
      </c>
      <c r="Z284" s="63"/>
      <c r="AA284" s="63"/>
    </row>
    <row r="285" spans="1:27" hidden="1" x14ac:dyDescent="0.25">
      <c r="A285" t="str">
        <f t="shared" si="78"/>
        <v>10620061C26/05/2026E</v>
      </c>
      <c r="B285" s="169" t="s">
        <v>825</v>
      </c>
      <c r="C285" s="61" t="s">
        <v>397</v>
      </c>
      <c r="D285" s="61" t="s">
        <v>591</v>
      </c>
      <c r="E285" s="61" t="s">
        <v>810</v>
      </c>
      <c r="F285" s="1" t="s">
        <v>347</v>
      </c>
      <c r="G285" s="62" t="str">
        <f t="shared" si="80"/>
        <v>60605</v>
      </c>
      <c r="H285" s="1">
        <v>10620061</v>
      </c>
      <c r="I285" s="1" t="s">
        <v>388</v>
      </c>
      <c r="J285" s="61">
        <v>25</v>
      </c>
      <c r="K285" s="61">
        <v>3.8</v>
      </c>
      <c r="L285" s="61">
        <v>8.1999999999999993</v>
      </c>
      <c r="M285" s="69">
        <f t="shared" si="68"/>
        <v>0.95</v>
      </c>
      <c r="N285" s="69">
        <f t="shared" si="69"/>
        <v>2.0499999999999998</v>
      </c>
      <c r="O285" s="56">
        <v>36.697082399999999</v>
      </c>
      <c r="P285" s="57">
        <f t="shared" si="70"/>
        <v>917.42705999999998</v>
      </c>
      <c r="Q285" s="58">
        <f t="shared" si="71"/>
        <v>396.01168057553957</v>
      </c>
      <c r="R285" s="58">
        <f t="shared" si="72"/>
        <v>264.0077870503597</v>
      </c>
      <c r="S285" s="66">
        <f t="shared" si="79"/>
        <v>16.05497355</v>
      </c>
      <c r="T285" s="64">
        <f t="shared" si="73"/>
        <v>93.75</v>
      </c>
      <c r="U285" s="66">
        <f t="shared" si="74"/>
        <v>1027.2320335499999</v>
      </c>
      <c r="V285" s="68">
        <f t="shared" si="75"/>
        <v>41.089281341999992</v>
      </c>
      <c r="W285" s="68">
        <f t="shared" si="76"/>
        <v>443.40951088489203</v>
      </c>
      <c r="X285" s="68">
        <f t="shared" si="77"/>
        <v>295.60634058992804</v>
      </c>
      <c r="Z285" s="63"/>
      <c r="AA285" s="63"/>
    </row>
    <row r="286" spans="1:27" hidden="1" x14ac:dyDescent="0.25">
      <c r="A286" t="str">
        <f t="shared" si="78"/>
        <v>10620061B26/05/2026M</v>
      </c>
      <c r="B286" s="169" t="s">
        <v>826</v>
      </c>
      <c r="C286" s="61" t="s">
        <v>396</v>
      </c>
      <c r="D286" s="61" t="s">
        <v>591</v>
      </c>
      <c r="E286" s="61" t="s">
        <v>810</v>
      </c>
      <c r="F286" s="1" t="s">
        <v>347</v>
      </c>
      <c r="G286" s="62" t="str">
        <f t="shared" si="80"/>
        <v>60605</v>
      </c>
      <c r="H286" s="1">
        <v>10620061</v>
      </c>
      <c r="I286" s="1" t="s">
        <v>387</v>
      </c>
      <c r="J286" s="61">
        <v>58</v>
      </c>
      <c r="K286" s="61">
        <v>6.7</v>
      </c>
      <c r="L286" s="61">
        <v>8.8000000000000007</v>
      </c>
      <c r="M286" s="69">
        <f t="shared" si="68"/>
        <v>3.8860000000000001</v>
      </c>
      <c r="N286" s="69">
        <f t="shared" si="69"/>
        <v>5.1040000000000001</v>
      </c>
      <c r="O286" s="56">
        <f>INDEX(Rate_Chart!$A$1:$AK$127,MATCH(Data!K286,Rate_Chart!$A$1:$A$127,0),MATCH(Data!L286,Rate_Chart!$A$1:$AK$1,0))</f>
        <v>55.385550000000002</v>
      </c>
      <c r="P286" s="57">
        <f t="shared" si="70"/>
        <v>3212.3619000000003</v>
      </c>
      <c r="Q286" s="58">
        <f t="shared" si="71"/>
        <v>440.73381962864721</v>
      </c>
      <c r="R286" s="58">
        <f t="shared" si="72"/>
        <v>293.82254641909816</v>
      </c>
      <c r="S286" s="66">
        <f t="shared" si="79"/>
        <v>56.216333250000012</v>
      </c>
      <c r="T286" s="64">
        <f t="shared" si="73"/>
        <v>217.5</v>
      </c>
      <c r="U286" s="66">
        <f t="shared" si="74"/>
        <v>3486.0782332500003</v>
      </c>
      <c r="V286" s="68">
        <f t="shared" si="75"/>
        <v>60.104797125000005</v>
      </c>
      <c r="W286" s="68">
        <f t="shared" si="76"/>
        <v>478.28751027851456</v>
      </c>
      <c r="X286" s="68">
        <f t="shared" si="77"/>
        <v>318.85834018567635</v>
      </c>
      <c r="Z286" s="63"/>
      <c r="AA286" s="63"/>
    </row>
    <row r="287" spans="1:27" hidden="1" x14ac:dyDescent="0.25">
      <c r="A287" t="str">
        <f t="shared" si="78"/>
        <v>10620061B26/05/2026E</v>
      </c>
      <c r="B287" s="169" t="s">
        <v>826</v>
      </c>
      <c r="C287" s="61" t="s">
        <v>397</v>
      </c>
      <c r="D287" s="61" t="s">
        <v>591</v>
      </c>
      <c r="E287" s="61" t="s">
        <v>810</v>
      </c>
      <c r="F287" s="1" t="s">
        <v>347</v>
      </c>
      <c r="G287" s="62" t="str">
        <f t="shared" si="80"/>
        <v>60605</v>
      </c>
      <c r="H287" s="1">
        <v>10620061</v>
      </c>
      <c r="I287" s="1" t="s">
        <v>387</v>
      </c>
      <c r="J287" s="61">
        <v>11</v>
      </c>
      <c r="K287" s="61">
        <v>6.2</v>
      </c>
      <c r="L287" s="61">
        <v>9</v>
      </c>
      <c r="M287" s="69">
        <f t="shared" si="68"/>
        <v>0.68200000000000005</v>
      </c>
      <c r="N287" s="69">
        <f t="shared" si="69"/>
        <v>0.99</v>
      </c>
      <c r="O287" s="56">
        <f>INDEX(Rate_Chart!$A$1:$AK$127,MATCH(Data!K287,Rate_Chart!$A$1:$A$127,0),MATCH(Data!L287,Rate_Chart!$A$1:$AK$1,0))</f>
        <v>51.77</v>
      </c>
      <c r="P287" s="57">
        <f t="shared" si="70"/>
        <v>569.47</v>
      </c>
      <c r="Q287" s="58">
        <f t="shared" si="71"/>
        <v>424.34426229508199</v>
      </c>
      <c r="R287" s="58">
        <f t="shared" si="72"/>
        <v>282.89617486338801</v>
      </c>
      <c r="S287" s="66">
        <f t="shared" si="79"/>
        <v>9.9657250000000008</v>
      </c>
      <c r="T287" s="64">
        <f t="shared" si="73"/>
        <v>41.25</v>
      </c>
      <c r="U287" s="66">
        <f t="shared" si="74"/>
        <v>620.68572500000005</v>
      </c>
      <c r="V287" s="68">
        <f t="shared" si="75"/>
        <v>56.425975000000001</v>
      </c>
      <c r="W287" s="68">
        <f t="shared" si="76"/>
        <v>462.50799180327868</v>
      </c>
      <c r="X287" s="68">
        <f t="shared" si="77"/>
        <v>308.33866120218579</v>
      </c>
      <c r="Z287" s="63"/>
      <c r="AA287" s="63"/>
    </row>
    <row r="288" spans="1:27" hidden="1" x14ac:dyDescent="0.25">
      <c r="A288" t="str">
        <f t="shared" si="78"/>
        <v>10620061C27/05/2026E</v>
      </c>
      <c r="B288" s="169" t="s">
        <v>826</v>
      </c>
      <c r="C288" s="61" t="s">
        <v>397</v>
      </c>
      <c r="D288" s="61" t="s">
        <v>591</v>
      </c>
      <c r="E288" s="61" t="s">
        <v>810</v>
      </c>
      <c r="F288" s="1" t="s">
        <v>347</v>
      </c>
      <c r="G288" s="62" t="str">
        <f t="shared" si="80"/>
        <v>60605</v>
      </c>
      <c r="H288" s="1">
        <v>10620061</v>
      </c>
      <c r="I288" s="1" t="s">
        <v>388</v>
      </c>
      <c r="J288" s="61">
        <v>39</v>
      </c>
      <c r="K288" s="61">
        <v>3.7</v>
      </c>
      <c r="L288" s="61">
        <v>8.5</v>
      </c>
      <c r="M288" s="69">
        <f t="shared" si="68"/>
        <v>1.4430000000000001</v>
      </c>
      <c r="N288" s="69">
        <f t="shared" si="69"/>
        <v>3.3149999999999999</v>
      </c>
      <c r="O288" s="56">
        <f>INDEX(Rate_Chart!$A$1:$AK$127,MATCH(Data!K288,Rate_Chart!$A$1:$A$127,0),MATCH(Data!L288,Rate_Chart!$A$1:$AK$1,0))</f>
        <v>39.060181500000006</v>
      </c>
      <c r="P288" s="57">
        <f t="shared" si="70"/>
        <v>1523.3470785000002</v>
      </c>
      <c r="Q288" s="58">
        <f t="shared" si="71"/>
        <v>417.0126138790036</v>
      </c>
      <c r="R288" s="58">
        <f t="shared" si="72"/>
        <v>278.00840925266908</v>
      </c>
      <c r="S288" s="66">
        <f t="shared" si="79"/>
        <v>26.658573873750004</v>
      </c>
      <c r="T288" s="64">
        <f t="shared" si="73"/>
        <v>146.25</v>
      </c>
      <c r="U288" s="66">
        <f t="shared" si="74"/>
        <v>1696.2556523737503</v>
      </c>
      <c r="V288" s="68">
        <f t="shared" si="75"/>
        <v>43.493734676250007</v>
      </c>
      <c r="W288" s="68">
        <f t="shared" si="76"/>
        <v>464.34592181049823</v>
      </c>
      <c r="X288" s="68">
        <f t="shared" si="77"/>
        <v>309.56394787366548</v>
      </c>
      <c r="Z288" s="63"/>
      <c r="AA288" s="63"/>
    </row>
    <row r="289" spans="1:27" hidden="1" x14ac:dyDescent="0.25">
      <c r="A289" t="str">
        <f t="shared" si="78"/>
        <v>10620061B28/05/2026M</v>
      </c>
      <c r="B289" s="169" t="s">
        <v>827</v>
      </c>
      <c r="C289" s="61" t="s">
        <v>396</v>
      </c>
      <c r="D289" s="61" t="s">
        <v>591</v>
      </c>
      <c r="E289" s="61" t="s">
        <v>810</v>
      </c>
      <c r="F289" s="1" t="s">
        <v>347</v>
      </c>
      <c r="G289" s="62" t="str">
        <f t="shared" si="80"/>
        <v>60605</v>
      </c>
      <c r="H289" s="1">
        <v>10620061</v>
      </c>
      <c r="I289" s="1" t="s">
        <v>387</v>
      </c>
      <c r="J289" s="61">
        <v>46</v>
      </c>
      <c r="K289" s="61">
        <v>7.1</v>
      </c>
      <c r="L289" s="61">
        <v>9</v>
      </c>
      <c r="M289" s="69">
        <f t="shared" ref="M289:M352" si="81">K289*J289/100</f>
        <v>3.2659999999999996</v>
      </c>
      <c r="N289" s="69">
        <f t="shared" ref="N289:N352" si="82">L289*J289/100</f>
        <v>4.1399999999999997</v>
      </c>
      <c r="O289" s="56">
        <f>INDEX(Rate_Chart!$A$1:$AK$127,MATCH(Data!K289,Rate_Chart!$A$1:$A$127,0),MATCH(Data!L289,Rate_Chart!$A$1:$AK$1,0))</f>
        <v>59.284999999999997</v>
      </c>
      <c r="P289" s="57">
        <f t="shared" ref="P289:P352" si="83">O289*J289</f>
        <v>2727.1099999999997</v>
      </c>
      <c r="Q289" s="58">
        <f t="shared" ref="Q289:Q352" si="84">O289/(K289%+L289%*2/3)</f>
        <v>452.55725190839689</v>
      </c>
      <c r="R289" s="58">
        <f t="shared" ref="R289:R352" si="85">Q289*2/3</f>
        <v>301.70483460559791</v>
      </c>
      <c r="S289" s="66">
        <f t="shared" si="79"/>
        <v>47.724424999999997</v>
      </c>
      <c r="T289" s="64">
        <f t="shared" ref="T289:T352" si="86">J289*3.75</f>
        <v>172.5</v>
      </c>
      <c r="U289" s="66">
        <f t="shared" ref="U289:U352" si="87">S289+T289+P289</f>
        <v>2947.3344249999996</v>
      </c>
      <c r="V289" s="68">
        <f t="shared" ref="V289:V352" si="88">U289/J289</f>
        <v>64.072487499999994</v>
      </c>
      <c r="W289" s="68">
        <f t="shared" ref="W289:W352" si="89">V289/(K289%+L289%*2/3)</f>
        <v>489.10295801526712</v>
      </c>
      <c r="X289" s="68">
        <f t="shared" ref="X289:X352" si="90">W289*2/3</f>
        <v>326.06863867684473</v>
      </c>
      <c r="Z289" s="63"/>
      <c r="AA289" s="63"/>
    </row>
    <row r="290" spans="1:27" hidden="1" x14ac:dyDescent="0.25">
      <c r="A290" t="str">
        <f t="shared" si="78"/>
        <v>10620061B28/05/2026M</v>
      </c>
      <c r="B290" s="169" t="s">
        <v>828</v>
      </c>
      <c r="C290" s="61" t="s">
        <v>396</v>
      </c>
      <c r="D290" s="61" t="s">
        <v>591</v>
      </c>
      <c r="E290" s="61" t="s">
        <v>810</v>
      </c>
      <c r="F290" s="1" t="s">
        <v>347</v>
      </c>
      <c r="G290" s="62" t="str">
        <f t="shared" si="80"/>
        <v>60605</v>
      </c>
      <c r="H290" s="1">
        <v>10620061</v>
      </c>
      <c r="I290" s="1" t="s">
        <v>387</v>
      </c>
      <c r="J290" s="61">
        <v>27</v>
      </c>
      <c r="K290" s="61">
        <v>7.1</v>
      </c>
      <c r="L290" s="61">
        <v>8.8000000000000007</v>
      </c>
      <c r="M290" s="69">
        <f t="shared" si="81"/>
        <v>1.9169999999999998</v>
      </c>
      <c r="N290" s="69">
        <f t="shared" si="82"/>
        <v>2.3760000000000003</v>
      </c>
      <c r="O290" s="56">
        <f>INDEX(Rate_Chart!$A$1:$AK$127,MATCH(Data!K290,Rate_Chart!$A$1:$A$127,0),MATCH(Data!L290,Rate_Chart!$A$1:$AK$1,0))</f>
        <v>58.692149999999998</v>
      </c>
      <c r="P290" s="57">
        <f t="shared" si="83"/>
        <v>1584.68805</v>
      </c>
      <c r="Q290" s="58">
        <f t="shared" si="84"/>
        <v>452.63868894601546</v>
      </c>
      <c r="R290" s="58">
        <f t="shared" si="85"/>
        <v>301.75912596401031</v>
      </c>
      <c r="S290" s="66">
        <f t="shared" si="79"/>
        <v>27.732040875000003</v>
      </c>
      <c r="T290" s="64">
        <f t="shared" si="86"/>
        <v>101.25</v>
      </c>
      <c r="U290" s="66">
        <f t="shared" si="87"/>
        <v>1713.6700908749999</v>
      </c>
      <c r="V290" s="68">
        <f t="shared" si="88"/>
        <v>63.469262624999999</v>
      </c>
      <c r="W290" s="68">
        <f t="shared" si="89"/>
        <v>489.48017448586126</v>
      </c>
      <c r="X290" s="68">
        <f t="shared" si="90"/>
        <v>326.32011632390748</v>
      </c>
      <c r="Z290" s="63"/>
      <c r="AA290" s="63"/>
    </row>
    <row r="291" spans="1:27" hidden="1" x14ac:dyDescent="0.25">
      <c r="A291" t="str">
        <f t="shared" si="78"/>
        <v>10620061C22/05/2026E</v>
      </c>
      <c r="B291" s="169" t="s">
        <v>828</v>
      </c>
      <c r="C291" s="61" t="s">
        <v>397</v>
      </c>
      <c r="D291" s="61" t="s">
        <v>591</v>
      </c>
      <c r="E291" s="61" t="s">
        <v>810</v>
      </c>
      <c r="F291" s="1" t="s">
        <v>347</v>
      </c>
      <c r="G291" s="62" t="str">
        <f t="shared" si="80"/>
        <v>60605</v>
      </c>
      <c r="H291" s="1">
        <v>10620061</v>
      </c>
      <c r="I291" s="1" t="s">
        <v>388</v>
      </c>
      <c r="J291" s="61">
        <v>63</v>
      </c>
      <c r="K291" s="61">
        <v>3.8</v>
      </c>
      <c r="L291" s="61">
        <v>8.1</v>
      </c>
      <c r="M291" s="69">
        <f t="shared" si="81"/>
        <v>2.3939999999999997</v>
      </c>
      <c r="N291" s="69">
        <f t="shared" si="82"/>
        <v>5.1029999999999998</v>
      </c>
      <c r="O291" s="56">
        <f>INDEX(Rate_Chart!$A$1:$AK$127,MATCH(Data!K291,Rate_Chart!$A$1:$A$127,0),MATCH(Data!L291,Rate_Chart!$A$1:$AK$1,0))</f>
        <v>38.365125900000002</v>
      </c>
      <c r="P291" s="57">
        <f t="shared" si="83"/>
        <v>2417.0029317000003</v>
      </c>
      <c r="Q291" s="58">
        <f t="shared" si="84"/>
        <v>417.01223804347831</v>
      </c>
      <c r="R291" s="58">
        <f t="shared" si="85"/>
        <v>278.00815869565218</v>
      </c>
      <c r="S291" s="66">
        <f t="shared" si="79"/>
        <v>42.297551304750009</v>
      </c>
      <c r="T291" s="64">
        <f t="shared" si="86"/>
        <v>236.25</v>
      </c>
      <c r="U291" s="66">
        <f t="shared" si="87"/>
        <v>2695.5504830047503</v>
      </c>
      <c r="V291" s="68">
        <f t="shared" si="88"/>
        <v>42.786515603250002</v>
      </c>
      <c r="W291" s="68">
        <f t="shared" si="89"/>
        <v>465.07082177445653</v>
      </c>
      <c r="X291" s="68">
        <f t="shared" si="90"/>
        <v>310.04721451630434</v>
      </c>
      <c r="Z291" s="63"/>
      <c r="AA291" s="63"/>
    </row>
    <row r="292" spans="1:27" hidden="1" x14ac:dyDescent="0.25">
      <c r="A292" t="str">
        <f t="shared" si="78"/>
        <v>10620023B22/05/2026M</v>
      </c>
      <c r="B292" s="169" t="s">
        <v>822</v>
      </c>
      <c r="C292" s="61" t="s">
        <v>396</v>
      </c>
      <c r="D292" s="61" t="s">
        <v>591</v>
      </c>
      <c r="E292" s="61" t="s">
        <v>594</v>
      </c>
      <c r="F292" s="1" t="s">
        <v>348</v>
      </c>
      <c r="G292" s="62" t="str">
        <f t="shared" si="80"/>
        <v>60606</v>
      </c>
      <c r="H292" s="1">
        <v>10620023</v>
      </c>
      <c r="I292" s="1" t="s">
        <v>387</v>
      </c>
      <c r="J292" s="61">
        <v>27</v>
      </c>
      <c r="K292" s="61">
        <v>6.8</v>
      </c>
      <c r="L292" s="61">
        <v>8.8000000000000007</v>
      </c>
      <c r="M292" s="69">
        <f t="shared" si="81"/>
        <v>1.8359999999999999</v>
      </c>
      <c r="N292" s="69">
        <f t="shared" si="82"/>
        <v>2.3760000000000003</v>
      </c>
      <c r="O292" s="56">
        <v>56.212200000000003</v>
      </c>
      <c r="P292" s="57">
        <f t="shared" si="83"/>
        <v>1517.7294000000002</v>
      </c>
      <c r="Q292" s="58">
        <f t="shared" si="84"/>
        <v>443.78052631578947</v>
      </c>
      <c r="R292" s="58">
        <f t="shared" si="85"/>
        <v>295.8536842105263</v>
      </c>
      <c r="S292" s="66">
        <f t="shared" si="79"/>
        <v>26.560264500000006</v>
      </c>
      <c r="T292" s="64">
        <f t="shared" si="86"/>
        <v>101.25</v>
      </c>
      <c r="U292" s="66">
        <f t="shared" si="87"/>
        <v>1645.5396645000001</v>
      </c>
      <c r="V292" s="68">
        <f t="shared" si="88"/>
        <v>60.945913500000003</v>
      </c>
      <c r="W292" s="68">
        <f t="shared" si="89"/>
        <v>481.15194868421054</v>
      </c>
      <c r="X292" s="68">
        <f t="shared" si="90"/>
        <v>320.76796578947369</v>
      </c>
      <c r="Z292" s="63"/>
      <c r="AA292" s="63"/>
    </row>
    <row r="293" spans="1:27" hidden="1" x14ac:dyDescent="0.25">
      <c r="A293" t="str">
        <f t="shared" si="78"/>
        <v>10620023C22/05/2026M</v>
      </c>
      <c r="B293" s="169" t="s">
        <v>822</v>
      </c>
      <c r="C293" s="61" t="s">
        <v>396</v>
      </c>
      <c r="D293" s="61" t="s">
        <v>591</v>
      </c>
      <c r="E293" s="61" t="s">
        <v>594</v>
      </c>
      <c r="F293" s="1" t="s">
        <v>348</v>
      </c>
      <c r="G293" s="62" t="str">
        <f t="shared" si="80"/>
        <v>60606</v>
      </c>
      <c r="H293" s="1">
        <v>10620023</v>
      </c>
      <c r="I293" s="1" t="s">
        <v>388</v>
      </c>
      <c r="J293" s="61">
        <v>8</v>
      </c>
      <c r="K293" s="61">
        <v>3.7</v>
      </c>
      <c r="L293" s="61">
        <v>8</v>
      </c>
      <c r="M293" s="69">
        <f t="shared" si="81"/>
        <v>0.29600000000000004</v>
      </c>
      <c r="N293" s="69">
        <f t="shared" si="82"/>
        <v>0.64</v>
      </c>
      <c r="O293" s="56">
        <v>35.773056000000004</v>
      </c>
      <c r="P293" s="57">
        <f t="shared" si="83"/>
        <v>286.18444800000003</v>
      </c>
      <c r="Q293" s="58">
        <f t="shared" si="84"/>
        <v>396.01169003690035</v>
      </c>
      <c r="R293" s="58">
        <f t="shared" si="85"/>
        <v>264.00779335793356</v>
      </c>
      <c r="S293" s="66">
        <f t="shared" si="79"/>
        <v>5.0082278400000009</v>
      </c>
      <c r="T293" s="64">
        <f t="shared" si="86"/>
        <v>30</v>
      </c>
      <c r="U293" s="66">
        <f t="shared" si="87"/>
        <v>321.19267584000005</v>
      </c>
      <c r="V293" s="68">
        <f t="shared" si="88"/>
        <v>40.149084480000006</v>
      </c>
      <c r="W293" s="68">
        <f t="shared" si="89"/>
        <v>444.45480974169743</v>
      </c>
      <c r="X293" s="68">
        <f t="shared" si="90"/>
        <v>296.30320649446497</v>
      </c>
      <c r="Z293" s="63"/>
      <c r="AA293" s="63"/>
    </row>
    <row r="294" spans="1:27" hidden="1" x14ac:dyDescent="0.25">
      <c r="A294" t="str">
        <f t="shared" si="78"/>
        <v>10620023B22/05/2026E</v>
      </c>
      <c r="B294" s="169" t="s">
        <v>822</v>
      </c>
      <c r="C294" s="61" t="s">
        <v>397</v>
      </c>
      <c r="D294" s="61" t="s">
        <v>591</v>
      </c>
      <c r="E294" s="61" t="s">
        <v>594</v>
      </c>
      <c r="F294" s="1" t="s">
        <v>348</v>
      </c>
      <c r="G294" s="62" t="str">
        <f t="shared" si="80"/>
        <v>60606</v>
      </c>
      <c r="H294" s="1">
        <v>10620023</v>
      </c>
      <c r="I294" s="1" t="s">
        <v>387</v>
      </c>
      <c r="J294" s="61">
        <v>15</v>
      </c>
      <c r="K294" s="61">
        <v>5.6</v>
      </c>
      <c r="L294" s="61">
        <v>8.4</v>
      </c>
      <c r="M294" s="69">
        <f t="shared" si="81"/>
        <v>0.84</v>
      </c>
      <c r="N294" s="69">
        <f t="shared" si="82"/>
        <v>1.26</v>
      </c>
      <c r="O294" s="56">
        <v>45.357199999999999</v>
      </c>
      <c r="P294" s="57">
        <f t="shared" si="83"/>
        <v>680.35799999999995</v>
      </c>
      <c r="Q294" s="58">
        <f t="shared" si="84"/>
        <v>404.97500000000002</v>
      </c>
      <c r="R294" s="58">
        <f t="shared" si="85"/>
        <v>269.98333333333335</v>
      </c>
      <c r="S294" s="66">
        <f t="shared" si="79"/>
        <v>11.906264999999999</v>
      </c>
      <c r="T294" s="64">
        <f t="shared" si="86"/>
        <v>56.25</v>
      </c>
      <c r="U294" s="66">
        <f t="shared" si="87"/>
        <v>748.51426499999991</v>
      </c>
      <c r="V294" s="68">
        <f t="shared" si="88"/>
        <v>49.900950999999992</v>
      </c>
      <c r="W294" s="68">
        <f t="shared" si="89"/>
        <v>445.54420535714286</v>
      </c>
      <c r="X294" s="68">
        <f t="shared" si="90"/>
        <v>297.02947023809526</v>
      </c>
      <c r="Z294" s="63"/>
      <c r="AA294" s="63"/>
    </row>
    <row r="295" spans="1:27" hidden="1" x14ac:dyDescent="0.25">
      <c r="A295" t="str">
        <f t="shared" si="78"/>
        <v>10620023C23/05/2026E</v>
      </c>
      <c r="B295" s="169" t="s">
        <v>822</v>
      </c>
      <c r="C295" s="61" t="s">
        <v>397</v>
      </c>
      <c r="D295" s="61" t="s">
        <v>591</v>
      </c>
      <c r="E295" s="61" t="s">
        <v>594</v>
      </c>
      <c r="F295" s="1" t="s">
        <v>348</v>
      </c>
      <c r="G295" s="62" t="str">
        <f t="shared" si="80"/>
        <v>60606</v>
      </c>
      <c r="H295" s="1">
        <v>10620023</v>
      </c>
      <c r="I295" s="1" t="s">
        <v>388</v>
      </c>
      <c r="J295" s="61">
        <v>11</v>
      </c>
      <c r="K295" s="61">
        <v>3</v>
      </c>
      <c r="L295" s="61">
        <v>8</v>
      </c>
      <c r="M295" s="69">
        <f t="shared" si="81"/>
        <v>0.33</v>
      </c>
      <c r="N295" s="69">
        <f t="shared" si="82"/>
        <v>0.88</v>
      </c>
      <c r="O295" s="56">
        <v>33.001056000000005</v>
      </c>
      <c r="P295" s="57">
        <f t="shared" si="83"/>
        <v>363.01161600000006</v>
      </c>
      <c r="Q295" s="58">
        <f t="shared" si="84"/>
        <v>396.01267200000001</v>
      </c>
      <c r="R295" s="58">
        <f t="shared" si="85"/>
        <v>264.00844799999999</v>
      </c>
      <c r="S295" s="66">
        <f t="shared" si="79"/>
        <v>6.3527032800000018</v>
      </c>
      <c r="T295" s="64">
        <f t="shared" si="86"/>
        <v>41.25</v>
      </c>
      <c r="U295" s="66">
        <f t="shared" si="87"/>
        <v>410.61431928000007</v>
      </c>
      <c r="V295" s="68">
        <f t="shared" si="88"/>
        <v>37.328574480000007</v>
      </c>
      <c r="W295" s="68">
        <f t="shared" si="89"/>
        <v>447.94289376000006</v>
      </c>
      <c r="X295" s="68">
        <f t="shared" si="90"/>
        <v>298.62859584000006</v>
      </c>
      <c r="Z295" s="63"/>
      <c r="AA295" s="63"/>
    </row>
    <row r="296" spans="1:27" hidden="1" x14ac:dyDescent="0.25">
      <c r="A296" t="str">
        <f t="shared" si="78"/>
        <v>10620023B23/05/2026M</v>
      </c>
      <c r="B296" s="169" t="s">
        <v>823</v>
      </c>
      <c r="C296" s="61" t="s">
        <v>396</v>
      </c>
      <c r="D296" s="61" t="s">
        <v>591</v>
      </c>
      <c r="E296" s="61" t="s">
        <v>594</v>
      </c>
      <c r="F296" s="1" t="s">
        <v>348</v>
      </c>
      <c r="G296" s="62" t="str">
        <f t="shared" si="80"/>
        <v>60606</v>
      </c>
      <c r="H296" s="1">
        <v>10620023</v>
      </c>
      <c r="I296" s="1" t="s">
        <v>387</v>
      </c>
      <c r="J296" s="61">
        <v>24</v>
      </c>
      <c r="K296" s="61">
        <v>6.5</v>
      </c>
      <c r="L296" s="61">
        <v>8.4</v>
      </c>
      <c r="M296" s="69">
        <f t="shared" si="81"/>
        <v>1.56</v>
      </c>
      <c r="N296" s="69">
        <f t="shared" si="82"/>
        <v>2.016</v>
      </c>
      <c r="O296" s="56">
        <v>52.646749999999997</v>
      </c>
      <c r="P296" s="57">
        <f t="shared" si="83"/>
        <v>1263.5219999999999</v>
      </c>
      <c r="Q296" s="58">
        <f t="shared" si="84"/>
        <v>435.09710743801651</v>
      </c>
      <c r="R296" s="58">
        <f t="shared" si="85"/>
        <v>290.06473829201099</v>
      </c>
      <c r="S296" s="66">
        <f t="shared" si="79"/>
        <v>22.111635</v>
      </c>
      <c r="T296" s="64">
        <f t="shared" si="86"/>
        <v>90</v>
      </c>
      <c r="U296" s="66">
        <f t="shared" si="87"/>
        <v>1375.6336349999999</v>
      </c>
      <c r="V296" s="68">
        <f t="shared" si="88"/>
        <v>57.318068124999996</v>
      </c>
      <c r="W296" s="68">
        <f t="shared" si="89"/>
        <v>473.70304235537191</v>
      </c>
      <c r="X296" s="68">
        <f t="shared" si="90"/>
        <v>315.80202823691462</v>
      </c>
      <c r="Z296" s="63"/>
      <c r="AA296" s="63"/>
    </row>
    <row r="297" spans="1:27" hidden="1" x14ac:dyDescent="0.25">
      <c r="A297" t="str">
        <f t="shared" si="78"/>
        <v>10620023C23/05/2026M</v>
      </c>
      <c r="B297" s="169" t="s">
        <v>823</v>
      </c>
      <c r="C297" s="61" t="s">
        <v>396</v>
      </c>
      <c r="D297" s="61" t="s">
        <v>591</v>
      </c>
      <c r="E297" s="61" t="s">
        <v>594</v>
      </c>
      <c r="F297" s="1" t="s">
        <v>348</v>
      </c>
      <c r="G297" s="62" t="str">
        <f t="shared" si="80"/>
        <v>60606</v>
      </c>
      <c r="H297" s="1">
        <v>10620023</v>
      </c>
      <c r="I297" s="1" t="s">
        <v>388</v>
      </c>
      <c r="J297" s="61">
        <v>7</v>
      </c>
      <c r="K297" s="61">
        <v>3.5</v>
      </c>
      <c r="L297" s="61">
        <v>8</v>
      </c>
      <c r="M297" s="69">
        <f t="shared" si="81"/>
        <v>0.245</v>
      </c>
      <c r="N297" s="69">
        <f t="shared" si="82"/>
        <v>0.56000000000000005</v>
      </c>
      <c r="O297" s="56">
        <v>34.981056000000002</v>
      </c>
      <c r="P297" s="57">
        <f t="shared" si="83"/>
        <v>244.86739200000002</v>
      </c>
      <c r="Q297" s="58">
        <f t="shared" si="84"/>
        <v>396.01195471698111</v>
      </c>
      <c r="R297" s="58">
        <f t="shared" si="85"/>
        <v>264.00796981132072</v>
      </c>
      <c r="S297" s="66">
        <f t="shared" si="79"/>
        <v>4.2851793600000008</v>
      </c>
      <c r="T297" s="64">
        <f t="shared" si="86"/>
        <v>26.25</v>
      </c>
      <c r="U297" s="66">
        <f t="shared" si="87"/>
        <v>275.40257136000002</v>
      </c>
      <c r="V297" s="68">
        <f t="shared" si="88"/>
        <v>39.343224480000003</v>
      </c>
      <c r="W297" s="68">
        <f t="shared" si="89"/>
        <v>445.39499411320753</v>
      </c>
      <c r="X297" s="68">
        <f t="shared" si="90"/>
        <v>296.92999607547171</v>
      </c>
      <c r="Z297" s="63"/>
      <c r="AA297" s="63"/>
    </row>
    <row r="298" spans="1:27" hidden="1" x14ac:dyDescent="0.25">
      <c r="A298" t="str">
        <f t="shared" si="78"/>
        <v>10620023B23/05/2026E</v>
      </c>
      <c r="B298" s="169" t="s">
        <v>823</v>
      </c>
      <c r="C298" s="61" t="s">
        <v>397</v>
      </c>
      <c r="D298" s="61" t="s">
        <v>591</v>
      </c>
      <c r="E298" s="61" t="s">
        <v>594</v>
      </c>
      <c r="F298" s="1" t="s">
        <v>348</v>
      </c>
      <c r="G298" s="62" t="str">
        <f t="shared" si="80"/>
        <v>60606</v>
      </c>
      <c r="H298" s="1">
        <v>10620023</v>
      </c>
      <c r="I298" s="1" t="s">
        <v>387</v>
      </c>
      <c r="J298" s="61">
        <v>19</v>
      </c>
      <c r="K298" s="61">
        <v>6.2</v>
      </c>
      <c r="L298" s="61">
        <v>8.4</v>
      </c>
      <c r="M298" s="69">
        <f t="shared" si="81"/>
        <v>1.1779999999999999</v>
      </c>
      <c r="N298" s="69">
        <f t="shared" si="82"/>
        <v>1.5959999999999999</v>
      </c>
      <c r="O298" s="56">
        <v>50.216900000000003</v>
      </c>
      <c r="P298" s="57">
        <f t="shared" si="83"/>
        <v>954.12110000000007</v>
      </c>
      <c r="Q298" s="58">
        <f t="shared" si="84"/>
        <v>425.56694915254241</v>
      </c>
      <c r="R298" s="58">
        <f t="shared" si="85"/>
        <v>283.71129943502825</v>
      </c>
      <c r="S298" s="66">
        <f t="shared" si="79"/>
        <v>16.697119250000004</v>
      </c>
      <c r="T298" s="64">
        <f t="shared" si="86"/>
        <v>71.25</v>
      </c>
      <c r="U298" s="66">
        <f t="shared" si="87"/>
        <v>1042.0682192500001</v>
      </c>
      <c r="V298" s="68">
        <f t="shared" si="88"/>
        <v>54.845695750000004</v>
      </c>
      <c r="W298" s="68">
        <f t="shared" si="89"/>
        <v>464.79403177966105</v>
      </c>
      <c r="X298" s="68">
        <f t="shared" si="90"/>
        <v>309.86268785310739</v>
      </c>
      <c r="Z298" s="63"/>
      <c r="AA298" s="63"/>
    </row>
    <row r="299" spans="1:27" hidden="1" x14ac:dyDescent="0.25">
      <c r="A299" t="str">
        <f t="shared" si="78"/>
        <v>10620023C24/05/2026E</v>
      </c>
      <c r="B299" s="169" t="s">
        <v>823</v>
      </c>
      <c r="C299" s="61" t="s">
        <v>397</v>
      </c>
      <c r="D299" s="61" t="s">
        <v>591</v>
      </c>
      <c r="E299" s="61" t="s">
        <v>594</v>
      </c>
      <c r="F299" s="1" t="s">
        <v>348</v>
      </c>
      <c r="G299" s="62" t="str">
        <f t="shared" si="80"/>
        <v>60606</v>
      </c>
      <c r="H299" s="1">
        <v>10620023</v>
      </c>
      <c r="I299" s="1" t="s">
        <v>388</v>
      </c>
      <c r="J299" s="61">
        <v>8</v>
      </c>
      <c r="K299" s="61">
        <v>3</v>
      </c>
      <c r="L299" s="61">
        <v>8</v>
      </c>
      <c r="M299" s="69">
        <f t="shared" si="81"/>
        <v>0.24</v>
      </c>
      <c r="N299" s="69">
        <f t="shared" si="82"/>
        <v>0.64</v>
      </c>
      <c r="O299" s="56">
        <v>33.001056000000005</v>
      </c>
      <c r="P299" s="57">
        <f t="shared" si="83"/>
        <v>264.00844800000004</v>
      </c>
      <c r="Q299" s="58">
        <f t="shared" si="84"/>
        <v>396.01267200000001</v>
      </c>
      <c r="R299" s="58">
        <f t="shared" si="85"/>
        <v>264.00844799999999</v>
      </c>
      <c r="S299" s="66">
        <f t="shared" si="79"/>
        <v>4.6201478400000013</v>
      </c>
      <c r="T299" s="64">
        <f t="shared" si="86"/>
        <v>30</v>
      </c>
      <c r="U299" s="66">
        <f t="shared" si="87"/>
        <v>298.62859584000006</v>
      </c>
      <c r="V299" s="68">
        <f t="shared" si="88"/>
        <v>37.328574480000007</v>
      </c>
      <c r="W299" s="68">
        <f t="shared" si="89"/>
        <v>447.94289376000006</v>
      </c>
      <c r="X299" s="68">
        <f t="shared" si="90"/>
        <v>298.62859584000006</v>
      </c>
      <c r="Z299" s="63"/>
      <c r="AA299" s="63"/>
    </row>
    <row r="300" spans="1:27" hidden="1" x14ac:dyDescent="0.25">
      <c r="A300" t="str">
        <f t="shared" si="78"/>
        <v>10620023B24/05/2026M</v>
      </c>
      <c r="B300" s="169" t="s">
        <v>824</v>
      </c>
      <c r="C300" s="61" t="s">
        <v>396</v>
      </c>
      <c r="D300" s="61" t="s">
        <v>591</v>
      </c>
      <c r="E300" s="61" t="s">
        <v>594</v>
      </c>
      <c r="F300" s="1" t="s">
        <v>348</v>
      </c>
      <c r="G300" s="62" t="str">
        <f t="shared" si="80"/>
        <v>60606</v>
      </c>
      <c r="H300" s="1">
        <v>10620023</v>
      </c>
      <c r="I300" s="1" t="s">
        <v>387</v>
      </c>
      <c r="J300" s="61">
        <v>27</v>
      </c>
      <c r="K300" s="61">
        <v>6</v>
      </c>
      <c r="L300" s="61">
        <v>8.4</v>
      </c>
      <c r="M300" s="69">
        <f t="shared" si="81"/>
        <v>1.62</v>
      </c>
      <c r="N300" s="69">
        <f t="shared" si="82"/>
        <v>2.2680000000000002</v>
      </c>
      <c r="O300" s="56">
        <v>48.597000000000001</v>
      </c>
      <c r="P300" s="57">
        <f t="shared" si="83"/>
        <v>1312.1190000000001</v>
      </c>
      <c r="Q300" s="58">
        <f t="shared" si="84"/>
        <v>418.93965517241384</v>
      </c>
      <c r="R300" s="58">
        <f t="shared" si="85"/>
        <v>279.29310344827587</v>
      </c>
      <c r="S300" s="66">
        <f t="shared" si="79"/>
        <v>22.962082500000005</v>
      </c>
      <c r="T300" s="64">
        <f t="shared" si="86"/>
        <v>101.25</v>
      </c>
      <c r="U300" s="66">
        <f t="shared" si="87"/>
        <v>1436.3310825000001</v>
      </c>
      <c r="V300" s="68">
        <f t="shared" si="88"/>
        <v>53.197447500000003</v>
      </c>
      <c r="W300" s="68">
        <f t="shared" si="89"/>
        <v>458.59868534482763</v>
      </c>
      <c r="X300" s="68">
        <f t="shared" si="90"/>
        <v>305.73245689655175</v>
      </c>
      <c r="Z300" s="63"/>
      <c r="AA300" s="63"/>
    </row>
    <row r="301" spans="1:27" hidden="1" x14ac:dyDescent="0.25">
      <c r="A301" t="str">
        <f t="shared" si="78"/>
        <v>10620023B24/05/2026E</v>
      </c>
      <c r="B301" s="169" t="s">
        <v>824</v>
      </c>
      <c r="C301" s="61" t="s">
        <v>397</v>
      </c>
      <c r="D301" s="61" t="s">
        <v>591</v>
      </c>
      <c r="E301" s="61" t="s">
        <v>594</v>
      </c>
      <c r="F301" s="1" t="s">
        <v>348</v>
      </c>
      <c r="G301" s="62" t="str">
        <f t="shared" si="80"/>
        <v>60606</v>
      </c>
      <c r="H301" s="1">
        <v>10620023</v>
      </c>
      <c r="I301" s="1" t="s">
        <v>387</v>
      </c>
      <c r="J301" s="61">
        <v>16</v>
      </c>
      <c r="K301" s="61">
        <v>6.2</v>
      </c>
      <c r="L301" s="61">
        <v>8.8000000000000007</v>
      </c>
      <c r="M301" s="69">
        <f t="shared" si="81"/>
        <v>0.99199999999999999</v>
      </c>
      <c r="N301" s="69">
        <f t="shared" si="82"/>
        <v>1.4080000000000001</v>
      </c>
      <c r="O301" s="56">
        <v>51.252300000000005</v>
      </c>
      <c r="P301" s="57">
        <f t="shared" si="83"/>
        <v>820.03680000000008</v>
      </c>
      <c r="Q301" s="58">
        <f t="shared" si="84"/>
        <v>424.74281767955802</v>
      </c>
      <c r="R301" s="58">
        <f t="shared" si="85"/>
        <v>283.1618784530387</v>
      </c>
      <c r="S301" s="66">
        <f t="shared" si="79"/>
        <v>14.350644000000003</v>
      </c>
      <c r="T301" s="64">
        <f t="shared" si="86"/>
        <v>60</v>
      </c>
      <c r="U301" s="66">
        <f t="shared" si="87"/>
        <v>894.38744400000007</v>
      </c>
      <c r="V301" s="68">
        <f t="shared" si="88"/>
        <v>55.899215250000005</v>
      </c>
      <c r="W301" s="68">
        <f t="shared" si="89"/>
        <v>463.25316505524864</v>
      </c>
      <c r="X301" s="68">
        <f t="shared" si="90"/>
        <v>308.83544337016576</v>
      </c>
      <c r="Z301" s="63"/>
      <c r="AA301" s="63"/>
    </row>
    <row r="302" spans="1:27" hidden="1" x14ac:dyDescent="0.25">
      <c r="A302" t="str">
        <f t="shared" si="78"/>
        <v>10620023C25/05/2026E</v>
      </c>
      <c r="B302" s="169" t="s">
        <v>824</v>
      </c>
      <c r="C302" s="61" t="s">
        <v>397</v>
      </c>
      <c r="D302" s="61" t="s">
        <v>591</v>
      </c>
      <c r="E302" s="61" t="s">
        <v>594</v>
      </c>
      <c r="F302" s="1" t="s">
        <v>348</v>
      </c>
      <c r="G302" s="62" t="str">
        <f t="shared" si="80"/>
        <v>60606</v>
      </c>
      <c r="H302" s="1">
        <v>10620023</v>
      </c>
      <c r="I302" s="1" t="s">
        <v>388</v>
      </c>
      <c r="J302" s="61">
        <v>14</v>
      </c>
      <c r="K302" s="61">
        <v>3</v>
      </c>
      <c r="L302" s="61">
        <v>8</v>
      </c>
      <c r="M302" s="69">
        <f t="shared" si="81"/>
        <v>0.42</v>
      </c>
      <c r="N302" s="69">
        <f t="shared" si="82"/>
        <v>1.1200000000000001</v>
      </c>
      <c r="O302" s="56">
        <v>33.001056000000005</v>
      </c>
      <c r="P302" s="57">
        <f t="shared" si="83"/>
        <v>462.01478400000008</v>
      </c>
      <c r="Q302" s="58">
        <f t="shared" si="84"/>
        <v>396.01267200000001</v>
      </c>
      <c r="R302" s="58">
        <f t="shared" si="85"/>
        <v>264.00844799999999</v>
      </c>
      <c r="S302" s="66">
        <f t="shared" si="79"/>
        <v>8.0852587200000023</v>
      </c>
      <c r="T302" s="64">
        <f t="shared" si="86"/>
        <v>52.5</v>
      </c>
      <c r="U302" s="66">
        <f t="shared" si="87"/>
        <v>522.60004272000003</v>
      </c>
      <c r="V302" s="68">
        <f t="shared" si="88"/>
        <v>37.32857448</v>
      </c>
      <c r="W302" s="68">
        <f t="shared" si="89"/>
        <v>447.94289375999995</v>
      </c>
      <c r="X302" s="68">
        <f t="shared" si="90"/>
        <v>298.62859583999995</v>
      </c>
      <c r="Z302" s="63"/>
      <c r="AA302" s="63"/>
    </row>
    <row r="303" spans="1:27" hidden="1" x14ac:dyDescent="0.25">
      <c r="A303" t="str">
        <f t="shared" si="78"/>
        <v>10620023B26/05/2026M</v>
      </c>
      <c r="B303" s="169" t="s">
        <v>825</v>
      </c>
      <c r="C303" s="61" t="s">
        <v>396</v>
      </c>
      <c r="D303" s="61" t="s">
        <v>591</v>
      </c>
      <c r="E303" s="61" t="s">
        <v>594</v>
      </c>
      <c r="F303" s="1" t="s">
        <v>348</v>
      </c>
      <c r="G303" s="62" t="str">
        <f t="shared" si="80"/>
        <v>60606</v>
      </c>
      <c r="H303" s="1">
        <v>10620023</v>
      </c>
      <c r="I303" s="1" t="s">
        <v>387</v>
      </c>
      <c r="J303" s="61">
        <v>26</v>
      </c>
      <c r="K303" s="61">
        <v>6.9</v>
      </c>
      <c r="L303" s="61">
        <v>8.4</v>
      </c>
      <c r="M303" s="69">
        <f t="shared" si="81"/>
        <v>1.794</v>
      </c>
      <c r="N303" s="69">
        <f t="shared" si="82"/>
        <v>2.1840000000000002</v>
      </c>
      <c r="O303" s="56">
        <v>55.88655</v>
      </c>
      <c r="P303" s="57">
        <f t="shared" si="83"/>
        <v>1453.0502999999999</v>
      </c>
      <c r="Q303" s="58">
        <f t="shared" si="84"/>
        <v>447.0924</v>
      </c>
      <c r="R303" s="58">
        <f t="shared" si="85"/>
        <v>298.0616</v>
      </c>
      <c r="S303" s="66">
        <f t="shared" si="79"/>
        <v>25.42838025</v>
      </c>
      <c r="T303" s="64">
        <f t="shared" si="86"/>
        <v>97.5</v>
      </c>
      <c r="U303" s="66">
        <f t="shared" si="87"/>
        <v>1575.9786802499998</v>
      </c>
      <c r="V303" s="68">
        <f t="shared" si="88"/>
        <v>60.614564624999993</v>
      </c>
      <c r="W303" s="68">
        <f t="shared" si="89"/>
        <v>484.91651699999994</v>
      </c>
      <c r="X303" s="68">
        <f t="shared" si="90"/>
        <v>323.27767799999998</v>
      </c>
      <c r="Z303" s="63"/>
      <c r="AA303" s="63"/>
    </row>
    <row r="304" spans="1:27" hidden="1" x14ac:dyDescent="0.25">
      <c r="A304" t="str">
        <f t="shared" si="78"/>
        <v>10620023B26/05/2026M</v>
      </c>
      <c r="B304" s="169" t="s">
        <v>826</v>
      </c>
      <c r="C304" s="61" t="s">
        <v>396</v>
      </c>
      <c r="D304" s="61" t="s">
        <v>591</v>
      </c>
      <c r="E304" s="61" t="s">
        <v>594</v>
      </c>
      <c r="F304" s="1" t="s">
        <v>348</v>
      </c>
      <c r="G304" s="62" t="str">
        <f t="shared" si="80"/>
        <v>60606</v>
      </c>
      <c r="H304" s="1">
        <v>10620023</v>
      </c>
      <c r="I304" s="1" t="s">
        <v>387</v>
      </c>
      <c r="J304" s="61">
        <v>22</v>
      </c>
      <c r="K304" s="61">
        <v>6.5</v>
      </c>
      <c r="L304" s="61">
        <v>8.8000000000000007</v>
      </c>
      <c r="M304" s="69">
        <f t="shared" si="81"/>
        <v>1.43</v>
      </c>
      <c r="N304" s="69">
        <f t="shared" si="82"/>
        <v>1.9360000000000002</v>
      </c>
      <c r="O304" s="56">
        <f>INDEX(Rate_Chart!$A$1:$AK$127,MATCH(Data!K304,Rate_Chart!$A$1:$A$127,0),MATCH(Data!L304,Rate_Chart!$A$1:$AK$1,0))</f>
        <v>53.732250000000001</v>
      </c>
      <c r="P304" s="57">
        <f t="shared" si="83"/>
        <v>1182.1095</v>
      </c>
      <c r="Q304" s="58">
        <f t="shared" si="84"/>
        <v>434.49258760107813</v>
      </c>
      <c r="R304" s="58">
        <f t="shared" si="85"/>
        <v>289.66172506738542</v>
      </c>
      <c r="S304" s="66">
        <f t="shared" si="79"/>
        <v>20.686916250000003</v>
      </c>
      <c r="T304" s="64">
        <f t="shared" si="86"/>
        <v>82.5</v>
      </c>
      <c r="U304" s="66">
        <f t="shared" si="87"/>
        <v>1285.29641625</v>
      </c>
      <c r="V304" s="68">
        <f t="shared" si="88"/>
        <v>58.422564375</v>
      </c>
      <c r="W304" s="68">
        <f t="shared" si="89"/>
        <v>472.41965801886789</v>
      </c>
      <c r="X304" s="68">
        <f t="shared" si="90"/>
        <v>314.94643867924526</v>
      </c>
      <c r="Z304" s="63"/>
      <c r="AA304" s="63"/>
    </row>
    <row r="305" spans="1:27" hidden="1" x14ac:dyDescent="0.25">
      <c r="A305" t="str">
        <f t="shared" si="78"/>
        <v>10620023C26/05/2026M</v>
      </c>
      <c r="B305" s="169" t="s">
        <v>826</v>
      </c>
      <c r="C305" s="61" t="s">
        <v>396</v>
      </c>
      <c r="D305" s="61" t="s">
        <v>591</v>
      </c>
      <c r="E305" s="61" t="s">
        <v>594</v>
      </c>
      <c r="F305" s="1" t="s">
        <v>348</v>
      </c>
      <c r="G305" s="62" t="str">
        <f t="shared" si="80"/>
        <v>60606</v>
      </c>
      <c r="H305" s="1">
        <v>10620023</v>
      </c>
      <c r="I305" s="1" t="s">
        <v>388</v>
      </c>
      <c r="J305" s="61">
        <v>6</v>
      </c>
      <c r="K305" s="61">
        <v>3.7</v>
      </c>
      <c r="L305" s="61">
        <v>8</v>
      </c>
      <c r="M305" s="69">
        <f t="shared" si="81"/>
        <v>0.22200000000000003</v>
      </c>
      <c r="N305" s="69">
        <f t="shared" si="82"/>
        <v>0.48</v>
      </c>
      <c r="O305" s="56">
        <f>INDEX(Rate_Chart!$A$1:$AK$127,MATCH(Data!K305,Rate_Chart!$A$1:$A$127,0),MATCH(Data!L305,Rate_Chart!$A$1:$AK$1,0))</f>
        <v>37.670112000000003</v>
      </c>
      <c r="P305" s="57">
        <f t="shared" si="83"/>
        <v>226.02067200000002</v>
      </c>
      <c r="Q305" s="58">
        <f t="shared" si="84"/>
        <v>417.0123099630996</v>
      </c>
      <c r="R305" s="58">
        <f t="shared" si="85"/>
        <v>278.0082066420664</v>
      </c>
      <c r="S305" s="66">
        <f t="shared" si="79"/>
        <v>3.9553617600000006</v>
      </c>
      <c r="T305" s="64">
        <f t="shared" si="86"/>
        <v>22.5</v>
      </c>
      <c r="U305" s="66">
        <f t="shared" si="87"/>
        <v>252.47603376000001</v>
      </c>
      <c r="V305" s="68">
        <f t="shared" si="88"/>
        <v>42.079338960000001</v>
      </c>
      <c r="W305" s="68">
        <f t="shared" si="89"/>
        <v>465.82294051660512</v>
      </c>
      <c r="X305" s="68">
        <f t="shared" si="90"/>
        <v>310.5486270110701</v>
      </c>
      <c r="Z305" s="63"/>
      <c r="AA305" s="63"/>
    </row>
    <row r="306" spans="1:27" hidden="1" x14ac:dyDescent="0.25">
      <c r="A306" t="str">
        <f t="shared" si="78"/>
        <v>10620023B26/05/2026E</v>
      </c>
      <c r="B306" s="169" t="s">
        <v>826</v>
      </c>
      <c r="C306" s="61" t="s">
        <v>397</v>
      </c>
      <c r="D306" s="61" t="s">
        <v>591</v>
      </c>
      <c r="E306" s="61" t="s">
        <v>594</v>
      </c>
      <c r="F306" s="1" t="s">
        <v>348</v>
      </c>
      <c r="G306" s="62" t="str">
        <f t="shared" si="80"/>
        <v>60606</v>
      </c>
      <c r="H306" s="1">
        <v>10620023</v>
      </c>
      <c r="I306" s="1" t="s">
        <v>387</v>
      </c>
      <c r="J306" s="61">
        <v>16</v>
      </c>
      <c r="K306" s="61">
        <v>6.1</v>
      </c>
      <c r="L306" s="61">
        <v>8.8000000000000007</v>
      </c>
      <c r="M306" s="69">
        <f t="shared" si="81"/>
        <v>0.97599999999999998</v>
      </c>
      <c r="N306" s="69">
        <f t="shared" si="82"/>
        <v>1.4080000000000001</v>
      </c>
      <c r="O306" s="56">
        <f>INDEX(Rate_Chart!$A$1:$AK$127,MATCH(Data!K306,Rate_Chart!$A$1:$A$127,0),MATCH(Data!L306,Rate_Chart!$A$1:$AK$1,0))</f>
        <v>50.425650000000005</v>
      </c>
      <c r="P306" s="57">
        <f t="shared" si="83"/>
        <v>806.81040000000007</v>
      </c>
      <c r="Q306" s="58">
        <f t="shared" si="84"/>
        <v>421.38426183844012</v>
      </c>
      <c r="R306" s="58">
        <f t="shared" si="85"/>
        <v>280.92284122562677</v>
      </c>
      <c r="S306" s="66">
        <f t="shared" si="79"/>
        <v>14.119182000000002</v>
      </c>
      <c r="T306" s="64">
        <f t="shared" si="86"/>
        <v>60</v>
      </c>
      <c r="U306" s="66">
        <f t="shared" si="87"/>
        <v>880.9295820000001</v>
      </c>
      <c r="V306" s="68">
        <f t="shared" si="88"/>
        <v>55.058098875000006</v>
      </c>
      <c r="W306" s="68">
        <f t="shared" si="89"/>
        <v>460.09553377437328</v>
      </c>
      <c r="X306" s="68">
        <f t="shared" si="90"/>
        <v>306.73035584958217</v>
      </c>
      <c r="Z306" s="63"/>
      <c r="AA306" s="63"/>
    </row>
    <row r="307" spans="1:27" hidden="1" x14ac:dyDescent="0.25">
      <c r="A307" t="str">
        <f t="shared" si="78"/>
        <v>10620023C27/05/2026E</v>
      </c>
      <c r="B307" s="169" t="s">
        <v>826</v>
      </c>
      <c r="C307" s="61" t="s">
        <v>397</v>
      </c>
      <c r="D307" s="61" t="s">
        <v>591</v>
      </c>
      <c r="E307" s="61" t="s">
        <v>594</v>
      </c>
      <c r="F307" s="1" t="s">
        <v>348</v>
      </c>
      <c r="G307" s="62" t="str">
        <f t="shared" si="80"/>
        <v>60606</v>
      </c>
      <c r="H307" s="1">
        <v>10620023</v>
      </c>
      <c r="I307" s="1" t="s">
        <v>388</v>
      </c>
      <c r="J307" s="61">
        <v>7</v>
      </c>
      <c r="K307" s="61">
        <v>3</v>
      </c>
      <c r="L307" s="61">
        <v>8</v>
      </c>
      <c r="M307" s="69">
        <f t="shared" si="81"/>
        <v>0.21</v>
      </c>
      <c r="N307" s="69">
        <f t="shared" si="82"/>
        <v>0.56000000000000005</v>
      </c>
      <c r="O307" s="56">
        <f>INDEX(Rate_Chart!$A$1:$AK$127,MATCH(Data!K307,Rate_Chart!$A$1:$A$127,0),MATCH(Data!L307,Rate_Chart!$A$1:$AK$1,0))</f>
        <v>34.751112000000006</v>
      </c>
      <c r="P307" s="57">
        <f t="shared" si="83"/>
        <v>243.25778400000004</v>
      </c>
      <c r="Q307" s="58">
        <f t="shared" si="84"/>
        <v>417.01334400000002</v>
      </c>
      <c r="R307" s="58">
        <f t="shared" si="85"/>
        <v>278.00889599999999</v>
      </c>
      <c r="S307" s="66">
        <f t="shared" si="79"/>
        <v>4.2570112200000008</v>
      </c>
      <c r="T307" s="64">
        <f t="shared" si="86"/>
        <v>26.25</v>
      </c>
      <c r="U307" s="66">
        <f t="shared" si="87"/>
        <v>273.76479522000005</v>
      </c>
      <c r="V307" s="68">
        <f t="shared" si="88"/>
        <v>39.109256460000005</v>
      </c>
      <c r="W307" s="68">
        <f t="shared" si="89"/>
        <v>469.31107752000003</v>
      </c>
      <c r="X307" s="68">
        <f t="shared" si="90"/>
        <v>312.87405168000004</v>
      </c>
      <c r="Z307" s="63"/>
      <c r="AA307" s="63"/>
    </row>
    <row r="308" spans="1:27" hidden="1" x14ac:dyDescent="0.25">
      <c r="A308" t="str">
        <f t="shared" si="78"/>
        <v>10620023B27/05/2026M</v>
      </c>
      <c r="B308" s="169" t="s">
        <v>827</v>
      </c>
      <c r="C308" s="61" t="s">
        <v>396</v>
      </c>
      <c r="D308" s="61" t="s">
        <v>591</v>
      </c>
      <c r="E308" s="61" t="s">
        <v>594</v>
      </c>
      <c r="F308" s="1" t="s">
        <v>348</v>
      </c>
      <c r="G308" s="62" t="str">
        <f t="shared" si="80"/>
        <v>60606</v>
      </c>
      <c r="H308" s="1">
        <v>10620023</v>
      </c>
      <c r="I308" s="1" t="s">
        <v>387</v>
      </c>
      <c r="J308" s="61">
        <v>29</v>
      </c>
      <c r="K308" s="61">
        <v>6.4</v>
      </c>
      <c r="L308" s="61">
        <v>8.8000000000000007</v>
      </c>
      <c r="M308" s="69">
        <f t="shared" si="81"/>
        <v>1.8560000000000003</v>
      </c>
      <c r="N308" s="69">
        <f t="shared" si="82"/>
        <v>2.552</v>
      </c>
      <c r="O308" s="56">
        <f>INDEX(Rate_Chart!$A$1:$AK$127,MATCH(Data!K308,Rate_Chart!$A$1:$A$127,0),MATCH(Data!L308,Rate_Chart!$A$1:$AK$1,0))</f>
        <v>52.9056</v>
      </c>
      <c r="P308" s="57">
        <f t="shared" si="83"/>
        <v>1534.2624000000001</v>
      </c>
      <c r="Q308" s="58">
        <f t="shared" si="84"/>
        <v>431.29565217391303</v>
      </c>
      <c r="R308" s="58">
        <f t="shared" si="85"/>
        <v>287.53043478260867</v>
      </c>
      <c r="S308" s="66">
        <f t="shared" si="79"/>
        <v>26.849592000000005</v>
      </c>
      <c r="T308" s="64">
        <f t="shared" si="86"/>
        <v>108.75</v>
      </c>
      <c r="U308" s="66">
        <f t="shared" si="87"/>
        <v>1669.8619920000001</v>
      </c>
      <c r="V308" s="68">
        <f t="shared" si="88"/>
        <v>57.581448000000002</v>
      </c>
      <c r="W308" s="68">
        <f t="shared" si="89"/>
        <v>469.41397826086956</v>
      </c>
      <c r="X308" s="68">
        <f t="shared" si="90"/>
        <v>312.94265217391302</v>
      </c>
      <c r="Z308" s="63"/>
      <c r="AA308" s="63"/>
    </row>
    <row r="309" spans="1:27" hidden="1" x14ac:dyDescent="0.25">
      <c r="A309" t="str">
        <f t="shared" si="78"/>
        <v>10620023C28/05/2026E</v>
      </c>
      <c r="B309" s="169" t="s">
        <v>827</v>
      </c>
      <c r="C309" s="61" t="s">
        <v>397</v>
      </c>
      <c r="D309" s="61" t="s">
        <v>591</v>
      </c>
      <c r="E309" s="61" t="s">
        <v>594</v>
      </c>
      <c r="F309" s="1" t="s">
        <v>348</v>
      </c>
      <c r="G309" s="62" t="str">
        <f t="shared" si="80"/>
        <v>60606</v>
      </c>
      <c r="H309" s="1">
        <v>10620023</v>
      </c>
      <c r="I309" s="1" t="s">
        <v>388</v>
      </c>
      <c r="J309" s="61">
        <v>11</v>
      </c>
      <c r="K309" s="61">
        <v>4.7</v>
      </c>
      <c r="L309" s="61">
        <v>8.1999999999999993</v>
      </c>
      <c r="M309" s="69">
        <f t="shared" si="81"/>
        <v>0.51700000000000002</v>
      </c>
      <c r="N309" s="69">
        <f t="shared" si="82"/>
        <v>0.90199999999999991</v>
      </c>
      <c r="O309" s="56">
        <f>INDEX(Rate_Chart!$A$1:$AK$127,MATCH(Data!K309,Rate_Chart!$A$1:$A$127,0),MATCH(Data!L309,Rate_Chart!$A$1:$AK$1,0))</f>
        <v>42.3961398</v>
      </c>
      <c r="P309" s="57">
        <f t="shared" si="83"/>
        <v>466.35753779999999</v>
      </c>
      <c r="Q309" s="58">
        <f t="shared" si="84"/>
        <v>417.01121114754102</v>
      </c>
      <c r="R309" s="58">
        <f t="shared" si="85"/>
        <v>278.00747409836066</v>
      </c>
      <c r="S309" s="66">
        <f t="shared" si="79"/>
        <v>8.1612569115000007</v>
      </c>
      <c r="T309" s="64">
        <f t="shared" si="86"/>
        <v>41.25</v>
      </c>
      <c r="U309" s="66">
        <f t="shared" si="87"/>
        <v>515.76879471150005</v>
      </c>
      <c r="V309" s="68">
        <f t="shared" si="88"/>
        <v>46.888072246500002</v>
      </c>
      <c r="W309" s="68">
        <f t="shared" si="89"/>
        <v>461.19415324426234</v>
      </c>
      <c r="X309" s="68">
        <f t="shared" si="90"/>
        <v>307.46276882950821</v>
      </c>
      <c r="Z309" s="63"/>
      <c r="AA309" s="63"/>
    </row>
    <row r="310" spans="1:27" hidden="1" x14ac:dyDescent="0.25">
      <c r="A310" t="str">
        <f t="shared" si="78"/>
        <v>10620023B28/05/2026E</v>
      </c>
      <c r="B310" s="169" t="s">
        <v>828</v>
      </c>
      <c r="C310" s="61" t="s">
        <v>397</v>
      </c>
      <c r="D310" s="61" t="s">
        <v>591</v>
      </c>
      <c r="E310" s="61" t="s">
        <v>594</v>
      </c>
      <c r="F310" s="1" t="s">
        <v>348</v>
      </c>
      <c r="G310" s="62" t="str">
        <f t="shared" si="80"/>
        <v>60606</v>
      </c>
      <c r="H310" s="1">
        <v>10620023</v>
      </c>
      <c r="I310" s="1" t="s">
        <v>387</v>
      </c>
      <c r="J310" s="61">
        <v>10</v>
      </c>
      <c r="K310" s="61">
        <v>6</v>
      </c>
      <c r="L310" s="61">
        <v>8.4</v>
      </c>
      <c r="M310" s="69">
        <f t="shared" si="81"/>
        <v>0.6</v>
      </c>
      <c r="N310" s="69">
        <f t="shared" si="82"/>
        <v>0.84</v>
      </c>
      <c r="O310" s="56">
        <f>INDEX(Rate_Chart!$A$1:$AK$127,MATCH(Data!K310,Rate_Chart!$A$1:$A$127,0),MATCH(Data!L310,Rate_Chart!$A$1:$AK$1,0))</f>
        <v>48.597000000000001</v>
      </c>
      <c r="P310" s="57">
        <f t="shared" si="83"/>
        <v>485.97</v>
      </c>
      <c r="Q310" s="58">
        <f t="shared" si="84"/>
        <v>418.93965517241384</v>
      </c>
      <c r="R310" s="58">
        <f t="shared" si="85"/>
        <v>279.29310344827587</v>
      </c>
      <c r="S310" s="66">
        <f t="shared" si="79"/>
        <v>8.5044750000000011</v>
      </c>
      <c r="T310" s="64">
        <f t="shared" si="86"/>
        <v>37.5</v>
      </c>
      <c r="U310" s="66">
        <f t="shared" si="87"/>
        <v>531.97447499999998</v>
      </c>
      <c r="V310" s="68">
        <f t="shared" si="88"/>
        <v>53.197447499999996</v>
      </c>
      <c r="W310" s="68">
        <f t="shared" si="89"/>
        <v>458.59868534482757</v>
      </c>
      <c r="X310" s="68">
        <f t="shared" si="90"/>
        <v>305.7324568965517</v>
      </c>
      <c r="Z310" s="63"/>
      <c r="AA310" s="63"/>
    </row>
    <row r="311" spans="1:27" hidden="1" x14ac:dyDescent="0.25">
      <c r="A311" t="str">
        <f t="shared" si="78"/>
        <v>10620023C22/05/2026E</v>
      </c>
      <c r="B311" s="169" t="s">
        <v>828</v>
      </c>
      <c r="C311" s="61" t="s">
        <v>397</v>
      </c>
      <c r="D311" s="61" t="s">
        <v>591</v>
      </c>
      <c r="E311" s="61" t="s">
        <v>594</v>
      </c>
      <c r="F311" s="1" t="s">
        <v>348</v>
      </c>
      <c r="G311" s="62" t="str">
        <f t="shared" si="80"/>
        <v>60606</v>
      </c>
      <c r="H311" s="1">
        <v>10620023</v>
      </c>
      <c r="I311" s="1" t="s">
        <v>388</v>
      </c>
      <c r="J311" s="61">
        <v>9</v>
      </c>
      <c r="K311" s="61">
        <v>3</v>
      </c>
      <c r="L311" s="61">
        <v>8</v>
      </c>
      <c r="M311" s="69">
        <f t="shared" si="81"/>
        <v>0.27</v>
      </c>
      <c r="N311" s="69">
        <f t="shared" si="82"/>
        <v>0.72</v>
      </c>
      <c r="O311" s="56">
        <f>INDEX(Rate_Chart!$A$1:$AK$127,MATCH(Data!K311,Rate_Chart!$A$1:$A$127,0),MATCH(Data!L311,Rate_Chart!$A$1:$AK$1,0))</f>
        <v>34.751112000000006</v>
      </c>
      <c r="P311" s="57">
        <f t="shared" si="83"/>
        <v>312.76000800000008</v>
      </c>
      <c r="Q311" s="58">
        <f t="shared" si="84"/>
        <v>417.01334400000002</v>
      </c>
      <c r="R311" s="58">
        <f t="shared" si="85"/>
        <v>278.00889599999999</v>
      </c>
      <c r="S311" s="66">
        <f t="shared" si="79"/>
        <v>5.4733001400000019</v>
      </c>
      <c r="T311" s="64">
        <f t="shared" si="86"/>
        <v>33.75</v>
      </c>
      <c r="U311" s="66">
        <f t="shared" si="87"/>
        <v>351.98330814000008</v>
      </c>
      <c r="V311" s="68">
        <f t="shared" si="88"/>
        <v>39.109256460000012</v>
      </c>
      <c r="W311" s="68">
        <f t="shared" si="89"/>
        <v>469.31107752000008</v>
      </c>
      <c r="X311" s="68">
        <f t="shared" si="90"/>
        <v>312.87405168000004</v>
      </c>
      <c r="Z311" s="63"/>
      <c r="AA311" s="63"/>
    </row>
    <row r="312" spans="1:27" hidden="1" x14ac:dyDescent="0.25">
      <c r="A312" t="str">
        <f t="shared" si="78"/>
        <v>10620024C23/05/2026E</v>
      </c>
      <c r="B312" s="169" t="s">
        <v>822</v>
      </c>
      <c r="C312" s="61" t="s">
        <v>397</v>
      </c>
      <c r="D312" s="61" t="s">
        <v>591</v>
      </c>
      <c r="E312" s="61" t="s">
        <v>594</v>
      </c>
      <c r="F312" s="1" t="s">
        <v>349</v>
      </c>
      <c r="G312" s="62" t="str">
        <f t="shared" si="80"/>
        <v>60610</v>
      </c>
      <c r="H312" s="1">
        <v>10620024</v>
      </c>
      <c r="I312" s="1" t="s">
        <v>388</v>
      </c>
      <c r="J312" s="61">
        <v>7</v>
      </c>
      <c r="K312" s="61">
        <v>4.0999999999999996</v>
      </c>
      <c r="L312" s="61">
        <v>8.3000000000000007</v>
      </c>
      <c r="M312" s="69">
        <f t="shared" si="81"/>
        <v>0.28699999999999998</v>
      </c>
      <c r="N312" s="69">
        <f t="shared" si="82"/>
        <v>0.58100000000000007</v>
      </c>
      <c r="O312" s="56">
        <v>38.149095600000003</v>
      </c>
      <c r="P312" s="57">
        <f t="shared" si="83"/>
        <v>267.04366920000001</v>
      </c>
      <c r="Q312" s="58">
        <f t="shared" si="84"/>
        <v>396.01137301038068</v>
      </c>
      <c r="R312" s="58">
        <f t="shared" si="85"/>
        <v>264.00758200692047</v>
      </c>
      <c r="S312" s="66">
        <f t="shared" si="79"/>
        <v>4.6732642110000002</v>
      </c>
      <c r="T312" s="64">
        <f t="shared" si="86"/>
        <v>26.25</v>
      </c>
      <c r="U312" s="66">
        <f t="shared" si="87"/>
        <v>297.96693341100001</v>
      </c>
      <c r="V312" s="68">
        <f t="shared" si="88"/>
        <v>42.566704773000005</v>
      </c>
      <c r="W312" s="68">
        <f t="shared" si="89"/>
        <v>441.8689076782008</v>
      </c>
      <c r="X312" s="68">
        <f t="shared" si="90"/>
        <v>294.5792717854672</v>
      </c>
      <c r="Z312" s="63"/>
      <c r="AA312" s="63"/>
    </row>
    <row r="313" spans="1:27" hidden="1" x14ac:dyDescent="0.25">
      <c r="A313" t="str">
        <f t="shared" si="78"/>
        <v>10620024C23/05/2026M</v>
      </c>
      <c r="B313" s="169" t="s">
        <v>823</v>
      </c>
      <c r="C313" s="61" t="s">
        <v>396</v>
      </c>
      <c r="D313" s="61" t="s">
        <v>591</v>
      </c>
      <c r="E313" s="61" t="s">
        <v>594</v>
      </c>
      <c r="F313" s="1" t="s">
        <v>349</v>
      </c>
      <c r="G313" s="62" t="str">
        <f t="shared" si="80"/>
        <v>60610</v>
      </c>
      <c r="H313" s="1">
        <v>10620024</v>
      </c>
      <c r="I313" s="1" t="s">
        <v>388</v>
      </c>
      <c r="J313" s="61">
        <v>11</v>
      </c>
      <c r="K313" s="61">
        <v>3</v>
      </c>
      <c r="L313" s="61">
        <v>8</v>
      </c>
      <c r="M313" s="69">
        <f t="shared" si="81"/>
        <v>0.33</v>
      </c>
      <c r="N313" s="69">
        <f t="shared" si="82"/>
        <v>0.88</v>
      </c>
      <c r="O313" s="56">
        <v>33.001056000000005</v>
      </c>
      <c r="P313" s="57">
        <f t="shared" si="83"/>
        <v>363.01161600000006</v>
      </c>
      <c r="Q313" s="58">
        <f t="shared" si="84"/>
        <v>396.01267200000001</v>
      </c>
      <c r="R313" s="58">
        <f t="shared" si="85"/>
        <v>264.00844799999999</v>
      </c>
      <c r="S313" s="66">
        <f t="shared" si="79"/>
        <v>6.3527032800000018</v>
      </c>
      <c r="T313" s="64">
        <f t="shared" si="86"/>
        <v>41.25</v>
      </c>
      <c r="U313" s="66">
        <f t="shared" si="87"/>
        <v>410.61431928000007</v>
      </c>
      <c r="V313" s="68">
        <f t="shared" si="88"/>
        <v>37.328574480000007</v>
      </c>
      <c r="W313" s="68">
        <f t="shared" si="89"/>
        <v>447.94289376000006</v>
      </c>
      <c r="X313" s="68">
        <f t="shared" si="90"/>
        <v>298.62859584000006</v>
      </c>
      <c r="Z313" s="63"/>
      <c r="AA313" s="63"/>
    </row>
    <row r="314" spans="1:27" hidden="1" x14ac:dyDescent="0.25">
      <c r="A314" t="str">
        <f t="shared" si="78"/>
        <v>10620024C24/05/2026E</v>
      </c>
      <c r="B314" s="169" t="s">
        <v>823</v>
      </c>
      <c r="C314" s="61" t="s">
        <v>397</v>
      </c>
      <c r="D314" s="61" t="s">
        <v>591</v>
      </c>
      <c r="E314" s="61" t="s">
        <v>594</v>
      </c>
      <c r="F314" s="1" t="s">
        <v>349</v>
      </c>
      <c r="G314" s="62" t="str">
        <f t="shared" si="80"/>
        <v>60610</v>
      </c>
      <c r="H314" s="1">
        <v>10620024</v>
      </c>
      <c r="I314" s="1" t="s">
        <v>388</v>
      </c>
      <c r="J314" s="61">
        <v>10</v>
      </c>
      <c r="K314" s="61">
        <v>4</v>
      </c>
      <c r="L314" s="61">
        <v>8</v>
      </c>
      <c r="M314" s="69">
        <f t="shared" si="81"/>
        <v>0.4</v>
      </c>
      <c r="N314" s="69">
        <f t="shared" si="82"/>
        <v>0.8</v>
      </c>
      <c r="O314" s="56">
        <v>36.961055999999999</v>
      </c>
      <c r="P314" s="57">
        <f t="shared" si="83"/>
        <v>369.61055999999996</v>
      </c>
      <c r="Q314" s="58">
        <f t="shared" si="84"/>
        <v>396.01131428571426</v>
      </c>
      <c r="R314" s="58">
        <f t="shared" si="85"/>
        <v>264.00754285714282</v>
      </c>
      <c r="S314" s="66">
        <f t="shared" si="79"/>
        <v>6.4681848000000004</v>
      </c>
      <c r="T314" s="64">
        <f t="shared" si="86"/>
        <v>37.5</v>
      </c>
      <c r="U314" s="66">
        <f t="shared" si="87"/>
        <v>413.57874479999998</v>
      </c>
      <c r="V314" s="68">
        <f t="shared" si="88"/>
        <v>41.35787448</v>
      </c>
      <c r="W314" s="68">
        <f t="shared" si="89"/>
        <v>443.12008371428567</v>
      </c>
      <c r="X314" s="68">
        <f t="shared" si="90"/>
        <v>295.41338914285711</v>
      </c>
      <c r="Z314" s="63"/>
      <c r="AA314" s="63"/>
    </row>
    <row r="315" spans="1:27" hidden="1" x14ac:dyDescent="0.25">
      <c r="A315" t="str">
        <f t="shared" si="78"/>
        <v>10620024C24/05/2026M</v>
      </c>
      <c r="B315" s="169" t="s">
        <v>824</v>
      </c>
      <c r="C315" s="61" t="s">
        <v>396</v>
      </c>
      <c r="D315" s="61" t="s">
        <v>591</v>
      </c>
      <c r="E315" s="61" t="s">
        <v>594</v>
      </c>
      <c r="F315" s="1" t="s">
        <v>349</v>
      </c>
      <c r="G315" s="62" t="str">
        <f t="shared" si="80"/>
        <v>60610</v>
      </c>
      <c r="H315" s="1">
        <v>10620024</v>
      </c>
      <c r="I315" s="1" t="s">
        <v>388</v>
      </c>
      <c r="J315" s="61">
        <v>10</v>
      </c>
      <c r="K315" s="61">
        <v>3.2</v>
      </c>
      <c r="L315" s="61">
        <v>8</v>
      </c>
      <c r="M315" s="69">
        <f t="shared" si="81"/>
        <v>0.32</v>
      </c>
      <c r="N315" s="69">
        <f t="shared" si="82"/>
        <v>0.8</v>
      </c>
      <c r="O315" s="56">
        <v>33.793056000000007</v>
      </c>
      <c r="P315" s="57">
        <f t="shared" si="83"/>
        <v>337.93056000000007</v>
      </c>
      <c r="Q315" s="58">
        <f t="shared" si="84"/>
        <v>396.01237500000002</v>
      </c>
      <c r="R315" s="58">
        <f t="shared" si="85"/>
        <v>264.00825000000003</v>
      </c>
      <c r="S315" s="66">
        <f t="shared" si="79"/>
        <v>5.913784800000002</v>
      </c>
      <c r="T315" s="64">
        <f t="shared" si="86"/>
        <v>37.5</v>
      </c>
      <c r="U315" s="66">
        <f t="shared" si="87"/>
        <v>381.34434480000004</v>
      </c>
      <c r="V315" s="68">
        <f t="shared" si="88"/>
        <v>38.134434480000003</v>
      </c>
      <c r="W315" s="68">
        <f t="shared" si="89"/>
        <v>446.88790406249996</v>
      </c>
      <c r="X315" s="68">
        <f t="shared" si="90"/>
        <v>297.92526937499997</v>
      </c>
      <c r="Z315" s="63"/>
      <c r="AA315" s="63"/>
    </row>
    <row r="316" spans="1:27" hidden="1" x14ac:dyDescent="0.25">
      <c r="A316" t="str">
        <f t="shared" si="78"/>
        <v>10620024C25/05/2026E</v>
      </c>
      <c r="B316" s="169" t="s">
        <v>824</v>
      </c>
      <c r="C316" s="61" t="s">
        <v>397</v>
      </c>
      <c r="D316" s="61" t="s">
        <v>591</v>
      </c>
      <c r="E316" s="61" t="s">
        <v>594</v>
      </c>
      <c r="F316" s="1" t="s">
        <v>349</v>
      </c>
      <c r="G316" s="62" t="str">
        <f t="shared" si="80"/>
        <v>60610</v>
      </c>
      <c r="H316" s="1">
        <v>10620024</v>
      </c>
      <c r="I316" s="1" t="s">
        <v>388</v>
      </c>
      <c r="J316" s="61">
        <v>5</v>
      </c>
      <c r="K316" s="61">
        <v>4.4000000000000004</v>
      </c>
      <c r="L316" s="61">
        <v>8.1999999999999993</v>
      </c>
      <c r="M316" s="69">
        <f t="shared" si="81"/>
        <v>0.22</v>
      </c>
      <c r="N316" s="69">
        <f t="shared" si="82"/>
        <v>0.41</v>
      </c>
      <c r="O316" s="56">
        <v>39.073082400000004</v>
      </c>
      <c r="P316" s="57">
        <f t="shared" si="83"/>
        <v>195.36541200000002</v>
      </c>
      <c r="Q316" s="58">
        <f t="shared" si="84"/>
        <v>396.01097027027032</v>
      </c>
      <c r="R316" s="58">
        <f t="shared" si="85"/>
        <v>264.00731351351357</v>
      </c>
      <c r="S316" s="66">
        <f t="shared" si="79"/>
        <v>3.4188947100000009</v>
      </c>
      <c r="T316" s="64">
        <f t="shared" si="86"/>
        <v>18.75</v>
      </c>
      <c r="U316" s="66">
        <f t="shared" si="87"/>
        <v>217.53430671000001</v>
      </c>
      <c r="V316" s="68">
        <f t="shared" si="88"/>
        <v>43.506861342000001</v>
      </c>
      <c r="W316" s="68">
        <f t="shared" si="89"/>
        <v>440.94791900675676</v>
      </c>
      <c r="X316" s="68">
        <f t="shared" si="90"/>
        <v>293.96527933783784</v>
      </c>
      <c r="Z316" s="63"/>
      <c r="AA316" s="63"/>
    </row>
    <row r="317" spans="1:27" hidden="1" x14ac:dyDescent="0.25">
      <c r="A317" t="str">
        <f t="shared" si="78"/>
        <v>10620024C25/05/2026M</v>
      </c>
      <c r="B317" s="169" t="s">
        <v>825</v>
      </c>
      <c r="C317" s="61" t="s">
        <v>396</v>
      </c>
      <c r="D317" s="61" t="s">
        <v>591</v>
      </c>
      <c r="E317" s="61" t="s">
        <v>594</v>
      </c>
      <c r="F317" s="1" t="s">
        <v>349</v>
      </c>
      <c r="G317" s="62" t="str">
        <f t="shared" si="80"/>
        <v>60610</v>
      </c>
      <c r="H317" s="1">
        <v>10620024</v>
      </c>
      <c r="I317" s="1" t="s">
        <v>388</v>
      </c>
      <c r="J317" s="61">
        <v>10</v>
      </c>
      <c r="K317" s="61">
        <v>3.3</v>
      </c>
      <c r="L317" s="61">
        <v>8</v>
      </c>
      <c r="M317" s="69">
        <f t="shared" si="81"/>
        <v>0.33</v>
      </c>
      <c r="N317" s="69">
        <f t="shared" si="82"/>
        <v>0.8</v>
      </c>
      <c r="O317" s="56">
        <v>34.189056000000008</v>
      </c>
      <c r="P317" s="57">
        <f t="shared" si="83"/>
        <v>341.89056000000005</v>
      </c>
      <c r="Q317" s="58">
        <f t="shared" si="84"/>
        <v>396.01223166023169</v>
      </c>
      <c r="R317" s="58">
        <f t="shared" si="85"/>
        <v>264.00815444015444</v>
      </c>
      <c r="S317" s="66">
        <f t="shared" si="79"/>
        <v>5.9830848000000012</v>
      </c>
      <c r="T317" s="64">
        <f t="shared" si="86"/>
        <v>37.5</v>
      </c>
      <c r="U317" s="66">
        <f t="shared" si="87"/>
        <v>385.37364480000008</v>
      </c>
      <c r="V317" s="68">
        <f t="shared" si="88"/>
        <v>38.537364480000008</v>
      </c>
      <c r="W317" s="68">
        <f t="shared" si="89"/>
        <v>446.37873915057918</v>
      </c>
      <c r="X317" s="68">
        <f t="shared" si="90"/>
        <v>297.5858261003861</v>
      </c>
      <c r="Z317" s="63"/>
      <c r="AA317" s="63"/>
    </row>
    <row r="318" spans="1:27" hidden="1" x14ac:dyDescent="0.25">
      <c r="A318" t="str">
        <f t="shared" si="78"/>
        <v>10620024B26/05/2026E</v>
      </c>
      <c r="B318" s="169" t="s">
        <v>825</v>
      </c>
      <c r="C318" s="61" t="s">
        <v>397</v>
      </c>
      <c r="D318" s="61" t="s">
        <v>591</v>
      </c>
      <c r="E318" s="61" t="s">
        <v>594</v>
      </c>
      <c r="F318" s="1" t="s">
        <v>349</v>
      </c>
      <c r="G318" s="62" t="str">
        <f t="shared" si="80"/>
        <v>60610</v>
      </c>
      <c r="H318" s="1">
        <v>10620024</v>
      </c>
      <c r="I318" s="1" t="s">
        <v>387</v>
      </c>
      <c r="J318" s="61">
        <v>7</v>
      </c>
      <c r="K318" s="61">
        <v>5.6</v>
      </c>
      <c r="L318" s="61">
        <v>8.4</v>
      </c>
      <c r="M318" s="69">
        <f t="shared" si="81"/>
        <v>0.39199999999999996</v>
      </c>
      <c r="N318" s="69">
        <f t="shared" si="82"/>
        <v>0.58800000000000008</v>
      </c>
      <c r="O318" s="56">
        <v>45.357199999999999</v>
      </c>
      <c r="P318" s="57">
        <f t="shared" si="83"/>
        <v>317.50040000000001</v>
      </c>
      <c r="Q318" s="58">
        <f t="shared" si="84"/>
        <v>404.97500000000002</v>
      </c>
      <c r="R318" s="58">
        <f t="shared" si="85"/>
        <v>269.98333333333335</v>
      </c>
      <c r="S318" s="66">
        <f t="shared" si="79"/>
        <v>5.5562570000000004</v>
      </c>
      <c r="T318" s="64">
        <f t="shared" si="86"/>
        <v>26.25</v>
      </c>
      <c r="U318" s="66">
        <f t="shared" si="87"/>
        <v>349.30665700000003</v>
      </c>
      <c r="V318" s="68">
        <f t="shared" si="88"/>
        <v>49.900951000000006</v>
      </c>
      <c r="W318" s="68">
        <f t="shared" si="89"/>
        <v>445.54420535714297</v>
      </c>
      <c r="X318" s="68">
        <f t="shared" si="90"/>
        <v>297.02947023809531</v>
      </c>
      <c r="Z318" s="63"/>
      <c r="AA318" s="63"/>
    </row>
    <row r="319" spans="1:27" hidden="1" x14ac:dyDescent="0.25">
      <c r="A319" t="str">
        <f t="shared" si="78"/>
        <v>10620024C26/05/2026M</v>
      </c>
      <c r="B319" s="169" t="s">
        <v>826</v>
      </c>
      <c r="C319" s="61" t="s">
        <v>396</v>
      </c>
      <c r="D319" s="61" t="s">
        <v>591</v>
      </c>
      <c r="E319" s="61" t="s">
        <v>594</v>
      </c>
      <c r="F319" s="1" t="s">
        <v>349</v>
      </c>
      <c r="G319" s="62" t="str">
        <f t="shared" si="80"/>
        <v>60610</v>
      </c>
      <c r="H319" s="1">
        <v>10620024</v>
      </c>
      <c r="I319" s="1" t="s">
        <v>388</v>
      </c>
      <c r="J319" s="61">
        <v>9</v>
      </c>
      <c r="K319" s="61">
        <v>3.6</v>
      </c>
      <c r="L319" s="61">
        <v>8.1</v>
      </c>
      <c r="M319" s="69">
        <f t="shared" si="81"/>
        <v>0.32400000000000001</v>
      </c>
      <c r="N319" s="69">
        <f t="shared" si="82"/>
        <v>0.72899999999999987</v>
      </c>
      <c r="O319" s="56">
        <f>INDEX(Rate_Chart!$A$1:$AK$127,MATCH(Data!K319,Rate_Chart!$A$1:$A$127,0),MATCH(Data!L319,Rate_Chart!$A$1:$AK$1,0))</f>
        <v>37.531125900000006</v>
      </c>
      <c r="P319" s="57">
        <f t="shared" si="83"/>
        <v>337.78013310000006</v>
      </c>
      <c r="Q319" s="58">
        <f t="shared" si="84"/>
        <v>417.01251000000008</v>
      </c>
      <c r="R319" s="58">
        <f t="shared" si="85"/>
        <v>278.00834000000003</v>
      </c>
      <c r="S319" s="66">
        <f t="shared" si="79"/>
        <v>5.9111523292500019</v>
      </c>
      <c r="T319" s="64">
        <f t="shared" si="86"/>
        <v>33.75</v>
      </c>
      <c r="U319" s="66">
        <f t="shared" si="87"/>
        <v>377.44128542925006</v>
      </c>
      <c r="V319" s="68">
        <f t="shared" si="88"/>
        <v>41.937920603250006</v>
      </c>
      <c r="W319" s="68">
        <f t="shared" si="89"/>
        <v>465.97689559166673</v>
      </c>
      <c r="X319" s="68">
        <f t="shared" si="90"/>
        <v>310.6512637277778</v>
      </c>
      <c r="Z319" s="63"/>
      <c r="AA319" s="63"/>
    </row>
    <row r="320" spans="1:27" hidden="1" x14ac:dyDescent="0.25">
      <c r="A320" t="str">
        <f t="shared" si="78"/>
        <v>10620024C28/05/2026E</v>
      </c>
      <c r="B320" s="169" t="s">
        <v>826</v>
      </c>
      <c r="C320" s="61" t="s">
        <v>397</v>
      </c>
      <c r="D320" s="61" t="s">
        <v>591</v>
      </c>
      <c r="E320" s="61" t="s">
        <v>594</v>
      </c>
      <c r="F320" s="1" t="s">
        <v>349</v>
      </c>
      <c r="G320" s="62" t="str">
        <f t="shared" si="80"/>
        <v>60610</v>
      </c>
      <c r="H320" s="1">
        <v>10620024</v>
      </c>
      <c r="I320" s="1" t="s">
        <v>388</v>
      </c>
      <c r="J320" s="61">
        <v>5</v>
      </c>
      <c r="K320" s="61">
        <v>5.0999999999999996</v>
      </c>
      <c r="L320" s="61">
        <v>8.5</v>
      </c>
      <c r="M320" s="69">
        <f t="shared" si="81"/>
        <v>0.255</v>
      </c>
      <c r="N320" s="69">
        <f t="shared" si="82"/>
        <v>0.42499999999999999</v>
      </c>
      <c r="O320" s="56">
        <f>INDEX(Rate_Chart!$A$1:$AK$127,MATCH(Data!K320,Rate_Chart!$A$1:$A$127,0),MATCH(Data!L320,Rate_Chart!$A$1:$AK$1,0))</f>
        <v>44.898181500000007</v>
      </c>
      <c r="P320" s="57">
        <f t="shared" si="83"/>
        <v>224.49090750000005</v>
      </c>
      <c r="Q320" s="58">
        <f t="shared" si="84"/>
        <v>417.01097368421063</v>
      </c>
      <c r="R320" s="58">
        <f t="shared" si="85"/>
        <v>278.00731578947375</v>
      </c>
      <c r="S320" s="66">
        <f t="shared" si="79"/>
        <v>3.9285908812500012</v>
      </c>
      <c r="T320" s="64">
        <f t="shared" si="86"/>
        <v>18.75</v>
      </c>
      <c r="U320" s="66">
        <f t="shared" si="87"/>
        <v>247.16949838125004</v>
      </c>
      <c r="V320" s="68">
        <f t="shared" si="88"/>
        <v>49.433899676250007</v>
      </c>
      <c r="W320" s="68">
        <f t="shared" si="89"/>
        <v>459.13838708591339</v>
      </c>
      <c r="X320" s="68">
        <f t="shared" si="90"/>
        <v>306.09225805727561</v>
      </c>
      <c r="Z320" s="63"/>
      <c r="AA320" s="63"/>
    </row>
    <row r="321" spans="1:27" hidden="1" x14ac:dyDescent="0.25">
      <c r="A321" t="str">
        <f t="shared" si="78"/>
        <v>10620024C28/05/2026M</v>
      </c>
      <c r="B321" s="169" t="s">
        <v>828</v>
      </c>
      <c r="C321" s="61" t="s">
        <v>396</v>
      </c>
      <c r="D321" s="61" t="s">
        <v>591</v>
      </c>
      <c r="E321" s="61" t="s">
        <v>594</v>
      </c>
      <c r="F321" s="1" t="s">
        <v>349</v>
      </c>
      <c r="G321" s="62" t="str">
        <f t="shared" si="80"/>
        <v>60610</v>
      </c>
      <c r="H321" s="1">
        <v>10620024</v>
      </c>
      <c r="I321" s="1" t="s">
        <v>388</v>
      </c>
      <c r="J321" s="61">
        <v>6</v>
      </c>
      <c r="K321" s="61">
        <v>3.7</v>
      </c>
      <c r="L321" s="61">
        <v>8</v>
      </c>
      <c r="M321" s="69">
        <f t="shared" si="81"/>
        <v>0.22200000000000003</v>
      </c>
      <c r="N321" s="69">
        <f t="shared" si="82"/>
        <v>0.48</v>
      </c>
      <c r="O321" s="56">
        <f>INDEX(Rate_Chart!$A$1:$AK$127,MATCH(Data!K321,Rate_Chart!$A$1:$A$127,0),MATCH(Data!L321,Rate_Chart!$A$1:$AK$1,0))</f>
        <v>37.670112000000003</v>
      </c>
      <c r="P321" s="57">
        <f t="shared" si="83"/>
        <v>226.02067200000002</v>
      </c>
      <c r="Q321" s="58">
        <f t="shared" si="84"/>
        <v>417.0123099630996</v>
      </c>
      <c r="R321" s="58">
        <f t="shared" si="85"/>
        <v>278.0082066420664</v>
      </c>
      <c r="S321" s="66">
        <f t="shared" si="79"/>
        <v>3.9553617600000006</v>
      </c>
      <c r="T321" s="64">
        <f t="shared" si="86"/>
        <v>22.5</v>
      </c>
      <c r="U321" s="66">
        <f t="shared" si="87"/>
        <v>252.47603376000001</v>
      </c>
      <c r="V321" s="68">
        <f t="shared" si="88"/>
        <v>42.079338960000001</v>
      </c>
      <c r="W321" s="68">
        <f t="shared" si="89"/>
        <v>465.82294051660512</v>
      </c>
      <c r="X321" s="68">
        <f t="shared" si="90"/>
        <v>310.5486270110701</v>
      </c>
      <c r="Z321" s="63"/>
      <c r="AA321" s="63"/>
    </row>
    <row r="322" spans="1:27" hidden="1" x14ac:dyDescent="0.25">
      <c r="A322" t="str">
        <f t="shared" si="78"/>
        <v>10620024B26/05/2026E</v>
      </c>
      <c r="B322" s="169" t="s">
        <v>828</v>
      </c>
      <c r="C322" s="61" t="s">
        <v>397</v>
      </c>
      <c r="D322" s="61" t="s">
        <v>591</v>
      </c>
      <c r="E322" s="61" t="s">
        <v>594</v>
      </c>
      <c r="F322" s="1" t="s">
        <v>349</v>
      </c>
      <c r="G322" s="62" t="str">
        <f t="shared" si="80"/>
        <v>60610</v>
      </c>
      <c r="H322" s="1">
        <v>10620024</v>
      </c>
      <c r="I322" s="1" t="s">
        <v>387</v>
      </c>
      <c r="J322" s="61">
        <v>16</v>
      </c>
      <c r="K322" s="61">
        <v>5.8</v>
      </c>
      <c r="L322" s="61">
        <v>8.6</v>
      </c>
      <c r="M322" s="69">
        <f t="shared" si="81"/>
        <v>0.92799999999999994</v>
      </c>
      <c r="N322" s="69">
        <f t="shared" si="82"/>
        <v>1.3759999999999999</v>
      </c>
      <c r="O322" s="56">
        <f>INDEX(Rate_Chart!$A$1:$AK$127,MATCH(Data!K322,Rate_Chart!$A$1:$A$127,0),MATCH(Data!L322,Rate_Chart!$A$1:$AK$1,0))</f>
        <v>47.461399999999998</v>
      </c>
      <c r="P322" s="57">
        <f t="shared" si="83"/>
        <v>759.38239999999996</v>
      </c>
      <c r="Q322" s="58">
        <f t="shared" si="84"/>
        <v>411.51502890173413</v>
      </c>
      <c r="R322" s="58">
        <f t="shared" si="85"/>
        <v>274.34335260115608</v>
      </c>
      <c r="S322" s="66">
        <f t="shared" si="79"/>
        <v>13.289192</v>
      </c>
      <c r="T322" s="64">
        <f t="shared" si="86"/>
        <v>60</v>
      </c>
      <c r="U322" s="66">
        <f t="shared" si="87"/>
        <v>832.67159199999992</v>
      </c>
      <c r="V322" s="68">
        <f t="shared" si="88"/>
        <v>52.041974499999995</v>
      </c>
      <c r="W322" s="68">
        <f t="shared" si="89"/>
        <v>451.23099277456652</v>
      </c>
      <c r="X322" s="68">
        <f t="shared" si="90"/>
        <v>300.82066184971103</v>
      </c>
      <c r="Z322" s="63"/>
      <c r="AA322" s="63"/>
    </row>
    <row r="323" spans="1:27" hidden="1" x14ac:dyDescent="0.25">
      <c r="A323" t="str">
        <f t="shared" si="78"/>
        <v>10620028C27/05/2026E</v>
      </c>
      <c r="B323" s="169" t="s">
        <v>826</v>
      </c>
      <c r="C323" s="61" t="s">
        <v>397</v>
      </c>
      <c r="D323" s="61" t="s">
        <v>591</v>
      </c>
      <c r="E323" s="61" t="s">
        <v>594</v>
      </c>
      <c r="F323" s="1" t="s">
        <v>816</v>
      </c>
      <c r="G323" s="62" t="str">
        <f t="shared" si="80"/>
        <v>60611</v>
      </c>
      <c r="H323" s="1">
        <v>10620028</v>
      </c>
      <c r="I323" s="1" t="s">
        <v>388</v>
      </c>
      <c r="J323" s="61">
        <v>25</v>
      </c>
      <c r="K323" s="61">
        <v>5.0999999999999996</v>
      </c>
      <c r="L323" s="61">
        <v>8.5</v>
      </c>
      <c r="M323" s="69">
        <f t="shared" si="81"/>
        <v>1.2749999999999999</v>
      </c>
      <c r="N323" s="69">
        <f t="shared" si="82"/>
        <v>2.125</v>
      </c>
      <c r="O323" s="56">
        <f>INDEX(Rate_Chart!$A$1:$AK$127,MATCH(Data!K323,Rate_Chart!$A$1:$A$127,0),MATCH(Data!L323,Rate_Chart!$A$1:$AK$1,0))</f>
        <v>44.898181500000007</v>
      </c>
      <c r="P323" s="57">
        <f t="shared" si="83"/>
        <v>1122.4545375000002</v>
      </c>
      <c r="Q323" s="58">
        <f t="shared" si="84"/>
        <v>417.01097368421063</v>
      </c>
      <c r="R323" s="58">
        <f t="shared" si="85"/>
        <v>278.00731578947375</v>
      </c>
      <c r="S323" s="66">
        <f t="shared" si="79"/>
        <v>19.642954406250006</v>
      </c>
      <c r="T323" s="64">
        <f t="shared" si="86"/>
        <v>93.75</v>
      </c>
      <c r="U323" s="66">
        <f t="shared" si="87"/>
        <v>1235.8474919062503</v>
      </c>
      <c r="V323" s="68">
        <f t="shared" si="88"/>
        <v>49.433899676250014</v>
      </c>
      <c r="W323" s="68">
        <f t="shared" si="89"/>
        <v>459.13838708591345</v>
      </c>
      <c r="X323" s="68">
        <f t="shared" si="90"/>
        <v>306.09225805727561</v>
      </c>
      <c r="Z323" s="63"/>
      <c r="AA323" s="63"/>
    </row>
    <row r="324" spans="1:27" hidden="1" x14ac:dyDescent="0.25">
      <c r="A324" t="str">
        <f t="shared" si="78"/>
        <v>10620028C22/05/2026E</v>
      </c>
      <c r="B324" s="169" t="s">
        <v>827</v>
      </c>
      <c r="C324" s="61" t="s">
        <v>397</v>
      </c>
      <c r="D324" s="61" t="s">
        <v>591</v>
      </c>
      <c r="E324" s="61" t="s">
        <v>594</v>
      </c>
      <c r="F324" s="1" t="s">
        <v>816</v>
      </c>
      <c r="G324" s="62" t="str">
        <f t="shared" si="80"/>
        <v>60611</v>
      </c>
      <c r="H324" s="1">
        <v>10620028</v>
      </c>
      <c r="I324" s="1" t="s">
        <v>388</v>
      </c>
      <c r="J324" s="61">
        <v>23</v>
      </c>
      <c r="K324" s="61">
        <v>4.5</v>
      </c>
      <c r="L324" s="61">
        <v>8.5</v>
      </c>
      <c r="M324" s="69">
        <f t="shared" si="81"/>
        <v>1.0349999999999999</v>
      </c>
      <c r="N324" s="69">
        <f t="shared" si="82"/>
        <v>1.9550000000000001</v>
      </c>
      <c r="O324" s="56">
        <f>INDEX(Rate_Chart!$A$1:$AK$127,MATCH(Data!K324,Rate_Chart!$A$1:$A$127,0),MATCH(Data!L324,Rate_Chart!$A$1:$AK$1,0))</f>
        <v>42.396181500000004</v>
      </c>
      <c r="P324" s="57">
        <f t="shared" si="83"/>
        <v>975.11217450000015</v>
      </c>
      <c r="Q324" s="58">
        <f t="shared" si="84"/>
        <v>417.01162131147544</v>
      </c>
      <c r="R324" s="58">
        <f t="shared" si="85"/>
        <v>278.00774754098364</v>
      </c>
      <c r="S324" s="66">
        <f t="shared" si="79"/>
        <v>17.064463053750003</v>
      </c>
      <c r="T324" s="64">
        <f t="shared" si="86"/>
        <v>86.25</v>
      </c>
      <c r="U324" s="66">
        <f t="shared" si="87"/>
        <v>1078.4266375537502</v>
      </c>
      <c r="V324" s="68">
        <f t="shared" si="88"/>
        <v>46.888114676250005</v>
      </c>
      <c r="W324" s="68">
        <f t="shared" si="89"/>
        <v>461.19457058606559</v>
      </c>
      <c r="X324" s="68">
        <f t="shared" si="90"/>
        <v>307.46304705737708</v>
      </c>
      <c r="Z324" s="63"/>
      <c r="AA324" s="63"/>
    </row>
    <row r="325" spans="1:27" hidden="1" x14ac:dyDescent="0.25">
      <c r="A325" t="str">
        <f t="shared" ref="A325:A388" si="91">CONCATENATE(H325,I325,B326,C325)</f>
        <v>10620025B22/05/2026M</v>
      </c>
      <c r="B325" s="169" t="s">
        <v>822</v>
      </c>
      <c r="C325" s="61" t="s">
        <v>396</v>
      </c>
      <c r="D325" s="61" t="s">
        <v>591</v>
      </c>
      <c r="E325" s="61" t="s">
        <v>594</v>
      </c>
      <c r="F325" s="1" t="s">
        <v>350</v>
      </c>
      <c r="G325" s="62" t="str">
        <f t="shared" si="80"/>
        <v>60612</v>
      </c>
      <c r="H325" s="1">
        <v>10620025</v>
      </c>
      <c r="I325" s="1" t="s">
        <v>387</v>
      </c>
      <c r="J325" s="61">
        <v>14</v>
      </c>
      <c r="K325" s="61">
        <v>8</v>
      </c>
      <c r="L325" s="61">
        <v>9</v>
      </c>
      <c r="M325" s="69">
        <f t="shared" si="81"/>
        <v>1.1200000000000001</v>
      </c>
      <c r="N325" s="69">
        <f t="shared" si="82"/>
        <v>1.26</v>
      </c>
      <c r="O325" s="56">
        <v>66.8</v>
      </c>
      <c r="P325" s="57">
        <f t="shared" si="83"/>
        <v>935.19999999999993</v>
      </c>
      <c r="Q325" s="58">
        <f t="shared" si="84"/>
        <v>477.14285714285705</v>
      </c>
      <c r="R325" s="58">
        <f t="shared" si="85"/>
        <v>318.09523809523802</v>
      </c>
      <c r="S325" s="66">
        <f t="shared" ref="S325:S388" si="92">P325*1.75%</f>
        <v>16.366</v>
      </c>
      <c r="T325" s="64">
        <f t="shared" si="86"/>
        <v>52.5</v>
      </c>
      <c r="U325" s="66">
        <f t="shared" si="87"/>
        <v>1004.0659999999999</v>
      </c>
      <c r="V325" s="68">
        <f t="shared" si="88"/>
        <v>71.718999999999994</v>
      </c>
      <c r="W325" s="68">
        <f t="shared" si="89"/>
        <v>512.27857142857135</v>
      </c>
      <c r="X325" s="68">
        <f t="shared" si="90"/>
        <v>341.51904761904757</v>
      </c>
      <c r="Z325" s="63"/>
      <c r="AA325" s="63"/>
    </row>
    <row r="326" spans="1:27" hidden="1" x14ac:dyDescent="0.25">
      <c r="A326" t="str">
        <f t="shared" si="91"/>
        <v>10620025C22/05/2026M</v>
      </c>
      <c r="B326" s="169" t="s">
        <v>822</v>
      </c>
      <c r="C326" s="61" t="s">
        <v>396</v>
      </c>
      <c r="D326" s="61" t="s">
        <v>591</v>
      </c>
      <c r="E326" s="61" t="s">
        <v>594</v>
      </c>
      <c r="F326" s="1" t="s">
        <v>350</v>
      </c>
      <c r="G326" s="62" t="str">
        <f t="shared" ref="G326:G389" si="93">MID(F326,2,5)</f>
        <v>60612</v>
      </c>
      <c r="H326" s="1">
        <v>10620025</v>
      </c>
      <c r="I326" s="1" t="s">
        <v>388</v>
      </c>
      <c r="J326" s="61">
        <v>24</v>
      </c>
      <c r="K326" s="61">
        <v>4</v>
      </c>
      <c r="L326" s="61">
        <v>8.1999999999999993</v>
      </c>
      <c r="M326" s="69">
        <f t="shared" si="81"/>
        <v>0.96</v>
      </c>
      <c r="N326" s="69">
        <f t="shared" si="82"/>
        <v>1.9679999999999997</v>
      </c>
      <c r="O326" s="56">
        <v>37.489082400000001</v>
      </c>
      <c r="P326" s="57">
        <f t="shared" si="83"/>
        <v>899.73797760000002</v>
      </c>
      <c r="Q326" s="58">
        <f t="shared" si="84"/>
        <v>396.01143380281695</v>
      </c>
      <c r="R326" s="58">
        <f t="shared" si="85"/>
        <v>264.00762253521128</v>
      </c>
      <c r="S326" s="66">
        <f t="shared" si="92"/>
        <v>15.745414608000003</v>
      </c>
      <c r="T326" s="64">
        <f t="shared" si="86"/>
        <v>90</v>
      </c>
      <c r="U326" s="66">
        <f t="shared" si="87"/>
        <v>1005.4833922080001</v>
      </c>
      <c r="V326" s="68">
        <f t="shared" si="88"/>
        <v>41.895141342000002</v>
      </c>
      <c r="W326" s="68">
        <f t="shared" si="89"/>
        <v>442.55430995070429</v>
      </c>
      <c r="X326" s="68">
        <f t="shared" si="90"/>
        <v>295.03620663380286</v>
      </c>
      <c r="Z326" s="63"/>
      <c r="AA326" s="63"/>
    </row>
    <row r="327" spans="1:27" hidden="1" x14ac:dyDescent="0.25">
      <c r="A327" t="str">
        <f t="shared" si="91"/>
        <v>10620025C23/05/2026E</v>
      </c>
      <c r="B327" s="169" t="s">
        <v>822</v>
      </c>
      <c r="C327" s="61" t="s">
        <v>397</v>
      </c>
      <c r="D327" s="61" t="s">
        <v>591</v>
      </c>
      <c r="E327" s="61" t="s">
        <v>594</v>
      </c>
      <c r="F327" s="1" t="s">
        <v>350</v>
      </c>
      <c r="G327" s="62" t="str">
        <f t="shared" si="93"/>
        <v>60612</v>
      </c>
      <c r="H327" s="1">
        <v>10620025</v>
      </c>
      <c r="I327" s="1" t="s">
        <v>388</v>
      </c>
      <c r="J327" s="61">
        <v>36</v>
      </c>
      <c r="K327" s="61">
        <v>4.7</v>
      </c>
      <c r="L327" s="61">
        <v>8.1999999999999993</v>
      </c>
      <c r="M327" s="69">
        <f t="shared" si="81"/>
        <v>1.6920000000000002</v>
      </c>
      <c r="N327" s="69">
        <f t="shared" si="82"/>
        <v>2.952</v>
      </c>
      <c r="O327" s="56">
        <v>40.261082399999999</v>
      </c>
      <c r="P327" s="57">
        <f t="shared" si="83"/>
        <v>1449.3989664000001</v>
      </c>
      <c r="Q327" s="58">
        <f t="shared" si="84"/>
        <v>396.01064655737707</v>
      </c>
      <c r="R327" s="58">
        <f t="shared" si="85"/>
        <v>264.00709770491807</v>
      </c>
      <c r="S327" s="66">
        <f t="shared" si="92"/>
        <v>25.364481912000002</v>
      </c>
      <c r="T327" s="64">
        <f t="shared" si="86"/>
        <v>135</v>
      </c>
      <c r="U327" s="66">
        <f t="shared" si="87"/>
        <v>1609.763448312</v>
      </c>
      <c r="V327" s="68">
        <f t="shared" si="88"/>
        <v>44.715651342000001</v>
      </c>
      <c r="W327" s="68">
        <f t="shared" si="89"/>
        <v>439.82607877377058</v>
      </c>
      <c r="X327" s="68">
        <f t="shared" si="90"/>
        <v>293.2173858491804</v>
      </c>
      <c r="Z327" s="63"/>
      <c r="AA327" s="63"/>
    </row>
    <row r="328" spans="1:27" hidden="1" x14ac:dyDescent="0.25">
      <c r="A328" t="str">
        <f t="shared" si="91"/>
        <v>10620025B23/05/2026M</v>
      </c>
      <c r="B328" s="169" t="s">
        <v>823</v>
      </c>
      <c r="C328" s="61" t="s">
        <v>396</v>
      </c>
      <c r="D328" s="61" t="s">
        <v>591</v>
      </c>
      <c r="E328" s="61" t="s">
        <v>594</v>
      </c>
      <c r="F328" s="1" t="s">
        <v>350</v>
      </c>
      <c r="G328" s="62" t="str">
        <f t="shared" si="93"/>
        <v>60612</v>
      </c>
      <c r="H328" s="1">
        <v>10620025</v>
      </c>
      <c r="I328" s="1" t="s">
        <v>387</v>
      </c>
      <c r="J328" s="61">
        <v>22</v>
      </c>
      <c r="K328" s="61">
        <v>7.5</v>
      </c>
      <c r="L328" s="61">
        <v>9</v>
      </c>
      <c r="M328" s="69">
        <f t="shared" si="81"/>
        <v>1.65</v>
      </c>
      <c r="N328" s="69">
        <f t="shared" si="82"/>
        <v>1.98</v>
      </c>
      <c r="O328" s="56">
        <v>62.625</v>
      </c>
      <c r="P328" s="57">
        <f t="shared" si="83"/>
        <v>1377.75</v>
      </c>
      <c r="Q328" s="58">
        <f t="shared" si="84"/>
        <v>463.88888888888886</v>
      </c>
      <c r="R328" s="58">
        <f t="shared" si="85"/>
        <v>309.25925925925924</v>
      </c>
      <c r="S328" s="66">
        <f t="shared" si="92"/>
        <v>24.110625000000002</v>
      </c>
      <c r="T328" s="64">
        <f t="shared" si="86"/>
        <v>82.5</v>
      </c>
      <c r="U328" s="66">
        <f t="shared" si="87"/>
        <v>1484.360625</v>
      </c>
      <c r="V328" s="68">
        <f t="shared" si="88"/>
        <v>67.470937500000005</v>
      </c>
      <c r="W328" s="68">
        <f t="shared" si="89"/>
        <v>499.78472222222223</v>
      </c>
      <c r="X328" s="68">
        <f t="shared" si="90"/>
        <v>333.18981481481484</v>
      </c>
      <c r="Z328" s="63"/>
      <c r="AA328" s="63"/>
    </row>
    <row r="329" spans="1:27" hidden="1" x14ac:dyDescent="0.25">
      <c r="A329" t="str">
        <f t="shared" si="91"/>
        <v>10620025C23/05/2026M</v>
      </c>
      <c r="B329" s="169" t="s">
        <v>823</v>
      </c>
      <c r="C329" s="61" t="s">
        <v>396</v>
      </c>
      <c r="D329" s="61" t="s">
        <v>591</v>
      </c>
      <c r="E329" s="61" t="s">
        <v>594</v>
      </c>
      <c r="F329" s="1" t="s">
        <v>350</v>
      </c>
      <c r="G329" s="62" t="str">
        <f t="shared" si="93"/>
        <v>60612</v>
      </c>
      <c r="H329" s="1">
        <v>10620025</v>
      </c>
      <c r="I329" s="1" t="s">
        <v>388</v>
      </c>
      <c r="J329" s="61">
        <v>19</v>
      </c>
      <c r="K329" s="61">
        <v>3.6</v>
      </c>
      <c r="L329" s="61">
        <v>8.1</v>
      </c>
      <c r="M329" s="69">
        <f t="shared" si="81"/>
        <v>0.68400000000000005</v>
      </c>
      <c r="N329" s="69">
        <f t="shared" si="82"/>
        <v>1.5390000000000001</v>
      </c>
      <c r="O329" s="56">
        <v>35.641069200000004</v>
      </c>
      <c r="P329" s="57">
        <f t="shared" si="83"/>
        <v>677.18031480000013</v>
      </c>
      <c r="Q329" s="58">
        <f t="shared" si="84"/>
        <v>396.01188000000008</v>
      </c>
      <c r="R329" s="58">
        <f t="shared" si="85"/>
        <v>264.00792000000007</v>
      </c>
      <c r="S329" s="66">
        <f t="shared" si="92"/>
        <v>11.850655509000003</v>
      </c>
      <c r="T329" s="64">
        <f t="shared" si="86"/>
        <v>71.25</v>
      </c>
      <c r="U329" s="66">
        <f t="shared" si="87"/>
        <v>760.28097030900017</v>
      </c>
      <c r="V329" s="68">
        <f t="shared" si="88"/>
        <v>40.014787911000006</v>
      </c>
      <c r="W329" s="68">
        <f t="shared" si="89"/>
        <v>444.60875456666673</v>
      </c>
      <c r="X329" s="68">
        <f t="shared" si="90"/>
        <v>296.4058363777778</v>
      </c>
      <c r="Z329" s="63"/>
      <c r="AA329" s="63"/>
    </row>
    <row r="330" spans="1:27" hidden="1" x14ac:dyDescent="0.25">
      <c r="A330" t="str">
        <f t="shared" si="91"/>
        <v>10620025C24/05/2026E</v>
      </c>
      <c r="B330" s="169" t="s">
        <v>823</v>
      </c>
      <c r="C330" s="61" t="s">
        <v>397</v>
      </c>
      <c r="D330" s="61" t="s">
        <v>591</v>
      </c>
      <c r="E330" s="61" t="s">
        <v>594</v>
      </c>
      <c r="F330" s="1" t="s">
        <v>350</v>
      </c>
      <c r="G330" s="62" t="str">
        <f t="shared" si="93"/>
        <v>60612</v>
      </c>
      <c r="H330" s="1">
        <v>10620025</v>
      </c>
      <c r="I330" s="1" t="s">
        <v>388</v>
      </c>
      <c r="J330" s="61">
        <v>37</v>
      </c>
      <c r="K330" s="61">
        <v>4.3</v>
      </c>
      <c r="L330" s="61">
        <v>8</v>
      </c>
      <c r="M330" s="69">
        <f t="shared" si="81"/>
        <v>1.591</v>
      </c>
      <c r="N330" s="69">
        <f t="shared" si="82"/>
        <v>2.96</v>
      </c>
      <c r="O330" s="56">
        <v>38.149056000000002</v>
      </c>
      <c r="P330" s="57">
        <f t="shared" si="83"/>
        <v>1411.5150720000001</v>
      </c>
      <c r="Q330" s="58">
        <f t="shared" si="84"/>
        <v>396.01096193771633</v>
      </c>
      <c r="R330" s="58">
        <f t="shared" si="85"/>
        <v>264.00730795847755</v>
      </c>
      <c r="S330" s="66">
        <f t="shared" si="92"/>
        <v>24.701513760000005</v>
      </c>
      <c r="T330" s="64">
        <f t="shared" si="86"/>
        <v>138.75</v>
      </c>
      <c r="U330" s="66">
        <f t="shared" si="87"/>
        <v>1574.9665857600003</v>
      </c>
      <c r="V330" s="68">
        <f t="shared" si="88"/>
        <v>42.566664480000007</v>
      </c>
      <c r="W330" s="68">
        <f t="shared" si="89"/>
        <v>441.86848941176481</v>
      </c>
      <c r="X330" s="68">
        <f t="shared" si="90"/>
        <v>294.57899294117652</v>
      </c>
      <c r="Z330" s="63"/>
      <c r="AA330" s="63"/>
    </row>
    <row r="331" spans="1:27" hidden="1" x14ac:dyDescent="0.25">
      <c r="A331" t="str">
        <f t="shared" si="91"/>
        <v>10620025C24/05/2026M</v>
      </c>
      <c r="B331" s="169" t="s">
        <v>824</v>
      </c>
      <c r="C331" s="61" t="s">
        <v>396</v>
      </c>
      <c r="D331" s="61" t="s">
        <v>591</v>
      </c>
      <c r="E331" s="61" t="s">
        <v>594</v>
      </c>
      <c r="F331" s="1" t="s">
        <v>350</v>
      </c>
      <c r="G331" s="62" t="str">
        <f t="shared" si="93"/>
        <v>60612</v>
      </c>
      <c r="H331" s="1">
        <v>10620025</v>
      </c>
      <c r="I331" s="1" t="s">
        <v>388</v>
      </c>
      <c r="J331" s="61">
        <v>33</v>
      </c>
      <c r="K331" s="61">
        <v>4.5</v>
      </c>
      <c r="L331" s="61">
        <v>8.1</v>
      </c>
      <c r="M331" s="69">
        <f t="shared" si="81"/>
        <v>1.4850000000000001</v>
      </c>
      <c r="N331" s="69">
        <f t="shared" si="82"/>
        <v>2.673</v>
      </c>
      <c r="O331" s="56">
        <v>39.205069200000004</v>
      </c>
      <c r="P331" s="57">
        <f t="shared" si="83"/>
        <v>1293.7672836000002</v>
      </c>
      <c r="Q331" s="58">
        <f t="shared" si="84"/>
        <v>396.01080000000002</v>
      </c>
      <c r="R331" s="58">
        <f t="shared" si="85"/>
        <v>264.00720000000001</v>
      </c>
      <c r="S331" s="66">
        <f t="shared" si="92"/>
        <v>22.640927463000004</v>
      </c>
      <c r="T331" s="64">
        <f t="shared" si="86"/>
        <v>123.75</v>
      </c>
      <c r="U331" s="66">
        <f t="shared" si="87"/>
        <v>1440.1582110630002</v>
      </c>
      <c r="V331" s="68">
        <f t="shared" si="88"/>
        <v>43.641157911000008</v>
      </c>
      <c r="W331" s="68">
        <f t="shared" si="89"/>
        <v>440.81977687878793</v>
      </c>
      <c r="X331" s="68">
        <f t="shared" si="90"/>
        <v>293.87985125252527</v>
      </c>
      <c r="Z331" s="63"/>
      <c r="AA331" s="63"/>
    </row>
    <row r="332" spans="1:27" hidden="1" x14ac:dyDescent="0.25">
      <c r="A332" t="str">
        <f t="shared" si="91"/>
        <v>10620025C25/05/2026E</v>
      </c>
      <c r="B332" s="169" t="s">
        <v>824</v>
      </c>
      <c r="C332" s="61" t="s">
        <v>397</v>
      </c>
      <c r="D332" s="61" t="s">
        <v>591</v>
      </c>
      <c r="E332" s="61" t="s">
        <v>594</v>
      </c>
      <c r="F332" s="1" t="s">
        <v>350</v>
      </c>
      <c r="G332" s="62" t="str">
        <f t="shared" si="93"/>
        <v>60612</v>
      </c>
      <c r="H332" s="1">
        <v>10620025</v>
      </c>
      <c r="I332" s="1" t="s">
        <v>388</v>
      </c>
      <c r="J332" s="61">
        <v>35</v>
      </c>
      <c r="K332" s="61">
        <v>5</v>
      </c>
      <c r="L332" s="61">
        <v>8.1999999999999993</v>
      </c>
      <c r="M332" s="69">
        <f t="shared" si="81"/>
        <v>1.75</v>
      </c>
      <c r="N332" s="69">
        <f t="shared" si="82"/>
        <v>2.87</v>
      </c>
      <c r="O332" s="56">
        <v>41.449082400000002</v>
      </c>
      <c r="P332" s="57">
        <f t="shared" si="83"/>
        <v>1450.7178840000001</v>
      </c>
      <c r="Q332" s="58">
        <f t="shared" si="84"/>
        <v>396.01034140127393</v>
      </c>
      <c r="R332" s="58">
        <f t="shared" si="85"/>
        <v>264.00689426751597</v>
      </c>
      <c r="S332" s="66">
        <f t="shared" si="92"/>
        <v>25.387562970000005</v>
      </c>
      <c r="T332" s="64">
        <f t="shared" si="86"/>
        <v>131.25</v>
      </c>
      <c r="U332" s="66">
        <f t="shared" si="87"/>
        <v>1607.3554469700002</v>
      </c>
      <c r="V332" s="68">
        <f t="shared" si="88"/>
        <v>45.924441342000009</v>
      </c>
      <c r="W332" s="68">
        <f t="shared" si="89"/>
        <v>438.76854785350332</v>
      </c>
      <c r="X332" s="68">
        <f t="shared" si="90"/>
        <v>292.51236523566888</v>
      </c>
      <c r="Z332" s="63"/>
      <c r="AA332" s="63"/>
    </row>
    <row r="333" spans="1:27" hidden="1" x14ac:dyDescent="0.25">
      <c r="A333" t="str">
        <f t="shared" si="91"/>
        <v>10620025B25/05/2026M</v>
      </c>
      <c r="B333" s="169" t="s">
        <v>825</v>
      </c>
      <c r="C333" s="61" t="s">
        <v>396</v>
      </c>
      <c r="D333" s="61" t="s">
        <v>591</v>
      </c>
      <c r="E333" s="61" t="s">
        <v>594</v>
      </c>
      <c r="F333" s="1" t="s">
        <v>350</v>
      </c>
      <c r="G333" s="62" t="str">
        <f t="shared" si="93"/>
        <v>60612</v>
      </c>
      <c r="H333" s="1">
        <v>10620025</v>
      </c>
      <c r="I333" s="1" t="s">
        <v>387</v>
      </c>
      <c r="J333" s="61">
        <v>12</v>
      </c>
      <c r="K333" s="61">
        <v>7.7</v>
      </c>
      <c r="L333" s="61">
        <v>9</v>
      </c>
      <c r="M333" s="69">
        <f t="shared" si="81"/>
        <v>0.92400000000000004</v>
      </c>
      <c r="N333" s="69">
        <f t="shared" si="82"/>
        <v>1.08</v>
      </c>
      <c r="O333" s="56">
        <v>64.295000000000002</v>
      </c>
      <c r="P333" s="57">
        <f t="shared" si="83"/>
        <v>771.54</v>
      </c>
      <c r="Q333" s="58">
        <f t="shared" si="84"/>
        <v>469.30656934306569</v>
      </c>
      <c r="R333" s="58">
        <f t="shared" si="85"/>
        <v>312.87104622871044</v>
      </c>
      <c r="S333" s="66">
        <f t="shared" si="92"/>
        <v>13.501950000000001</v>
      </c>
      <c r="T333" s="64">
        <f t="shared" si="86"/>
        <v>45</v>
      </c>
      <c r="U333" s="66">
        <f t="shared" si="87"/>
        <v>830.04194999999993</v>
      </c>
      <c r="V333" s="68">
        <f t="shared" si="88"/>
        <v>69.170162499999989</v>
      </c>
      <c r="W333" s="68">
        <f t="shared" si="89"/>
        <v>504.89169708029186</v>
      </c>
      <c r="X333" s="68">
        <f t="shared" si="90"/>
        <v>336.59446472019459</v>
      </c>
      <c r="Z333" s="63"/>
      <c r="AA333" s="63"/>
    </row>
    <row r="334" spans="1:27" hidden="1" x14ac:dyDescent="0.25">
      <c r="A334" t="str">
        <f t="shared" si="91"/>
        <v>10620025C25/05/2026M</v>
      </c>
      <c r="B334" s="169" t="s">
        <v>825</v>
      </c>
      <c r="C334" s="61" t="s">
        <v>396</v>
      </c>
      <c r="D334" s="61" t="s">
        <v>591</v>
      </c>
      <c r="E334" s="61" t="s">
        <v>594</v>
      </c>
      <c r="F334" s="1" t="s">
        <v>350</v>
      </c>
      <c r="G334" s="62" t="str">
        <f t="shared" si="93"/>
        <v>60612</v>
      </c>
      <c r="H334" s="1">
        <v>10620025</v>
      </c>
      <c r="I334" s="1" t="s">
        <v>388</v>
      </c>
      <c r="J334" s="61">
        <v>22</v>
      </c>
      <c r="K334" s="61">
        <v>3.5</v>
      </c>
      <c r="L334" s="61">
        <v>8.1</v>
      </c>
      <c r="M334" s="69">
        <f t="shared" si="81"/>
        <v>0.77</v>
      </c>
      <c r="N334" s="69">
        <f t="shared" si="82"/>
        <v>1.7819999999999998</v>
      </c>
      <c r="O334" s="56">
        <v>35.245069200000003</v>
      </c>
      <c r="P334" s="57">
        <f t="shared" si="83"/>
        <v>775.3915224000001</v>
      </c>
      <c r="Q334" s="58">
        <f t="shared" si="84"/>
        <v>396.01201348314612</v>
      </c>
      <c r="R334" s="58">
        <f t="shared" si="85"/>
        <v>264.00800898876406</v>
      </c>
      <c r="S334" s="66">
        <f t="shared" si="92"/>
        <v>13.569351642000003</v>
      </c>
      <c r="T334" s="64">
        <f t="shared" si="86"/>
        <v>82.5</v>
      </c>
      <c r="U334" s="66">
        <f t="shared" si="87"/>
        <v>871.46087404200011</v>
      </c>
      <c r="V334" s="68">
        <f t="shared" si="88"/>
        <v>39.611857911000008</v>
      </c>
      <c r="W334" s="68">
        <f t="shared" si="89"/>
        <v>445.07705517977541</v>
      </c>
      <c r="X334" s="68">
        <f t="shared" si="90"/>
        <v>296.71803678651696</v>
      </c>
      <c r="Z334" s="63"/>
      <c r="AA334" s="63"/>
    </row>
    <row r="335" spans="1:27" hidden="1" x14ac:dyDescent="0.25">
      <c r="A335" t="str">
        <f t="shared" si="91"/>
        <v>10620025C26/05/2026E</v>
      </c>
      <c r="B335" s="169" t="s">
        <v>825</v>
      </c>
      <c r="C335" s="61" t="s">
        <v>397</v>
      </c>
      <c r="D335" s="61" t="s">
        <v>591</v>
      </c>
      <c r="E335" s="61" t="s">
        <v>594</v>
      </c>
      <c r="F335" s="1" t="s">
        <v>350</v>
      </c>
      <c r="G335" s="62" t="str">
        <f t="shared" si="93"/>
        <v>60612</v>
      </c>
      <c r="H335" s="1">
        <v>10620025</v>
      </c>
      <c r="I335" s="1" t="s">
        <v>388</v>
      </c>
      <c r="J335" s="61">
        <v>36</v>
      </c>
      <c r="K335" s="61">
        <v>4.7</v>
      </c>
      <c r="L335" s="61">
        <v>8.1</v>
      </c>
      <c r="M335" s="69">
        <f t="shared" si="81"/>
        <v>1.6920000000000002</v>
      </c>
      <c r="N335" s="69">
        <f t="shared" si="82"/>
        <v>2.9159999999999995</v>
      </c>
      <c r="O335" s="56">
        <v>39.997069199999999</v>
      </c>
      <c r="P335" s="57">
        <f t="shared" si="83"/>
        <v>1439.8944911999999</v>
      </c>
      <c r="Q335" s="58">
        <f t="shared" si="84"/>
        <v>396.0105861386138</v>
      </c>
      <c r="R335" s="58">
        <f t="shared" si="85"/>
        <v>264.00705742574252</v>
      </c>
      <c r="S335" s="66">
        <f t="shared" si="92"/>
        <v>25.198153596000001</v>
      </c>
      <c r="T335" s="64">
        <f t="shared" si="86"/>
        <v>135</v>
      </c>
      <c r="U335" s="66">
        <f t="shared" si="87"/>
        <v>1600.0926447960001</v>
      </c>
      <c r="V335" s="68">
        <f t="shared" si="88"/>
        <v>44.447017911000003</v>
      </c>
      <c r="W335" s="68">
        <f t="shared" si="89"/>
        <v>440.06948426732674</v>
      </c>
      <c r="X335" s="68">
        <f t="shared" si="90"/>
        <v>293.37965617821783</v>
      </c>
      <c r="Z335" s="63"/>
      <c r="AA335" s="63"/>
    </row>
    <row r="336" spans="1:27" hidden="1" x14ac:dyDescent="0.25">
      <c r="A336" t="str">
        <f t="shared" si="91"/>
        <v>10620025C26/05/2026M</v>
      </c>
      <c r="B336" s="169" t="s">
        <v>826</v>
      </c>
      <c r="C336" s="61" t="s">
        <v>396</v>
      </c>
      <c r="D336" s="61" t="s">
        <v>591</v>
      </c>
      <c r="E336" s="61" t="s">
        <v>594</v>
      </c>
      <c r="F336" s="1" t="s">
        <v>350</v>
      </c>
      <c r="G336" s="62" t="str">
        <f t="shared" si="93"/>
        <v>60612</v>
      </c>
      <c r="H336" s="1">
        <v>10620025</v>
      </c>
      <c r="I336" s="1" t="s">
        <v>388</v>
      </c>
      <c r="J336" s="61">
        <v>30</v>
      </c>
      <c r="K336" s="61">
        <v>4.7</v>
      </c>
      <c r="L336" s="61">
        <v>8.1999999999999993</v>
      </c>
      <c r="M336" s="69">
        <f t="shared" si="81"/>
        <v>1.41</v>
      </c>
      <c r="N336" s="69">
        <f t="shared" si="82"/>
        <v>2.4599999999999995</v>
      </c>
      <c r="O336" s="56">
        <f>INDEX(Rate_Chart!$A$1:$AK$127,MATCH(Data!K336,Rate_Chart!$A$1:$A$127,0),MATCH(Data!L336,Rate_Chart!$A$1:$AK$1,0))</f>
        <v>42.3961398</v>
      </c>
      <c r="P336" s="57">
        <f t="shared" si="83"/>
        <v>1271.884194</v>
      </c>
      <c r="Q336" s="58">
        <f t="shared" si="84"/>
        <v>417.01121114754102</v>
      </c>
      <c r="R336" s="58">
        <f t="shared" si="85"/>
        <v>278.00747409836066</v>
      </c>
      <c r="S336" s="66">
        <f t="shared" si="92"/>
        <v>22.257973395</v>
      </c>
      <c r="T336" s="64">
        <f t="shared" si="86"/>
        <v>112.5</v>
      </c>
      <c r="U336" s="66">
        <f t="shared" si="87"/>
        <v>1406.6421673949999</v>
      </c>
      <c r="V336" s="68">
        <f t="shared" si="88"/>
        <v>46.888072246499995</v>
      </c>
      <c r="W336" s="68">
        <f t="shared" si="89"/>
        <v>461.19415324426228</v>
      </c>
      <c r="X336" s="68">
        <f t="shared" si="90"/>
        <v>307.46276882950821</v>
      </c>
      <c r="Z336" s="63"/>
      <c r="AA336" s="63"/>
    </row>
    <row r="337" spans="1:27" hidden="1" x14ac:dyDescent="0.25">
      <c r="A337" t="str">
        <f t="shared" si="91"/>
        <v>10620025C27/05/2026E</v>
      </c>
      <c r="B337" s="169" t="s">
        <v>826</v>
      </c>
      <c r="C337" s="61" t="s">
        <v>397</v>
      </c>
      <c r="D337" s="61" t="s">
        <v>591</v>
      </c>
      <c r="E337" s="61" t="s">
        <v>594</v>
      </c>
      <c r="F337" s="1" t="s">
        <v>350</v>
      </c>
      <c r="G337" s="62" t="str">
        <f t="shared" si="93"/>
        <v>60612</v>
      </c>
      <c r="H337" s="1">
        <v>10620025</v>
      </c>
      <c r="I337" s="1" t="s">
        <v>388</v>
      </c>
      <c r="J337" s="61">
        <v>34</v>
      </c>
      <c r="K337" s="61">
        <v>5</v>
      </c>
      <c r="L337" s="61">
        <v>8.5</v>
      </c>
      <c r="M337" s="69">
        <f t="shared" si="81"/>
        <v>1.7</v>
      </c>
      <c r="N337" s="69">
        <f t="shared" si="82"/>
        <v>2.89</v>
      </c>
      <c r="O337" s="56">
        <f>INDEX(Rate_Chart!$A$1:$AK$127,MATCH(Data!K337,Rate_Chart!$A$1:$A$127,0),MATCH(Data!L337,Rate_Chart!$A$1:$AK$1,0))</f>
        <v>44.481181500000005</v>
      </c>
      <c r="P337" s="57">
        <f t="shared" si="83"/>
        <v>1512.3601710000003</v>
      </c>
      <c r="Q337" s="58">
        <f t="shared" si="84"/>
        <v>417.01107656250002</v>
      </c>
      <c r="R337" s="58">
        <f t="shared" si="85"/>
        <v>278.00738437500002</v>
      </c>
      <c r="S337" s="66">
        <f t="shared" si="92"/>
        <v>26.466302992500008</v>
      </c>
      <c r="T337" s="64">
        <f t="shared" si="86"/>
        <v>127.5</v>
      </c>
      <c r="U337" s="66">
        <f t="shared" si="87"/>
        <v>1666.3264739925003</v>
      </c>
      <c r="V337" s="68">
        <f t="shared" si="88"/>
        <v>49.009602176250006</v>
      </c>
      <c r="W337" s="68">
        <f t="shared" si="89"/>
        <v>459.46502040234378</v>
      </c>
      <c r="X337" s="68">
        <f t="shared" si="90"/>
        <v>306.3100136015625</v>
      </c>
      <c r="Z337" s="63"/>
      <c r="AA337" s="63"/>
    </row>
    <row r="338" spans="1:27" hidden="1" x14ac:dyDescent="0.25">
      <c r="A338" t="str">
        <f t="shared" si="91"/>
        <v>10620025C27/05/2026M</v>
      </c>
      <c r="B338" s="169" t="s">
        <v>827</v>
      </c>
      <c r="C338" s="61" t="s">
        <v>396</v>
      </c>
      <c r="D338" s="61" t="s">
        <v>591</v>
      </c>
      <c r="E338" s="61" t="s">
        <v>594</v>
      </c>
      <c r="F338" s="1" t="s">
        <v>350</v>
      </c>
      <c r="G338" s="62" t="str">
        <f t="shared" si="93"/>
        <v>60612</v>
      </c>
      <c r="H338" s="1">
        <v>10620025</v>
      </c>
      <c r="I338" s="1" t="s">
        <v>388</v>
      </c>
      <c r="J338" s="61">
        <v>33</v>
      </c>
      <c r="K338" s="61">
        <v>5.0999999999999996</v>
      </c>
      <c r="L338" s="61">
        <v>8.5</v>
      </c>
      <c r="M338" s="69">
        <f t="shared" si="81"/>
        <v>1.6829999999999998</v>
      </c>
      <c r="N338" s="69">
        <f t="shared" si="82"/>
        <v>2.8050000000000002</v>
      </c>
      <c r="O338" s="56">
        <f>INDEX(Rate_Chart!$A$1:$AK$127,MATCH(Data!K338,Rate_Chart!$A$1:$A$127,0),MATCH(Data!L338,Rate_Chart!$A$1:$AK$1,0))</f>
        <v>44.898181500000007</v>
      </c>
      <c r="P338" s="57">
        <f t="shared" si="83"/>
        <v>1481.6399895000002</v>
      </c>
      <c r="Q338" s="58">
        <f t="shared" si="84"/>
        <v>417.01097368421063</v>
      </c>
      <c r="R338" s="58">
        <f t="shared" si="85"/>
        <v>278.00731578947375</v>
      </c>
      <c r="S338" s="66">
        <f t="shared" si="92"/>
        <v>25.928699816250006</v>
      </c>
      <c r="T338" s="64">
        <f t="shared" si="86"/>
        <v>123.75</v>
      </c>
      <c r="U338" s="66">
        <f t="shared" si="87"/>
        <v>1631.3186893162501</v>
      </c>
      <c r="V338" s="68">
        <f t="shared" si="88"/>
        <v>49.433899676250007</v>
      </c>
      <c r="W338" s="68">
        <f t="shared" si="89"/>
        <v>459.13838708591339</v>
      </c>
      <c r="X338" s="68">
        <f t="shared" si="90"/>
        <v>306.09225805727561</v>
      </c>
      <c r="Z338" s="63"/>
      <c r="AA338" s="63"/>
    </row>
    <row r="339" spans="1:27" hidden="1" x14ac:dyDescent="0.25">
      <c r="A339" t="str">
        <f t="shared" si="91"/>
        <v>10620025C28/05/2026E</v>
      </c>
      <c r="B339" s="169" t="s">
        <v>827</v>
      </c>
      <c r="C339" s="61" t="s">
        <v>397</v>
      </c>
      <c r="D339" s="61" t="s">
        <v>591</v>
      </c>
      <c r="E339" s="61" t="s">
        <v>594</v>
      </c>
      <c r="F339" s="1" t="s">
        <v>350</v>
      </c>
      <c r="G339" s="62" t="str">
        <f t="shared" si="93"/>
        <v>60612</v>
      </c>
      <c r="H339" s="1">
        <v>10620025</v>
      </c>
      <c r="I339" s="1" t="s">
        <v>388</v>
      </c>
      <c r="J339" s="61">
        <v>34</v>
      </c>
      <c r="K339" s="61">
        <v>5.0999999999999996</v>
      </c>
      <c r="L339" s="61">
        <v>8.5</v>
      </c>
      <c r="M339" s="69">
        <f t="shared" si="81"/>
        <v>1.7339999999999998</v>
      </c>
      <c r="N339" s="69">
        <f t="shared" si="82"/>
        <v>2.89</v>
      </c>
      <c r="O339" s="56">
        <f>INDEX(Rate_Chart!$A$1:$AK$127,MATCH(Data!K339,Rate_Chart!$A$1:$A$127,0),MATCH(Data!L339,Rate_Chart!$A$1:$AK$1,0))</f>
        <v>44.898181500000007</v>
      </c>
      <c r="P339" s="57">
        <f t="shared" si="83"/>
        <v>1526.5381710000001</v>
      </c>
      <c r="Q339" s="58">
        <f t="shared" si="84"/>
        <v>417.01097368421063</v>
      </c>
      <c r="R339" s="58">
        <f t="shared" si="85"/>
        <v>278.00731578947375</v>
      </c>
      <c r="S339" s="66">
        <f t="shared" si="92"/>
        <v>26.714417992500007</v>
      </c>
      <c r="T339" s="64">
        <f t="shared" si="86"/>
        <v>127.5</v>
      </c>
      <c r="U339" s="66">
        <f t="shared" si="87"/>
        <v>1680.7525889925003</v>
      </c>
      <c r="V339" s="68">
        <f t="shared" si="88"/>
        <v>49.433899676250007</v>
      </c>
      <c r="W339" s="68">
        <f t="shared" si="89"/>
        <v>459.13838708591339</v>
      </c>
      <c r="X339" s="68">
        <f t="shared" si="90"/>
        <v>306.09225805727561</v>
      </c>
      <c r="Z339" s="63"/>
      <c r="AA339" s="63"/>
    </row>
    <row r="340" spans="1:27" hidden="1" x14ac:dyDescent="0.25">
      <c r="A340" t="str">
        <f t="shared" si="91"/>
        <v>10620025C28/05/2026M</v>
      </c>
      <c r="B340" s="169" t="s">
        <v>828</v>
      </c>
      <c r="C340" s="61" t="s">
        <v>396</v>
      </c>
      <c r="D340" s="61" t="s">
        <v>591</v>
      </c>
      <c r="E340" s="61" t="s">
        <v>594</v>
      </c>
      <c r="F340" s="1" t="s">
        <v>350</v>
      </c>
      <c r="G340" s="62" t="str">
        <f t="shared" si="93"/>
        <v>60612</v>
      </c>
      <c r="H340" s="1">
        <v>10620025</v>
      </c>
      <c r="I340" s="1" t="s">
        <v>388</v>
      </c>
      <c r="J340" s="61">
        <v>28</v>
      </c>
      <c r="K340" s="61">
        <v>4.3</v>
      </c>
      <c r="L340" s="61">
        <v>8.3000000000000007</v>
      </c>
      <c r="M340" s="69">
        <f t="shared" si="81"/>
        <v>1.204</v>
      </c>
      <c r="N340" s="69">
        <f t="shared" si="82"/>
        <v>2.3240000000000003</v>
      </c>
      <c r="O340" s="56">
        <f>INDEX(Rate_Chart!$A$1:$AK$127,MATCH(Data!K340,Rate_Chart!$A$1:$A$127,0),MATCH(Data!L340,Rate_Chart!$A$1:$AK$1,0))</f>
        <v>41.006153699999999</v>
      </c>
      <c r="P340" s="57">
        <f t="shared" si="83"/>
        <v>1148.1723035999999</v>
      </c>
      <c r="Q340" s="58">
        <f t="shared" si="84"/>
        <v>417.0117325423729</v>
      </c>
      <c r="R340" s="58">
        <f t="shared" si="85"/>
        <v>278.00782169491526</v>
      </c>
      <c r="S340" s="66">
        <f t="shared" si="92"/>
        <v>20.093015312999999</v>
      </c>
      <c r="T340" s="64">
        <f t="shared" si="86"/>
        <v>105</v>
      </c>
      <c r="U340" s="66">
        <f t="shared" si="87"/>
        <v>1273.2653189129999</v>
      </c>
      <c r="V340" s="68">
        <f t="shared" si="88"/>
        <v>45.473761389749995</v>
      </c>
      <c r="W340" s="68">
        <f t="shared" si="89"/>
        <v>462.44503108220334</v>
      </c>
      <c r="X340" s="68">
        <f t="shared" si="90"/>
        <v>308.29668738813558</v>
      </c>
      <c r="Z340" s="63"/>
      <c r="AA340" s="63"/>
    </row>
    <row r="341" spans="1:27" hidden="1" x14ac:dyDescent="0.25">
      <c r="A341" t="str">
        <f t="shared" si="91"/>
        <v>10620025C22/05/2026E</v>
      </c>
      <c r="B341" s="169" t="s">
        <v>828</v>
      </c>
      <c r="C341" s="61" t="s">
        <v>397</v>
      </c>
      <c r="D341" s="61" t="s">
        <v>591</v>
      </c>
      <c r="E341" s="61" t="s">
        <v>594</v>
      </c>
      <c r="F341" s="1" t="s">
        <v>350</v>
      </c>
      <c r="G341" s="62" t="str">
        <f t="shared" si="93"/>
        <v>60612</v>
      </c>
      <c r="H341" s="1">
        <v>10620025</v>
      </c>
      <c r="I341" s="1" t="s">
        <v>388</v>
      </c>
      <c r="J341" s="61">
        <v>37</v>
      </c>
      <c r="K341" s="61">
        <v>4.5</v>
      </c>
      <c r="L341" s="61">
        <v>8.1999999999999993</v>
      </c>
      <c r="M341" s="69">
        <f t="shared" si="81"/>
        <v>1.665</v>
      </c>
      <c r="N341" s="69">
        <f t="shared" si="82"/>
        <v>3.0339999999999998</v>
      </c>
      <c r="O341" s="56">
        <f>INDEX(Rate_Chart!$A$1:$AK$127,MATCH(Data!K341,Rate_Chart!$A$1:$A$127,0),MATCH(Data!L341,Rate_Chart!$A$1:$AK$1,0))</f>
        <v>41.562139799999997</v>
      </c>
      <c r="P341" s="57">
        <f t="shared" si="83"/>
        <v>1537.7991725999998</v>
      </c>
      <c r="Q341" s="58">
        <f t="shared" si="84"/>
        <v>417.01143612040136</v>
      </c>
      <c r="R341" s="58">
        <f t="shared" si="85"/>
        <v>278.00762408026759</v>
      </c>
      <c r="S341" s="66">
        <f t="shared" si="92"/>
        <v>26.911485520499998</v>
      </c>
      <c r="T341" s="64">
        <f t="shared" si="86"/>
        <v>138.75</v>
      </c>
      <c r="U341" s="66">
        <f t="shared" si="87"/>
        <v>1703.4606581204998</v>
      </c>
      <c r="V341" s="68">
        <f t="shared" si="88"/>
        <v>46.039477246499999</v>
      </c>
      <c r="W341" s="68">
        <f t="shared" si="89"/>
        <v>461.93455431270905</v>
      </c>
      <c r="X341" s="68">
        <f t="shared" si="90"/>
        <v>307.95636954180605</v>
      </c>
      <c r="Z341" s="63"/>
      <c r="AA341" s="63"/>
    </row>
    <row r="342" spans="1:27" hidden="1" x14ac:dyDescent="0.25">
      <c r="A342" t="str">
        <f t="shared" si="91"/>
        <v>10620052B22/05/2026M</v>
      </c>
      <c r="B342" s="169" t="s">
        <v>822</v>
      </c>
      <c r="C342" s="61" t="s">
        <v>396</v>
      </c>
      <c r="D342" s="61" t="s">
        <v>591</v>
      </c>
      <c r="E342" s="61" t="s">
        <v>592</v>
      </c>
      <c r="F342" s="1" t="s">
        <v>351</v>
      </c>
      <c r="G342" s="62" t="str">
        <f t="shared" si="93"/>
        <v>60614</v>
      </c>
      <c r="H342" s="1">
        <v>10620052</v>
      </c>
      <c r="I342" s="1" t="s">
        <v>387</v>
      </c>
      <c r="J342" s="61">
        <v>47</v>
      </c>
      <c r="K342" s="61">
        <v>7</v>
      </c>
      <c r="L342" s="61">
        <v>9</v>
      </c>
      <c r="M342" s="69">
        <f t="shared" si="81"/>
        <v>3.29</v>
      </c>
      <c r="N342" s="69">
        <f t="shared" si="82"/>
        <v>4.2300000000000004</v>
      </c>
      <c r="O342" s="56">
        <v>58.45</v>
      </c>
      <c r="P342" s="57">
        <f t="shared" si="83"/>
        <v>2747.15</v>
      </c>
      <c r="Q342" s="58">
        <f t="shared" si="84"/>
        <v>449.61538461538464</v>
      </c>
      <c r="R342" s="58">
        <f t="shared" si="85"/>
        <v>299.74358974358978</v>
      </c>
      <c r="S342" s="66">
        <f t="shared" si="92"/>
        <v>48.075125000000007</v>
      </c>
      <c r="T342" s="64">
        <f t="shared" si="86"/>
        <v>176.25</v>
      </c>
      <c r="U342" s="66">
        <f t="shared" si="87"/>
        <v>2971.4751249999999</v>
      </c>
      <c r="V342" s="68">
        <f t="shared" si="88"/>
        <v>63.222875000000002</v>
      </c>
      <c r="W342" s="68">
        <f t="shared" si="89"/>
        <v>486.32980769230767</v>
      </c>
      <c r="X342" s="68">
        <f t="shared" si="90"/>
        <v>324.21987179487178</v>
      </c>
      <c r="Z342" s="63"/>
      <c r="AA342" s="63"/>
    </row>
    <row r="343" spans="1:27" hidden="1" x14ac:dyDescent="0.25">
      <c r="A343" t="str">
        <f t="shared" si="91"/>
        <v>10620052C22/05/2026M</v>
      </c>
      <c r="B343" s="169" t="s">
        <v>822</v>
      </c>
      <c r="C343" s="61" t="s">
        <v>396</v>
      </c>
      <c r="D343" s="61" t="s">
        <v>591</v>
      </c>
      <c r="E343" s="61" t="s">
        <v>592</v>
      </c>
      <c r="F343" s="1" t="s">
        <v>351</v>
      </c>
      <c r="G343" s="62" t="str">
        <f t="shared" si="93"/>
        <v>60614</v>
      </c>
      <c r="H343" s="1">
        <v>10620052</v>
      </c>
      <c r="I343" s="1" t="s">
        <v>388</v>
      </c>
      <c r="J343" s="61">
        <v>37</v>
      </c>
      <c r="K343" s="61">
        <v>3.3</v>
      </c>
      <c r="L343" s="61">
        <v>8</v>
      </c>
      <c r="M343" s="69">
        <f t="shared" si="81"/>
        <v>1.2209999999999999</v>
      </c>
      <c r="N343" s="69">
        <f t="shared" si="82"/>
        <v>2.96</v>
      </c>
      <c r="O343" s="56">
        <v>34.189056000000008</v>
      </c>
      <c r="P343" s="57">
        <f t="shared" si="83"/>
        <v>1264.9950720000004</v>
      </c>
      <c r="Q343" s="58">
        <f t="shared" si="84"/>
        <v>396.01223166023169</v>
      </c>
      <c r="R343" s="58">
        <f t="shared" si="85"/>
        <v>264.00815444015444</v>
      </c>
      <c r="S343" s="66">
        <f t="shared" si="92"/>
        <v>22.137413760000008</v>
      </c>
      <c r="T343" s="64">
        <f t="shared" si="86"/>
        <v>138.75</v>
      </c>
      <c r="U343" s="66">
        <f t="shared" si="87"/>
        <v>1425.8824857600005</v>
      </c>
      <c r="V343" s="68">
        <f t="shared" si="88"/>
        <v>38.537364480000015</v>
      </c>
      <c r="W343" s="68">
        <f t="shared" si="89"/>
        <v>446.37873915057924</v>
      </c>
      <c r="X343" s="68">
        <f t="shared" si="90"/>
        <v>297.58582610038616</v>
      </c>
      <c r="Z343" s="63"/>
      <c r="AA343" s="63"/>
    </row>
    <row r="344" spans="1:27" hidden="1" x14ac:dyDescent="0.25">
      <c r="A344" t="str">
        <f t="shared" si="91"/>
        <v>10620052B22/05/2026E</v>
      </c>
      <c r="B344" s="169" t="s">
        <v>822</v>
      </c>
      <c r="C344" s="61" t="s">
        <v>397</v>
      </c>
      <c r="D344" s="61" t="s">
        <v>591</v>
      </c>
      <c r="E344" s="61" t="s">
        <v>592</v>
      </c>
      <c r="F344" s="1" t="s">
        <v>351</v>
      </c>
      <c r="G344" s="62" t="str">
        <f t="shared" si="93"/>
        <v>60614</v>
      </c>
      <c r="H344" s="1">
        <v>10620052</v>
      </c>
      <c r="I344" s="1" t="s">
        <v>387</v>
      </c>
      <c r="J344" s="61">
        <v>35</v>
      </c>
      <c r="K344" s="61">
        <v>6.6</v>
      </c>
      <c r="L344" s="61">
        <v>9</v>
      </c>
      <c r="M344" s="69">
        <f t="shared" si="81"/>
        <v>2.31</v>
      </c>
      <c r="N344" s="69">
        <f t="shared" si="82"/>
        <v>3.15</v>
      </c>
      <c r="O344" s="56">
        <v>55.11</v>
      </c>
      <c r="P344" s="57">
        <f t="shared" si="83"/>
        <v>1928.85</v>
      </c>
      <c r="Q344" s="58">
        <f t="shared" si="84"/>
        <v>437.38095238095235</v>
      </c>
      <c r="R344" s="58">
        <f t="shared" si="85"/>
        <v>291.58730158730157</v>
      </c>
      <c r="S344" s="66">
        <f t="shared" si="92"/>
        <v>33.754874999999998</v>
      </c>
      <c r="T344" s="64">
        <f t="shared" si="86"/>
        <v>131.25</v>
      </c>
      <c r="U344" s="66">
        <f t="shared" si="87"/>
        <v>2093.854875</v>
      </c>
      <c r="V344" s="68">
        <f t="shared" si="88"/>
        <v>59.824424999999998</v>
      </c>
      <c r="W344" s="68">
        <f t="shared" si="89"/>
        <v>474.79702380952381</v>
      </c>
      <c r="X344" s="68">
        <f t="shared" si="90"/>
        <v>316.5313492063492</v>
      </c>
      <c r="Z344" s="63"/>
      <c r="AA344" s="63"/>
    </row>
    <row r="345" spans="1:27" hidden="1" x14ac:dyDescent="0.25">
      <c r="A345" t="str">
        <f t="shared" si="91"/>
        <v>10620052C23/05/2026E</v>
      </c>
      <c r="B345" s="169" t="s">
        <v>822</v>
      </c>
      <c r="C345" s="61" t="s">
        <v>397</v>
      </c>
      <c r="D345" s="61" t="s">
        <v>591</v>
      </c>
      <c r="E345" s="61" t="s">
        <v>592</v>
      </c>
      <c r="F345" s="1" t="s">
        <v>351</v>
      </c>
      <c r="G345" s="62" t="str">
        <f t="shared" si="93"/>
        <v>60614</v>
      </c>
      <c r="H345" s="1">
        <v>10620052</v>
      </c>
      <c r="I345" s="1" t="s">
        <v>388</v>
      </c>
      <c r="J345" s="61">
        <v>72</v>
      </c>
      <c r="K345" s="61">
        <v>3.5</v>
      </c>
      <c r="L345" s="61">
        <v>8</v>
      </c>
      <c r="M345" s="69">
        <f t="shared" si="81"/>
        <v>2.52</v>
      </c>
      <c r="N345" s="69">
        <f t="shared" si="82"/>
        <v>5.76</v>
      </c>
      <c r="O345" s="56">
        <v>34.981056000000002</v>
      </c>
      <c r="P345" s="57">
        <f t="shared" si="83"/>
        <v>2518.6360320000003</v>
      </c>
      <c r="Q345" s="58">
        <f t="shared" si="84"/>
        <v>396.01195471698111</v>
      </c>
      <c r="R345" s="58">
        <f t="shared" si="85"/>
        <v>264.00796981132072</v>
      </c>
      <c r="S345" s="66">
        <f t="shared" si="92"/>
        <v>44.07613056000001</v>
      </c>
      <c r="T345" s="64">
        <f t="shared" si="86"/>
        <v>270</v>
      </c>
      <c r="U345" s="66">
        <f t="shared" si="87"/>
        <v>2832.7121625600003</v>
      </c>
      <c r="V345" s="68">
        <f t="shared" si="88"/>
        <v>39.343224480000003</v>
      </c>
      <c r="W345" s="68">
        <f t="shared" si="89"/>
        <v>445.39499411320753</v>
      </c>
      <c r="X345" s="68">
        <f t="shared" si="90"/>
        <v>296.92999607547171</v>
      </c>
      <c r="Z345" s="63"/>
      <c r="AA345" s="63"/>
    </row>
    <row r="346" spans="1:27" hidden="1" x14ac:dyDescent="0.25">
      <c r="A346" t="str">
        <f t="shared" si="91"/>
        <v>10620052B23/05/2026E</v>
      </c>
      <c r="B346" s="169" t="s">
        <v>823</v>
      </c>
      <c r="C346" s="61" t="s">
        <v>397</v>
      </c>
      <c r="D346" s="61" t="s">
        <v>591</v>
      </c>
      <c r="E346" s="61" t="s">
        <v>592</v>
      </c>
      <c r="F346" s="1" t="s">
        <v>351</v>
      </c>
      <c r="G346" s="62" t="str">
        <f t="shared" si="93"/>
        <v>60614</v>
      </c>
      <c r="H346" s="1">
        <v>10620052</v>
      </c>
      <c r="I346" s="1" t="s">
        <v>387</v>
      </c>
      <c r="J346" s="61">
        <v>29</v>
      </c>
      <c r="K346" s="61">
        <v>6.7</v>
      </c>
      <c r="L346" s="61">
        <v>8.8000000000000007</v>
      </c>
      <c r="M346" s="69">
        <f t="shared" si="81"/>
        <v>1.9430000000000001</v>
      </c>
      <c r="N346" s="69">
        <f t="shared" si="82"/>
        <v>2.552</v>
      </c>
      <c r="O346" s="56">
        <v>55.385550000000002</v>
      </c>
      <c r="P346" s="57">
        <f t="shared" si="83"/>
        <v>1606.1809500000002</v>
      </c>
      <c r="Q346" s="58">
        <f t="shared" si="84"/>
        <v>440.73381962864721</v>
      </c>
      <c r="R346" s="58">
        <f t="shared" si="85"/>
        <v>293.82254641909816</v>
      </c>
      <c r="S346" s="66">
        <f t="shared" si="92"/>
        <v>28.108166625000006</v>
      </c>
      <c r="T346" s="64">
        <f t="shared" si="86"/>
        <v>108.75</v>
      </c>
      <c r="U346" s="66">
        <f t="shared" si="87"/>
        <v>1743.0391166250001</v>
      </c>
      <c r="V346" s="68">
        <f t="shared" si="88"/>
        <v>60.104797125000005</v>
      </c>
      <c r="W346" s="68">
        <f t="shared" si="89"/>
        <v>478.28751027851456</v>
      </c>
      <c r="X346" s="68">
        <f t="shared" si="90"/>
        <v>318.85834018567635</v>
      </c>
      <c r="Z346" s="63"/>
      <c r="AA346" s="63"/>
    </row>
    <row r="347" spans="1:27" hidden="1" x14ac:dyDescent="0.25">
      <c r="A347" t="str">
        <f t="shared" si="91"/>
        <v>10620052C24/05/2026E</v>
      </c>
      <c r="B347" s="169" t="s">
        <v>823</v>
      </c>
      <c r="C347" s="61" t="s">
        <v>397</v>
      </c>
      <c r="D347" s="61" t="s">
        <v>591</v>
      </c>
      <c r="E347" s="61" t="s">
        <v>592</v>
      </c>
      <c r="F347" s="1" t="s">
        <v>351</v>
      </c>
      <c r="G347" s="62" t="str">
        <f t="shared" si="93"/>
        <v>60614</v>
      </c>
      <c r="H347" s="1">
        <v>10620052</v>
      </c>
      <c r="I347" s="1" t="s">
        <v>388</v>
      </c>
      <c r="J347" s="61">
        <v>73</v>
      </c>
      <c r="K347" s="61">
        <v>3</v>
      </c>
      <c r="L347" s="61">
        <v>8</v>
      </c>
      <c r="M347" s="69">
        <f t="shared" si="81"/>
        <v>2.19</v>
      </c>
      <c r="N347" s="69">
        <f t="shared" si="82"/>
        <v>5.84</v>
      </c>
      <c r="O347" s="56">
        <v>33.001056000000005</v>
      </c>
      <c r="P347" s="57">
        <f t="shared" si="83"/>
        <v>2409.0770880000005</v>
      </c>
      <c r="Q347" s="58">
        <f t="shared" si="84"/>
        <v>396.01267200000001</v>
      </c>
      <c r="R347" s="58">
        <f t="shared" si="85"/>
        <v>264.00844799999999</v>
      </c>
      <c r="S347" s="66">
        <f t="shared" si="92"/>
        <v>42.158849040000014</v>
      </c>
      <c r="T347" s="64">
        <f t="shared" si="86"/>
        <v>273.75</v>
      </c>
      <c r="U347" s="66">
        <f t="shared" si="87"/>
        <v>2724.9859370400004</v>
      </c>
      <c r="V347" s="68">
        <f t="shared" si="88"/>
        <v>37.328574480000007</v>
      </c>
      <c r="W347" s="68">
        <f t="shared" si="89"/>
        <v>447.94289376000006</v>
      </c>
      <c r="X347" s="68">
        <f t="shared" si="90"/>
        <v>298.62859584000006</v>
      </c>
      <c r="Z347" s="63"/>
      <c r="AA347" s="63"/>
    </row>
    <row r="348" spans="1:27" hidden="1" x14ac:dyDescent="0.25">
      <c r="A348" t="str">
        <f t="shared" si="91"/>
        <v>10620052B24/05/2026M</v>
      </c>
      <c r="B348" s="169" t="s">
        <v>824</v>
      </c>
      <c r="C348" s="61" t="s">
        <v>396</v>
      </c>
      <c r="D348" s="61" t="s">
        <v>591</v>
      </c>
      <c r="E348" s="61" t="s">
        <v>592</v>
      </c>
      <c r="F348" s="1" t="s">
        <v>351</v>
      </c>
      <c r="G348" s="62" t="str">
        <f t="shared" si="93"/>
        <v>60614</v>
      </c>
      <c r="H348" s="1">
        <v>10620052</v>
      </c>
      <c r="I348" s="1" t="s">
        <v>387</v>
      </c>
      <c r="J348" s="61">
        <v>31</v>
      </c>
      <c r="K348" s="61">
        <v>6.3</v>
      </c>
      <c r="L348" s="61">
        <v>8.8000000000000007</v>
      </c>
      <c r="M348" s="69">
        <f t="shared" si="81"/>
        <v>1.9529999999999998</v>
      </c>
      <c r="N348" s="69">
        <f t="shared" si="82"/>
        <v>2.7280000000000002</v>
      </c>
      <c r="O348" s="56">
        <v>52.078949999999999</v>
      </c>
      <c r="P348" s="57">
        <f t="shared" si="83"/>
        <v>1614.4474499999999</v>
      </c>
      <c r="Q348" s="58">
        <f t="shared" si="84"/>
        <v>428.04616438356163</v>
      </c>
      <c r="R348" s="58">
        <f t="shared" si="85"/>
        <v>285.36410958904111</v>
      </c>
      <c r="S348" s="66">
        <f t="shared" si="92"/>
        <v>28.252830375000002</v>
      </c>
      <c r="T348" s="64">
        <f t="shared" si="86"/>
        <v>116.25</v>
      </c>
      <c r="U348" s="66">
        <f t="shared" si="87"/>
        <v>1758.9502803749999</v>
      </c>
      <c r="V348" s="68">
        <f t="shared" si="88"/>
        <v>56.740331624999996</v>
      </c>
      <c r="W348" s="68">
        <f t="shared" si="89"/>
        <v>466.35889006849311</v>
      </c>
      <c r="X348" s="68">
        <f t="shared" si="90"/>
        <v>310.90592671232872</v>
      </c>
      <c r="Z348" s="63"/>
      <c r="AA348" s="63"/>
    </row>
    <row r="349" spans="1:27" hidden="1" x14ac:dyDescent="0.25">
      <c r="A349" t="str">
        <f t="shared" si="91"/>
        <v>10620052C24/05/2026M</v>
      </c>
      <c r="B349" s="169" t="s">
        <v>824</v>
      </c>
      <c r="C349" s="61" t="s">
        <v>396</v>
      </c>
      <c r="D349" s="61" t="s">
        <v>591</v>
      </c>
      <c r="E349" s="61" t="s">
        <v>592</v>
      </c>
      <c r="F349" s="1" t="s">
        <v>351</v>
      </c>
      <c r="G349" s="62" t="str">
        <f t="shared" si="93"/>
        <v>60614</v>
      </c>
      <c r="H349" s="1">
        <v>10620052</v>
      </c>
      <c r="I349" s="1" t="s">
        <v>388</v>
      </c>
      <c r="J349" s="61">
        <v>40</v>
      </c>
      <c r="K349" s="61">
        <v>3</v>
      </c>
      <c r="L349" s="61">
        <v>8</v>
      </c>
      <c r="M349" s="69">
        <f t="shared" si="81"/>
        <v>1.2</v>
      </c>
      <c r="N349" s="69">
        <f t="shared" si="82"/>
        <v>3.2</v>
      </c>
      <c r="O349" s="56">
        <v>33.001056000000005</v>
      </c>
      <c r="P349" s="57">
        <f t="shared" si="83"/>
        <v>1320.0422400000002</v>
      </c>
      <c r="Q349" s="58">
        <f t="shared" si="84"/>
        <v>396.01267200000001</v>
      </c>
      <c r="R349" s="58">
        <f t="shared" si="85"/>
        <v>264.00844799999999</v>
      </c>
      <c r="S349" s="66">
        <f t="shared" si="92"/>
        <v>23.100739200000007</v>
      </c>
      <c r="T349" s="64">
        <f t="shared" si="86"/>
        <v>150</v>
      </c>
      <c r="U349" s="66">
        <f t="shared" si="87"/>
        <v>1493.1429792000004</v>
      </c>
      <c r="V349" s="68">
        <f t="shared" si="88"/>
        <v>37.328574480000007</v>
      </c>
      <c r="W349" s="68">
        <f t="shared" si="89"/>
        <v>447.94289376000006</v>
      </c>
      <c r="X349" s="68">
        <f t="shared" si="90"/>
        <v>298.62859584000006</v>
      </c>
      <c r="Z349" s="63"/>
      <c r="AA349" s="63"/>
    </row>
    <row r="350" spans="1:27" hidden="1" x14ac:dyDescent="0.25">
      <c r="A350" t="str">
        <f t="shared" si="91"/>
        <v>10620052B24/05/2026E</v>
      </c>
      <c r="B350" s="169" t="s">
        <v>824</v>
      </c>
      <c r="C350" s="61" t="s">
        <v>397</v>
      </c>
      <c r="D350" s="61" t="s">
        <v>591</v>
      </c>
      <c r="E350" s="61" t="s">
        <v>592</v>
      </c>
      <c r="F350" s="1" t="s">
        <v>351</v>
      </c>
      <c r="G350" s="62" t="str">
        <f t="shared" si="93"/>
        <v>60614</v>
      </c>
      <c r="H350" s="1">
        <v>10620052</v>
      </c>
      <c r="I350" s="1" t="s">
        <v>387</v>
      </c>
      <c r="J350" s="61">
        <v>34</v>
      </c>
      <c r="K350" s="61">
        <v>6.6</v>
      </c>
      <c r="L350" s="61">
        <v>8.8000000000000007</v>
      </c>
      <c r="M350" s="69">
        <f t="shared" si="81"/>
        <v>2.2439999999999998</v>
      </c>
      <c r="N350" s="69">
        <f t="shared" si="82"/>
        <v>2.9920000000000004</v>
      </c>
      <c r="O350" s="56">
        <v>54.558900000000001</v>
      </c>
      <c r="P350" s="57">
        <f t="shared" si="83"/>
        <v>1855.0026</v>
      </c>
      <c r="Q350" s="58">
        <f t="shared" si="84"/>
        <v>437.63823529411764</v>
      </c>
      <c r="R350" s="58">
        <f t="shared" si="85"/>
        <v>291.75882352941176</v>
      </c>
      <c r="S350" s="66">
        <f t="shared" si="92"/>
        <v>32.462545500000004</v>
      </c>
      <c r="T350" s="64">
        <f t="shared" si="86"/>
        <v>127.5</v>
      </c>
      <c r="U350" s="66">
        <f t="shared" si="87"/>
        <v>2014.9651455000001</v>
      </c>
      <c r="V350" s="68">
        <f t="shared" si="88"/>
        <v>59.263680749999999</v>
      </c>
      <c r="W350" s="68">
        <f t="shared" si="89"/>
        <v>475.37711831550797</v>
      </c>
      <c r="X350" s="68">
        <f t="shared" si="90"/>
        <v>316.91807887700531</v>
      </c>
      <c r="Z350" s="63"/>
      <c r="AA350" s="63"/>
    </row>
    <row r="351" spans="1:27" hidden="1" x14ac:dyDescent="0.25">
      <c r="A351" t="str">
        <f t="shared" si="91"/>
        <v>10620052C25/05/2026E</v>
      </c>
      <c r="B351" s="169" t="s">
        <v>824</v>
      </c>
      <c r="C351" s="61" t="s">
        <v>397</v>
      </c>
      <c r="D351" s="61" t="s">
        <v>591</v>
      </c>
      <c r="E351" s="61" t="s">
        <v>592</v>
      </c>
      <c r="F351" s="1" t="s">
        <v>351</v>
      </c>
      <c r="G351" s="62" t="str">
        <f t="shared" si="93"/>
        <v>60614</v>
      </c>
      <c r="H351" s="1">
        <v>10620052</v>
      </c>
      <c r="I351" s="1" t="s">
        <v>388</v>
      </c>
      <c r="J351" s="61">
        <v>75</v>
      </c>
      <c r="K351" s="61">
        <v>3</v>
      </c>
      <c r="L351" s="61">
        <v>8</v>
      </c>
      <c r="M351" s="69">
        <f t="shared" si="81"/>
        <v>2.25</v>
      </c>
      <c r="N351" s="69">
        <f t="shared" si="82"/>
        <v>6</v>
      </c>
      <c r="O351" s="56">
        <v>33.001056000000005</v>
      </c>
      <c r="P351" s="57">
        <f t="shared" si="83"/>
        <v>2475.0792000000006</v>
      </c>
      <c r="Q351" s="58">
        <f t="shared" si="84"/>
        <v>396.01267200000001</v>
      </c>
      <c r="R351" s="58">
        <f t="shared" si="85"/>
        <v>264.00844799999999</v>
      </c>
      <c r="S351" s="66">
        <f t="shared" si="92"/>
        <v>43.313886000000011</v>
      </c>
      <c r="T351" s="64">
        <f t="shared" si="86"/>
        <v>281.25</v>
      </c>
      <c r="U351" s="66">
        <f t="shared" si="87"/>
        <v>2799.6430860000005</v>
      </c>
      <c r="V351" s="68">
        <f t="shared" si="88"/>
        <v>37.328574480000007</v>
      </c>
      <c r="W351" s="68">
        <f t="shared" si="89"/>
        <v>447.94289376000006</v>
      </c>
      <c r="X351" s="68">
        <f t="shared" si="90"/>
        <v>298.62859584000006</v>
      </c>
      <c r="Z351" s="63"/>
      <c r="AA351" s="63"/>
    </row>
    <row r="352" spans="1:27" hidden="1" x14ac:dyDescent="0.25">
      <c r="A352" t="str">
        <f t="shared" si="91"/>
        <v>10620052B25/05/2026M</v>
      </c>
      <c r="B352" s="169" t="s">
        <v>825</v>
      </c>
      <c r="C352" s="61" t="s">
        <v>396</v>
      </c>
      <c r="D352" s="61" t="s">
        <v>591</v>
      </c>
      <c r="E352" s="61" t="s">
        <v>592</v>
      </c>
      <c r="F352" s="1" t="s">
        <v>351</v>
      </c>
      <c r="G352" s="62" t="str">
        <f t="shared" si="93"/>
        <v>60614</v>
      </c>
      <c r="H352" s="1">
        <v>10620052</v>
      </c>
      <c r="I352" s="1" t="s">
        <v>387</v>
      </c>
      <c r="J352" s="61">
        <v>51</v>
      </c>
      <c r="K352" s="61">
        <v>6.8</v>
      </c>
      <c r="L352" s="61">
        <v>8.8000000000000007</v>
      </c>
      <c r="M352" s="69">
        <f t="shared" si="81"/>
        <v>3.468</v>
      </c>
      <c r="N352" s="69">
        <f t="shared" si="82"/>
        <v>4.4880000000000004</v>
      </c>
      <c r="O352" s="56">
        <v>56.212200000000003</v>
      </c>
      <c r="P352" s="57">
        <f t="shared" si="83"/>
        <v>2866.8222000000001</v>
      </c>
      <c r="Q352" s="58">
        <f t="shared" si="84"/>
        <v>443.78052631578947</v>
      </c>
      <c r="R352" s="58">
        <f t="shared" si="85"/>
        <v>295.8536842105263</v>
      </c>
      <c r="S352" s="66">
        <f t="shared" si="92"/>
        <v>50.169388500000004</v>
      </c>
      <c r="T352" s="64">
        <f t="shared" si="86"/>
        <v>191.25</v>
      </c>
      <c r="U352" s="66">
        <f t="shared" si="87"/>
        <v>3108.2415885</v>
      </c>
      <c r="V352" s="68">
        <f t="shared" si="88"/>
        <v>60.945913500000003</v>
      </c>
      <c r="W352" s="68">
        <f t="shared" si="89"/>
        <v>481.15194868421054</v>
      </c>
      <c r="X352" s="68">
        <f t="shared" si="90"/>
        <v>320.76796578947369</v>
      </c>
      <c r="Z352" s="63"/>
      <c r="AA352" s="63"/>
    </row>
    <row r="353" spans="1:27" hidden="1" x14ac:dyDescent="0.25">
      <c r="A353" t="str">
        <f t="shared" si="91"/>
        <v>10620052C25/05/2026M</v>
      </c>
      <c r="B353" s="169" t="s">
        <v>825</v>
      </c>
      <c r="C353" s="61" t="s">
        <v>396</v>
      </c>
      <c r="D353" s="61" t="s">
        <v>591</v>
      </c>
      <c r="E353" s="61" t="s">
        <v>592</v>
      </c>
      <c r="F353" s="1" t="s">
        <v>351</v>
      </c>
      <c r="G353" s="62" t="str">
        <f t="shared" si="93"/>
        <v>60614</v>
      </c>
      <c r="H353" s="1">
        <v>10620052</v>
      </c>
      <c r="I353" s="1" t="s">
        <v>388</v>
      </c>
      <c r="J353" s="61">
        <v>82</v>
      </c>
      <c r="K353" s="61">
        <v>3</v>
      </c>
      <c r="L353" s="61">
        <v>8</v>
      </c>
      <c r="M353" s="69">
        <f t="shared" ref="M353:M413" si="94">K353*J353/100</f>
        <v>2.46</v>
      </c>
      <c r="N353" s="69">
        <f t="shared" ref="N353:N413" si="95">L353*J353/100</f>
        <v>6.56</v>
      </c>
      <c r="O353" s="56">
        <v>33.001056000000005</v>
      </c>
      <c r="P353" s="57">
        <f t="shared" ref="P353:P413" si="96">O353*J353</f>
        <v>2706.0865920000006</v>
      </c>
      <c r="Q353" s="58">
        <f t="shared" ref="Q353:Q413" si="97">O353/(K353%+L353%*2/3)</f>
        <v>396.01267200000001</v>
      </c>
      <c r="R353" s="58">
        <f t="shared" ref="R353:R413" si="98">Q353*2/3</f>
        <v>264.00844799999999</v>
      </c>
      <c r="S353" s="66">
        <f t="shared" si="92"/>
        <v>47.356515360000017</v>
      </c>
      <c r="T353" s="64">
        <f t="shared" ref="T353:T413" si="99">J353*3.75</f>
        <v>307.5</v>
      </c>
      <c r="U353" s="66">
        <f t="shared" ref="U353:U413" si="100">S353+T353+P353</f>
        <v>3060.9431073600008</v>
      </c>
      <c r="V353" s="68">
        <f t="shared" ref="V353:V413" si="101">U353/J353</f>
        <v>37.328574480000007</v>
      </c>
      <c r="W353" s="68">
        <f t="shared" ref="W353:W413" si="102">V353/(K353%+L353%*2/3)</f>
        <v>447.94289376000006</v>
      </c>
      <c r="X353" s="68">
        <f t="shared" ref="X353:X413" si="103">W353*2/3</f>
        <v>298.62859584000006</v>
      </c>
      <c r="Z353" s="63"/>
      <c r="AA353" s="63"/>
    </row>
    <row r="354" spans="1:27" hidden="1" x14ac:dyDescent="0.25">
      <c r="A354" t="str">
        <f t="shared" si="91"/>
        <v>10620052B25/05/2026E</v>
      </c>
      <c r="B354" s="169" t="s">
        <v>825</v>
      </c>
      <c r="C354" s="61" t="s">
        <v>397</v>
      </c>
      <c r="D354" s="61" t="s">
        <v>591</v>
      </c>
      <c r="E354" s="61" t="s">
        <v>592</v>
      </c>
      <c r="F354" s="1" t="s">
        <v>351</v>
      </c>
      <c r="G354" s="62" t="str">
        <f t="shared" si="93"/>
        <v>60614</v>
      </c>
      <c r="H354" s="1">
        <v>10620052</v>
      </c>
      <c r="I354" s="1" t="s">
        <v>387</v>
      </c>
      <c r="J354" s="61">
        <v>29</v>
      </c>
      <c r="K354" s="61">
        <v>6.4</v>
      </c>
      <c r="L354" s="61">
        <v>8.8000000000000007</v>
      </c>
      <c r="M354" s="69">
        <f t="shared" si="94"/>
        <v>1.8560000000000003</v>
      </c>
      <c r="N354" s="69">
        <f t="shared" si="95"/>
        <v>2.552</v>
      </c>
      <c r="O354" s="56">
        <v>52.9056</v>
      </c>
      <c r="P354" s="57">
        <f t="shared" si="96"/>
        <v>1534.2624000000001</v>
      </c>
      <c r="Q354" s="58">
        <f t="shared" si="97"/>
        <v>431.29565217391303</v>
      </c>
      <c r="R354" s="58">
        <f t="shared" si="98"/>
        <v>287.53043478260867</v>
      </c>
      <c r="S354" s="66">
        <f t="shared" si="92"/>
        <v>26.849592000000005</v>
      </c>
      <c r="T354" s="64">
        <f t="shared" si="99"/>
        <v>108.75</v>
      </c>
      <c r="U354" s="66">
        <f t="shared" si="100"/>
        <v>1669.8619920000001</v>
      </c>
      <c r="V354" s="68">
        <f t="shared" si="101"/>
        <v>57.581448000000002</v>
      </c>
      <c r="W354" s="68">
        <f t="shared" si="102"/>
        <v>469.41397826086956</v>
      </c>
      <c r="X354" s="68">
        <f t="shared" si="103"/>
        <v>312.94265217391302</v>
      </c>
      <c r="Z354" s="63"/>
      <c r="AA354" s="63"/>
    </row>
    <row r="355" spans="1:27" hidden="1" x14ac:dyDescent="0.25">
      <c r="A355" t="str">
        <f t="shared" si="91"/>
        <v>10620052C26/05/2026E</v>
      </c>
      <c r="B355" s="169" t="s">
        <v>825</v>
      </c>
      <c r="C355" s="61" t="s">
        <v>397</v>
      </c>
      <c r="D355" s="61" t="s">
        <v>591</v>
      </c>
      <c r="E355" s="61" t="s">
        <v>592</v>
      </c>
      <c r="F355" s="1" t="s">
        <v>351</v>
      </c>
      <c r="G355" s="62" t="str">
        <f t="shared" si="93"/>
        <v>60614</v>
      </c>
      <c r="H355" s="1">
        <v>10620052</v>
      </c>
      <c r="I355" s="1" t="s">
        <v>388</v>
      </c>
      <c r="J355" s="61">
        <v>77</v>
      </c>
      <c r="K355" s="61">
        <v>3.3</v>
      </c>
      <c r="L355" s="61">
        <v>8.1</v>
      </c>
      <c r="M355" s="69">
        <f t="shared" si="94"/>
        <v>2.5409999999999999</v>
      </c>
      <c r="N355" s="69">
        <f t="shared" si="95"/>
        <v>6.2369999999999992</v>
      </c>
      <c r="O355" s="56">
        <v>34.453069200000002</v>
      </c>
      <c r="P355" s="57">
        <f t="shared" si="96"/>
        <v>2652.8863283999999</v>
      </c>
      <c r="Q355" s="58">
        <f t="shared" si="97"/>
        <v>396.01228965517248</v>
      </c>
      <c r="R355" s="58">
        <f t="shared" si="98"/>
        <v>264.00819310344832</v>
      </c>
      <c r="S355" s="66">
        <f t="shared" si="92"/>
        <v>46.425510747000004</v>
      </c>
      <c r="T355" s="64">
        <f t="shared" si="99"/>
        <v>288.75</v>
      </c>
      <c r="U355" s="66">
        <f t="shared" si="100"/>
        <v>2988.0618391469998</v>
      </c>
      <c r="V355" s="68">
        <f t="shared" si="101"/>
        <v>38.805997910999999</v>
      </c>
      <c r="W355" s="68">
        <f t="shared" si="102"/>
        <v>446.045953</v>
      </c>
      <c r="X355" s="68">
        <f t="shared" si="103"/>
        <v>297.36396866666666</v>
      </c>
      <c r="Z355" s="63"/>
      <c r="AA355" s="63"/>
    </row>
    <row r="356" spans="1:27" hidden="1" x14ac:dyDescent="0.25">
      <c r="A356" t="str">
        <f t="shared" si="91"/>
        <v>10620052B26/05/2026M</v>
      </c>
      <c r="B356" s="169" t="s">
        <v>826</v>
      </c>
      <c r="C356" s="61" t="s">
        <v>396</v>
      </c>
      <c r="D356" s="61" t="s">
        <v>591</v>
      </c>
      <c r="E356" s="61" t="s">
        <v>592</v>
      </c>
      <c r="F356" s="1" t="s">
        <v>351</v>
      </c>
      <c r="G356" s="62" t="str">
        <f t="shared" si="93"/>
        <v>60614</v>
      </c>
      <c r="H356" s="1">
        <v>10620052</v>
      </c>
      <c r="I356" s="1" t="s">
        <v>387</v>
      </c>
      <c r="J356" s="61">
        <v>27</v>
      </c>
      <c r="K356" s="61">
        <v>6.8</v>
      </c>
      <c r="L356" s="61">
        <v>8.4</v>
      </c>
      <c r="M356" s="69">
        <f t="shared" si="94"/>
        <v>1.8359999999999999</v>
      </c>
      <c r="N356" s="69">
        <f t="shared" si="95"/>
        <v>2.2680000000000002</v>
      </c>
      <c r="O356" s="56">
        <f>INDEX(Rate_Chart!$A$1:$AK$127,MATCH(Data!K356,Rate_Chart!$A$1:$A$127,0),MATCH(Data!L356,Rate_Chart!$A$1:$AK$1,0))</f>
        <v>55.076599999999999</v>
      </c>
      <c r="P356" s="57">
        <f t="shared" si="96"/>
        <v>1487.0681999999999</v>
      </c>
      <c r="Q356" s="58">
        <f t="shared" si="97"/>
        <v>444.16612903225808</v>
      </c>
      <c r="R356" s="58">
        <f t="shared" si="98"/>
        <v>296.11075268817206</v>
      </c>
      <c r="S356" s="66">
        <f t="shared" si="92"/>
        <v>26.0236935</v>
      </c>
      <c r="T356" s="64">
        <f t="shared" si="99"/>
        <v>101.25</v>
      </c>
      <c r="U356" s="66">
        <f t="shared" si="100"/>
        <v>1614.3418935</v>
      </c>
      <c r="V356" s="68">
        <f t="shared" si="101"/>
        <v>59.790440499999995</v>
      </c>
      <c r="W356" s="68">
        <f t="shared" si="102"/>
        <v>482.18097177419349</v>
      </c>
      <c r="X356" s="68">
        <f t="shared" si="103"/>
        <v>321.45398118279564</v>
      </c>
      <c r="Z356" s="63"/>
      <c r="AA356" s="63"/>
    </row>
    <row r="357" spans="1:27" hidden="1" x14ac:dyDescent="0.25">
      <c r="A357" t="str">
        <f t="shared" si="91"/>
        <v>10620052C26/05/2026M</v>
      </c>
      <c r="B357" s="169" t="s">
        <v>826</v>
      </c>
      <c r="C357" s="61" t="s">
        <v>396</v>
      </c>
      <c r="D357" s="61" t="s">
        <v>591</v>
      </c>
      <c r="E357" s="61" t="s">
        <v>592</v>
      </c>
      <c r="F357" s="1" t="s">
        <v>351</v>
      </c>
      <c r="G357" s="62" t="str">
        <f t="shared" si="93"/>
        <v>60614</v>
      </c>
      <c r="H357" s="1">
        <v>10620052</v>
      </c>
      <c r="I357" s="1" t="s">
        <v>388</v>
      </c>
      <c r="J357" s="61">
        <v>25</v>
      </c>
      <c r="K357" s="61">
        <v>3</v>
      </c>
      <c r="L357" s="61">
        <v>8</v>
      </c>
      <c r="M357" s="69">
        <f t="shared" si="94"/>
        <v>0.75</v>
      </c>
      <c r="N357" s="69">
        <f t="shared" si="95"/>
        <v>2</v>
      </c>
      <c r="O357" s="56">
        <f>INDEX(Rate_Chart!$A$1:$AK$127,MATCH(Data!K357,Rate_Chart!$A$1:$A$127,0),MATCH(Data!L357,Rate_Chart!$A$1:$AK$1,0))</f>
        <v>34.751112000000006</v>
      </c>
      <c r="P357" s="57">
        <f t="shared" si="96"/>
        <v>868.77780000000018</v>
      </c>
      <c r="Q357" s="58">
        <f t="shared" si="97"/>
        <v>417.01334400000002</v>
      </c>
      <c r="R357" s="58">
        <f t="shared" si="98"/>
        <v>278.00889599999999</v>
      </c>
      <c r="S357" s="66">
        <f t="shared" si="92"/>
        <v>15.203611500000004</v>
      </c>
      <c r="T357" s="64">
        <f t="shared" si="99"/>
        <v>93.75</v>
      </c>
      <c r="U357" s="66">
        <f t="shared" si="100"/>
        <v>977.73141150000015</v>
      </c>
      <c r="V357" s="68">
        <f t="shared" si="101"/>
        <v>39.109256460000005</v>
      </c>
      <c r="W357" s="68">
        <f t="shared" si="102"/>
        <v>469.31107752000003</v>
      </c>
      <c r="X357" s="68">
        <f t="shared" si="103"/>
        <v>312.87405168000004</v>
      </c>
      <c r="Z357" s="63"/>
      <c r="AA357" s="63"/>
    </row>
    <row r="358" spans="1:27" hidden="1" x14ac:dyDescent="0.25">
      <c r="A358" t="str">
        <f t="shared" si="91"/>
        <v>10620052C27/05/2026E</v>
      </c>
      <c r="B358" s="169" t="s">
        <v>826</v>
      </c>
      <c r="C358" s="61" t="s">
        <v>397</v>
      </c>
      <c r="D358" s="61" t="s">
        <v>591</v>
      </c>
      <c r="E358" s="61" t="s">
        <v>592</v>
      </c>
      <c r="F358" s="1" t="s">
        <v>351</v>
      </c>
      <c r="G358" s="62" t="str">
        <f t="shared" si="93"/>
        <v>60614</v>
      </c>
      <c r="H358" s="1">
        <v>10620052</v>
      </c>
      <c r="I358" s="1" t="s">
        <v>388</v>
      </c>
      <c r="J358" s="61">
        <v>25</v>
      </c>
      <c r="K358" s="61">
        <v>3.6</v>
      </c>
      <c r="L358" s="61">
        <v>8.1</v>
      </c>
      <c r="M358" s="69">
        <f t="shared" si="94"/>
        <v>0.9</v>
      </c>
      <c r="N358" s="69">
        <f t="shared" si="95"/>
        <v>2.0249999999999999</v>
      </c>
      <c r="O358" s="56">
        <f>INDEX(Rate_Chart!$A$1:$AK$127,MATCH(Data!K358,Rate_Chart!$A$1:$A$127,0),MATCH(Data!L358,Rate_Chart!$A$1:$AK$1,0))</f>
        <v>37.531125900000006</v>
      </c>
      <c r="P358" s="57">
        <f t="shared" si="96"/>
        <v>938.27814750000016</v>
      </c>
      <c r="Q358" s="58">
        <f t="shared" si="97"/>
        <v>417.01251000000008</v>
      </c>
      <c r="R358" s="58">
        <f t="shared" si="98"/>
        <v>278.00834000000003</v>
      </c>
      <c r="S358" s="66">
        <f t="shared" si="92"/>
        <v>16.419867581250003</v>
      </c>
      <c r="T358" s="64">
        <f t="shared" si="99"/>
        <v>93.75</v>
      </c>
      <c r="U358" s="66">
        <f t="shared" si="100"/>
        <v>1048.4480150812501</v>
      </c>
      <c r="V358" s="68">
        <f t="shared" si="101"/>
        <v>41.937920603250006</v>
      </c>
      <c r="W358" s="68">
        <f t="shared" si="102"/>
        <v>465.97689559166673</v>
      </c>
      <c r="X358" s="68">
        <f t="shared" si="103"/>
        <v>310.6512637277778</v>
      </c>
      <c r="Z358" s="63"/>
      <c r="AA358" s="63"/>
    </row>
    <row r="359" spans="1:27" hidden="1" x14ac:dyDescent="0.25">
      <c r="A359" t="str">
        <f t="shared" si="91"/>
        <v>10620052B27/05/2026M</v>
      </c>
      <c r="B359" s="169" t="s">
        <v>827</v>
      </c>
      <c r="C359" s="61" t="s">
        <v>396</v>
      </c>
      <c r="D359" s="61" t="s">
        <v>591</v>
      </c>
      <c r="E359" s="61" t="s">
        <v>592</v>
      </c>
      <c r="F359" s="1" t="s">
        <v>351</v>
      </c>
      <c r="G359" s="62" t="str">
        <f t="shared" si="93"/>
        <v>60614</v>
      </c>
      <c r="H359" s="1">
        <v>10620052</v>
      </c>
      <c r="I359" s="1" t="s">
        <v>387</v>
      </c>
      <c r="J359" s="61">
        <v>41</v>
      </c>
      <c r="K359" s="61">
        <v>6.9</v>
      </c>
      <c r="L359" s="61">
        <v>9</v>
      </c>
      <c r="M359" s="69">
        <f t="shared" si="94"/>
        <v>2.8290000000000002</v>
      </c>
      <c r="N359" s="69">
        <f t="shared" si="95"/>
        <v>3.69</v>
      </c>
      <c r="O359" s="56">
        <f>INDEX(Rate_Chart!$A$1:$AK$127,MATCH(Data!K359,Rate_Chart!$A$1:$A$127,0),MATCH(Data!L359,Rate_Chart!$A$1:$AK$1,0))</f>
        <v>57.615000000000002</v>
      </c>
      <c r="P359" s="57">
        <f t="shared" si="96"/>
        <v>2362.2150000000001</v>
      </c>
      <c r="Q359" s="58">
        <f t="shared" si="97"/>
        <v>446.62790697674421</v>
      </c>
      <c r="R359" s="58">
        <f t="shared" si="98"/>
        <v>297.75193798449612</v>
      </c>
      <c r="S359" s="66">
        <f t="shared" si="92"/>
        <v>41.338762500000009</v>
      </c>
      <c r="T359" s="64">
        <f t="shared" si="99"/>
        <v>153.75</v>
      </c>
      <c r="U359" s="66">
        <f t="shared" si="100"/>
        <v>2557.3037625000002</v>
      </c>
      <c r="V359" s="68">
        <f t="shared" si="101"/>
        <v>62.373262500000003</v>
      </c>
      <c r="W359" s="68">
        <f t="shared" si="102"/>
        <v>483.51366279069771</v>
      </c>
      <c r="X359" s="68">
        <f t="shared" si="103"/>
        <v>322.34244186046516</v>
      </c>
      <c r="Z359" s="63"/>
      <c r="AA359" s="63"/>
    </row>
    <row r="360" spans="1:27" hidden="1" x14ac:dyDescent="0.25">
      <c r="A360" t="str">
        <f t="shared" si="91"/>
        <v>10620052C28/05/2026M</v>
      </c>
      <c r="B360" s="169" t="s">
        <v>827</v>
      </c>
      <c r="C360" s="61" t="s">
        <v>396</v>
      </c>
      <c r="D360" s="61" t="s">
        <v>591</v>
      </c>
      <c r="E360" s="61" t="s">
        <v>592</v>
      </c>
      <c r="F360" s="1" t="s">
        <v>351</v>
      </c>
      <c r="G360" s="62" t="str">
        <f t="shared" si="93"/>
        <v>60614</v>
      </c>
      <c r="H360" s="1">
        <v>10620052</v>
      </c>
      <c r="I360" s="1" t="s">
        <v>388</v>
      </c>
      <c r="J360" s="61">
        <v>89</v>
      </c>
      <c r="K360" s="61">
        <v>3.4</v>
      </c>
      <c r="L360" s="61">
        <v>8</v>
      </c>
      <c r="M360" s="69">
        <f t="shared" si="94"/>
        <v>3.0259999999999998</v>
      </c>
      <c r="N360" s="69">
        <f t="shared" si="95"/>
        <v>7.12</v>
      </c>
      <c r="O360" s="56">
        <f>INDEX(Rate_Chart!$A$1:$AK$127,MATCH(Data!K360,Rate_Chart!$A$1:$A$127,0),MATCH(Data!L360,Rate_Chart!$A$1:$AK$1,0))</f>
        <v>36.419112000000005</v>
      </c>
      <c r="P360" s="57">
        <f t="shared" si="96"/>
        <v>3241.3009680000005</v>
      </c>
      <c r="Q360" s="58">
        <f t="shared" si="97"/>
        <v>417.01273282442747</v>
      </c>
      <c r="R360" s="58">
        <f t="shared" si="98"/>
        <v>278.00848854961833</v>
      </c>
      <c r="S360" s="66">
        <f t="shared" si="92"/>
        <v>56.722766940000014</v>
      </c>
      <c r="T360" s="64">
        <f t="shared" si="99"/>
        <v>333.75</v>
      </c>
      <c r="U360" s="66">
        <f t="shared" si="100"/>
        <v>3631.7737349400004</v>
      </c>
      <c r="V360" s="68">
        <f t="shared" si="101"/>
        <v>40.806446460000004</v>
      </c>
      <c r="W360" s="68">
        <f t="shared" si="102"/>
        <v>467.24938694656487</v>
      </c>
      <c r="X360" s="68">
        <f t="shared" si="103"/>
        <v>311.49959129770991</v>
      </c>
      <c r="Z360" s="63"/>
      <c r="AA360" s="63"/>
    </row>
    <row r="361" spans="1:27" hidden="1" x14ac:dyDescent="0.25">
      <c r="A361" t="str">
        <f t="shared" si="91"/>
        <v>10620052C28/05/2026M</v>
      </c>
      <c r="B361" s="169" t="s">
        <v>828</v>
      </c>
      <c r="C361" s="61" t="s">
        <v>396</v>
      </c>
      <c r="D361" s="61" t="s">
        <v>591</v>
      </c>
      <c r="E361" s="61" t="s">
        <v>592</v>
      </c>
      <c r="F361" s="1" t="s">
        <v>351</v>
      </c>
      <c r="G361" s="62" t="str">
        <f t="shared" si="93"/>
        <v>60614</v>
      </c>
      <c r="H361" s="1">
        <v>10620052</v>
      </c>
      <c r="I361" s="1" t="s">
        <v>388</v>
      </c>
      <c r="J361" s="61">
        <v>9</v>
      </c>
      <c r="K361" s="61">
        <v>4.9000000000000004</v>
      </c>
      <c r="L361" s="61">
        <v>8.1999999999999993</v>
      </c>
      <c r="M361" s="69">
        <f t="shared" si="94"/>
        <v>0.441</v>
      </c>
      <c r="N361" s="69">
        <f t="shared" si="95"/>
        <v>0.73799999999999999</v>
      </c>
      <c r="O361" s="56">
        <f>INDEX(Rate_Chart!$A$1:$AK$127,MATCH(Data!K361,Rate_Chart!$A$1:$A$127,0),MATCH(Data!L361,Rate_Chart!$A$1:$AK$1,0))</f>
        <v>43.230139800000003</v>
      </c>
      <c r="P361" s="57">
        <f t="shared" si="96"/>
        <v>389.07125820000005</v>
      </c>
      <c r="Q361" s="58">
        <f t="shared" si="97"/>
        <v>417.01099485530551</v>
      </c>
      <c r="R361" s="58">
        <f t="shared" si="98"/>
        <v>278.00732990353703</v>
      </c>
      <c r="S361" s="66">
        <f t="shared" si="92"/>
        <v>6.8087470185000019</v>
      </c>
      <c r="T361" s="64">
        <f t="shared" si="99"/>
        <v>33.75</v>
      </c>
      <c r="U361" s="66">
        <f t="shared" si="100"/>
        <v>429.63000521850006</v>
      </c>
      <c r="V361" s="68">
        <f t="shared" si="101"/>
        <v>47.736667246500005</v>
      </c>
      <c r="W361" s="68">
        <f t="shared" si="102"/>
        <v>460.48232070578786</v>
      </c>
      <c r="X361" s="68">
        <f t="shared" si="103"/>
        <v>306.98821380385857</v>
      </c>
      <c r="Z361" s="63"/>
      <c r="AA361" s="63"/>
    </row>
    <row r="362" spans="1:27" hidden="1" x14ac:dyDescent="0.25">
      <c r="A362" t="str">
        <f t="shared" si="91"/>
        <v>10620052B28/05/2026E</v>
      </c>
      <c r="B362" s="169" t="s">
        <v>828</v>
      </c>
      <c r="C362" s="61" t="s">
        <v>397</v>
      </c>
      <c r="D362" s="61" t="s">
        <v>591</v>
      </c>
      <c r="E362" s="61" t="s">
        <v>592</v>
      </c>
      <c r="F362" s="1" t="s">
        <v>351</v>
      </c>
      <c r="G362" s="62" t="str">
        <f t="shared" si="93"/>
        <v>60614</v>
      </c>
      <c r="H362" s="1">
        <v>10620052</v>
      </c>
      <c r="I362" s="1" t="s">
        <v>387</v>
      </c>
      <c r="J362" s="61">
        <v>35</v>
      </c>
      <c r="K362" s="61">
        <v>6.8</v>
      </c>
      <c r="L362" s="61">
        <v>9</v>
      </c>
      <c r="M362" s="69">
        <f t="shared" si="94"/>
        <v>2.38</v>
      </c>
      <c r="N362" s="69">
        <f t="shared" si="95"/>
        <v>3.15</v>
      </c>
      <c r="O362" s="56">
        <f>INDEX(Rate_Chart!$A$1:$AK$127,MATCH(Data!K362,Rate_Chart!$A$1:$A$127,0),MATCH(Data!L362,Rate_Chart!$A$1:$AK$1,0))</f>
        <v>56.78</v>
      </c>
      <c r="P362" s="57">
        <f t="shared" si="96"/>
        <v>1987.3</v>
      </c>
      <c r="Q362" s="58">
        <f t="shared" si="97"/>
        <v>443.59375</v>
      </c>
      <c r="R362" s="58">
        <f t="shared" si="98"/>
        <v>295.72916666666669</v>
      </c>
      <c r="S362" s="66">
        <f t="shared" si="92"/>
        <v>34.777750000000005</v>
      </c>
      <c r="T362" s="64">
        <f t="shared" si="99"/>
        <v>131.25</v>
      </c>
      <c r="U362" s="66">
        <f t="shared" si="100"/>
        <v>2153.3277499999999</v>
      </c>
      <c r="V362" s="68">
        <f t="shared" si="101"/>
        <v>61.523649999999996</v>
      </c>
      <c r="W362" s="68">
        <f t="shared" si="102"/>
        <v>480.65351562499995</v>
      </c>
      <c r="X362" s="68">
        <f t="shared" si="103"/>
        <v>320.4356770833333</v>
      </c>
      <c r="Z362" s="63"/>
      <c r="AA362" s="63"/>
    </row>
    <row r="363" spans="1:27" hidden="1" x14ac:dyDescent="0.25">
      <c r="A363" t="str">
        <f t="shared" si="91"/>
        <v>10620052C22/05/2026E</v>
      </c>
      <c r="B363" s="169" t="s">
        <v>828</v>
      </c>
      <c r="C363" s="61" t="s">
        <v>397</v>
      </c>
      <c r="D363" s="61" t="s">
        <v>591</v>
      </c>
      <c r="E363" s="61" t="s">
        <v>592</v>
      </c>
      <c r="F363" s="1" t="s">
        <v>351</v>
      </c>
      <c r="G363" s="62" t="str">
        <f t="shared" si="93"/>
        <v>60614</v>
      </c>
      <c r="H363" s="1">
        <v>10620052</v>
      </c>
      <c r="I363" s="1" t="s">
        <v>388</v>
      </c>
      <c r="J363" s="61">
        <v>78</v>
      </c>
      <c r="K363" s="61">
        <v>3</v>
      </c>
      <c r="L363" s="61">
        <v>8</v>
      </c>
      <c r="M363" s="69">
        <f t="shared" si="94"/>
        <v>2.34</v>
      </c>
      <c r="N363" s="69">
        <f t="shared" si="95"/>
        <v>6.24</v>
      </c>
      <c r="O363" s="56">
        <f>INDEX(Rate_Chart!$A$1:$AK$127,MATCH(Data!K363,Rate_Chart!$A$1:$A$127,0),MATCH(Data!L363,Rate_Chart!$A$1:$AK$1,0))</f>
        <v>34.751112000000006</v>
      </c>
      <c r="P363" s="57">
        <f t="shared" si="96"/>
        <v>2710.5867360000007</v>
      </c>
      <c r="Q363" s="58">
        <f t="shared" si="97"/>
        <v>417.01334400000002</v>
      </c>
      <c r="R363" s="58">
        <f t="shared" si="98"/>
        <v>278.00889599999999</v>
      </c>
      <c r="S363" s="66">
        <f t="shared" si="92"/>
        <v>47.435267880000019</v>
      </c>
      <c r="T363" s="64">
        <f t="shared" si="99"/>
        <v>292.5</v>
      </c>
      <c r="U363" s="66">
        <f t="shared" si="100"/>
        <v>3050.5220038800007</v>
      </c>
      <c r="V363" s="68">
        <f t="shared" si="101"/>
        <v>39.109256460000012</v>
      </c>
      <c r="W363" s="68">
        <f t="shared" si="102"/>
        <v>469.31107752000008</v>
      </c>
      <c r="X363" s="68">
        <f t="shared" si="103"/>
        <v>312.87405168000004</v>
      </c>
      <c r="Z363" s="63"/>
      <c r="AA363" s="63"/>
    </row>
    <row r="364" spans="1:27" hidden="1" x14ac:dyDescent="0.25">
      <c r="A364" t="str">
        <f t="shared" si="91"/>
        <v>10620070B22/05/2026M</v>
      </c>
      <c r="B364" s="169" t="s">
        <v>822</v>
      </c>
      <c r="C364" s="61" t="s">
        <v>396</v>
      </c>
      <c r="D364" s="61" t="s">
        <v>591</v>
      </c>
      <c r="E364" s="61" t="s">
        <v>810</v>
      </c>
      <c r="F364" s="1" t="s">
        <v>352</v>
      </c>
      <c r="G364" s="62" t="str">
        <f t="shared" si="93"/>
        <v>60616</v>
      </c>
      <c r="H364" s="1">
        <v>10620070</v>
      </c>
      <c r="I364" s="1" t="s">
        <v>387</v>
      </c>
      <c r="J364" s="61">
        <v>27</v>
      </c>
      <c r="K364" s="61">
        <v>6.6</v>
      </c>
      <c r="L364" s="61">
        <v>8.8000000000000007</v>
      </c>
      <c r="M364" s="69">
        <f t="shared" si="94"/>
        <v>1.7819999999999998</v>
      </c>
      <c r="N364" s="69">
        <f t="shared" si="95"/>
        <v>2.3760000000000003</v>
      </c>
      <c r="O364" s="56">
        <v>54.558900000000001</v>
      </c>
      <c r="P364" s="57">
        <f t="shared" si="96"/>
        <v>1473.0903000000001</v>
      </c>
      <c r="Q364" s="58">
        <f t="shared" si="97"/>
        <v>437.63823529411764</v>
      </c>
      <c r="R364" s="58">
        <f t="shared" si="98"/>
        <v>291.75882352941176</v>
      </c>
      <c r="S364" s="66">
        <f t="shared" si="92"/>
        <v>25.779080250000003</v>
      </c>
      <c r="T364" s="64">
        <f t="shared" si="99"/>
        <v>101.25</v>
      </c>
      <c r="U364" s="66">
        <f t="shared" si="100"/>
        <v>1600.1193802500002</v>
      </c>
      <c r="V364" s="68">
        <f t="shared" si="101"/>
        <v>59.263680750000006</v>
      </c>
      <c r="W364" s="68">
        <f t="shared" si="102"/>
        <v>475.37711831550803</v>
      </c>
      <c r="X364" s="68">
        <f t="shared" si="103"/>
        <v>316.91807887700537</v>
      </c>
      <c r="Z364" s="63"/>
      <c r="AA364" s="63"/>
    </row>
    <row r="365" spans="1:27" hidden="1" x14ac:dyDescent="0.25">
      <c r="A365" t="str">
        <f t="shared" si="91"/>
        <v>10620070C22/05/2026M</v>
      </c>
      <c r="B365" s="169" t="s">
        <v>822</v>
      </c>
      <c r="C365" s="61" t="s">
        <v>396</v>
      </c>
      <c r="D365" s="61" t="s">
        <v>591</v>
      </c>
      <c r="E365" s="61" t="s">
        <v>810</v>
      </c>
      <c r="F365" s="1" t="s">
        <v>352</v>
      </c>
      <c r="G365" s="62" t="str">
        <f t="shared" si="93"/>
        <v>60616</v>
      </c>
      <c r="H365" s="1">
        <v>10620070</v>
      </c>
      <c r="I365" s="1" t="s">
        <v>388</v>
      </c>
      <c r="J365" s="61">
        <v>51</v>
      </c>
      <c r="K365" s="61">
        <v>3.6</v>
      </c>
      <c r="L365" s="61">
        <v>8.1</v>
      </c>
      <c r="M365" s="69">
        <f t="shared" si="94"/>
        <v>1.8359999999999999</v>
      </c>
      <c r="N365" s="69">
        <f t="shared" si="95"/>
        <v>4.1309999999999993</v>
      </c>
      <c r="O365" s="56">
        <v>35.641069200000004</v>
      </c>
      <c r="P365" s="57">
        <f t="shared" si="96"/>
        <v>1817.6945292000003</v>
      </c>
      <c r="Q365" s="58">
        <f t="shared" si="97"/>
        <v>396.01188000000008</v>
      </c>
      <c r="R365" s="58">
        <f t="shared" si="98"/>
        <v>264.00792000000007</v>
      </c>
      <c r="S365" s="66">
        <f t="shared" si="92"/>
        <v>31.809654261000009</v>
      </c>
      <c r="T365" s="64">
        <f t="shared" si="99"/>
        <v>191.25</v>
      </c>
      <c r="U365" s="66">
        <f t="shared" si="100"/>
        <v>2040.7541834610004</v>
      </c>
      <c r="V365" s="68">
        <f t="shared" si="101"/>
        <v>40.014787911000006</v>
      </c>
      <c r="W365" s="68">
        <f t="shared" si="102"/>
        <v>444.60875456666673</v>
      </c>
      <c r="X365" s="68">
        <f t="shared" si="103"/>
        <v>296.4058363777778</v>
      </c>
      <c r="Z365" s="63"/>
      <c r="AA365" s="63"/>
    </row>
    <row r="366" spans="1:27" hidden="1" x14ac:dyDescent="0.25">
      <c r="A366" t="str">
        <f t="shared" si="91"/>
        <v>10620070B22/05/2026E</v>
      </c>
      <c r="B366" s="169" t="s">
        <v>822</v>
      </c>
      <c r="C366" s="61" t="s">
        <v>397</v>
      </c>
      <c r="D366" s="61" t="s">
        <v>591</v>
      </c>
      <c r="E366" s="61" t="s">
        <v>810</v>
      </c>
      <c r="F366" s="1" t="s">
        <v>352</v>
      </c>
      <c r="G366" s="62" t="str">
        <f t="shared" si="93"/>
        <v>60616</v>
      </c>
      <c r="H366" s="1">
        <v>10620070</v>
      </c>
      <c r="I366" s="1" t="s">
        <v>387</v>
      </c>
      <c r="J366" s="61">
        <v>17</v>
      </c>
      <c r="K366" s="61">
        <v>6.6</v>
      </c>
      <c r="L366" s="61">
        <v>8.6</v>
      </c>
      <c r="M366" s="69">
        <f t="shared" si="94"/>
        <v>1.1219999999999999</v>
      </c>
      <c r="N366" s="69">
        <f t="shared" si="95"/>
        <v>1.462</v>
      </c>
      <c r="O366" s="56">
        <v>54.007799999999996</v>
      </c>
      <c r="P366" s="57">
        <f t="shared" si="96"/>
        <v>918.13259999999991</v>
      </c>
      <c r="Q366" s="58">
        <f t="shared" si="97"/>
        <v>437.90108108108109</v>
      </c>
      <c r="R366" s="58">
        <f t="shared" si="98"/>
        <v>291.93405405405406</v>
      </c>
      <c r="S366" s="66">
        <f t="shared" si="92"/>
        <v>16.067320500000001</v>
      </c>
      <c r="T366" s="64">
        <f t="shared" si="99"/>
        <v>63.75</v>
      </c>
      <c r="U366" s="66">
        <f t="shared" si="100"/>
        <v>997.94992049999996</v>
      </c>
      <c r="V366" s="68">
        <f t="shared" si="101"/>
        <v>58.7029365</v>
      </c>
      <c r="W366" s="68">
        <f t="shared" si="102"/>
        <v>475.96975540540546</v>
      </c>
      <c r="X366" s="68">
        <f t="shared" si="103"/>
        <v>317.31317027027029</v>
      </c>
      <c r="Z366" s="63"/>
      <c r="AA366" s="63"/>
    </row>
    <row r="367" spans="1:27" hidden="1" x14ac:dyDescent="0.25">
      <c r="A367" t="str">
        <f t="shared" si="91"/>
        <v>10620070C23/05/2026E</v>
      </c>
      <c r="B367" s="169" t="s">
        <v>822</v>
      </c>
      <c r="C367" s="61" t="s">
        <v>397</v>
      </c>
      <c r="D367" s="61" t="s">
        <v>591</v>
      </c>
      <c r="E367" s="61" t="s">
        <v>810</v>
      </c>
      <c r="F367" s="1" t="s">
        <v>352</v>
      </c>
      <c r="G367" s="62" t="str">
        <f t="shared" si="93"/>
        <v>60616</v>
      </c>
      <c r="H367" s="1">
        <v>10620070</v>
      </c>
      <c r="I367" s="1" t="s">
        <v>388</v>
      </c>
      <c r="J367" s="61">
        <v>51</v>
      </c>
      <c r="K367" s="61">
        <v>3.2</v>
      </c>
      <c r="L367" s="61">
        <v>8.1</v>
      </c>
      <c r="M367" s="69">
        <f t="shared" si="94"/>
        <v>1.6320000000000001</v>
      </c>
      <c r="N367" s="69">
        <f t="shared" si="95"/>
        <v>4.1309999999999993</v>
      </c>
      <c r="O367" s="56">
        <v>34.057069200000001</v>
      </c>
      <c r="P367" s="57">
        <f t="shared" si="96"/>
        <v>1736.9105291999999</v>
      </c>
      <c r="Q367" s="58">
        <f t="shared" si="97"/>
        <v>396.01243255813955</v>
      </c>
      <c r="R367" s="58">
        <f t="shared" si="98"/>
        <v>264.00828837209303</v>
      </c>
      <c r="S367" s="66">
        <f t="shared" si="92"/>
        <v>30.395934261000001</v>
      </c>
      <c r="T367" s="64">
        <f t="shared" si="99"/>
        <v>191.25</v>
      </c>
      <c r="U367" s="66">
        <f t="shared" si="100"/>
        <v>1958.556463461</v>
      </c>
      <c r="V367" s="68">
        <f t="shared" si="101"/>
        <v>38.403067911000001</v>
      </c>
      <c r="W367" s="68">
        <f t="shared" si="102"/>
        <v>446.5473012906977</v>
      </c>
      <c r="X367" s="68">
        <f t="shared" si="103"/>
        <v>297.69820086046514</v>
      </c>
      <c r="Z367" s="63"/>
      <c r="AA367" s="63"/>
    </row>
    <row r="368" spans="1:27" hidden="1" x14ac:dyDescent="0.25">
      <c r="A368" t="str">
        <f t="shared" si="91"/>
        <v>10620070B23/05/2026M</v>
      </c>
      <c r="B368" s="169" t="s">
        <v>823</v>
      </c>
      <c r="C368" s="61" t="s">
        <v>396</v>
      </c>
      <c r="D368" s="61" t="s">
        <v>591</v>
      </c>
      <c r="E368" s="61" t="s">
        <v>810</v>
      </c>
      <c r="F368" s="1" t="s">
        <v>352</v>
      </c>
      <c r="G368" s="62" t="str">
        <f t="shared" si="93"/>
        <v>60616</v>
      </c>
      <c r="H368" s="1">
        <v>10620070</v>
      </c>
      <c r="I368" s="1" t="s">
        <v>387</v>
      </c>
      <c r="J368" s="61">
        <v>19</v>
      </c>
      <c r="K368" s="61">
        <v>6.7</v>
      </c>
      <c r="L368" s="61">
        <v>8.4</v>
      </c>
      <c r="M368" s="69">
        <f t="shared" si="94"/>
        <v>1.2729999999999999</v>
      </c>
      <c r="N368" s="69">
        <f t="shared" si="95"/>
        <v>1.5959999999999999</v>
      </c>
      <c r="O368" s="56">
        <v>54.266649999999998</v>
      </c>
      <c r="P368" s="57">
        <f t="shared" si="96"/>
        <v>1031.0663500000001</v>
      </c>
      <c r="Q368" s="58">
        <f t="shared" si="97"/>
        <v>441.19227642276422</v>
      </c>
      <c r="R368" s="58">
        <f t="shared" si="98"/>
        <v>294.12818428184283</v>
      </c>
      <c r="S368" s="66">
        <f t="shared" si="92"/>
        <v>18.043661125000003</v>
      </c>
      <c r="T368" s="64">
        <f t="shared" si="99"/>
        <v>71.25</v>
      </c>
      <c r="U368" s="66">
        <f t="shared" si="100"/>
        <v>1120.360011125</v>
      </c>
      <c r="V368" s="68">
        <f t="shared" si="101"/>
        <v>58.966316374999998</v>
      </c>
      <c r="W368" s="68">
        <f t="shared" si="102"/>
        <v>479.4009461382114</v>
      </c>
      <c r="X368" s="68">
        <f t="shared" si="103"/>
        <v>319.6006307588076</v>
      </c>
      <c r="Z368" s="63"/>
      <c r="AA368" s="63"/>
    </row>
    <row r="369" spans="1:27" hidden="1" x14ac:dyDescent="0.25">
      <c r="A369" t="str">
        <f t="shared" si="91"/>
        <v>10620070C23/05/2026M</v>
      </c>
      <c r="B369" s="169" t="s">
        <v>823</v>
      </c>
      <c r="C369" s="61" t="s">
        <v>396</v>
      </c>
      <c r="D369" s="61" t="s">
        <v>591</v>
      </c>
      <c r="E369" s="61" t="s">
        <v>810</v>
      </c>
      <c r="F369" s="1" t="s">
        <v>352</v>
      </c>
      <c r="G369" s="62" t="str">
        <f t="shared" si="93"/>
        <v>60616</v>
      </c>
      <c r="H369" s="1">
        <v>10620070</v>
      </c>
      <c r="I369" s="1" t="s">
        <v>388</v>
      </c>
      <c r="J369" s="61">
        <v>60</v>
      </c>
      <c r="K369" s="61">
        <v>3.3</v>
      </c>
      <c r="L369" s="61">
        <v>8</v>
      </c>
      <c r="M369" s="69">
        <f t="shared" si="94"/>
        <v>1.98</v>
      </c>
      <c r="N369" s="69">
        <f t="shared" si="95"/>
        <v>4.8</v>
      </c>
      <c r="O369" s="56">
        <v>34.189056000000008</v>
      </c>
      <c r="P369" s="57">
        <f t="shared" si="96"/>
        <v>2051.3433600000003</v>
      </c>
      <c r="Q369" s="58">
        <f t="shared" si="97"/>
        <v>396.01223166023169</v>
      </c>
      <c r="R369" s="58">
        <f t="shared" si="98"/>
        <v>264.00815444015444</v>
      </c>
      <c r="S369" s="66">
        <f t="shared" si="92"/>
        <v>35.898508800000009</v>
      </c>
      <c r="T369" s="64">
        <f t="shared" si="99"/>
        <v>225</v>
      </c>
      <c r="U369" s="66">
        <f t="shared" si="100"/>
        <v>2312.2418688000002</v>
      </c>
      <c r="V369" s="68">
        <f t="shared" si="101"/>
        <v>38.537364480000001</v>
      </c>
      <c r="W369" s="68">
        <f t="shared" si="102"/>
        <v>446.37873915057912</v>
      </c>
      <c r="X369" s="68">
        <f t="shared" si="103"/>
        <v>297.5858261003861</v>
      </c>
      <c r="Z369" s="63"/>
      <c r="AA369" s="63"/>
    </row>
    <row r="370" spans="1:27" hidden="1" x14ac:dyDescent="0.25">
      <c r="A370" t="str">
        <f t="shared" si="91"/>
        <v>10620070B23/05/2026E</v>
      </c>
      <c r="B370" s="169" t="s">
        <v>823</v>
      </c>
      <c r="C370" s="61" t="s">
        <v>397</v>
      </c>
      <c r="D370" s="61" t="s">
        <v>591</v>
      </c>
      <c r="E370" s="61" t="s">
        <v>810</v>
      </c>
      <c r="F370" s="1" t="s">
        <v>352</v>
      </c>
      <c r="G370" s="62" t="str">
        <f t="shared" si="93"/>
        <v>60616</v>
      </c>
      <c r="H370" s="1">
        <v>10620070</v>
      </c>
      <c r="I370" s="1" t="s">
        <v>387</v>
      </c>
      <c r="J370" s="61">
        <v>17</v>
      </c>
      <c r="K370" s="61">
        <v>6.6</v>
      </c>
      <c r="L370" s="61">
        <v>8.6</v>
      </c>
      <c r="M370" s="69">
        <f t="shared" si="94"/>
        <v>1.1219999999999999</v>
      </c>
      <c r="N370" s="69">
        <f t="shared" si="95"/>
        <v>1.462</v>
      </c>
      <c r="O370" s="56">
        <v>54.007799999999996</v>
      </c>
      <c r="P370" s="57">
        <f t="shared" si="96"/>
        <v>918.13259999999991</v>
      </c>
      <c r="Q370" s="58">
        <f t="shared" si="97"/>
        <v>437.90108108108109</v>
      </c>
      <c r="R370" s="58">
        <f t="shared" si="98"/>
        <v>291.93405405405406</v>
      </c>
      <c r="S370" s="66">
        <f t="shared" si="92"/>
        <v>16.067320500000001</v>
      </c>
      <c r="T370" s="64">
        <f t="shared" si="99"/>
        <v>63.75</v>
      </c>
      <c r="U370" s="66">
        <f t="shared" si="100"/>
        <v>997.94992049999996</v>
      </c>
      <c r="V370" s="68">
        <f t="shared" si="101"/>
        <v>58.7029365</v>
      </c>
      <c r="W370" s="68">
        <f t="shared" si="102"/>
        <v>475.96975540540546</v>
      </c>
      <c r="X370" s="68">
        <f t="shared" si="103"/>
        <v>317.31317027027029</v>
      </c>
      <c r="Z370" s="63"/>
      <c r="AA370" s="63"/>
    </row>
    <row r="371" spans="1:27" hidden="1" x14ac:dyDescent="0.25">
      <c r="A371" t="str">
        <f t="shared" si="91"/>
        <v>10620070C24/05/2026E</v>
      </c>
      <c r="B371" s="169" t="s">
        <v>823</v>
      </c>
      <c r="C371" s="61" t="s">
        <v>397</v>
      </c>
      <c r="D371" s="61" t="s">
        <v>591</v>
      </c>
      <c r="E371" s="61" t="s">
        <v>810</v>
      </c>
      <c r="F371" s="1" t="s">
        <v>352</v>
      </c>
      <c r="G371" s="62" t="str">
        <f t="shared" si="93"/>
        <v>60616</v>
      </c>
      <c r="H371" s="1">
        <v>10620070</v>
      </c>
      <c r="I371" s="1" t="s">
        <v>388</v>
      </c>
      <c r="J371" s="61">
        <v>50</v>
      </c>
      <c r="K371" s="61">
        <v>3.2</v>
      </c>
      <c r="L371" s="61">
        <v>8.1</v>
      </c>
      <c r="M371" s="69">
        <f t="shared" si="94"/>
        <v>1.6</v>
      </c>
      <c r="N371" s="69">
        <f t="shared" si="95"/>
        <v>4.05</v>
      </c>
      <c r="O371" s="56">
        <v>34.057069200000001</v>
      </c>
      <c r="P371" s="57">
        <f t="shared" si="96"/>
        <v>1702.85346</v>
      </c>
      <c r="Q371" s="58">
        <f t="shared" si="97"/>
        <v>396.01243255813955</v>
      </c>
      <c r="R371" s="58">
        <f t="shared" si="98"/>
        <v>264.00828837209303</v>
      </c>
      <c r="S371" s="66">
        <f t="shared" si="92"/>
        <v>29.799935550000004</v>
      </c>
      <c r="T371" s="64">
        <f t="shared" si="99"/>
        <v>187.5</v>
      </c>
      <c r="U371" s="66">
        <f t="shared" si="100"/>
        <v>1920.1533955500001</v>
      </c>
      <c r="V371" s="68">
        <f t="shared" si="101"/>
        <v>38.403067911000001</v>
      </c>
      <c r="W371" s="68">
        <f t="shared" si="102"/>
        <v>446.5473012906977</v>
      </c>
      <c r="X371" s="68">
        <f t="shared" si="103"/>
        <v>297.69820086046514</v>
      </c>
      <c r="Z371" s="63"/>
      <c r="AA371" s="63"/>
    </row>
    <row r="372" spans="1:27" hidden="1" x14ac:dyDescent="0.25">
      <c r="A372" t="str">
        <f t="shared" si="91"/>
        <v>10620070B24/05/2026M</v>
      </c>
      <c r="B372" s="169" t="s">
        <v>824</v>
      </c>
      <c r="C372" s="61" t="s">
        <v>396</v>
      </c>
      <c r="D372" s="61" t="s">
        <v>591</v>
      </c>
      <c r="E372" s="61" t="s">
        <v>810</v>
      </c>
      <c r="F372" s="1" t="s">
        <v>352</v>
      </c>
      <c r="G372" s="62" t="str">
        <f t="shared" si="93"/>
        <v>60616</v>
      </c>
      <c r="H372" s="1">
        <v>10620070</v>
      </c>
      <c r="I372" s="1" t="s">
        <v>387</v>
      </c>
      <c r="J372" s="61">
        <v>19</v>
      </c>
      <c r="K372" s="61">
        <v>6.5</v>
      </c>
      <c r="L372" s="61">
        <v>8.8000000000000007</v>
      </c>
      <c r="M372" s="69">
        <f t="shared" si="94"/>
        <v>1.2350000000000001</v>
      </c>
      <c r="N372" s="69">
        <f t="shared" si="95"/>
        <v>1.6720000000000002</v>
      </c>
      <c r="O372" s="56">
        <v>53.732250000000001</v>
      </c>
      <c r="P372" s="57">
        <f t="shared" si="96"/>
        <v>1020.91275</v>
      </c>
      <c r="Q372" s="58">
        <f t="shared" si="97"/>
        <v>434.49258760107813</v>
      </c>
      <c r="R372" s="58">
        <f t="shared" si="98"/>
        <v>289.66172506738542</v>
      </c>
      <c r="S372" s="66">
        <f t="shared" si="92"/>
        <v>17.865973125</v>
      </c>
      <c r="T372" s="64">
        <f t="shared" si="99"/>
        <v>71.25</v>
      </c>
      <c r="U372" s="66">
        <f t="shared" si="100"/>
        <v>1110.0287231249999</v>
      </c>
      <c r="V372" s="68">
        <f t="shared" si="101"/>
        <v>58.422564375</v>
      </c>
      <c r="W372" s="68">
        <f t="shared" si="102"/>
        <v>472.41965801886789</v>
      </c>
      <c r="X372" s="68">
        <f t="shared" si="103"/>
        <v>314.94643867924526</v>
      </c>
      <c r="Z372" s="63"/>
      <c r="AA372" s="63"/>
    </row>
    <row r="373" spans="1:27" hidden="1" x14ac:dyDescent="0.25">
      <c r="A373" t="str">
        <f t="shared" si="91"/>
        <v>10620070C24/05/2026M</v>
      </c>
      <c r="B373" s="169" t="s">
        <v>824</v>
      </c>
      <c r="C373" s="61" t="s">
        <v>396</v>
      </c>
      <c r="D373" s="61" t="s">
        <v>591</v>
      </c>
      <c r="E373" s="61" t="s">
        <v>810</v>
      </c>
      <c r="F373" s="1" t="s">
        <v>352</v>
      </c>
      <c r="G373" s="62" t="str">
        <f t="shared" si="93"/>
        <v>60616</v>
      </c>
      <c r="H373" s="1">
        <v>10620070</v>
      </c>
      <c r="I373" s="1" t="s">
        <v>388</v>
      </c>
      <c r="J373" s="61">
        <v>57</v>
      </c>
      <c r="K373" s="61">
        <v>3.8</v>
      </c>
      <c r="L373" s="61">
        <v>8.1</v>
      </c>
      <c r="M373" s="69">
        <f t="shared" si="94"/>
        <v>2.1659999999999999</v>
      </c>
      <c r="N373" s="69">
        <f t="shared" si="95"/>
        <v>4.617</v>
      </c>
      <c r="O373" s="56">
        <v>36.433069200000006</v>
      </c>
      <c r="P373" s="57">
        <f t="shared" si="96"/>
        <v>2076.6849444000004</v>
      </c>
      <c r="Q373" s="58">
        <f t="shared" si="97"/>
        <v>396.01162173913048</v>
      </c>
      <c r="R373" s="58">
        <f t="shared" si="98"/>
        <v>264.00774782608698</v>
      </c>
      <c r="S373" s="66">
        <f t="shared" si="92"/>
        <v>36.34198652700001</v>
      </c>
      <c r="T373" s="64">
        <f t="shared" si="99"/>
        <v>213.75</v>
      </c>
      <c r="U373" s="66">
        <f t="shared" si="100"/>
        <v>2326.7769309270006</v>
      </c>
      <c r="V373" s="68">
        <f t="shared" si="101"/>
        <v>40.820647911000009</v>
      </c>
      <c r="W373" s="68">
        <f t="shared" si="102"/>
        <v>443.70269468478273</v>
      </c>
      <c r="X373" s="68">
        <f t="shared" si="103"/>
        <v>295.8017964565218</v>
      </c>
      <c r="Z373" s="63"/>
      <c r="AA373" s="63"/>
    </row>
    <row r="374" spans="1:27" hidden="1" x14ac:dyDescent="0.25">
      <c r="A374" t="str">
        <f t="shared" si="91"/>
        <v>10620070B24/05/2026E</v>
      </c>
      <c r="B374" s="169" t="s">
        <v>824</v>
      </c>
      <c r="C374" s="61" t="s">
        <v>397</v>
      </c>
      <c r="D374" s="61" t="s">
        <v>591</v>
      </c>
      <c r="E374" s="61" t="s">
        <v>810</v>
      </c>
      <c r="F374" s="1" t="s">
        <v>352</v>
      </c>
      <c r="G374" s="62" t="str">
        <f t="shared" si="93"/>
        <v>60616</v>
      </c>
      <c r="H374" s="1">
        <v>10620070</v>
      </c>
      <c r="I374" s="1" t="s">
        <v>387</v>
      </c>
      <c r="J374" s="61">
        <v>15</v>
      </c>
      <c r="K374" s="61">
        <v>7</v>
      </c>
      <c r="L374" s="61">
        <v>8.6</v>
      </c>
      <c r="M374" s="69">
        <f t="shared" si="94"/>
        <v>1.05</v>
      </c>
      <c r="N374" s="69">
        <f t="shared" si="95"/>
        <v>1.29</v>
      </c>
      <c r="O374" s="56">
        <v>57.280999999999999</v>
      </c>
      <c r="P374" s="57">
        <f t="shared" si="96"/>
        <v>859.21500000000003</v>
      </c>
      <c r="Q374" s="58">
        <f t="shared" si="97"/>
        <v>449.85078534031413</v>
      </c>
      <c r="R374" s="58">
        <f t="shared" si="98"/>
        <v>299.90052356020942</v>
      </c>
      <c r="S374" s="66">
        <f t="shared" si="92"/>
        <v>15.036262500000001</v>
      </c>
      <c r="T374" s="64">
        <f t="shared" si="99"/>
        <v>56.25</v>
      </c>
      <c r="U374" s="66">
        <f t="shared" si="100"/>
        <v>930.50126250000005</v>
      </c>
      <c r="V374" s="68">
        <f t="shared" si="101"/>
        <v>62.033417500000006</v>
      </c>
      <c r="W374" s="68">
        <f t="shared" si="102"/>
        <v>487.17343586387443</v>
      </c>
      <c r="X374" s="68">
        <f t="shared" si="103"/>
        <v>324.78229057591631</v>
      </c>
      <c r="Z374" s="63"/>
      <c r="AA374" s="63"/>
    </row>
    <row r="375" spans="1:27" hidden="1" x14ac:dyDescent="0.25">
      <c r="A375" t="str">
        <f t="shared" si="91"/>
        <v>10620070C25/05/2026E</v>
      </c>
      <c r="B375" s="169" t="s">
        <v>824</v>
      </c>
      <c r="C375" s="61" t="s">
        <v>397</v>
      </c>
      <c r="D375" s="61" t="s">
        <v>591</v>
      </c>
      <c r="E375" s="61" t="s">
        <v>810</v>
      </c>
      <c r="F375" s="1" t="s">
        <v>352</v>
      </c>
      <c r="G375" s="62" t="str">
        <f t="shared" si="93"/>
        <v>60616</v>
      </c>
      <c r="H375" s="1">
        <v>10620070</v>
      </c>
      <c r="I375" s="1" t="s">
        <v>388</v>
      </c>
      <c r="J375" s="61">
        <v>50</v>
      </c>
      <c r="K375" s="61">
        <v>3.4</v>
      </c>
      <c r="L375" s="61">
        <v>8.1</v>
      </c>
      <c r="M375" s="69">
        <f t="shared" si="94"/>
        <v>1.7</v>
      </c>
      <c r="N375" s="69">
        <f t="shared" si="95"/>
        <v>4.05</v>
      </c>
      <c r="O375" s="56">
        <v>34.849069200000002</v>
      </c>
      <c r="P375" s="57">
        <f t="shared" si="96"/>
        <v>1742.4534600000002</v>
      </c>
      <c r="Q375" s="58">
        <f t="shared" si="97"/>
        <v>396.01215000000008</v>
      </c>
      <c r="R375" s="58">
        <f t="shared" si="98"/>
        <v>264.00810000000007</v>
      </c>
      <c r="S375" s="66">
        <f t="shared" si="92"/>
        <v>30.492935550000006</v>
      </c>
      <c r="T375" s="64">
        <f t="shared" si="99"/>
        <v>187.5</v>
      </c>
      <c r="U375" s="66">
        <f t="shared" si="100"/>
        <v>1960.4463955500003</v>
      </c>
      <c r="V375" s="68">
        <f t="shared" si="101"/>
        <v>39.208927911000004</v>
      </c>
      <c r="W375" s="68">
        <f t="shared" si="102"/>
        <v>445.55599898863642</v>
      </c>
      <c r="X375" s="68">
        <f t="shared" si="103"/>
        <v>297.03733265909096</v>
      </c>
      <c r="Z375" s="63"/>
      <c r="AA375" s="63"/>
    </row>
    <row r="376" spans="1:27" hidden="1" x14ac:dyDescent="0.25">
      <c r="A376" t="str">
        <f t="shared" si="91"/>
        <v>10620070B25/05/2026M</v>
      </c>
      <c r="B376" s="169" t="s">
        <v>825</v>
      </c>
      <c r="C376" s="61" t="s">
        <v>396</v>
      </c>
      <c r="D376" s="61" t="s">
        <v>591</v>
      </c>
      <c r="E376" s="61" t="s">
        <v>810</v>
      </c>
      <c r="F376" s="1" t="s">
        <v>352</v>
      </c>
      <c r="G376" s="62" t="str">
        <f t="shared" si="93"/>
        <v>60616</v>
      </c>
      <c r="H376" s="1">
        <v>10620070</v>
      </c>
      <c r="I376" s="1" t="s">
        <v>387</v>
      </c>
      <c r="J376" s="61">
        <v>22</v>
      </c>
      <c r="K376" s="61">
        <v>7</v>
      </c>
      <c r="L376" s="61">
        <v>8.8000000000000007</v>
      </c>
      <c r="M376" s="69">
        <f t="shared" si="94"/>
        <v>1.54</v>
      </c>
      <c r="N376" s="69">
        <f t="shared" si="95"/>
        <v>1.9360000000000002</v>
      </c>
      <c r="O376" s="56">
        <v>57.865500000000004</v>
      </c>
      <c r="P376" s="57">
        <f t="shared" si="96"/>
        <v>1273.0410000000002</v>
      </c>
      <c r="Q376" s="58">
        <f t="shared" si="97"/>
        <v>449.73186528497411</v>
      </c>
      <c r="R376" s="58">
        <f t="shared" si="98"/>
        <v>299.82124352331607</v>
      </c>
      <c r="S376" s="66">
        <f t="shared" si="92"/>
        <v>22.278217500000004</v>
      </c>
      <c r="T376" s="64">
        <f t="shared" si="99"/>
        <v>82.5</v>
      </c>
      <c r="U376" s="66">
        <f t="shared" si="100"/>
        <v>1377.8192175000001</v>
      </c>
      <c r="V376" s="68">
        <f t="shared" si="101"/>
        <v>62.628146250000007</v>
      </c>
      <c r="W376" s="68">
        <f t="shared" si="102"/>
        <v>486.74725064766841</v>
      </c>
      <c r="X376" s="68">
        <f t="shared" si="103"/>
        <v>324.49816709844561</v>
      </c>
      <c r="Z376" s="63"/>
      <c r="AA376" s="63"/>
    </row>
    <row r="377" spans="1:27" hidden="1" x14ac:dyDescent="0.25">
      <c r="A377" t="str">
        <f t="shared" si="91"/>
        <v>10620070C25/05/2026M</v>
      </c>
      <c r="B377" s="169" t="s">
        <v>825</v>
      </c>
      <c r="C377" s="61" t="s">
        <v>396</v>
      </c>
      <c r="D377" s="61" t="s">
        <v>591</v>
      </c>
      <c r="E377" s="61" t="s">
        <v>810</v>
      </c>
      <c r="F377" s="1" t="s">
        <v>352</v>
      </c>
      <c r="G377" s="62" t="str">
        <f t="shared" si="93"/>
        <v>60616</v>
      </c>
      <c r="H377" s="1">
        <v>10620070</v>
      </c>
      <c r="I377" s="1" t="s">
        <v>388</v>
      </c>
      <c r="J377" s="61">
        <v>55</v>
      </c>
      <c r="K377" s="61">
        <v>3.9</v>
      </c>
      <c r="L377" s="61">
        <v>8.1</v>
      </c>
      <c r="M377" s="69">
        <f t="shared" si="94"/>
        <v>2.145</v>
      </c>
      <c r="N377" s="69">
        <f t="shared" si="95"/>
        <v>4.4550000000000001</v>
      </c>
      <c r="O377" s="56">
        <v>36.829069200000006</v>
      </c>
      <c r="P377" s="57">
        <f t="shared" si="96"/>
        <v>2025.5988060000004</v>
      </c>
      <c r="Q377" s="58">
        <f t="shared" si="97"/>
        <v>396.01149677419363</v>
      </c>
      <c r="R377" s="58">
        <f t="shared" si="98"/>
        <v>264.00766451612907</v>
      </c>
      <c r="S377" s="66">
        <f t="shared" si="92"/>
        <v>35.447979105000009</v>
      </c>
      <c r="T377" s="64">
        <f t="shared" si="99"/>
        <v>206.25</v>
      </c>
      <c r="U377" s="66">
        <f t="shared" si="100"/>
        <v>2267.2967851050003</v>
      </c>
      <c r="V377" s="68">
        <f t="shared" si="101"/>
        <v>41.223577911000007</v>
      </c>
      <c r="W377" s="68">
        <f t="shared" si="102"/>
        <v>443.2642786129033</v>
      </c>
      <c r="X377" s="68">
        <f t="shared" si="103"/>
        <v>295.50951907526888</v>
      </c>
      <c r="Z377" s="63"/>
      <c r="AA377" s="63"/>
    </row>
    <row r="378" spans="1:27" hidden="1" x14ac:dyDescent="0.25">
      <c r="A378" t="str">
        <f t="shared" si="91"/>
        <v>10620070B25/05/2026E</v>
      </c>
      <c r="B378" s="169" t="s">
        <v>825</v>
      </c>
      <c r="C378" s="61" t="s">
        <v>397</v>
      </c>
      <c r="D378" s="61" t="s">
        <v>591</v>
      </c>
      <c r="E378" s="61" t="s">
        <v>810</v>
      </c>
      <c r="F378" s="1" t="s">
        <v>352</v>
      </c>
      <c r="G378" s="62" t="str">
        <f t="shared" si="93"/>
        <v>60616</v>
      </c>
      <c r="H378" s="1">
        <v>10620070</v>
      </c>
      <c r="I378" s="1" t="s">
        <v>387</v>
      </c>
      <c r="J378" s="61">
        <v>19</v>
      </c>
      <c r="K378" s="61">
        <v>6.9</v>
      </c>
      <c r="L378" s="61">
        <v>8.8000000000000007</v>
      </c>
      <c r="M378" s="69">
        <f t="shared" si="94"/>
        <v>1.3109999999999999</v>
      </c>
      <c r="N378" s="69">
        <f t="shared" si="95"/>
        <v>1.6720000000000002</v>
      </c>
      <c r="O378" s="56">
        <v>57.038850000000004</v>
      </c>
      <c r="P378" s="57">
        <f t="shared" si="96"/>
        <v>1083.7381500000001</v>
      </c>
      <c r="Q378" s="58">
        <f t="shared" si="97"/>
        <v>446.77950391644907</v>
      </c>
      <c r="R378" s="58">
        <f t="shared" si="98"/>
        <v>297.85300261096603</v>
      </c>
      <c r="S378" s="66">
        <f t="shared" si="92"/>
        <v>18.965417625000004</v>
      </c>
      <c r="T378" s="64">
        <f t="shared" si="99"/>
        <v>71.25</v>
      </c>
      <c r="U378" s="66">
        <f t="shared" si="100"/>
        <v>1173.9535676250002</v>
      </c>
      <c r="V378" s="68">
        <f t="shared" si="101"/>
        <v>61.787029875000009</v>
      </c>
      <c r="W378" s="68">
        <f t="shared" si="102"/>
        <v>483.97151338120108</v>
      </c>
      <c r="X378" s="68">
        <f t="shared" si="103"/>
        <v>322.6476755874674</v>
      </c>
      <c r="Z378" s="63"/>
      <c r="AA378" s="63"/>
    </row>
    <row r="379" spans="1:27" hidden="1" x14ac:dyDescent="0.25">
      <c r="A379" t="str">
        <f t="shared" si="91"/>
        <v>10620070C26/05/2026E</v>
      </c>
      <c r="B379" s="169" t="s">
        <v>825</v>
      </c>
      <c r="C379" s="61" t="s">
        <v>397</v>
      </c>
      <c r="D379" s="61" t="s">
        <v>591</v>
      </c>
      <c r="E379" s="61" t="s">
        <v>810</v>
      </c>
      <c r="F379" s="1" t="s">
        <v>352</v>
      </c>
      <c r="G379" s="62" t="str">
        <f t="shared" si="93"/>
        <v>60616</v>
      </c>
      <c r="H379" s="1">
        <v>10620070</v>
      </c>
      <c r="I379" s="1" t="s">
        <v>388</v>
      </c>
      <c r="J379" s="61">
        <v>43</v>
      </c>
      <c r="K379" s="61">
        <v>3.4</v>
      </c>
      <c r="L379" s="61">
        <v>8.1</v>
      </c>
      <c r="M379" s="69">
        <f t="shared" si="94"/>
        <v>1.462</v>
      </c>
      <c r="N379" s="69">
        <f t="shared" si="95"/>
        <v>3.4830000000000001</v>
      </c>
      <c r="O379" s="56">
        <v>34.849069200000002</v>
      </c>
      <c r="P379" s="57">
        <f t="shared" si="96"/>
        <v>1498.5099756000002</v>
      </c>
      <c r="Q379" s="58">
        <f t="shared" si="97"/>
        <v>396.01215000000008</v>
      </c>
      <c r="R379" s="58">
        <f t="shared" si="98"/>
        <v>264.00810000000007</v>
      </c>
      <c r="S379" s="66">
        <f t="shared" si="92"/>
        <v>26.223924573000005</v>
      </c>
      <c r="T379" s="64">
        <f t="shared" si="99"/>
        <v>161.25</v>
      </c>
      <c r="U379" s="66">
        <f t="shared" si="100"/>
        <v>1685.9839001730002</v>
      </c>
      <c r="V379" s="68">
        <f t="shared" si="101"/>
        <v>39.208927911000004</v>
      </c>
      <c r="W379" s="68">
        <f t="shared" si="102"/>
        <v>445.55599898863642</v>
      </c>
      <c r="X379" s="68">
        <f t="shared" si="103"/>
        <v>297.03733265909096</v>
      </c>
      <c r="Z379" s="63"/>
      <c r="AA379" s="63"/>
    </row>
    <row r="380" spans="1:27" hidden="1" x14ac:dyDescent="0.25">
      <c r="A380" t="str">
        <f t="shared" si="91"/>
        <v>10620070B26/05/2026M</v>
      </c>
      <c r="B380" s="169" t="s">
        <v>826</v>
      </c>
      <c r="C380" s="61" t="s">
        <v>396</v>
      </c>
      <c r="D380" s="61" t="s">
        <v>591</v>
      </c>
      <c r="E380" s="61" t="s">
        <v>810</v>
      </c>
      <c r="F380" s="1" t="s">
        <v>352</v>
      </c>
      <c r="G380" s="62" t="str">
        <f t="shared" si="93"/>
        <v>60616</v>
      </c>
      <c r="H380" s="1">
        <v>10620070</v>
      </c>
      <c r="I380" s="1" t="s">
        <v>387</v>
      </c>
      <c r="J380" s="61">
        <v>28</v>
      </c>
      <c r="K380" s="61">
        <v>6.7</v>
      </c>
      <c r="L380" s="61">
        <v>8.8000000000000007</v>
      </c>
      <c r="M380" s="69">
        <f t="shared" si="94"/>
        <v>1.8759999999999999</v>
      </c>
      <c r="N380" s="69">
        <f t="shared" si="95"/>
        <v>2.4640000000000004</v>
      </c>
      <c r="O380" s="56">
        <f>INDEX(Rate_Chart!$A$1:$AK$127,MATCH(Data!K380,Rate_Chart!$A$1:$A$127,0),MATCH(Data!L380,Rate_Chart!$A$1:$AK$1,0))</f>
        <v>55.385550000000002</v>
      </c>
      <c r="P380" s="57">
        <f t="shared" si="96"/>
        <v>1550.7954</v>
      </c>
      <c r="Q380" s="58">
        <f t="shared" si="97"/>
        <v>440.73381962864721</v>
      </c>
      <c r="R380" s="58">
        <f t="shared" si="98"/>
        <v>293.82254641909816</v>
      </c>
      <c r="S380" s="66">
        <f t="shared" si="92"/>
        <v>27.138919500000004</v>
      </c>
      <c r="T380" s="64">
        <f t="shared" si="99"/>
        <v>105</v>
      </c>
      <c r="U380" s="66">
        <f t="shared" si="100"/>
        <v>1682.9343194999999</v>
      </c>
      <c r="V380" s="68">
        <f t="shared" si="101"/>
        <v>60.104797124999997</v>
      </c>
      <c r="W380" s="68">
        <f t="shared" si="102"/>
        <v>478.2875102785145</v>
      </c>
      <c r="X380" s="68">
        <f t="shared" si="103"/>
        <v>318.85834018567635</v>
      </c>
      <c r="Z380" s="63"/>
      <c r="AA380" s="63"/>
    </row>
    <row r="381" spans="1:27" hidden="1" x14ac:dyDescent="0.25">
      <c r="A381" t="str">
        <f t="shared" si="91"/>
        <v>10620070C26/05/2026M</v>
      </c>
      <c r="B381" s="169" t="s">
        <v>826</v>
      </c>
      <c r="C381" s="61" t="s">
        <v>396</v>
      </c>
      <c r="D381" s="61" t="s">
        <v>591</v>
      </c>
      <c r="E381" s="61" t="s">
        <v>810</v>
      </c>
      <c r="F381" s="1" t="s">
        <v>352</v>
      </c>
      <c r="G381" s="62" t="str">
        <f t="shared" si="93"/>
        <v>60616</v>
      </c>
      <c r="H381" s="1">
        <v>10620070</v>
      </c>
      <c r="I381" s="1" t="s">
        <v>388</v>
      </c>
      <c r="J381" s="61">
        <v>53</v>
      </c>
      <c r="K381" s="61">
        <v>3.8</v>
      </c>
      <c r="L381" s="61">
        <v>8.1</v>
      </c>
      <c r="M381" s="69">
        <f t="shared" si="94"/>
        <v>2.0139999999999998</v>
      </c>
      <c r="N381" s="69">
        <f t="shared" si="95"/>
        <v>4.2929999999999993</v>
      </c>
      <c r="O381" s="56">
        <f>INDEX(Rate_Chart!$A$1:$AK$127,MATCH(Data!K381,Rate_Chart!$A$1:$A$127,0),MATCH(Data!L381,Rate_Chart!$A$1:$AK$1,0))</f>
        <v>38.365125900000002</v>
      </c>
      <c r="P381" s="57">
        <f t="shared" si="96"/>
        <v>2033.3516727000001</v>
      </c>
      <c r="Q381" s="58">
        <f t="shared" si="97"/>
        <v>417.01223804347831</v>
      </c>
      <c r="R381" s="58">
        <f t="shared" si="98"/>
        <v>278.00815869565218</v>
      </c>
      <c r="S381" s="66">
        <f t="shared" si="92"/>
        <v>35.583654272250008</v>
      </c>
      <c r="T381" s="64">
        <f t="shared" si="99"/>
        <v>198.75</v>
      </c>
      <c r="U381" s="66">
        <f t="shared" si="100"/>
        <v>2267.6853269722501</v>
      </c>
      <c r="V381" s="68">
        <f t="shared" si="101"/>
        <v>42.786515603250002</v>
      </c>
      <c r="W381" s="68">
        <f t="shared" si="102"/>
        <v>465.07082177445653</v>
      </c>
      <c r="X381" s="68">
        <f t="shared" si="103"/>
        <v>310.04721451630434</v>
      </c>
      <c r="Z381" s="63"/>
      <c r="AA381" s="63"/>
    </row>
    <row r="382" spans="1:27" hidden="1" x14ac:dyDescent="0.25">
      <c r="A382" t="str">
        <f t="shared" si="91"/>
        <v>10620070B26/05/2026E</v>
      </c>
      <c r="B382" s="169" t="s">
        <v>826</v>
      </c>
      <c r="C382" s="61" t="s">
        <v>397</v>
      </c>
      <c r="D382" s="61" t="s">
        <v>591</v>
      </c>
      <c r="E382" s="61" t="s">
        <v>810</v>
      </c>
      <c r="F382" s="1" t="s">
        <v>352</v>
      </c>
      <c r="G382" s="62" t="str">
        <f t="shared" si="93"/>
        <v>60616</v>
      </c>
      <c r="H382" s="1">
        <v>10620070</v>
      </c>
      <c r="I382" s="1" t="s">
        <v>387</v>
      </c>
      <c r="J382" s="61">
        <v>13</v>
      </c>
      <c r="K382" s="61">
        <v>7</v>
      </c>
      <c r="L382" s="61">
        <v>9</v>
      </c>
      <c r="M382" s="69">
        <f t="shared" si="94"/>
        <v>0.91</v>
      </c>
      <c r="N382" s="69">
        <f t="shared" si="95"/>
        <v>1.17</v>
      </c>
      <c r="O382" s="56">
        <f>INDEX(Rate_Chart!$A$1:$AK$127,MATCH(Data!K382,Rate_Chart!$A$1:$A$127,0),MATCH(Data!L382,Rate_Chart!$A$1:$AK$1,0))</f>
        <v>58.45</v>
      </c>
      <c r="P382" s="57">
        <f t="shared" si="96"/>
        <v>759.85</v>
      </c>
      <c r="Q382" s="58">
        <f t="shared" si="97"/>
        <v>449.61538461538464</v>
      </c>
      <c r="R382" s="58">
        <f t="shared" si="98"/>
        <v>299.74358974358978</v>
      </c>
      <c r="S382" s="66">
        <f t="shared" si="92"/>
        <v>13.297375000000002</v>
      </c>
      <c r="T382" s="64">
        <f t="shared" si="99"/>
        <v>48.75</v>
      </c>
      <c r="U382" s="66">
        <f t="shared" si="100"/>
        <v>821.89737500000001</v>
      </c>
      <c r="V382" s="68">
        <f t="shared" si="101"/>
        <v>63.222875000000002</v>
      </c>
      <c r="W382" s="68">
        <f t="shared" si="102"/>
        <v>486.32980769230767</v>
      </c>
      <c r="X382" s="68">
        <f t="shared" si="103"/>
        <v>324.21987179487178</v>
      </c>
      <c r="Z382" s="63"/>
      <c r="AA382" s="63"/>
    </row>
    <row r="383" spans="1:27" hidden="1" x14ac:dyDescent="0.25">
      <c r="A383" t="str">
        <f t="shared" si="91"/>
        <v>10620070C27/05/2026E</v>
      </c>
      <c r="B383" s="169" t="s">
        <v>826</v>
      </c>
      <c r="C383" s="61" t="s">
        <v>397</v>
      </c>
      <c r="D383" s="61" t="s">
        <v>591</v>
      </c>
      <c r="E383" s="61" t="s">
        <v>810</v>
      </c>
      <c r="F383" s="1" t="s">
        <v>352</v>
      </c>
      <c r="G383" s="62" t="str">
        <f t="shared" si="93"/>
        <v>60616</v>
      </c>
      <c r="H383" s="1">
        <v>10620070</v>
      </c>
      <c r="I383" s="1" t="s">
        <v>388</v>
      </c>
      <c r="J383" s="61">
        <v>44</v>
      </c>
      <c r="K383" s="61">
        <v>3.3</v>
      </c>
      <c r="L383" s="61">
        <v>8.3000000000000007</v>
      </c>
      <c r="M383" s="69">
        <f t="shared" si="94"/>
        <v>1.452</v>
      </c>
      <c r="N383" s="69">
        <f t="shared" si="95"/>
        <v>3.6520000000000006</v>
      </c>
      <c r="O383" s="56">
        <f>INDEX(Rate_Chart!$A$1:$AK$127,MATCH(Data!K383,Rate_Chart!$A$1:$A$127,0),MATCH(Data!L383,Rate_Chart!$A$1:$AK$1,0))</f>
        <v>36.836153700000004</v>
      </c>
      <c r="P383" s="57">
        <f t="shared" si="96"/>
        <v>1620.7907628000003</v>
      </c>
      <c r="Q383" s="58">
        <f t="shared" si="97"/>
        <v>417.01306075471695</v>
      </c>
      <c r="R383" s="58">
        <f t="shared" si="98"/>
        <v>278.00870716981132</v>
      </c>
      <c r="S383" s="66">
        <f t="shared" si="92"/>
        <v>28.363838349000009</v>
      </c>
      <c r="T383" s="64">
        <f t="shared" si="99"/>
        <v>165</v>
      </c>
      <c r="U383" s="66">
        <f t="shared" si="100"/>
        <v>1814.1546011490002</v>
      </c>
      <c r="V383" s="68">
        <f t="shared" si="101"/>
        <v>41.230786389750001</v>
      </c>
      <c r="W383" s="68">
        <f t="shared" si="102"/>
        <v>466.76361950660373</v>
      </c>
      <c r="X383" s="68">
        <f t="shared" si="103"/>
        <v>311.1757463377358</v>
      </c>
      <c r="Z383" s="63"/>
      <c r="AA383" s="63"/>
    </row>
    <row r="384" spans="1:27" hidden="1" x14ac:dyDescent="0.25">
      <c r="A384" t="str">
        <f t="shared" si="91"/>
        <v>10620070B27/05/2026M</v>
      </c>
      <c r="B384" s="169" t="s">
        <v>827</v>
      </c>
      <c r="C384" s="61" t="s">
        <v>396</v>
      </c>
      <c r="D384" s="61" t="s">
        <v>591</v>
      </c>
      <c r="E384" s="61" t="s">
        <v>810</v>
      </c>
      <c r="F384" s="1" t="s">
        <v>352</v>
      </c>
      <c r="G384" s="62" t="str">
        <f t="shared" si="93"/>
        <v>60616</v>
      </c>
      <c r="H384" s="1">
        <v>10620070</v>
      </c>
      <c r="I384" s="1" t="s">
        <v>387</v>
      </c>
      <c r="J384" s="61">
        <v>15</v>
      </c>
      <c r="K384" s="61">
        <v>7.1</v>
      </c>
      <c r="L384" s="61">
        <v>9</v>
      </c>
      <c r="M384" s="69">
        <f t="shared" si="94"/>
        <v>1.0649999999999999</v>
      </c>
      <c r="N384" s="69">
        <f t="shared" si="95"/>
        <v>1.35</v>
      </c>
      <c r="O384" s="56">
        <f>INDEX(Rate_Chart!$A$1:$AK$127,MATCH(Data!K384,Rate_Chart!$A$1:$A$127,0),MATCH(Data!L384,Rate_Chart!$A$1:$AK$1,0))</f>
        <v>59.284999999999997</v>
      </c>
      <c r="P384" s="57">
        <f t="shared" si="96"/>
        <v>889.27499999999998</v>
      </c>
      <c r="Q384" s="58">
        <f t="shared" si="97"/>
        <v>452.55725190839689</v>
      </c>
      <c r="R384" s="58">
        <f t="shared" si="98"/>
        <v>301.70483460559791</v>
      </c>
      <c r="S384" s="66">
        <f t="shared" si="92"/>
        <v>15.562312500000001</v>
      </c>
      <c r="T384" s="64">
        <f t="shared" si="99"/>
        <v>56.25</v>
      </c>
      <c r="U384" s="66">
        <f t="shared" si="100"/>
        <v>961.08731249999994</v>
      </c>
      <c r="V384" s="68">
        <f t="shared" si="101"/>
        <v>64.072487499999994</v>
      </c>
      <c r="W384" s="68">
        <f t="shared" si="102"/>
        <v>489.10295801526712</v>
      </c>
      <c r="X384" s="68">
        <f t="shared" si="103"/>
        <v>326.06863867684473</v>
      </c>
      <c r="Z384" s="63"/>
      <c r="AA384" s="63"/>
    </row>
    <row r="385" spans="1:27" hidden="1" x14ac:dyDescent="0.25">
      <c r="A385" t="str">
        <f t="shared" si="91"/>
        <v>10620070C27/05/2026M</v>
      </c>
      <c r="B385" s="169" t="s">
        <v>827</v>
      </c>
      <c r="C385" s="61" t="s">
        <v>396</v>
      </c>
      <c r="D385" s="61" t="s">
        <v>591</v>
      </c>
      <c r="E385" s="61" t="s">
        <v>810</v>
      </c>
      <c r="F385" s="1" t="s">
        <v>352</v>
      </c>
      <c r="G385" s="62" t="str">
        <f t="shared" si="93"/>
        <v>60616</v>
      </c>
      <c r="H385" s="1">
        <v>10620070</v>
      </c>
      <c r="I385" s="1" t="s">
        <v>388</v>
      </c>
      <c r="J385" s="61">
        <v>53</v>
      </c>
      <c r="K385" s="61">
        <v>4.2</v>
      </c>
      <c r="L385" s="61">
        <v>8.5</v>
      </c>
      <c r="M385" s="69">
        <f t="shared" si="94"/>
        <v>2.2260000000000004</v>
      </c>
      <c r="N385" s="69">
        <f t="shared" si="95"/>
        <v>4.5049999999999999</v>
      </c>
      <c r="O385" s="56">
        <f>INDEX(Rate_Chart!$A$1:$AK$127,MATCH(Data!K385,Rate_Chart!$A$1:$A$127,0),MATCH(Data!L385,Rate_Chart!$A$1:$AK$1,0))</f>
        <v>41.145181500000007</v>
      </c>
      <c r="P385" s="57">
        <f t="shared" si="96"/>
        <v>2180.6946195000005</v>
      </c>
      <c r="Q385" s="58">
        <f t="shared" si="97"/>
        <v>417.01197466216217</v>
      </c>
      <c r="R385" s="58">
        <f t="shared" si="98"/>
        <v>278.00798310810814</v>
      </c>
      <c r="S385" s="66">
        <f t="shared" si="92"/>
        <v>38.162155841250012</v>
      </c>
      <c r="T385" s="64">
        <f t="shared" si="99"/>
        <v>198.75</v>
      </c>
      <c r="U385" s="66">
        <f t="shared" si="100"/>
        <v>2417.6067753412503</v>
      </c>
      <c r="V385" s="68">
        <f t="shared" si="101"/>
        <v>45.615222176250008</v>
      </c>
      <c r="W385" s="68">
        <f t="shared" si="102"/>
        <v>462.31644097550679</v>
      </c>
      <c r="X385" s="68">
        <f t="shared" si="103"/>
        <v>308.21096065033788</v>
      </c>
      <c r="Z385" s="63"/>
      <c r="AA385" s="63"/>
    </row>
    <row r="386" spans="1:27" hidden="1" x14ac:dyDescent="0.25">
      <c r="A386" t="str">
        <f t="shared" si="91"/>
        <v>10620070B27/05/2026E</v>
      </c>
      <c r="B386" s="169" t="s">
        <v>827</v>
      </c>
      <c r="C386" s="61" t="s">
        <v>397</v>
      </c>
      <c r="D386" s="61" t="s">
        <v>591</v>
      </c>
      <c r="E386" s="61" t="s">
        <v>810</v>
      </c>
      <c r="F386" s="1" t="s">
        <v>352</v>
      </c>
      <c r="G386" s="62" t="str">
        <f t="shared" si="93"/>
        <v>60616</v>
      </c>
      <c r="H386" s="1">
        <v>10620070</v>
      </c>
      <c r="I386" s="1" t="s">
        <v>387</v>
      </c>
      <c r="J386" s="61">
        <v>16</v>
      </c>
      <c r="K386" s="61">
        <v>6.9</v>
      </c>
      <c r="L386" s="61">
        <v>9</v>
      </c>
      <c r="M386" s="69">
        <f t="shared" si="94"/>
        <v>1.1040000000000001</v>
      </c>
      <c r="N386" s="69">
        <f t="shared" si="95"/>
        <v>1.44</v>
      </c>
      <c r="O386" s="56">
        <f>INDEX(Rate_Chart!$A$1:$AK$127,MATCH(Data!K386,Rate_Chart!$A$1:$A$127,0),MATCH(Data!L386,Rate_Chart!$A$1:$AK$1,0))</f>
        <v>57.615000000000002</v>
      </c>
      <c r="P386" s="57">
        <f t="shared" si="96"/>
        <v>921.84</v>
      </c>
      <c r="Q386" s="58">
        <f t="shared" si="97"/>
        <v>446.62790697674421</v>
      </c>
      <c r="R386" s="58">
        <f t="shared" si="98"/>
        <v>297.75193798449612</v>
      </c>
      <c r="S386" s="66">
        <f t="shared" si="92"/>
        <v>16.132200000000001</v>
      </c>
      <c r="T386" s="64">
        <f t="shared" si="99"/>
        <v>60</v>
      </c>
      <c r="U386" s="66">
        <f t="shared" si="100"/>
        <v>997.97220000000004</v>
      </c>
      <c r="V386" s="68">
        <f t="shared" si="101"/>
        <v>62.373262500000003</v>
      </c>
      <c r="W386" s="68">
        <f t="shared" si="102"/>
        <v>483.51366279069771</v>
      </c>
      <c r="X386" s="68">
        <f t="shared" si="103"/>
        <v>322.34244186046516</v>
      </c>
      <c r="Z386" s="63"/>
      <c r="AA386" s="63"/>
    </row>
    <row r="387" spans="1:27" hidden="1" x14ac:dyDescent="0.25">
      <c r="A387" t="str">
        <f t="shared" si="91"/>
        <v>10620070C28/05/2026E</v>
      </c>
      <c r="B387" s="169" t="s">
        <v>827</v>
      </c>
      <c r="C387" s="61" t="s">
        <v>397</v>
      </c>
      <c r="D387" s="61" t="s">
        <v>591</v>
      </c>
      <c r="E387" s="61" t="s">
        <v>810</v>
      </c>
      <c r="F387" s="1" t="s">
        <v>352</v>
      </c>
      <c r="G387" s="62" t="str">
        <f t="shared" si="93"/>
        <v>60616</v>
      </c>
      <c r="H387" s="1">
        <v>10620070</v>
      </c>
      <c r="I387" s="1" t="s">
        <v>388</v>
      </c>
      <c r="J387" s="61">
        <v>46</v>
      </c>
      <c r="K387" s="61">
        <v>3.3</v>
      </c>
      <c r="L387" s="61">
        <v>8.1</v>
      </c>
      <c r="M387" s="69">
        <f t="shared" si="94"/>
        <v>1.5179999999999998</v>
      </c>
      <c r="N387" s="69">
        <f t="shared" si="95"/>
        <v>3.7259999999999995</v>
      </c>
      <c r="O387" s="56">
        <f>INDEX(Rate_Chart!$A$1:$AK$127,MATCH(Data!K387,Rate_Chart!$A$1:$A$127,0),MATCH(Data!L387,Rate_Chart!$A$1:$AK$1,0))</f>
        <v>36.280125900000002</v>
      </c>
      <c r="P387" s="57">
        <f t="shared" si="96"/>
        <v>1668.8857914</v>
      </c>
      <c r="Q387" s="58">
        <f t="shared" si="97"/>
        <v>417.0129413793104</v>
      </c>
      <c r="R387" s="58">
        <f t="shared" si="98"/>
        <v>278.00862758620696</v>
      </c>
      <c r="S387" s="66">
        <f t="shared" si="92"/>
        <v>29.205501349500004</v>
      </c>
      <c r="T387" s="64">
        <f t="shared" si="99"/>
        <v>172.5</v>
      </c>
      <c r="U387" s="66">
        <f t="shared" si="100"/>
        <v>1870.5912927495001</v>
      </c>
      <c r="V387" s="68">
        <f t="shared" si="101"/>
        <v>40.665028103250002</v>
      </c>
      <c r="W387" s="68">
        <f t="shared" si="102"/>
        <v>467.4141161293104</v>
      </c>
      <c r="X387" s="68">
        <f t="shared" si="103"/>
        <v>311.6094107528736</v>
      </c>
      <c r="Z387" s="63"/>
      <c r="AA387" s="63"/>
    </row>
    <row r="388" spans="1:27" hidden="1" x14ac:dyDescent="0.25">
      <c r="A388" t="str">
        <f t="shared" si="91"/>
        <v>10620070B28/05/2026M</v>
      </c>
      <c r="B388" s="169" t="s">
        <v>828</v>
      </c>
      <c r="C388" s="61" t="s">
        <v>396</v>
      </c>
      <c r="D388" s="61" t="s">
        <v>591</v>
      </c>
      <c r="E388" s="61" t="s">
        <v>810</v>
      </c>
      <c r="F388" s="1" t="s">
        <v>352</v>
      </c>
      <c r="G388" s="62" t="str">
        <f t="shared" si="93"/>
        <v>60616</v>
      </c>
      <c r="H388" s="1">
        <v>10620070</v>
      </c>
      <c r="I388" s="1" t="s">
        <v>387</v>
      </c>
      <c r="J388" s="61">
        <v>16</v>
      </c>
      <c r="K388" s="61">
        <v>7.2</v>
      </c>
      <c r="L388" s="61">
        <v>8.8000000000000007</v>
      </c>
      <c r="M388" s="69">
        <f t="shared" si="94"/>
        <v>1.1520000000000001</v>
      </c>
      <c r="N388" s="69">
        <f t="shared" si="95"/>
        <v>1.4080000000000001</v>
      </c>
      <c r="O388" s="56">
        <f>INDEX(Rate_Chart!$A$1:$AK$127,MATCH(Data!K388,Rate_Chart!$A$1:$A$127,0),MATCH(Data!L388,Rate_Chart!$A$1:$AK$1,0))</f>
        <v>59.518800000000006</v>
      </c>
      <c r="P388" s="57">
        <f t="shared" si="96"/>
        <v>952.30080000000009</v>
      </c>
      <c r="Q388" s="58">
        <f t="shared" si="97"/>
        <v>455.50102040816324</v>
      </c>
      <c r="R388" s="58">
        <f t="shared" si="98"/>
        <v>303.66734693877549</v>
      </c>
      <c r="S388" s="66">
        <f t="shared" si="92"/>
        <v>16.665264000000004</v>
      </c>
      <c r="T388" s="64">
        <f t="shared" si="99"/>
        <v>60</v>
      </c>
      <c r="U388" s="66">
        <f t="shared" si="100"/>
        <v>1028.9660640000002</v>
      </c>
      <c r="V388" s="68">
        <f t="shared" si="101"/>
        <v>64.310379000000012</v>
      </c>
      <c r="W388" s="68">
        <f t="shared" si="102"/>
        <v>492.17126785714288</v>
      </c>
      <c r="X388" s="68">
        <f t="shared" si="103"/>
        <v>328.11417857142857</v>
      </c>
      <c r="Z388" s="63"/>
      <c r="AA388" s="63"/>
    </row>
    <row r="389" spans="1:27" hidden="1" x14ac:dyDescent="0.25">
      <c r="A389" t="str">
        <f t="shared" ref="A389:A452" si="104">CONCATENATE(H389,I389,B390,C389)</f>
        <v>10620070C28/05/2026M</v>
      </c>
      <c r="B389" s="169" t="s">
        <v>828</v>
      </c>
      <c r="C389" s="61" t="s">
        <v>396</v>
      </c>
      <c r="D389" s="61" t="s">
        <v>591</v>
      </c>
      <c r="E389" s="61" t="s">
        <v>810</v>
      </c>
      <c r="F389" s="1" t="s">
        <v>352</v>
      </c>
      <c r="G389" s="62" t="str">
        <f t="shared" si="93"/>
        <v>60616</v>
      </c>
      <c r="H389" s="1">
        <v>10620070</v>
      </c>
      <c r="I389" s="1" t="s">
        <v>388</v>
      </c>
      <c r="J389" s="61">
        <v>62</v>
      </c>
      <c r="K389" s="61">
        <v>3</v>
      </c>
      <c r="L389" s="61">
        <v>8</v>
      </c>
      <c r="M389" s="69">
        <f t="shared" si="94"/>
        <v>1.86</v>
      </c>
      <c r="N389" s="69">
        <f t="shared" si="95"/>
        <v>4.96</v>
      </c>
      <c r="O389" s="56">
        <f>INDEX(Rate_Chart!$A$1:$AK$127,MATCH(Data!K389,Rate_Chart!$A$1:$A$127,0),MATCH(Data!L389,Rate_Chart!$A$1:$AK$1,0))</f>
        <v>34.751112000000006</v>
      </c>
      <c r="P389" s="57">
        <f t="shared" si="96"/>
        <v>2154.5689440000006</v>
      </c>
      <c r="Q389" s="58">
        <f t="shared" si="97"/>
        <v>417.01334400000002</v>
      </c>
      <c r="R389" s="58">
        <f t="shared" si="98"/>
        <v>278.00889599999999</v>
      </c>
      <c r="S389" s="66">
        <f t="shared" ref="S389:S413" si="105">P389*1.75%</f>
        <v>37.70495652000001</v>
      </c>
      <c r="T389" s="64">
        <f t="shared" si="99"/>
        <v>232.5</v>
      </c>
      <c r="U389" s="66">
        <f t="shared" si="100"/>
        <v>2424.7739005200006</v>
      </c>
      <c r="V389" s="68">
        <f t="shared" si="101"/>
        <v>39.109256460000012</v>
      </c>
      <c r="W389" s="68">
        <f t="shared" si="102"/>
        <v>469.31107752000008</v>
      </c>
      <c r="X389" s="68">
        <f t="shared" si="103"/>
        <v>312.87405168000004</v>
      </c>
      <c r="Z389" s="63"/>
      <c r="AA389" s="63"/>
    </row>
    <row r="390" spans="1:27" hidden="1" x14ac:dyDescent="0.25">
      <c r="A390" t="str">
        <f t="shared" si="104"/>
        <v>10620070B28/05/2026E</v>
      </c>
      <c r="B390" s="169" t="s">
        <v>828</v>
      </c>
      <c r="C390" s="61" t="s">
        <v>397</v>
      </c>
      <c r="D390" s="61" t="s">
        <v>591</v>
      </c>
      <c r="E390" s="61" t="s">
        <v>810</v>
      </c>
      <c r="F390" s="1" t="s">
        <v>352</v>
      </c>
      <c r="G390" s="62" t="str">
        <f t="shared" ref="G390:G453" si="106">MID(F390,2,5)</f>
        <v>60616</v>
      </c>
      <c r="H390" s="1">
        <v>10620070</v>
      </c>
      <c r="I390" s="1" t="s">
        <v>387</v>
      </c>
      <c r="J390" s="61">
        <v>22</v>
      </c>
      <c r="K390" s="61">
        <v>6.3</v>
      </c>
      <c r="L390" s="61">
        <v>8.8000000000000007</v>
      </c>
      <c r="M390" s="69">
        <f t="shared" si="94"/>
        <v>1.3859999999999999</v>
      </c>
      <c r="N390" s="69">
        <f t="shared" si="95"/>
        <v>1.9360000000000002</v>
      </c>
      <c r="O390" s="56">
        <f>INDEX(Rate_Chart!$A$1:$AK$127,MATCH(Data!K390,Rate_Chart!$A$1:$A$127,0),MATCH(Data!L390,Rate_Chart!$A$1:$AK$1,0))</f>
        <v>52.078949999999999</v>
      </c>
      <c r="P390" s="57">
        <f t="shared" si="96"/>
        <v>1145.7368999999999</v>
      </c>
      <c r="Q390" s="58">
        <f t="shared" si="97"/>
        <v>428.04616438356163</v>
      </c>
      <c r="R390" s="58">
        <f t="shared" si="98"/>
        <v>285.36410958904111</v>
      </c>
      <c r="S390" s="66">
        <f t="shared" si="105"/>
        <v>20.05039575</v>
      </c>
      <c r="T390" s="64">
        <f t="shared" si="99"/>
        <v>82.5</v>
      </c>
      <c r="U390" s="66">
        <f t="shared" si="100"/>
        <v>1248.2872957499999</v>
      </c>
      <c r="V390" s="68">
        <f t="shared" si="101"/>
        <v>56.740331624999996</v>
      </c>
      <c r="W390" s="68">
        <f t="shared" si="102"/>
        <v>466.35889006849311</v>
      </c>
      <c r="X390" s="68">
        <f t="shared" si="103"/>
        <v>310.90592671232872</v>
      </c>
      <c r="Z390" s="63"/>
      <c r="AA390" s="63"/>
    </row>
    <row r="391" spans="1:27" hidden="1" x14ac:dyDescent="0.25">
      <c r="A391" t="str">
        <f t="shared" si="104"/>
        <v>10620070C22/05/2026E</v>
      </c>
      <c r="B391" s="169" t="s">
        <v>828</v>
      </c>
      <c r="C391" s="61" t="s">
        <v>397</v>
      </c>
      <c r="D391" s="61" t="s">
        <v>591</v>
      </c>
      <c r="E391" s="61" t="s">
        <v>810</v>
      </c>
      <c r="F391" s="1" t="s">
        <v>352</v>
      </c>
      <c r="G391" s="62" t="str">
        <f t="shared" si="106"/>
        <v>60616</v>
      </c>
      <c r="H391" s="1">
        <v>10620070</v>
      </c>
      <c r="I391" s="1" t="s">
        <v>388</v>
      </c>
      <c r="J391" s="61">
        <v>50</v>
      </c>
      <c r="K391" s="61">
        <v>3.3</v>
      </c>
      <c r="L391" s="61">
        <v>8.1</v>
      </c>
      <c r="M391" s="69">
        <f t="shared" si="94"/>
        <v>1.65</v>
      </c>
      <c r="N391" s="69">
        <f t="shared" si="95"/>
        <v>4.05</v>
      </c>
      <c r="O391" s="56">
        <f>INDEX(Rate_Chart!$A$1:$AK$127,MATCH(Data!K391,Rate_Chart!$A$1:$A$127,0),MATCH(Data!L391,Rate_Chart!$A$1:$AK$1,0))</f>
        <v>36.280125900000002</v>
      </c>
      <c r="P391" s="57">
        <f t="shared" si="96"/>
        <v>1814.0062950000001</v>
      </c>
      <c r="Q391" s="58">
        <f t="shared" si="97"/>
        <v>417.0129413793104</v>
      </c>
      <c r="R391" s="58">
        <f t="shared" si="98"/>
        <v>278.00862758620696</v>
      </c>
      <c r="S391" s="66">
        <f t="shared" si="105"/>
        <v>31.745110162500005</v>
      </c>
      <c r="T391" s="64">
        <f t="shared" si="99"/>
        <v>187.5</v>
      </c>
      <c r="U391" s="66">
        <f t="shared" si="100"/>
        <v>2033.2514051625001</v>
      </c>
      <c r="V391" s="68">
        <f t="shared" si="101"/>
        <v>40.665028103250002</v>
      </c>
      <c r="W391" s="68">
        <f t="shared" si="102"/>
        <v>467.4141161293104</v>
      </c>
      <c r="X391" s="68">
        <f t="shared" si="103"/>
        <v>311.6094107528736</v>
      </c>
      <c r="Z391" s="63"/>
      <c r="AA391" s="63"/>
    </row>
    <row r="392" spans="1:27" hidden="1" x14ac:dyDescent="0.25">
      <c r="A392" t="str">
        <f t="shared" si="104"/>
        <v>10620064B22/05/2026M</v>
      </c>
      <c r="B392" s="169" t="s">
        <v>822</v>
      </c>
      <c r="C392" s="61" t="s">
        <v>396</v>
      </c>
      <c r="D392" s="61" t="s">
        <v>591</v>
      </c>
      <c r="E392" s="61" t="s">
        <v>810</v>
      </c>
      <c r="F392" s="1" t="s">
        <v>353</v>
      </c>
      <c r="G392" s="62" t="str">
        <f t="shared" si="106"/>
        <v>60617</v>
      </c>
      <c r="H392" s="1">
        <v>10620064</v>
      </c>
      <c r="I392" s="1" t="s">
        <v>387</v>
      </c>
      <c r="J392" s="61">
        <v>55</v>
      </c>
      <c r="K392" s="61">
        <v>6.8</v>
      </c>
      <c r="L392" s="61">
        <v>9</v>
      </c>
      <c r="M392" s="69">
        <f t="shared" si="94"/>
        <v>3.74</v>
      </c>
      <c r="N392" s="69">
        <f t="shared" si="95"/>
        <v>4.95</v>
      </c>
      <c r="O392" s="56">
        <v>56.78</v>
      </c>
      <c r="P392" s="57">
        <f t="shared" si="96"/>
        <v>3122.9</v>
      </c>
      <c r="Q392" s="58">
        <f t="shared" si="97"/>
        <v>443.59375</v>
      </c>
      <c r="R392" s="58">
        <f t="shared" si="98"/>
        <v>295.72916666666669</v>
      </c>
      <c r="S392" s="66">
        <f t="shared" si="105"/>
        <v>54.650750000000009</v>
      </c>
      <c r="T392" s="64">
        <f t="shared" si="99"/>
        <v>206.25</v>
      </c>
      <c r="U392" s="66">
        <f t="shared" si="100"/>
        <v>3383.8007500000003</v>
      </c>
      <c r="V392" s="68">
        <f t="shared" si="101"/>
        <v>61.523650000000004</v>
      </c>
      <c r="W392" s="68">
        <f t="shared" si="102"/>
        <v>480.65351562500001</v>
      </c>
      <c r="X392" s="68">
        <f t="shared" si="103"/>
        <v>320.43567708333336</v>
      </c>
      <c r="Z392" s="63"/>
      <c r="AA392" s="63"/>
    </row>
    <row r="393" spans="1:27" hidden="1" x14ac:dyDescent="0.25">
      <c r="A393" t="str">
        <f t="shared" si="104"/>
        <v>10620064C22/05/2026M</v>
      </c>
      <c r="B393" s="169" t="s">
        <v>822</v>
      </c>
      <c r="C393" s="61" t="s">
        <v>396</v>
      </c>
      <c r="D393" s="61" t="s">
        <v>591</v>
      </c>
      <c r="E393" s="61" t="s">
        <v>810</v>
      </c>
      <c r="F393" s="1" t="s">
        <v>353</v>
      </c>
      <c r="G393" s="62" t="str">
        <f t="shared" si="106"/>
        <v>60617</v>
      </c>
      <c r="H393" s="1">
        <v>10620064</v>
      </c>
      <c r="I393" s="1" t="s">
        <v>388</v>
      </c>
      <c r="J393" s="61">
        <v>41</v>
      </c>
      <c r="K393" s="61">
        <v>3.9</v>
      </c>
      <c r="L393" s="61">
        <v>8.1999999999999993</v>
      </c>
      <c r="M393" s="69">
        <f t="shared" si="94"/>
        <v>1.599</v>
      </c>
      <c r="N393" s="69">
        <f t="shared" si="95"/>
        <v>3.3620000000000001</v>
      </c>
      <c r="O393" s="56">
        <v>37.0930824</v>
      </c>
      <c r="P393" s="57">
        <f t="shared" si="96"/>
        <v>1520.8163784000001</v>
      </c>
      <c r="Q393" s="58">
        <f t="shared" si="97"/>
        <v>396.01155587188612</v>
      </c>
      <c r="R393" s="58">
        <f t="shared" si="98"/>
        <v>264.00770391459076</v>
      </c>
      <c r="S393" s="66">
        <f t="shared" si="105"/>
        <v>26.614286622000005</v>
      </c>
      <c r="T393" s="64">
        <f t="shared" si="99"/>
        <v>153.75</v>
      </c>
      <c r="U393" s="66">
        <f t="shared" si="100"/>
        <v>1701.1806650220001</v>
      </c>
      <c r="V393" s="68">
        <f t="shared" si="101"/>
        <v>41.492211342000004</v>
      </c>
      <c r="W393" s="68">
        <f t="shared" si="102"/>
        <v>442.97734528825629</v>
      </c>
      <c r="X393" s="68">
        <f t="shared" si="103"/>
        <v>295.31823019217086</v>
      </c>
      <c r="Z393" s="63"/>
      <c r="AA393" s="63"/>
    </row>
    <row r="394" spans="1:27" hidden="1" x14ac:dyDescent="0.25">
      <c r="A394" t="str">
        <f t="shared" si="104"/>
        <v>10620064B22/05/2026E</v>
      </c>
      <c r="B394" s="169" t="s">
        <v>822</v>
      </c>
      <c r="C394" s="61" t="s">
        <v>397</v>
      </c>
      <c r="D394" s="61" t="s">
        <v>591</v>
      </c>
      <c r="E394" s="61" t="s">
        <v>810</v>
      </c>
      <c r="F394" s="1" t="s">
        <v>353</v>
      </c>
      <c r="G394" s="62" t="str">
        <f t="shared" si="106"/>
        <v>60617</v>
      </c>
      <c r="H394" s="1">
        <v>10620064</v>
      </c>
      <c r="I394" s="1" t="s">
        <v>387</v>
      </c>
      <c r="J394" s="61">
        <v>38</v>
      </c>
      <c r="K394" s="61">
        <v>6.7</v>
      </c>
      <c r="L394" s="61">
        <v>8.8000000000000007</v>
      </c>
      <c r="M394" s="69">
        <f t="shared" si="94"/>
        <v>2.5459999999999998</v>
      </c>
      <c r="N394" s="69">
        <f t="shared" si="95"/>
        <v>3.3440000000000003</v>
      </c>
      <c r="O394" s="56">
        <v>55.385550000000002</v>
      </c>
      <c r="P394" s="57">
        <f t="shared" si="96"/>
        <v>2104.6509000000001</v>
      </c>
      <c r="Q394" s="58">
        <f t="shared" si="97"/>
        <v>440.73381962864721</v>
      </c>
      <c r="R394" s="58">
        <f t="shared" si="98"/>
        <v>293.82254641909816</v>
      </c>
      <c r="S394" s="66">
        <f t="shared" si="105"/>
        <v>36.831390750000004</v>
      </c>
      <c r="T394" s="64">
        <f t="shared" si="99"/>
        <v>142.5</v>
      </c>
      <c r="U394" s="66">
        <f t="shared" si="100"/>
        <v>2283.9822907500002</v>
      </c>
      <c r="V394" s="68">
        <f t="shared" si="101"/>
        <v>60.104797125000005</v>
      </c>
      <c r="W394" s="68">
        <f t="shared" si="102"/>
        <v>478.28751027851456</v>
      </c>
      <c r="X394" s="68">
        <f t="shared" si="103"/>
        <v>318.85834018567635</v>
      </c>
      <c r="Z394" s="63"/>
      <c r="AA394" s="63"/>
    </row>
    <row r="395" spans="1:27" hidden="1" x14ac:dyDescent="0.25">
      <c r="A395" t="str">
        <f t="shared" si="104"/>
        <v>10620064C23/05/2026E</v>
      </c>
      <c r="B395" s="169" t="s">
        <v>822</v>
      </c>
      <c r="C395" s="61" t="s">
        <v>397</v>
      </c>
      <c r="D395" s="61" t="s">
        <v>591</v>
      </c>
      <c r="E395" s="61" t="s">
        <v>810</v>
      </c>
      <c r="F395" s="1" t="s">
        <v>353</v>
      </c>
      <c r="G395" s="62" t="str">
        <f t="shared" si="106"/>
        <v>60617</v>
      </c>
      <c r="H395" s="1">
        <v>10620064</v>
      </c>
      <c r="I395" s="1" t="s">
        <v>388</v>
      </c>
      <c r="J395" s="61">
        <v>34</v>
      </c>
      <c r="K395" s="61">
        <v>4</v>
      </c>
      <c r="L395" s="61">
        <v>8.1999999999999993</v>
      </c>
      <c r="M395" s="69">
        <f t="shared" si="94"/>
        <v>1.36</v>
      </c>
      <c r="N395" s="69">
        <f t="shared" si="95"/>
        <v>2.7879999999999994</v>
      </c>
      <c r="O395" s="56">
        <v>37.489082400000001</v>
      </c>
      <c r="P395" s="57">
        <f t="shared" si="96"/>
        <v>1274.6288016000001</v>
      </c>
      <c r="Q395" s="58">
        <f t="shared" si="97"/>
        <v>396.01143380281695</v>
      </c>
      <c r="R395" s="58">
        <f t="shared" si="98"/>
        <v>264.00762253521128</v>
      </c>
      <c r="S395" s="66">
        <f t="shared" si="105"/>
        <v>22.306004028000004</v>
      </c>
      <c r="T395" s="64">
        <f t="shared" si="99"/>
        <v>127.5</v>
      </c>
      <c r="U395" s="66">
        <f t="shared" si="100"/>
        <v>1424.434805628</v>
      </c>
      <c r="V395" s="68">
        <f t="shared" si="101"/>
        <v>41.895141342000002</v>
      </c>
      <c r="W395" s="68">
        <f t="shared" si="102"/>
        <v>442.55430995070429</v>
      </c>
      <c r="X395" s="68">
        <f t="shared" si="103"/>
        <v>295.03620663380286</v>
      </c>
      <c r="Z395" s="63"/>
      <c r="AA395" s="63"/>
    </row>
    <row r="396" spans="1:27" hidden="1" x14ac:dyDescent="0.25">
      <c r="A396" t="str">
        <f t="shared" si="104"/>
        <v>10620064B23/05/2026M</v>
      </c>
      <c r="B396" s="169" t="s">
        <v>823</v>
      </c>
      <c r="C396" s="61" t="s">
        <v>396</v>
      </c>
      <c r="D396" s="61" t="s">
        <v>591</v>
      </c>
      <c r="E396" s="61" t="s">
        <v>810</v>
      </c>
      <c r="F396" s="1" t="s">
        <v>353</v>
      </c>
      <c r="G396" s="62" t="str">
        <f t="shared" si="106"/>
        <v>60617</v>
      </c>
      <c r="H396" s="1">
        <v>10620064</v>
      </c>
      <c r="I396" s="1" t="s">
        <v>387</v>
      </c>
      <c r="J396" s="61">
        <v>57</v>
      </c>
      <c r="K396" s="61">
        <v>6.7</v>
      </c>
      <c r="L396" s="61">
        <v>8.8000000000000007</v>
      </c>
      <c r="M396" s="69">
        <f t="shared" si="94"/>
        <v>3.8190000000000004</v>
      </c>
      <c r="N396" s="69">
        <f t="shared" si="95"/>
        <v>5.016</v>
      </c>
      <c r="O396" s="56">
        <v>55.385550000000002</v>
      </c>
      <c r="P396" s="57">
        <f t="shared" si="96"/>
        <v>3156.9763499999999</v>
      </c>
      <c r="Q396" s="58">
        <f t="shared" si="97"/>
        <v>440.73381962864721</v>
      </c>
      <c r="R396" s="58">
        <f t="shared" si="98"/>
        <v>293.82254641909816</v>
      </c>
      <c r="S396" s="66">
        <f t="shared" si="105"/>
        <v>55.247086125000003</v>
      </c>
      <c r="T396" s="64">
        <f t="shared" si="99"/>
        <v>213.75</v>
      </c>
      <c r="U396" s="66">
        <f t="shared" si="100"/>
        <v>3425.9734361249998</v>
      </c>
      <c r="V396" s="68">
        <f t="shared" si="101"/>
        <v>60.104797124999997</v>
      </c>
      <c r="W396" s="68">
        <f t="shared" si="102"/>
        <v>478.2875102785145</v>
      </c>
      <c r="X396" s="68">
        <f t="shared" si="103"/>
        <v>318.85834018567635</v>
      </c>
      <c r="Z396" s="63"/>
      <c r="AA396" s="63"/>
    </row>
    <row r="397" spans="1:27" hidden="1" x14ac:dyDescent="0.25">
      <c r="A397" t="str">
        <f t="shared" si="104"/>
        <v>10620064C23/05/2026M</v>
      </c>
      <c r="B397" s="169" t="s">
        <v>823</v>
      </c>
      <c r="C397" s="61" t="s">
        <v>396</v>
      </c>
      <c r="D397" s="61" t="s">
        <v>591</v>
      </c>
      <c r="E397" s="61" t="s">
        <v>810</v>
      </c>
      <c r="F397" s="1" t="s">
        <v>353</v>
      </c>
      <c r="G397" s="62" t="str">
        <f t="shared" si="106"/>
        <v>60617</v>
      </c>
      <c r="H397" s="1">
        <v>10620064</v>
      </c>
      <c r="I397" s="1" t="s">
        <v>388</v>
      </c>
      <c r="J397" s="61">
        <v>41</v>
      </c>
      <c r="K397" s="61">
        <v>4.2</v>
      </c>
      <c r="L397" s="61">
        <v>8.1</v>
      </c>
      <c r="M397" s="69">
        <f t="shared" si="94"/>
        <v>1.7220000000000002</v>
      </c>
      <c r="N397" s="69">
        <f t="shared" si="95"/>
        <v>3.3209999999999997</v>
      </c>
      <c r="O397" s="56">
        <v>38.017069200000009</v>
      </c>
      <c r="P397" s="57">
        <f t="shared" si="96"/>
        <v>1558.6998372000003</v>
      </c>
      <c r="Q397" s="58">
        <f t="shared" si="97"/>
        <v>396.01113750000007</v>
      </c>
      <c r="R397" s="58">
        <f t="shared" si="98"/>
        <v>264.00742500000007</v>
      </c>
      <c r="S397" s="66">
        <f t="shared" si="105"/>
        <v>27.277247151000008</v>
      </c>
      <c r="T397" s="64">
        <f t="shared" si="99"/>
        <v>153.75</v>
      </c>
      <c r="U397" s="66">
        <f t="shared" si="100"/>
        <v>1739.7270843510003</v>
      </c>
      <c r="V397" s="68">
        <f t="shared" si="101"/>
        <v>42.432367911000007</v>
      </c>
      <c r="W397" s="68">
        <f t="shared" si="102"/>
        <v>442.00383240625007</v>
      </c>
      <c r="X397" s="68">
        <f t="shared" si="103"/>
        <v>294.66922160416669</v>
      </c>
      <c r="Z397" s="63"/>
      <c r="AA397" s="63"/>
    </row>
    <row r="398" spans="1:27" hidden="1" x14ac:dyDescent="0.25">
      <c r="A398" t="str">
        <f t="shared" si="104"/>
        <v>10620064B23/05/2026E</v>
      </c>
      <c r="B398" s="169" t="s">
        <v>823</v>
      </c>
      <c r="C398" s="61" t="s">
        <v>397</v>
      </c>
      <c r="D398" s="61" t="s">
        <v>591</v>
      </c>
      <c r="E398" s="61" t="s">
        <v>810</v>
      </c>
      <c r="F398" s="1" t="s">
        <v>353</v>
      </c>
      <c r="G398" s="62" t="str">
        <f t="shared" si="106"/>
        <v>60617</v>
      </c>
      <c r="H398" s="1">
        <v>10620064</v>
      </c>
      <c r="I398" s="1" t="s">
        <v>387</v>
      </c>
      <c r="J398" s="61">
        <v>37</v>
      </c>
      <c r="K398" s="61">
        <v>6.3</v>
      </c>
      <c r="L398" s="61">
        <v>8.8000000000000007</v>
      </c>
      <c r="M398" s="69">
        <f t="shared" si="94"/>
        <v>2.331</v>
      </c>
      <c r="N398" s="69">
        <f t="shared" si="95"/>
        <v>3.2560000000000002</v>
      </c>
      <c r="O398" s="56">
        <v>52.078949999999999</v>
      </c>
      <c r="P398" s="57">
        <f t="shared" si="96"/>
        <v>1926.9211499999999</v>
      </c>
      <c r="Q398" s="58">
        <f t="shared" si="97"/>
        <v>428.04616438356163</v>
      </c>
      <c r="R398" s="58">
        <f t="shared" si="98"/>
        <v>285.36410958904111</v>
      </c>
      <c r="S398" s="66">
        <f t="shared" si="105"/>
        <v>33.721120124999999</v>
      </c>
      <c r="T398" s="64">
        <f t="shared" si="99"/>
        <v>138.75</v>
      </c>
      <c r="U398" s="66">
        <f t="shared" si="100"/>
        <v>2099.3922701249999</v>
      </c>
      <c r="V398" s="68">
        <f t="shared" si="101"/>
        <v>56.740331624999996</v>
      </c>
      <c r="W398" s="68">
        <f t="shared" si="102"/>
        <v>466.35889006849311</v>
      </c>
      <c r="X398" s="68">
        <f t="shared" si="103"/>
        <v>310.90592671232872</v>
      </c>
      <c r="Z398" s="63"/>
      <c r="AA398" s="63"/>
    </row>
    <row r="399" spans="1:27" hidden="1" x14ac:dyDescent="0.25">
      <c r="A399" t="str">
        <f t="shared" si="104"/>
        <v>10620064C24/05/2026E</v>
      </c>
      <c r="B399" s="169" t="s">
        <v>823</v>
      </c>
      <c r="C399" s="61" t="s">
        <v>397</v>
      </c>
      <c r="D399" s="61" t="s">
        <v>591</v>
      </c>
      <c r="E399" s="61" t="s">
        <v>810</v>
      </c>
      <c r="F399" s="1" t="s">
        <v>353</v>
      </c>
      <c r="G399" s="62" t="str">
        <f t="shared" si="106"/>
        <v>60617</v>
      </c>
      <c r="H399" s="1">
        <v>10620064</v>
      </c>
      <c r="I399" s="1" t="s">
        <v>388</v>
      </c>
      <c r="J399" s="61">
        <v>34</v>
      </c>
      <c r="K399" s="61">
        <v>3.5</v>
      </c>
      <c r="L399" s="61">
        <v>8.1</v>
      </c>
      <c r="M399" s="69">
        <f t="shared" si="94"/>
        <v>1.19</v>
      </c>
      <c r="N399" s="69">
        <f t="shared" si="95"/>
        <v>2.7539999999999996</v>
      </c>
      <c r="O399" s="56">
        <v>35.245069200000003</v>
      </c>
      <c r="P399" s="57">
        <f t="shared" si="96"/>
        <v>1198.3323528000001</v>
      </c>
      <c r="Q399" s="58">
        <f t="shared" si="97"/>
        <v>396.01201348314612</v>
      </c>
      <c r="R399" s="58">
        <f t="shared" si="98"/>
        <v>264.00800898876406</v>
      </c>
      <c r="S399" s="66">
        <f t="shared" si="105"/>
        <v>20.970816174000003</v>
      </c>
      <c r="T399" s="64">
        <f t="shared" si="99"/>
        <v>127.5</v>
      </c>
      <c r="U399" s="66">
        <f t="shared" si="100"/>
        <v>1346.8031689740001</v>
      </c>
      <c r="V399" s="68">
        <f t="shared" si="101"/>
        <v>39.611857911000001</v>
      </c>
      <c r="W399" s="68">
        <f t="shared" si="102"/>
        <v>445.0770551797753</v>
      </c>
      <c r="X399" s="68">
        <f t="shared" si="103"/>
        <v>296.71803678651685</v>
      </c>
      <c r="Z399" s="63"/>
      <c r="AA399" s="63"/>
    </row>
    <row r="400" spans="1:27" hidden="1" x14ac:dyDescent="0.25">
      <c r="A400" t="str">
        <f t="shared" si="104"/>
        <v>10620064B24/05/2026M</v>
      </c>
      <c r="B400" s="169" t="s">
        <v>824</v>
      </c>
      <c r="C400" s="61" t="s">
        <v>396</v>
      </c>
      <c r="D400" s="61" t="s">
        <v>591</v>
      </c>
      <c r="E400" s="61" t="s">
        <v>810</v>
      </c>
      <c r="F400" s="1" t="s">
        <v>353</v>
      </c>
      <c r="G400" s="62" t="str">
        <f t="shared" si="106"/>
        <v>60617</v>
      </c>
      <c r="H400" s="1">
        <v>10620064</v>
      </c>
      <c r="I400" s="1" t="s">
        <v>387</v>
      </c>
      <c r="J400" s="61">
        <v>50</v>
      </c>
      <c r="K400" s="61">
        <v>7.2</v>
      </c>
      <c r="L400" s="61">
        <v>8.6</v>
      </c>
      <c r="M400" s="69">
        <f t="shared" si="94"/>
        <v>3.6</v>
      </c>
      <c r="N400" s="69">
        <f t="shared" si="95"/>
        <v>4.3</v>
      </c>
      <c r="O400" s="56">
        <v>58.9176</v>
      </c>
      <c r="P400" s="57">
        <f t="shared" si="96"/>
        <v>2945.88</v>
      </c>
      <c r="Q400" s="58">
        <f t="shared" si="97"/>
        <v>455.54845360824743</v>
      </c>
      <c r="R400" s="58">
        <f t="shared" si="98"/>
        <v>303.69896907216497</v>
      </c>
      <c r="S400" s="66">
        <f t="shared" si="105"/>
        <v>51.552900000000008</v>
      </c>
      <c r="T400" s="64">
        <f t="shared" si="99"/>
        <v>187.5</v>
      </c>
      <c r="U400" s="66">
        <f t="shared" si="100"/>
        <v>3184.9329000000002</v>
      </c>
      <c r="V400" s="68">
        <f t="shared" si="101"/>
        <v>63.698658000000002</v>
      </c>
      <c r="W400" s="68">
        <f t="shared" si="102"/>
        <v>492.51539690721654</v>
      </c>
      <c r="X400" s="68">
        <f t="shared" si="103"/>
        <v>328.34359793814434</v>
      </c>
      <c r="Z400" s="63"/>
      <c r="AA400" s="63"/>
    </row>
    <row r="401" spans="1:27" hidden="1" x14ac:dyDescent="0.25">
      <c r="A401" t="str">
        <f t="shared" si="104"/>
        <v>10620064C24/05/2026M</v>
      </c>
      <c r="B401" s="169" t="s">
        <v>824</v>
      </c>
      <c r="C401" s="61" t="s">
        <v>396</v>
      </c>
      <c r="D401" s="61" t="s">
        <v>591</v>
      </c>
      <c r="E401" s="61" t="s">
        <v>810</v>
      </c>
      <c r="F401" s="1" t="s">
        <v>353</v>
      </c>
      <c r="G401" s="62" t="str">
        <f t="shared" si="106"/>
        <v>60617</v>
      </c>
      <c r="H401" s="1">
        <v>10620064</v>
      </c>
      <c r="I401" s="1" t="s">
        <v>388</v>
      </c>
      <c r="J401" s="61">
        <v>41</v>
      </c>
      <c r="K401" s="61">
        <v>4</v>
      </c>
      <c r="L401" s="61">
        <v>8.1999999999999993</v>
      </c>
      <c r="M401" s="69">
        <f t="shared" si="94"/>
        <v>1.64</v>
      </c>
      <c r="N401" s="69">
        <f t="shared" si="95"/>
        <v>3.3620000000000001</v>
      </c>
      <c r="O401" s="56">
        <v>37.489082400000001</v>
      </c>
      <c r="P401" s="57">
        <f t="shared" si="96"/>
        <v>1537.0523784</v>
      </c>
      <c r="Q401" s="58">
        <f t="shared" si="97"/>
        <v>396.01143380281695</v>
      </c>
      <c r="R401" s="58">
        <f t="shared" si="98"/>
        <v>264.00762253521128</v>
      </c>
      <c r="S401" s="66">
        <f t="shared" si="105"/>
        <v>26.898416622000003</v>
      </c>
      <c r="T401" s="64">
        <f t="shared" si="99"/>
        <v>153.75</v>
      </c>
      <c r="U401" s="66">
        <f t="shared" si="100"/>
        <v>1717.700795022</v>
      </c>
      <c r="V401" s="68">
        <f t="shared" si="101"/>
        <v>41.895141342000002</v>
      </c>
      <c r="W401" s="68">
        <f t="shared" si="102"/>
        <v>442.55430995070429</v>
      </c>
      <c r="X401" s="68">
        <f t="shared" si="103"/>
        <v>295.03620663380286</v>
      </c>
      <c r="Z401" s="63"/>
      <c r="AA401" s="63"/>
    </row>
    <row r="402" spans="1:27" hidden="1" x14ac:dyDescent="0.25">
      <c r="A402" t="str">
        <f t="shared" si="104"/>
        <v>10620064B24/05/2026E</v>
      </c>
      <c r="B402" s="169" t="s">
        <v>824</v>
      </c>
      <c r="C402" s="61" t="s">
        <v>397</v>
      </c>
      <c r="D402" s="61" t="s">
        <v>591</v>
      </c>
      <c r="E402" s="61" t="s">
        <v>810</v>
      </c>
      <c r="F402" s="1" t="s">
        <v>353</v>
      </c>
      <c r="G402" s="62" t="str">
        <f t="shared" si="106"/>
        <v>60617</v>
      </c>
      <c r="H402" s="1">
        <v>10620064</v>
      </c>
      <c r="I402" s="1" t="s">
        <v>387</v>
      </c>
      <c r="J402" s="61">
        <v>47</v>
      </c>
      <c r="K402" s="61">
        <v>6.1</v>
      </c>
      <c r="L402" s="61">
        <v>8.8000000000000007</v>
      </c>
      <c r="M402" s="69">
        <f t="shared" si="94"/>
        <v>2.867</v>
      </c>
      <c r="N402" s="69">
        <f t="shared" si="95"/>
        <v>4.1360000000000001</v>
      </c>
      <c r="O402" s="56">
        <v>50.425650000000005</v>
      </c>
      <c r="P402" s="57">
        <f t="shared" si="96"/>
        <v>2370.0055500000003</v>
      </c>
      <c r="Q402" s="58">
        <f t="shared" si="97"/>
        <v>421.38426183844012</v>
      </c>
      <c r="R402" s="58">
        <f t="shared" si="98"/>
        <v>280.92284122562677</v>
      </c>
      <c r="S402" s="66">
        <f t="shared" si="105"/>
        <v>41.475097125000012</v>
      </c>
      <c r="T402" s="64">
        <f t="shared" si="99"/>
        <v>176.25</v>
      </c>
      <c r="U402" s="66">
        <f t="shared" si="100"/>
        <v>2587.7306471250004</v>
      </c>
      <c r="V402" s="68">
        <f t="shared" si="101"/>
        <v>55.058098875000006</v>
      </c>
      <c r="W402" s="68">
        <f t="shared" si="102"/>
        <v>460.09553377437328</v>
      </c>
      <c r="X402" s="68">
        <f t="shared" si="103"/>
        <v>306.73035584958217</v>
      </c>
      <c r="Z402" s="63"/>
      <c r="AA402" s="63"/>
    </row>
    <row r="403" spans="1:27" hidden="1" x14ac:dyDescent="0.25">
      <c r="A403" t="str">
        <f t="shared" si="104"/>
        <v>10620064C25/05/2026E</v>
      </c>
      <c r="B403" s="169" t="s">
        <v>824</v>
      </c>
      <c r="C403" s="61" t="s">
        <v>397</v>
      </c>
      <c r="D403" s="61" t="s">
        <v>591</v>
      </c>
      <c r="E403" s="61" t="s">
        <v>810</v>
      </c>
      <c r="F403" s="1" t="s">
        <v>353</v>
      </c>
      <c r="G403" s="62" t="str">
        <f t="shared" si="106"/>
        <v>60617</v>
      </c>
      <c r="H403" s="1">
        <v>10620064</v>
      </c>
      <c r="I403" s="1" t="s">
        <v>388</v>
      </c>
      <c r="J403" s="61">
        <v>31</v>
      </c>
      <c r="K403" s="61">
        <v>3.2</v>
      </c>
      <c r="L403" s="61">
        <v>8.1</v>
      </c>
      <c r="M403" s="69">
        <f t="shared" si="94"/>
        <v>0.99199999999999999</v>
      </c>
      <c r="N403" s="69">
        <f t="shared" si="95"/>
        <v>2.5110000000000001</v>
      </c>
      <c r="O403" s="56">
        <v>34.057069200000001</v>
      </c>
      <c r="P403" s="57">
        <f t="shared" si="96"/>
        <v>1055.7691451999999</v>
      </c>
      <c r="Q403" s="58">
        <f t="shared" si="97"/>
        <v>396.01243255813955</v>
      </c>
      <c r="R403" s="58">
        <f t="shared" si="98"/>
        <v>264.00828837209303</v>
      </c>
      <c r="S403" s="66">
        <f t="shared" si="105"/>
        <v>18.475960041</v>
      </c>
      <c r="T403" s="64">
        <f t="shared" si="99"/>
        <v>116.25</v>
      </c>
      <c r="U403" s="66">
        <f t="shared" si="100"/>
        <v>1190.4951052409999</v>
      </c>
      <c r="V403" s="68">
        <f t="shared" si="101"/>
        <v>38.403067911000001</v>
      </c>
      <c r="W403" s="68">
        <f t="shared" si="102"/>
        <v>446.5473012906977</v>
      </c>
      <c r="X403" s="68">
        <f t="shared" si="103"/>
        <v>297.69820086046514</v>
      </c>
      <c r="Z403" s="63"/>
      <c r="AA403" s="63"/>
    </row>
    <row r="404" spans="1:27" hidden="1" x14ac:dyDescent="0.25">
      <c r="A404" t="str">
        <f t="shared" si="104"/>
        <v>10620064B25/05/2026M</v>
      </c>
      <c r="B404" s="169" t="s">
        <v>825</v>
      </c>
      <c r="C404" s="61" t="s">
        <v>396</v>
      </c>
      <c r="D404" s="61" t="s">
        <v>591</v>
      </c>
      <c r="E404" s="61" t="s">
        <v>810</v>
      </c>
      <c r="F404" s="1" t="s">
        <v>353</v>
      </c>
      <c r="G404" s="62" t="str">
        <f t="shared" si="106"/>
        <v>60617</v>
      </c>
      <c r="H404" s="1">
        <v>10620064</v>
      </c>
      <c r="I404" s="1" t="s">
        <v>387</v>
      </c>
      <c r="J404" s="61">
        <v>38</v>
      </c>
      <c r="K404" s="61">
        <v>7.3</v>
      </c>
      <c r="L404" s="61">
        <v>8.8000000000000007</v>
      </c>
      <c r="M404" s="69">
        <f t="shared" si="94"/>
        <v>2.7739999999999996</v>
      </c>
      <c r="N404" s="69">
        <f t="shared" si="95"/>
        <v>3.3440000000000003</v>
      </c>
      <c r="O404" s="56">
        <v>60.34545</v>
      </c>
      <c r="P404" s="57">
        <f t="shared" si="96"/>
        <v>2293.1271000000002</v>
      </c>
      <c r="Q404" s="58">
        <f t="shared" si="97"/>
        <v>458.31987341772157</v>
      </c>
      <c r="R404" s="58">
        <f t="shared" si="98"/>
        <v>305.54658227848103</v>
      </c>
      <c r="S404" s="66">
        <f t="shared" si="105"/>
        <v>40.12972425000001</v>
      </c>
      <c r="T404" s="64">
        <f t="shared" si="99"/>
        <v>142.5</v>
      </c>
      <c r="U404" s="66">
        <f t="shared" si="100"/>
        <v>2475.7568242500001</v>
      </c>
      <c r="V404" s="68">
        <f t="shared" si="101"/>
        <v>65.15149537500001</v>
      </c>
      <c r="W404" s="68">
        <f t="shared" si="102"/>
        <v>494.8214838607596</v>
      </c>
      <c r="X404" s="68">
        <f t="shared" si="103"/>
        <v>329.88098924050638</v>
      </c>
      <c r="Z404" s="63"/>
      <c r="AA404" s="63"/>
    </row>
    <row r="405" spans="1:27" hidden="1" x14ac:dyDescent="0.25">
      <c r="A405" t="str">
        <f t="shared" si="104"/>
        <v>10620064C25/05/2026M</v>
      </c>
      <c r="B405" s="169" t="s">
        <v>825</v>
      </c>
      <c r="C405" s="61" t="s">
        <v>396</v>
      </c>
      <c r="D405" s="61" t="s">
        <v>591</v>
      </c>
      <c r="E405" s="61" t="s">
        <v>810</v>
      </c>
      <c r="F405" s="1" t="s">
        <v>353</v>
      </c>
      <c r="G405" s="62" t="str">
        <f t="shared" si="106"/>
        <v>60617</v>
      </c>
      <c r="H405" s="1">
        <v>10620064</v>
      </c>
      <c r="I405" s="1" t="s">
        <v>388</v>
      </c>
      <c r="J405" s="61">
        <v>55</v>
      </c>
      <c r="K405" s="61">
        <v>4</v>
      </c>
      <c r="L405" s="61">
        <v>8.1</v>
      </c>
      <c r="M405" s="69">
        <f t="shared" si="94"/>
        <v>2.2000000000000002</v>
      </c>
      <c r="N405" s="69">
        <f t="shared" si="95"/>
        <v>4.4550000000000001</v>
      </c>
      <c r="O405" s="56">
        <v>37.225069200000007</v>
      </c>
      <c r="P405" s="57">
        <f t="shared" si="96"/>
        <v>2047.3788060000004</v>
      </c>
      <c r="Q405" s="58">
        <f t="shared" si="97"/>
        <v>396.01137446808519</v>
      </c>
      <c r="R405" s="58">
        <f t="shared" si="98"/>
        <v>264.00758297872346</v>
      </c>
      <c r="S405" s="66">
        <f t="shared" si="105"/>
        <v>35.829129105000007</v>
      </c>
      <c r="T405" s="64">
        <f t="shared" si="99"/>
        <v>206.25</v>
      </c>
      <c r="U405" s="66">
        <f t="shared" si="100"/>
        <v>2289.4579351050006</v>
      </c>
      <c r="V405" s="68">
        <f t="shared" si="101"/>
        <v>41.626507911000012</v>
      </c>
      <c r="W405" s="68">
        <f t="shared" si="102"/>
        <v>442.83519054255333</v>
      </c>
      <c r="X405" s="68">
        <f t="shared" si="103"/>
        <v>295.22346036170222</v>
      </c>
      <c r="Z405" s="63"/>
      <c r="AA405" s="63"/>
    </row>
    <row r="406" spans="1:27" hidden="1" x14ac:dyDescent="0.25">
      <c r="A406" t="str">
        <f t="shared" si="104"/>
        <v>10620064B25/05/2026E</v>
      </c>
      <c r="B406" s="169" t="s">
        <v>825</v>
      </c>
      <c r="C406" s="61" t="s">
        <v>397</v>
      </c>
      <c r="D406" s="61" t="s">
        <v>591</v>
      </c>
      <c r="E406" s="61" t="s">
        <v>810</v>
      </c>
      <c r="F406" s="1" t="s">
        <v>353</v>
      </c>
      <c r="G406" s="62" t="str">
        <f t="shared" si="106"/>
        <v>60617</v>
      </c>
      <c r="H406" s="1">
        <v>10620064</v>
      </c>
      <c r="I406" s="1" t="s">
        <v>387</v>
      </c>
      <c r="J406" s="61">
        <v>41</v>
      </c>
      <c r="K406" s="61">
        <v>6.6</v>
      </c>
      <c r="L406" s="61">
        <v>8.8000000000000007</v>
      </c>
      <c r="M406" s="69">
        <f t="shared" si="94"/>
        <v>2.7059999999999995</v>
      </c>
      <c r="N406" s="69">
        <f t="shared" si="95"/>
        <v>3.6080000000000001</v>
      </c>
      <c r="O406" s="56">
        <v>54.558900000000001</v>
      </c>
      <c r="P406" s="57">
        <f t="shared" si="96"/>
        <v>2236.9149000000002</v>
      </c>
      <c r="Q406" s="58">
        <f t="shared" si="97"/>
        <v>437.63823529411764</v>
      </c>
      <c r="R406" s="58">
        <f t="shared" si="98"/>
        <v>291.75882352941176</v>
      </c>
      <c r="S406" s="66">
        <f t="shared" si="105"/>
        <v>39.146010750000009</v>
      </c>
      <c r="T406" s="64">
        <f t="shared" si="99"/>
        <v>153.75</v>
      </c>
      <c r="U406" s="66">
        <f t="shared" si="100"/>
        <v>2429.8109107500004</v>
      </c>
      <c r="V406" s="68">
        <f t="shared" si="101"/>
        <v>59.263680750000013</v>
      </c>
      <c r="W406" s="68">
        <f t="shared" si="102"/>
        <v>475.37711831550808</v>
      </c>
      <c r="X406" s="68">
        <f t="shared" si="103"/>
        <v>316.91807887700537</v>
      </c>
      <c r="Z406" s="63"/>
      <c r="AA406" s="63"/>
    </row>
    <row r="407" spans="1:27" hidden="1" x14ac:dyDescent="0.25">
      <c r="A407" t="str">
        <f t="shared" si="104"/>
        <v>10620064C26/05/2026E</v>
      </c>
      <c r="B407" s="169" t="s">
        <v>825</v>
      </c>
      <c r="C407" s="61" t="s">
        <v>397</v>
      </c>
      <c r="D407" s="61" t="s">
        <v>591</v>
      </c>
      <c r="E407" s="61" t="s">
        <v>810</v>
      </c>
      <c r="F407" s="1" t="s">
        <v>353</v>
      </c>
      <c r="G407" s="62" t="str">
        <f t="shared" si="106"/>
        <v>60617</v>
      </c>
      <c r="H407" s="1">
        <v>10620064</v>
      </c>
      <c r="I407" s="1" t="s">
        <v>388</v>
      </c>
      <c r="J407" s="61">
        <v>27</v>
      </c>
      <c r="K407" s="61">
        <v>3.6</v>
      </c>
      <c r="L407" s="61">
        <v>8.1999999999999993</v>
      </c>
      <c r="M407" s="69">
        <f t="shared" si="94"/>
        <v>0.97199999999999998</v>
      </c>
      <c r="N407" s="69">
        <f t="shared" si="95"/>
        <v>2.214</v>
      </c>
      <c r="O407" s="56">
        <v>35.905082400000005</v>
      </c>
      <c r="P407" s="57">
        <f t="shared" si="96"/>
        <v>969.43722480000008</v>
      </c>
      <c r="Q407" s="58">
        <f t="shared" si="97"/>
        <v>396.01193823529417</v>
      </c>
      <c r="R407" s="58">
        <f t="shared" si="98"/>
        <v>264.00795882352946</v>
      </c>
      <c r="S407" s="66">
        <f t="shared" si="105"/>
        <v>16.965151434000003</v>
      </c>
      <c r="T407" s="64">
        <f t="shared" si="99"/>
        <v>101.25</v>
      </c>
      <c r="U407" s="66">
        <f t="shared" si="100"/>
        <v>1087.652376234</v>
      </c>
      <c r="V407" s="68">
        <f t="shared" si="101"/>
        <v>40.283421342000004</v>
      </c>
      <c r="W407" s="68">
        <f t="shared" si="102"/>
        <v>444.30244127205884</v>
      </c>
      <c r="X407" s="68">
        <f t="shared" si="103"/>
        <v>296.20162751470588</v>
      </c>
      <c r="Z407" s="63"/>
      <c r="AA407" s="63"/>
    </row>
    <row r="408" spans="1:27" hidden="1" x14ac:dyDescent="0.25">
      <c r="A408" t="str">
        <f t="shared" si="104"/>
        <v>10620064B26/05/2026M</v>
      </c>
      <c r="B408" s="169" t="s">
        <v>826</v>
      </c>
      <c r="C408" s="61" t="s">
        <v>396</v>
      </c>
      <c r="D408" s="61" t="s">
        <v>591</v>
      </c>
      <c r="E408" s="61" t="s">
        <v>810</v>
      </c>
      <c r="F408" s="1" t="s">
        <v>353</v>
      </c>
      <c r="G408" s="62" t="str">
        <f t="shared" si="106"/>
        <v>60617</v>
      </c>
      <c r="H408" s="1">
        <v>10620064</v>
      </c>
      <c r="I408" s="1" t="s">
        <v>387</v>
      </c>
      <c r="J408" s="61">
        <v>54</v>
      </c>
      <c r="K408" s="61">
        <v>6.2</v>
      </c>
      <c r="L408" s="61">
        <v>8.8000000000000007</v>
      </c>
      <c r="M408" s="69">
        <f t="shared" si="94"/>
        <v>3.3480000000000003</v>
      </c>
      <c r="N408" s="69">
        <f t="shared" si="95"/>
        <v>4.7520000000000007</v>
      </c>
      <c r="O408" s="56">
        <f>INDEX(Rate_Chart!$A$1:$AK$127,MATCH(Data!K408,Rate_Chart!$A$1:$A$127,0),MATCH(Data!L408,Rate_Chart!$A$1:$AK$1,0))</f>
        <v>51.252300000000005</v>
      </c>
      <c r="P408" s="57">
        <f t="shared" si="96"/>
        <v>2767.6242000000002</v>
      </c>
      <c r="Q408" s="58">
        <f t="shared" si="97"/>
        <v>424.74281767955802</v>
      </c>
      <c r="R408" s="58">
        <f t="shared" si="98"/>
        <v>283.1618784530387</v>
      </c>
      <c r="S408" s="66">
        <f t="shared" si="105"/>
        <v>48.433423500000011</v>
      </c>
      <c r="T408" s="64">
        <f t="shared" si="99"/>
        <v>202.5</v>
      </c>
      <c r="U408" s="66">
        <f t="shared" si="100"/>
        <v>3018.5576235000003</v>
      </c>
      <c r="V408" s="68">
        <f t="shared" si="101"/>
        <v>55.899215250000005</v>
      </c>
      <c r="W408" s="68">
        <f t="shared" si="102"/>
        <v>463.25316505524864</v>
      </c>
      <c r="X408" s="68">
        <f t="shared" si="103"/>
        <v>308.83544337016576</v>
      </c>
      <c r="Z408" s="63"/>
      <c r="AA408" s="63"/>
    </row>
    <row r="409" spans="1:27" hidden="1" x14ac:dyDescent="0.25">
      <c r="A409" t="str">
        <f t="shared" si="104"/>
        <v>10620064C26/05/2026M</v>
      </c>
      <c r="B409" s="169" t="s">
        <v>826</v>
      </c>
      <c r="C409" s="61" t="s">
        <v>396</v>
      </c>
      <c r="D409" s="61" t="s">
        <v>591</v>
      </c>
      <c r="E409" s="61" t="s">
        <v>810</v>
      </c>
      <c r="F409" s="1" t="s">
        <v>353</v>
      </c>
      <c r="G409" s="62" t="str">
        <f t="shared" si="106"/>
        <v>60617</v>
      </c>
      <c r="H409" s="1">
        <v>10620064</v>
      </c>
      <c r="I409" s="1" t="s">
        <v>388</v>
      </c>
      <c r="J409" s="61">
        <v>41</v>
      </c>
      <c r="K409" s="61">
        <v>3.9</v>
      </c>
      <c r="L409" s="61">
        <v>8.1999999999999993</v>
      </c>
      <c r="M409" s="69">
        <f t="shared" si="94"/>
        <v>1.599</v>
      </c>
      <c r="N409" s="69">
        <f t="shared" si="95"/>
        <v>3.3620000000000001</v>
      </c>
      <c r="O409" s="56">
        <f>INDEX(Rate_Chart!$A$1:$AK$127,MATCH(Data!K409,Rate_Chart!$A$1:$A$127,0),MATCH(Data!L409,Rate_Chart!$A$1:$AK$1,0))</f>
        <v>39.060139800000002</v>
      </c>
      <c r="P409" s="57">
        <f t="shared" si="96"/>
        <v>1601.4657318</v>
      </c>
      <c r="Q409" s="58">
        <f t="shared" si="97"/>
        <v>417.01216868327407</v>
      </c>
      <c r="R409" s="58">
        <f t="shared" si="98"/>
        <v>278.00811245551603</v>
      </c>
      <c r="S409" s="66">
        <f t="shared" si="105"/>
        <v>28.025650306500001</v>
      </c>
      <c r="T409" s="64">
        <f t="shared" si="99"/>
        <v>153.75</v>
      </c>
      <c r="U409" s="66">
        <f t="shared" si="100"/>
        <v>1783.2413821064999</v>
      </c>
      <c r="V409" s="68">
        <f t="shared" si="101"/>
        <v>43.493692246499997</v>
      </c>
      <c r="W409" s="68">
        <f t="shared" si="102"/>
        <v>464.34546882384342</v>
      </c>
      <c r="X409" s="68">
        <f t="shared" si="103"/>
        <v>309.5636458825623</v>
      </c>
      <c r="Z409" s="63"/>
      <c r="AA409" s="63"/>
    </row>
    <row r="410" spans="1:27" hidden="1" x14ac:dyDescent="0.25">
      <c r="A410" t="str">
        <f t="shared" si="104"/>
        <v>10620064B26/05/2026E</v>
      </c>
      <c r="B410" s="169" t="s">
        <v>826</v>
      </c>
      <c r="C410" s="61" t="s">
        <v>397</v>
      </c>
      <c r="D410" s="61" t="s">
        <v>591</v>
      </c>
      <c r="E410" s="61" t="s">
        <v>810</v>
      </c>
      <c r="F410" s="1" t="s">
        <v>353</v>
      </c>
      <c r="G410" s="62" t="str">
        <f t="shared" si="106"/>
        <v>60617</v>
      </c>
      <c r="H410" s="1">
        <v>10620064</v>
      </c>
      <c r="I410" s="1" t="s">
        <v>387</v>
      </c>
      <c r="J410" s="61">
        <v>48</v>
      </c>
      <c r="K410" s="61">
        <v>7.1</v>
      </c>
      <c r="L410" s="61">
        <v>9</v>
      </c>
      <c r="M410" s="69">
        <f t="shared" si="94"/>
        <v>3.4079999999999995</v>
      </c>
      <c r="N410" s="69">
        <f t="shared" si="95"/>
        <v>4.32</v>
      </c>
      <c r="O410" s="56">
        <f>INDEX(Rate_Chart!$A$1:$AK$127,MATCH(Data!K410,Rate_Chart!$A$1:$A$127,0),MATCH(Data!L410,Rate_Chart!$A$1:$AK$1,0))</f>
        <v>59.284999999999997</v>
      </c>
      <c r="P410" s="57">
        <f t="shared" si="96"/>
        <v>2845.68</v>
      </c>
      <c r="Q410" s="58">
        <f t="shared" si="97"/>
        <v>452.55725190839689</v>
      </c>
      <c r="R410" s="58">
        <f t="shared" si="98"/>
        <v>301.70483460559791</v>
      </c>
      <c r="S410" s="66">
        <f t="shared" si="105"/>
        <v>49.799399999999999</v>
      </c>
      <c r="T410" s="64">
        <f t="shared" si="99"/>
        <v>180</v>
      </c>
      <c r="U410" s="66">
        <f t="shared" si="100"/>
        <v>3075.4793999999997</v>
      </c>
      <c r="V410" s="68">
        <f t="shared" si="101"/>
        <v>64.072487499999994</v>
      </c>
      <c r="W410" s="68">
        <f t="shared" si="102"/>
        <v>489.10295801526712</v>
      </c>
      <c r="X410" s="68">
        <f t="shared" si="103"/>
        <v>326.06863867684473</v>
      </c>
      <c r="Z410" s="63"/>
      <c r="AA410" s="63"/>
    </row>
    <row r="411" spans="1:27" hidden="1" x14ac:dyDescent="0.25">
      <c r="A411" t="str">
        <f t="shared" si="104"/>
        <v>10620064C27/05/2026E</v>
      </c>
      <c r="B411" s="169" t="s">
        <v>826</v>
      </c>
      <c r="C411" s="61" t="s">
        <v>397</v>
      </c>
      <c r="D411" s="61" t="s">
        <v>591</v>
      </c>
      <c r="E411" s="61" t="s">
        <v>810</v>
      </c>
      <c r="F411" s="1" t="s">
        <v>353</v>
      </c>
      <c r="G411" s="62" t="str">
        <f t="shared" si="106"/>
        <v>60617</v>
      </c>
      <c r="H411" s="1">
        <v>10620064</v>
      </c>
      <c r="I411" s="1" t="s">
        <v>388</v>
      </c>
      <c r="J411" s="61">
        <v>28</v>
      </c>
      <c r="K411" s="61">
        <v>5.3</v>
      </c>
      <c r="L411" s="61">
        <v>8.5</v>
      </c>
      <c r="M411" s="69">
        <f t="shared" si="94"/>
        <v>1.484</v>
      </c>
      <c r="N411" s="69">
        <f t="shared" si="95"/>
        <v>2.38</v>
      </c>
      <c r="O411" s="56">
        <f>INDEX(Rate_Chart!$A$1:$AK$127,MATCH(Data!K411,Rate_Chart!$A$1:$A$127,0),MATCH(Data!L411,Rate_Chart!$A$1:$AK$1,0))</f>
        <v>45.732181500000003</v>
      </c>
      <c r="P411" s="57">
        <f t="shared" si="96"/>
        <v>1280.501082</v>
      </c>
      <c r="Q411" s="58">
        <f t="shared" si="97"/>
        <v>417.01077355623107</v>
      </c>
      <c r="R411" s="58">
        <f t="shared" si="98"/>
        <v>278.00718237082071</v>
      </c>
      <c r="S411" s="66">
        <f t="shared" si="105"/>
        <v>22.408768935000001</v>
      </c>
      <c r="T411" s="64">
        <f t="shared" si="99"/>
        <v>105</v>
      </c>
      <c r="U411" s="66">
        <f t="shared" si="100"/>
        <v>1407.9098509349999</v>
      </c>
      <c r="V411" s="68">
        <f t="shared" si="101"/>
        <v>50.282494676249996</v>
      </c>
      <c r="W411" s="68">
        <f t="shared" si="102"/>
        <v>458.50299096884498</v>
      </c>
      <c r="X411" s="68">
        <f t="shared" si="103"/>
        <v>305.66866064589664</v>
      </c>
      <c r="Z411" s="63"/>
      <c r="AA411" s="63"/>
    </row>
    <row r="412" spans="1:27" hidden="1" x14ac:dyDescent="0.25">
      <c r="A412" t="str">
        <f t="shared" si="104"/>
        <v>10620064B27/05/2026M</v>
      </c>
      <c r="B412" s="169" t="s">
        <v>827</v>
      </c>
      <c r="C412" s="61" t="s">
        <v>396</v>
      </c>
      <c r="D412" s="61" t="s">
        <v>591</v>
      </c>
      <c r="E412" s="61" t="s">
        <v>810</v>
      </c>
      <c r="F412" s="1" t="s">
        <v>353</v>
      </c>
      <c r="G412" s="62" t="str">
        <f t="shared" si="106"/>
        <v>60617</v>
      </c>
      <c r="H412" s="1">
        <v>10620064</v>
      </c>
      <c r="I412" s="1" t="s">
        <v>387</v>
      </c>
      <c r="J412" s="61">
        <v>15</v>
      </c>
      <c r="K412" s="61">
        <v>7.9</v>
      </c>
      <c r="L412" s="61">
        <v>9</v>
      </c>
      <c r="M412" s="69">
        <f t="shared" si="94"/>
        <v>1.1850000000000001</v>
      </c>
      <c r="N412" s="69">
        <f t="shared" si="95"/>
        <v>1.35</v>
      </c>
      <c r="O412" s="56">
        <f>INDEX(Rate_Chart!$A$1:$AK$127,MATCH(Data!K412,Rate_Chart!$A$1:$A$127,0),MATCH(Data!L412,Rate_Chart!$A$1:$AK$1,0))</f>
        <v>65.965000000000003</v>
      </c>
      <c r="P412" s="57">
        <f t="shared" si="96"/>
        <v>989.47500000000002</v>
      </c>
      <c r="Q412" s="58">
        <f t="shared" si="97"/>
        <v>474.56834532374097</v>
      </c>
      <c r="R412" s="58">
        <f t="shared" si="98"/>
        <v>316.37889688249396</v>
      </c>
      <c r="S412" s="66">
        <f t="shared" si="105"/>
        <v>17.315812500000003</v>
      </c>
      <c r="T412" s="64">
        <f t="shared" si="99"/>
        <v>56.25</v>
      </c>
      <c r="U412" s="66">
        <f t="shared" si="100"/>
        <v>1063.0408125000001</v>
      </c>
      <c r="V412" s="68">
        <f t="shared" si="101"/>
        <v>70.869387500000002</v>
      </c>
      <c r="W412" s="68">
        <f t="shared" si="102"/>
        <v>509.85170863309349</v>
      </c>
      <c r="X412" s="68">
        <f t="shared" si="103"/>
        <v>339.901139088729</v>
      </c>
      <c r="Z412" s="63"/>
      <c r="AA412" s="63"/>
    </row>
    <row r="413" spans="1:27" hidden="1" x14ac:dyDescent="0.25">
      <c r="A413" t="str">
        <f t="shared" si="104"/>
        <v>10620064B27/05/2026E</v>
      </c>
      <c r="B413" s="169" t="s">
        <v>827</v>
      </c>
      <c r="C413" s="61" t="s">
        <v>397</v>
      </c>
      <c r="D413" s="61" t="s">
        <v>591</v>
      </c>
      <c r="E413" s="61" t="s">
        <v>810</v>
      </c>
      <c r="F413" s="1" t="s">
        <v>353</v>
      </c>
      <c r="G413" s="62" t="str">
        <f t="shared" si="106"/>
        <v>60617</v>
      </c>
      <c r="H413" s="1">
        <v>10620064</v>
      </c>
      <c r="I413" s="1" t="s">
        <v>387</v>
      </c>
      <c r="J413" s="61">
        <v>47</v>
      </c>
      <c r="K413" s="61">
        <v>6.6</v>
      </c>
      <c r="L413" s="61">
        <v>9</v>
      </c>
      <c r="M413" s="69">
        <f t="shared" si="94"/>
        <v>3.1019999999999999</v>
      </c>
      <c r="N413" s="69">
        <f t="shared" si="95"/>
        <v>4.2300000000000004</v>
      </c>
      <c r="O413" s="56">
        <f>INDEX(Rate_Chart!$A$1:$AK$127,MATCH(Data!K413,Rate_Chart!$A$1:$A$127,0),MATCH(Data!L413,Rate_Chart!$A$1:$AK$1,0))</f>
        <v>55.11</v>
      </c>
      <c r="P413" s="57">
        <f t="shared" si="96"/>
        <v>2590.17</v>
      </c>
      <c r="Q413" s="58">
        <f t="shared" si="97"/>
        <v>437.38095238095235</v>
      </c>
      <c r="R413" s="58">
        <f t="shared" si="98"/>
        <v>291.58730158730157</v>
      </c>
      <c r="S413" s="66">
        <f t="shared" si="105"/>
        <v>45.327975000000002</v>
      </c>
      <c r="T413" s="64">
        <f t="shared" si="99"/>
        <v>176.25</v>
      </c>
      <c r="U413" s="66">
        <f t="shared" si="100"/>
        <v>2811.7479750000002</v>
      </c>
      <c r="V413" s="68">
        <f t="shared" si="101"/>
        <v>59.824425000000005</v>
      </c>
      <c r="W413" s="68">
        <f t="shared" si="102"/>
        <v>474.79702380952386</v>
      </c>
      <c r="X413" s="68">
        <f t="shared" si="103"/>
        <v>316.53134920634926</v>
      </c>
      <c r="Z413" s="63"/>
      <c r="AA413" s="63"/>
    </row>
    <row r="414" spans="1:27" hidden="1" x14ac:dyDescent="0.25">
      <c r="A414" t="str">
        <f t="shared" si="104"/>
        <v>10620064C28/05/2026E</v>
      </c>
      <c r="B414" s="169" t="s">
        <v>827</v>
      </c>
      <c r="C414" s="61" t="s">
        <v>397</v>
      </c>
      <c r="D414" s="61" t="s">
        <v>591</v>
      </c>
      <c r="E414" s="61" t="s">
        <v>810</v>
      </c>
      <c r="F414" s="1" t="s">
        <v>353</v>
      </c>
      <c r="G414" s="62" t="str">
        <f t="shared" si="106"/>
        <v>60617</v>
      </c>
      <c r="H414" s="1">
        <v>10620064</v>
      </c>
      <c r="I414" s="1" t="s">
        <v>388</v>
      </c>
      <c r="J414" s="61">
        <v>25</v>
      </c>
      <c r="K414" s="61">
        <v>3.3</v>
      </c>
      <c r="L414" s="61">
        <v>8.4</v>
      </c>
      <c r="M414" s="69">
        <f t="shared" ref="M414:M477" si="107">K414*J414/100</f>
        <v>0.82499999999999996</v>
      </c>
      <c r="N414" s="69">
        <f t="shared" ref="N414:N477" si="108">L414*J414/100</f>
        <v>2.1</v>
      </c>
      <c r="O414" s="56">
        <f>INDEX(Rate_Chart!$A$1:$AK$127,MATCH(Data!K414,Rate_Chart!$A$1:$A$127,0),MATCH(Data!L414,Rate_Chart!$A$1:$AK$1,0))</f>
        <v>37.114167600000009</v>
      </c>
      <c r="P414" s="57">
        <f t="shared" ref="P414:P477" si="109">O414*J414</f>
        <v>927.85419000000024</v>
      </c>
      <c r="Q414" s="58">
        <f t="shared" ref="Q414:Q477" si="110">O414/(K414%+L414%*2/3)</f>
        <v>417.01311910112372</v>
      </c>
      <c r="R414" s="58">
        <f t="shared" ref="R414:R477" si="111">Q414*2/3</f>
        <v>278.00874606741581</v>
      </c>
      <c r="S414" s="66">
        <f t="shared" ref="S414:S477" si="112">P414*1.75%</f>
        <v>16.237448325000006</v>
      </c>
      <c r="T414" s="64">
        <f t="shared" ref="T414:T477" si="113">J414*3.75</f>
        <v>93.75</v>
      </c>
      <c r="U414" s="66">
        <f t="shared" ref="U414:U477" si="114">S414+T414+P414</f>
        <v>1037.8416383250003</v>
      </c>
      <c r="V414" s="68">
        <f t="shared" ref="V414:V477" si="115">U414/J414</f>
        <v>41.513665533000015</v>
      </c>
      <c r="W414" s="68">
        <f t="shared" ref="W414:W477" si="116">V414/(K414%+L414%*2/3)</f>
        <v>466.44568014606762</v>
      </c>
      <c r="X414" s="68">
        <f t="shared" ref="X414:X477" si="117">W414*2/3</f>
        <v>310.9637867640451</v>
      </c>
      <c r="Z414" s="63"/>
      <c r="AA414" s="63"/>
    </row>
    <row r="415" spans="1:27" hidden="1" x14ac:dyDescent="0.25">
      <c r="A415" t="str">
        <f t="shared" si="104"/>
        <v>10620064B28/05/2026M</v>
      </c>
      <c r="B415" s="169" t="s">
        <v>828</v>
      </c>
      <c r="C415" s="61" t="s">
        <v>396</v>
      </c>
      <c r="D415" s="61" t="s">
        <v>591</v>
      </c>
      <c r="E415" s="61" t="s">
        <v>810</v>
      </c>
      <c r="F415" s="1" t="s">
        <v>353</v>
      </c>
      <c r="G415" s="62" t="str">
        <f t="shared" si="106"/>
        <v>60617</v>
      </c>
      <c r="H415" s="1">
        <v>10620064</v>
      </c>
      <c r="I415" s="1" t="s">
        <v>387</v>
      </c>
      <c r="J415" s="61">
        <v>57</v>
      </c>
      <c r="K415" s="61">
        <v>6.5</v>
      </c>
      <c r="L415" s="61">
        <v>9</v>
      </c>
      <c r="M415" s="69">
        <f t="shared" si="107"/>
        <v>3.7050000000000001</v>
      </c>
      <c r="N415" s="69">
        <f t="shared" si="108"/>
        <v>5.13</v>
      </c>
      <c r="O415" s="56">
        <f>INDEX(Rate_Chart!$A$1:$AK$127,MATCH(Data!K415,Rate_Chart!$A$1:$A$127,0),MATCH(Data!L415,Rate_Chart!$A$1:$AK$1,0))</f>
        <v>54.274999999999999</v>
      </c>
      <c r="P415" s="57">
        <f t="shared" si="109"/>
        <v>3093.6749999999997</v>
      </c>
      <c r="Q415" s="58">
        <f t="shared" si="110"/>
        <v>434.2</v>
      </c>
      <c r="R415" s="58">
        <f t="shared" si="111"/>
        <v>289.46666666666664</v>
      </c>
      <c r="S415" s="66">
        <f t="shared" si="112"/>
        <v>54.139312500000003</v>
      </c>
      <c r="T415" s="64">
        <f t="shared" si="113"/>
        <v>213.75</v>
      </c>
      <c r="U415" s="66">
        <f t="shared" si="114"/>
        <v>3361.5643124999997</v>
      </c>
      <c r="V415" s="68">
        <f t="shared" si="115"/>
        <v>58.974812499999992</v>
      </c>
      <c r="W415" s="68">
        <f t="shared" si="116"/>
        <v>471.79849999999993</v>
      </c>
      <c r="X415" s="68">
        <f t="shared" si="117"/>
        <v>314.53233333333327</v>
      </c>
      <c r="Z415" s="63"/>
      <c r="AA415" s="63"/>
    </row>
    <row r="416" spans="1:27" hidden="1" x14ac:dyDescent="0.25">
      <c r="A416" t="str">
        <f t="shared" si="104"/>
        <v>10620064C28/05/2026M</v>
      </c>
      <c r="B416" s="169" t="s">
        <v>828</v>
      </c>
      <c r="C416" s="61" t="s">
        <v>396</v>
      </c>
      <c r="D416" s="61" t="s">
        <v>591</v>
      </c>
      <c r="E416" s="61" t="s">
        <v>810</v>
      </c>
      <c r="F416" s="1" t="s">
        <v>353</v>
      </c>
      <c r="G416" s="62" t="str">
        <f t="shared" si="106"/>
        <v>60617</v>
      </c>
      <c r="H416" s="1">
        <v>10620064</v>
      </c>
      <c r="I416" s="1" t="s">
        <v>388</v>
      </c>
      <c r="J416" s="61">
        <v>35</v>
      </c>
      <c r="K416" s="61">
        <v>4</v>
      </c>
      <c r="L416" s="61">
        <v>8.1999999999999993</v>
      </c>
      <c r="M416" s="69">
        <f t="shared" si="107"/>
        <v>1.4</v>
      </c>
      <c r="N416" s="69">
        <f t="shared" si="108"/>
        <v>2.87</v>
      </c>
      <c r="O416" s="56">
        <f>INDEX(Rate_Chart!$A$1:$AK$127,MATCH(Data!K416,Rate_Chart!$A$1:$A$127,0),MATCH(Data!L416,Rate_Chart!$A$1:$AK$1,0))</f>
        <v>39.477139800000003</v>
      </c>
      <c r="P416" s="57">
        <f t="shared" si="109"/>
        <v>1381.6998930000002</v>
      </c>
      <c r="Q416" s="58">
        <f t="shared" si="110"/>
        <v>417.0120401408451</v>
      </c>
      <c r="R416" s="58">
        <f t="shared" si="111"/>
        <v>278.00802676056338</v>
      </c>
      <c r="S416" s="66">
        <f t="shared" si="112"/>
        <v>24.179748127500005</v>
      </c>
      <c r="T416" s="64">
        <f t="shared" si="113"/>
        <v>131.25</v>
      </c>
      <c r="U416" s="66">
        <f t="shared" si="114"/>
        <v>1537.1296411275002</v>
      </c>
      <c r="V416" s="68">
        <f t="shared" si="115"/>
        <v>43.917989746500005</v>
      </c>
      <c r="W416" s="68">
        <f t="shared" si="116"/>
        <v>463.92242689964797</v>
      </c>
      <c r="X416" s="68">
        <f t="shared" si="117"/>
        <v>309.28161793309863</v>
      </c>
      <c r="Z416" s="63"/>
      <c r="AA416" s="63"/>
    </row>
    <row r="417" spans="1:27" hidden="1" x14ac:dyDescent="0.25">
      <c r="A417" t="str">
        <f t="shared" si="104"/>
        <v>10620064B28/05/2026E</v>
      </c>
      <c r="B417" s="169" t="s">
        <v>828</v>
      </c>
      <c r="C417" s="61" t="s">
        <v>397</v>
      </c>
      <c r="D417" s="61" t="s">
        <v>591</v>
      </c>
      <c r="E417" s="61" t="s">
        <v>810</v>
      </c>
      <c r="F417" s="1" t="s">
        <v>353</v>
      </c>
      <c r="G417" s="62" t="str">
        <f t="shared" si="106"/>
        <v>60617</v>
      </c>
      <c r="H417" s="1">
        <v>10620064</v>
      </c>
      <c r="I417" s="1" t="s">
        <v>387</v>
      </c>
      <c r="J417" s="61">
        <v>50</v>
      </c>
      <c r="K417" s="61">
        <v>6.1</v>
      </c>
      <c r="L417" s="61">
        <v>8.8000000000000007</v>
      </c>
      <c r="M417" s="69">
        <f t="shared" si="107"/>
        <v>3.05</v>
      </c>
      <c r="N417" s="69">
        <f t="shared" si="108"/>
        <v>4.4000000000000004</v>
      </c>
      <c r="O417" s="56">
        <f>INDEX(Rate_Chart!$A$1:$AK$127,MATCH(Data!K417,Rate_Chart!$A$1:$A$127,0),MATCH(Data!L417,Rate_Chart!$A$1:$AK$1,0))</f>
        <v>50.425650000000005</v>
      </c>
      <c r="P417" s="57">
        <f t="shared" si="109"/>
        <v>2521.2825000000003</v>
      </c>
      <c r="Q417" s="58">
        <f t="shared" si="110"/>
        <v>421.38426183844012</v>
      </c>
      <c r="R417" s="58">
        <f t="shared" si="111"/>
        <v>280.92284122562677</v>
      </c>
      <c r="S417" s="66">
        <f t="shared" si="112"/>
        <v>44.122443750000009</v>
      </c>
      <c r="T417" s="64">
        <f t="shared" si="113"/>
        <v>187.5</v>
      </c>
      <c r="U417" s="66">
        <f t="shared" si="114"/>
        <v>2752.9049437500003</v>
      </c>
      <c r="V417" s="68">
        <f t="shared" si="115"/>
        <v>55.058098875000006</v>
      </c>
      <c r="W417" s="68">
        <f t="shared" si="116"/>
        <v>460.09553377437328</v>
      </c>
      <c r="X417" s="68">
        <f t="shared" si="117"/>
        <v>306.73035584958217</v>
      </c>
      <c r="Z417" s="63"/>
      <c r="AA417" s="63"/>
    </row>
    <row r="418" spans="1:27" hidden="1" x14ac:dyDescent="0.25">
      <c r="A418" t="str">
        <f t="shared" si="104"/>
        <v>10620064C22/05/2026E</v>
      </c>
      <c r="B418" s="169" t="s">
        <v>828</v>
      </c>
      <c r="C418" s="61" t="s">
        <v>397</v>
      </c>
      <c r="D418" s="61" t="s">
        <v>591</v>
      </c>
      <c r="E418" s="61" t="s">
        <v>810</v>
      </c>
      <c r="F418" s="1" t="s">
        <v>353</v>
      </c>
      <c r="G418" s="62" t="str">
        <f t="shared" si="106"/>
        <v>60617</v>
      </c>
      <c r="H418" s="1">
        <v>10620064</v>
      </c>
      <c r="I418" s="1" t="s">
        <v>388</v>
      </c>
      <c r="J418" s="61">
        <v>29</v>
      </c>
      <c r="K418" s="61">
        <v>3.1</v>
      </c>
      <c r="L418" s="61">
        <v>8.1</v>
      </c>
      <c r="M418" s="69">
        <f t="shared" si="107"/>
        <v>0.89900000000000002</v>
      </c>
      <c r="N418" s="69">
        <f t="shared" si="108"/>
        <v>2.3489999999999998</v>
      </c>
      <c r="O418" s="56">
        <f>INDEX(Rate_Chart!$A$1:$AK$127,MATCH(Data!K418,Rate_Chart!$A$1:$A$127,0),MATCH(Data!L418,Rate_Chart!$A$1:$AK$1,0))</f>
        <v>35.446125899999998</v>
      </c>
      <c r="P418" s="57">
        <f t="shared" si="109"/>
        <v>1027.9376511</v>
      </c>
      <c r="Q418" s="58">
        <f t="shared" si="110"/>
        <v>417.01324588235298</v>
      </c>
      <c r="R418" s="58">
        <f t="shared" si="111"/>
        <v>278.0088305882353</v>
      </c>
      <c r="S418" s="66">
        <f t="shared" si="112"/>
        <v>17.988908894250002</v>
      </c>
      <c r="T418" s="64">
        <f t="shared" si="113"/>
        <v>108.75</v>
      </c>
      <c r="U418" s="66">
        <f t="shared" si="114"/>
        <v>1154.6765599942501</v>
      </c>
      <c r="V418" s="68">
        <f t="shared" si="115"/>
        <v>39.816433103249999</v>
      </c>
      <c r="W418" s="68">
        <f t="shared" si="116"/>
        <v>468.42862474411766</v>
      </c>
      <c r="X418" s="68">
        <f t="shared" si="117"/>
        <v>312.28574982941177</v>
      </c>
      <c r="Z418" s="63"/>
      <c r="AA418" s="63"/>
    </row>
    <row r="419" spans="1:27" hidden="1" x14ac:dyDescent="0.25">
      <c r="A419" t="str">
        <f t="shared" si="104"/>
        <v>10620077B22/05/2026M</v>
      </c>
      <c r="B419" s="169" t="s">
        <v>822</v>
      </c>
      <c r="C419" s="61" t="s">
        <v>396</v>
      </c>
      <c r="D419" s="61" t="s">
        <v>591</v>
      </c>
      <c r="E419" s="61" t="s">
        <v>810</v>
      </c>
      <c r="F419" s="1" t="s">
        <v>354</v>
      </c>
      <c r="G419" s="62" t="str">
        <f t="shared" si="106"/>
        <v>60627</v>
      </c>
      <c r="H419" s="1">
        <v>10620077</v>
      </c>
      <c r="I419" s="1" t="s">
        <v>387</v>
      </c>
      <c r="J419" s="61">
        <v>22</v>
      </c>
      <c r="K419" s="61">
        <v>6.6</v>
      </c>
      <c r="L419" s="61">
        <v>8.8000000000000007</v>
      </c>
      <c r="M419" s="69">
        <f t="shared" si="107"/>
        <v>1.452</v>
      </c>
      <c r="N419" s="69">
        <f t="shared" si="108"/>
        <v>1.9360000000000002</v>
      </c>
      <c r="O419" s="56">
        <v>54.558900000000001</v>
      </c>
      <c r="P419" s="57">
        <f t="shared" si="109"/>
        <v>1200.2958000000001</v>
      </c>
      <c r="Q419" s="58">
        <f t="shared" si="110"/>
        <v>437.63823529411764</v>
      </c>
      <c r="R419" s="58">
        <f t="shared" si="111"/>
        <v>291.75882352941176</v>
      </c>
      <c r="S419" s="66">
        <f t="shared" si="112"/>
        <v>21.005176500000005</v>
      </c>
      <c r="T419" s="64">
        <f t="shared" si="113"/>
        <v>82.5</v>
      </c>
      <c r="U419" s="66">
        <f t="shared" si="114"/>
        <v>1303.8009765000002</v>
      </c>
      <c r="V419" s="68">
        <f t="shared" si="115"/>
        <v>59.263680750000006</v>
      </c>
      <c r="W419" s="68">
        <f t="shared" si="116"/>
        <v>475.37711831550803</v>
      </c>
      <c r="X419" s="68">
        <f t="shared" si="117"/>
        <v>316.91807887700537</v>
      </c>
      <c r="Z419" s="63"/>
      <c r="AA419" s="63"/>
    </row>
    <row r="420" spans="1:27" hidden="1" x14ac:dyDescent="0.25">
      <c r="A420" t="str">
        <f t="shared" si="104"/>
        <v>10620077C22/05/2026M</v>
      </c>
      <c r="B420" s="169" t="s">
        <v>822</v>
      </c>
      <c r="C420" s="61" t="s">
        <v>396</v>
      </c>
      <c r="D420" s="61" t="s">
        <v>591</v>
      </c>
      <c r="E420" s="61" t="s">
        <v>810</v>
      </c>
      <c r="F420" s="1" t="s">
        <v>354</v>
      </c>
      <c r="G420" s="62" t="str">
        <f t="shared" si="106"/>
        <v>60627</v>
      </c>
      <c r="H420" s="1">
        <v>10620077</v>
      </c>
      <c r="I420" s="1" t="s">
        <v>388</v>
      </c>
      <c r="J420" s="61">
        <v>40</v>
      </c>
      <c r="K420" s="61">
        <v>3.6</v>
      </c>
      <c r="L420" s="61">
        <v>8</v>
      </c>
      <c r="M420" s="69">
        <f t="shared" si="107"/>
        <v>1.44</v>
      </c>
      <c r="N420" s="69">
        <f t="shared" si="108"/>
        <v>3.2</v>
      </c>
      <c r="O420" s="56">
        <v>35.377056000000003</v>
      </c>
      <c r="P420" s="57">
        <f t="shared" si="109"/>
        <v>1415.0822400000002</v>
      </c>
      <c r="Q420" s="58">
        <f t="shared" si="110"/>
        <v>396.01182089552236</v>
      </c>
      <c r="R420" s="58">
        <f t="shared" si="111"/>
        <v>264.00788059701489</v>
      </c>
      <c r="S420" s="66">
        <f t="shared" si="112"/>
        <v>24.763939200000006</v>
      </c>
      <c r="T420" s="64">
        <f t="shared" si="113"/>
        <v>150</v>
      </c>
      <c r="U420" s="66">
        <f t="shared" si="114"/>
        <v>1589.8461792000003</v>
      </c>
      <c r="V420" s="68">
        <f t="shared" si="115"/>
        <v>39.746154480000008</v>
      </c>
      <c r="W420" s="68">
        <f t="shared" si="116"/>
        <v>444.91963970149254</v>
      </c>
      <c r="X420" s="68">
        <f t="shared" si="117"/>
        <v>296.61309313432838</v>
      </c>
      <c r="Z420" s="63"/>
      <c r="AA420" s="63"/>
    </row>
    <row r="421" spans="1:27" hidden="1" x14ac:dyDescent="0.25">
      <c r="A421" t="str">
        <f t="shared" si="104"/>
        <v>10620077C23/05/2026E</v>
      </c>
      <c r="B421" s="169" t="s">
        <v>822</v>
      </c>
      <c r="C421" s="61" t="s">
        <v>397</v>
      </c>
      <c r="D421" s="61" t="s">
        <v>591</v>
      </c>
      <c r="E421" s="61" t="s">
        <v>810</v>
      </c>
      <c r="F421" s="1" t="s">
        <v>354</v>
      </c>
      <c r="G421" s="62" t="str">
        <f t="shared" si="106"/>
        <v>60627</v>
      </c>
      <c r="H421" s="1">
        <v>10620077</v>
      </c>
      <c r="I421" s="1" t="s">
        <v>388</v>
      </c>
      <c r="J421" s="61">
        <v>10</v>
      </c>
      <c r="K421" s="61">
        <v>3</v>
      </c>
      <c r="L421" s="61">
        <v>8</v>
      </c>
      <c r="M421" s="69">
        <f t="shared" si="107"/>
        <v>0.3</v>
      </c>
      <c r="N421" s="69">
        <f t="shared" si="108"/>
        <v>0.8</v>
      </c>
      <c r="O421" s="56">
        <v>33.001056000000005</v>
      </c>
      <c r="P421" s="57">
        <f t="shared" si="109"/>
        <v>330.01056000000005</v>
      </c>
      <c r="Q421" s="58">
        <f t="shared" si="110"/>
        <v>396.01267200000001</v>
      </c>
      <c r="R421" s="58">
        <f t="shared" si="111"/>
        <v>264.00844799999999</v>
      </c>
      <c r="S421" s="66">
        <f t="shared" si="112"/>
        <v>5.7751848000000017</v>
      </c>
      <c r="T421" s="64">
        <f t="shared" si="113"/>
        <v>37.5</v>
      </c>
      <c r="U421" s="66">
        <f t="shared" si="114"/>
        <v>373.28574480000009</v>
      </c>
      <c r="V421" s="68">
        <f t="shared" si="115"/>
        <v>37.328574480000007</v>
      </c>
      <c r="W421" s="68">
        <f t="shared" si="116"/>
        <v>447.94289376000006</v>
      </c>
      <c r="X421" s="68">
        <f t="shared" si="117"/>
        <v>298.62859584000006</v>
      </c>
      <c r="Z421" s="63"/>
      <c r="AA421" s="63"/>
    </row>
    <row r="422" spans="1:27" hidden="1" x14ac:dyDescent="0.25">
      <c r="A422" t="str">
        <f t="shared" si="104"/>
        <v>10620077B23/05/2026M</v>
      </c>
      <c r="B422" s="169" t="s">
        <v>823</v>
      </c>
      <c r="C422" s="61" t="s">
        <v>396</v>
      </c>
      <c r="D422" s="61" t="s">
        <v>591</v>
      </c>
      <c r="E422" s="61" t="s">
        <v>810</v>
      </c>
      <c r="F422" s="1" t="s">
        <v>354</v>
      </c>
      <c r="G422" s="62" t="str">
        <f t="shared" si="106"/>
        <v>60627</v>
      </c>
      <c r="H422" s="1">
        <v>10620077</v>
      </c>
      <c r="I422" s="1" t="s">
        <v>387</v>
      </c>
      <c r="J422" s="61">
        <v>25</v>
      </c>
      <c r="K422" s="61">
        <v>6.7</v>
      </c>
      <c r="L422" s="61">
        <v>8.6</v>
      </c>
      <c r="M422" s="69">
        <f t="shared" si="107"/>
        <v>1.675</v>
      </c>
      <c r="N422" s="69">
        <f t="shared" si="108"/>
        <v>2.15</v>
      </c>
      <c r="O422" s="56">
        <v>54.826099999999997</v>
      </c>
      <c r="P422" s="57">
        <f t="shared" si="109"/>
        <v>1370.6524999999999</v>
      </c>
      <c r="Q422" s="58">
        <f t="shared" si="110"/>
        <v>440.96058981233244</v>
      </c>
      <c r="R422" s="58">
        <f t="shared" si="111"/>
        <v>293.97372654155498</v>
      </c>
      <c r="S422" s="66">
        <f t="shared" si="112"/>
        <v>23.986418750000002</v>
      </c>
      <c r="T422" s="64">
        <f t="shared" si="113"/>
        <v>93.75</v>
      </c>
      <c r="U422" s="66">
        <f t="shared" si="114"/>
        <v>1488.3889187499999</v>
      </c>
      <c r="V422" s="68">
        <f t="shared" si="115"/>
        <v>59.535556749999998</v>
      </c>
      <c r="W422" s="68">
        <f t="shared" si="116"/>
        <v>478.83825804289546</v>
      </c>
      <c r="X422" s="68">
        <f t="shared" si="117"/>
        <v>319.22550536193029</v>
      </c>
      <c r="Z422" s="63"/>
      <c r="AA422" s="63"/>
    </row>
    <row r="423" spans="1:27" hidden="1" x14ac:dyDescent="0.25">
      <c r="A423" t="str">
        <f t="shared" si="104"/>
        <v>10620077C24/05/2026E</v>
      </c>
      <c r="B423" s="169" t="s">
        <v>823</v>
      </c>
      <c r="C423" s="61" t="s">
        <v>397</v>
      </c>
      <c r="D423" s="61" t="s">
        <v>591</v>
      </c>
      <c r="E423" s="61" t="s">
        <v>810</v>
      </c>
      <c r="F423" s="1" t="s">
        <v>354</v>
      </c>
      <c r="G423" s="62" t="str">
        <f t="shared" si="106"/>
        <v>60627</v>
      </c>
      <c r="H423" s="1">
        <v>10620077</v>
      </c>
      <c r="I423" s="1" t="s">
        <v>388</v>
      </c>
      <c r="J423" s="61">
        <v>13</v>
      </c>
      <c r="K423" s="61">
        <v>4.5</v>
      </c>
      <c r="L423" s="61">
        <v>8</v>
      </c>
      <c r="M423" s="69">
        <f t="shared" si="107"/>
        <v>0.58499999999999996</v>
      </c>
      <c r="N423" s="69">
        <f t="shared" si="108"/>
        <v>1.04</v>
      </c>
      <c r="O423" s="56">
        <v>38.941056000000003</v>
      </c>
      <c r="P423" s="57">
        <f t="shared" si="109"/>
        <v>506.23372800000004</v>
      </c>
      <c r="Q423" s="58">
        <f t="shared" si="110"/>
        <v>396.01073898305089</v>
      </c>
      <c r="R423" s="58">
        <f t="shared" si="111"/>
        <v>264.00715932203394</v>
      </c>
      <c r="S423" s="66">
        <f t="shared" si="112"/>
        <v>8.8590902400000022</v>
      </c>
      <c r="T423" s="64">
        <f t="shared" si="113"/>
        <v>48.75</v>
      </c>
      <c r="U423" s="66">
        <f t="shared" si="114"/>
        <v>563.84281824000004</v>
      </c>
      <c r="V423" s="68">
        <f t="shared" si="115"/>
        <v>43.372524480000003</v>
      </c>
      <c r="W423" s="68">
        <f t="shared" si="116"/>
        <v>441.07652013559328</v>
      </c>
      <c r="X423" s="68">
        <f t="shared" si="117"/>
        <v>294.05101342372888</v>
      </c>
      <c r="Z423" s="63"/>
      <c r="AA423" s="63"/>
    </row>
    <row r="424" spans="1:27" hidden="1" x14ac:dyDescent="0.25">
      <c r="A424" t="str">
        <f t="shared" si="104"/>
        <v>10620077C24/05/2026M</v>
      </c>
      <c r="B424" s="169" t="s">
        <v>824</v>
      </c>
      <c r="C424" s="61" t="s">
        <v>396</v>
      </c>
      <c r="D424" s="61" t="s">
        <v>591</v>
      </c>
      <c r="E424" s="61" t="s">
        <v>810</v>
      </c>
      <c r="F424" s="1" t="s">
        <v>354</v>
      </c>
      <c r="G424" s="62" t="str">
        <f t="shared" si="106"/>
        <v>60627</v>
      </c>
      <c r="H424" s="1">
        <v>10620077</v>
      </c>
      <c r="I424" s="1" t="s">
        <v>388</v>
      </c>
      <c r="J424" s="61">
        <v>101</v>
      </c>
      <c r="K424" s="61">
        <v>3.3</v>
      </c>
      <c r="L424" s="61">
        <v>8</v>
      </c>
      <c r="M424" s="69">
        <f t="shared" si="107"/>
        <v>3.3329999999999997</v>
      </c>
      <c r="N424" s="69">
        <f t="shared" si="108"/>
        <v>8.08</v>
      </c>
      <c r="O424" s="56">
        <v>34.189056000000008</v>
      </c>
      <c r="P424" s="57">
        <f t="shared" si="109"/>
        <v>3453.0946560000007</v>
      </c>
      <c r="Q424" s="58">
        <f t="shared" si="110"/>
        <v>396.01223166023169</v>
      </c>
      <c r="R424" s="58">
        <f t="shared" si="111"/>
        <v>264.00815444015444</v>
      </c>
      <c r="S424" s="66">
        <f t="shared" si="112"/>
        <v>60.429156480000017</v>
      </c>
      <c r="T424" s="64">
        <f t="shared" si="113"/>
        <v>378.75</v>
      </c>
      <c r="U424" s="66">
        <f t="shared" si="114"/>
        <v>3892.2738124800007</v>
      </c>
      <c r="V424" s="68">
        <f t="shared" si="115"/>
        <v>38.537364480000008</v>
      </c>
      <c r="W424" s="68">
        <f t="shared" si="116"/>
        <v>446.37873915057918</v>
      </c>
      <c r="X424" s="68">
        <f t="shared" si="117"/>
        <v>297.5858261003861</v>
      </c>
      <c r="Z424" s="63"/>
      <c r="AA424" s="63"/>
    </row>
    <row r="425" spans="1:27" hidden="1" x14ac:dyDescent="0.25">
      <c r="A425" t="str">
        <f t="shared" si="104"/>
        <v>10620077C25/05/2026E</v>
      </c>
      <c r="B425" s="169" t="s">
        <v>824</v>
      </c>
      <c r="C425" s="61" t="s">
        <v>397</v>
      </c>
      <c r="D425" s="61" t="s">
        <v>591</v>
      </c>
      <c r="E425" s="61" t="s">
        <v>810</v>
      </c>
      <c r="F425" s="1" t="s">
        <v>354</v>
      </c>
      <c r="G425" s="62" t="str">
        <f t="shared" si="106"/>
        <v>60627</v>
      </c>
      <c r="H425" s="1">
        <v>10620077</v>
      </c>
      <c r="I425" s="1" t="s">
        <v>388</v>
      </c>
      <c r="J425" s="61">
        <v>10</v>
      </c>
      <c r="K425" s="61">
        <v>3</v>
      </c>
      <c r="L425" s="61">
        <v>8</v>
      </c>
      <c r="M425" s="69">
        <f t="shared" si="107"/>
        <v>0.3</v>
      </c>
      <c r="N425" s="69">
        <f t="shared" si="108"/>
        <v>0.8</v>
      </c>
      <c r="O425" s="56">
        <v>33.001056000000005</v>
      </c>
      <c r="P425" s="57">
        <f t="shared" si="109"/>
        <v>330.01056000000005</v>
      </c>
      <c r="Q425" s="58">
        <f t="shared" si="110"/>
        <v>396.01267200000001</v>
      </c>
      <c r="R425" s="58">
        <f t="shared" si="111"/>
        <v>264.00844799999999</v>
      </c>
      <c r="S425" s="66">
        <f t="shared" si="112"/>
        <v>5.7751848000000017</v>
      </c>
      <c r="T425" s="64">
        <f t="shared" si="113"/>
        <v>37.5</v>
      </c>
      <c r="U425" s="66">
        <f t="shared" si="114"/>
        <v>373.28574480000009</v>
      </c>
      <c r="V425" s="68">
        <f t="shared" si="115"/>
        <v>37.328574480000007</v>
      </c>
      <c r="W425" s="68">
        <f t="shared" si="116"/>
        <v>447.94289376000006</v>
      </c>
      <c r="X425" s="68">
        <f t="shared" si="117"/>
        <v>298.62859584000006</v>
      </c>
      <c r="Z425" s="63"/>
      <c r="AA425" s="63"/>
    </row>
    <row r="426" spans="1:27" hidden="1" x14ac:dyDescent="0.25">
      <c r="A426" t="str">
        <f t="shared" si="104"/>
        <v>10620077B25/05/2026M</v>
      </c>
      <c r="B426" s="169" t="s">
        <v>825</v>
      </c>
      <c r="C426" s="61" t="s">
        <v>396</v>
      </c>
      <c r="D426" s="61" t="s">
        <v>591</v>
      </c>
      <c r="E426" s="61" t="s">
        <v>810</v>
      </c>
      <c r="F426" s="1" t="s">
        <v>354</v>
      </c>
      <c r="G426" s="62" t="str">
        <f t="shared" si="106"/>
        <v>60627</v>
      </c>
      <c r="H426" s="1">
        <v>10620077</v>
      </c>
      <c r="I426" s="1" t="s">
        <v>387</v>
      </c>
      <c r="J426" s="61">
        <v>31</v>
      </c>
      <c r="K426" s="61">
        <v>8</v>
      </c>
      <c r="L426" s="61">
        <v>9</v>
      </c>
      <c r="M426" s="69">
        <f t="shared" si="107"/>
        <v>2.48</v>
      </c>
      <c r="N426" s="69">
        <f t="shared" si="108"/>
        <v>2.79</v>
      </c>
      <c r="O426" s="56">
        <v>66.8</v>
      </c>
      <c r="P426" s="57">
        <f t="shared" si="109"/>
        <v>2070.7999999999997</v>
      </c>
      <c r="Q426" s="58">
        <f t="shared" si="110"/>
        <v>477.14285714285705</v>
      </c>
      <c r="R426" s="58">
        <f t="shared" si="111"/>
        <v>318.09523809523802</v>
      </c>
      <c r="S426" s="66">
        <f t="shared" si="112"/>
        <v>36.238999999999997</v>
      </c>
      <c r="T426" s="64">
        <f t="shared" si="113"/>
        <v>116.25</v>
      </c>
      <c r="U426" s="66">
        <f t="shared" si="114"/>
        <v>2223.2889999999998</v>
      </c>
      <c r="V426" s="68">
        <f t="shared" si="115"/>
        <v>71.718999999999994</v>
      </c>
      <c r="W426" s="68">
        <f t="shared" si="116"/>
        <v>512.27857142857135</v>
      </c>
      <c r="X426" s="68">
        <f t="shared" si="117"/>
        <v>341.51904761904757</v>
      </c>
      <c r="Z426" s="63"/>
      <c r="AA426" s="63"/>
    </row>
    <row r="427" spans="1:27" hidden="1" x14ac:dyDescent="0.25">
      <c r="A427" t="str">
        <f t="shared" si="104"/>
        <v>10620077C25/05/2026M</v>
      </c>
      <c r="B427" s="169" t="s">
        <v>825</v>
      </c>
      <c r="C427" s="61" t="s">
        <v>396</v>
      </c>
      <c r="D427" s="61" t="s">
        <v>591</v>
      </c>
      <c r="E427" s="61" t="s">
        <v>810</v>
      </c>
      <c r="F427" s="1" t="s">
        <v>354</v>
      </c>
      <c r="G427" s="62" t="str">
        <f t="shared" si="106"/>
        <v>60627</v>
      </c>
      <c r="H427" s="1">
        <v>10620077</v>
      </c>
      <c r="I427" s="1" t="s">
        <v>388</v>
      </c>
      <c r="J427" s="61">
        <v>38</v>
      </c>
      <c r="K427" s="61">
        <v>3.3</v>
      </c>
      <c r="L427" s="61">
        <v>8</v>
      </c>
      <c r="M427" s="69">
        <f t="shared" si="107"/>
        <v>1.254</v>
      </c>
      <c r="N427" s="69">
        <f t="shared" si="108"/>
        <v>3.04</v>
      </c>
      <c r="O427" s="56">
        <v>34.189056000000008</v>
      </c>
      <c r="P427" s="57">
        <f t="shared" si="109"/>
        <v>1299.1841280000003</v>
      </c>
      <c r="Q427" s="58">
        <f t="shared" si="110"/>
        <v>396.01223166023169</v>
      </c>
      <c r="R427" s="58">
        <f t="shared" si="111"/>
        <v>264.00815444015444</v>
      </c>
      <c r="S427" s="66">
        <f t="shared" si="112"/>
        <v>22.735722240000008</v>
      </c>
      <c r="T427" s="64">
        <f t="shared" si="113"/>
        <v>142.5</v>
      </c>
      <c r="U427" s="66">
        <f t="shared" si="114"/>
        <v>1464.4198502400004</v>
      </c>
      <c r="V427" s="68">
        <f t="shared" si="115"/>
        <v>38.537364480000008</v>
      </c>
      <c r="W427" s="68">
        <f t="shared" si="116"/>
        <v>446.37873915057918</v>
      </c>
      <c r="X427" s="68">
        <f t="shared" si="117"/>
        <v>297.5858261003861</v>
      </c>
      <c r="Z427" s="63"/>
      <c r="AA427" s="63"/>
    </row>
    <row r="428" spans="1:27" hidden="1" x14ac:dyDescent="0.25">
      <c r="A428" t="str">
        <f t="shared" si="104"/>
        <v>10620077C26/05/2026E</v>
      </c>
      <c r="B428" s="169" t="s">
        <v>825</v>
      </c>
      <c r="C428" s="61" t="s">
        <v>397</v>
      </c>
      <c r="D428" s="61" t="s">
        <v>591</v>
      </c>
      <c r="E428" s="61" t="s">
        <v>810</v>
      </c>
      <c r="F428" s="1" t="s">
        <v>354</v>
      </c>
      <c r="G428" s="62" t="str">
        <f t="shared" si="106"/>
        <v>60627</v>
      </c>
      <c r="H428" s="1">
        <v>10620077</v>
      </c>
      <c r="I428" s="1" t="s">
        <v>388</v>
      </c>
      <c r="J428" s="61">
        <v>15</v>
      </c>
      <c r="K428" s="61">
        <v>3.5</v>
      </c>
      <c r="L428" s="61">
        <v>8.1</v>
      </c>
      <c r="M428" s="69">
        <f t="shared" si="107"/>
        <v>0.52500000000000002</v>
      </c>
      <c r="N428" s="69">
        <f t="shared" si="108"/>
        <v>1.2150000000000001</v>
      </c>
      <c r="O428" s="56">
        <v>35.245069200000003</v>
      </c>
      <c r="P428" s="57">
        <f t="shared" si="109"/>
        <v>528.67603800000006</v>
      </c>
      <c r="Q428" s="58">
        <f t="shared" si="110"/>
        <v>396.01201348314612</v>
      </c>
      <c r="R428" s="58">
        <f t="shared" si="111"/>
        <v>264.00800898876406</v>
      </c>
      <c r="S428" s="66">
        <f t="shared" si="112"/>
        <v>9.2518306650000017</v>
      </c>
      <c r="T428" s="64">
        <f t="shared" si="113"/>
        <v>56.25</v>
      </c>
      <c r="U428" s="66">
        <f t="shared" si="114"/>
        <v>594.17786866500001</v>
      </c>
      <c r="V428" s="68">
        <f t="shared" si="115"/>
        <v>39.611857911000001</v>
      </c>
      <c r="W428" s="68">
        <f t="shared" si="116"/>
        <v>445.0770551797753</v>
      </c>
      <c r="X428" s="68">
        <f t="shared" si="117"/>
        <v>296.71803678651685</v>
      </c>
      <c r="Z428" s="63"/>
      <c r="AA428" s="63"/>
    </row>
    <row r="429" spans="1:27" hidden="1" x14ac:dyDescent="0.25">
      <c r="A429" t="str">
        <f t="shared" si="104"/>
        <v>10620077B26/05/2026M</v>
      </c>
      <c r="B429" s="169" t="s">
        <v>826</v>
      </c>
      <c r="C429" s="61" t="s">
        <v>396</v>
      </c>
      <c r="D429" s="61" t="s">
        <v>591</v>
      </c>
      <c r="E429" s="61" t="s">
        <v>810</v>
      </c>
      <c r="F429" s="1" t="s">
        <v>354</v>
      </c>
      <c r="G429" s="62" t="str">
        <f t="shared" si="106"/>
        <v>60627</v>
      </c>
      <c r="H429" s="1">
        <v>10620077</v>
      </c>
      <c r="I429" s="1" t="s">
        <v>387</v>
      </c>
      <c r="J429" s="61">
        <v>28</v>
      </c>
      <c r="K429" s="61">
        <v>7</v>
      </c>
      <c r="L429" s="61">
        <v>8.8000000000000007</v>
      </c>
      <c r="M429" s="69">
        <f t="shared" si="107"/>
        <v>1.96</v>
      </c>
      <c r="N429" s="69">
        <f t="shared" si="108"/>
        <v>2.4640000000000004</v>
      </c>
      <c r="O429" s="56">
        <f>INDEX(Rate_Chart!$A$1:$AK$127,MATCH(Data!K429,Rate_Chart!$A$1:$A$127,0),MATCH(Data!L429,Rate_Chart!$A$1:$AK$1,0))</f>
        <v>57.865500000000004</v>
      </c>
      <c r="P429" s="57">
        <f t="shared" si="109"/>
        <v>1620.2340000000002</v>
      </c>
      <c r="Q429" s="58">
        <f t="shared" si="110"/>
        <v>449.73186528497411</v>
      </c>
      <c r="R429" s="58">
        <f t="shared" si="111"/>
        <v>299.82124352331607</v>
      </c>
      <c r="S429" s="66">
        <f t="shared" si="112"/>
        <v>28.354095000000004</v>
      </c>
      <c r="T429" s="64">
        <f t="shared" si="113"/>
        <v>105</v>
      </c>
      <c r="U429" s="66">
        <f t="shared" si="114"/>
        <v>1753.5880950000001</v>
      </c>
      <c r="V429" s="68">
        <f t="shared" si="115"/>
        <v>62.62814625</v>
      </c>
      <c r="W429" s="68">
        <f t="shared" si="116"/>
        <v>486.74725064766835</v>
      </c>
      <c r="X429" s="68">
        <f t="shared" si="117"/>
        <v>324.49816709844555</v>
      </c>
      <c r="Z429" s="63"/>
      <c r="AA429" s="63"/>
    </row>
    <row r="430" spans="1:27" hidden="1" x14ac:dyDescent="0.25">
      <c r="A430" t="str">
        <f t="shared" si="104"/>
        <v>10620077C26/05/2026M</v>
      </c>
      <c r="B430" s="169" t="s">
        <v>826</v>
      </c>
      <c r="C430" s="61" t="s">
        <v>396</v>
      </c>
      <c r="D430" s="61" t="s">
        <v>591</v>
      </c>
      <c r="E430" s="61" t="s">
        <v>810</v>
      </c>
      <c r="F430" s="1" t="s">
        <v>354</v>
      </c>
      <c r="G430" s="62" t="str">
        <f t="shared" si="106"/>
        <v>60627</v>
      </c>
      <c r="H430" s="1">
        <v>10620077</v>
      </c>
      <c r="I430" s="1" t="s">
        <v>388</v>
      </c>
      <c r="J430" s="61">
        <v>22</v>
      </c>
      <c r="K430" s="61">
        <v>3.5</v>
      </c>
      <c r="L430" s="61">
        <v>8.1</v>
      </c>
      <c r="M430" s="69">
        <f t="shared" si="107"/>
        <v>0.77</v>
      </c>
      <c r="N430" s="69">
        <f t="shared" si="108"/>
        <v>1.7819999999999998</v>
      </c>
      <c r="O430" s="56">
        <f>INDEX(Rate_Chart!$A$1:$AK$127,MATCH(Data!K430,Rate_Chart!$A$1:$A$127,0),MATCH(Data!L430,Rate_Chart!$A$1:$AK$1,0))</f>
        <v>37.114125900000005</v>
      </c>
      <c r="P430" s="57">
        <f t="shared" si="109"/>
        <v>816.51076980000016</v>
      </c>
      <c r="Q430" s="58">
        <f t="shared" si="110"/>
        <v>417.01265056179784</v>
      </c>
      <c r="R430" s="58">
        <f t="shared" si="111"/>
        <v>278.00843370786521</v>
      </c>
      <c r="S430" s="66">
        <f t="shared" si="112"/>
        <v>14.288938471500003</v>
      </c>
      <c r="T430" s="64">
        <f t="shared" si="113"/>
        <v>82.5</v>
      </c>
      <c r="U430" s="66">
        <f t="shared" si="114"/>
        <v>913.29970827150021</v>
      </c>
      <c r="V430" s="68">
        <f t="shared" si="115"/>
        <v>41.513623103250012</v>
      </c>
      <c r="W430" s="68">
        <f t="shared" si="116"/>
        <v>466.44520340730355</v>
      </c>
      <c r="X430" s="68">
        <f t="shared" si="117"/>
        <v>310.96346893820237</v>
      </c>
      <c r="Z430" s="63"/>
      <c r="AA430" s="63"/>
    </row>
    <row r="431" spans="1:27" hidden="1" x14ac:dyDescent="0.25">
      <c r="A431" t="str">
        <f t="shared" si="104"/>
        <v>10620077C27/05/2026E</v>
      </c>
      <c r="B431" s="169" t="s">
        <v>826</v>
      </c>
      <c r="C431" s="61" t="s">
        <v>397</v>
      </c>
      <c r="D431" s="61" t="s">
        <v>591</v>
      </c>
      <c r="E431" s="61" t="s">
        <v>810</v>
      </c>
      <c r="F431" s="1" t="s">
        <v>354</v>
      </c>
      <c r="G431" s="62" t="str">
        <f t="shared" si="106"/>
        <v>60627</v>
      </c>
      <c r="H431" s="1">
        <v>10620077</v>
      </c>
      <c r="I431" s="1" t="s">
        <v>388</v>
      </c>
      <c r="J431" s="61">
        <v>12</v>
      </c>
      <c r="K431" s="61">
        <v>4.3</v>
      </c>
      <c r="L431" s="61">
        <v>8.5</v>
      </c>
      <c r="M431" s="69">
        <f t="shared" si="107"/>
        <v>0.5159999999999999</v>
      </c>
      <c r="N431" s="69">
        <f t="shared" si="108"/>
        <v>1.02</v>
      </c>
      <c r="O431" s="56">
        <f>INDEX(Rate_Chart!$A$1:$AK$127,MATCH(Data!K431,Rate_Chart!$A$1:$A$127,0),MATCH(Data!L431,Rate_Chart!$A$1:$AK$1,0))</f>
        <v>41.562181500000001</v>
      </c>
      <c r="P431" s="57">
        <f t="shared" si="109"/>
        <v>498.74617799999999</v>
      </c>
      <c r="Q431" s="58">
        <f t="shared" si="110"/>
        <v>417.01185451505017</v>
      </c>
      <c r="R431" s="58">
        <f t="shared" si="111"/>
        <v>278.00790301003343</v>
      </c>
      <c r="S431" s="66">
        <f t="shared" si="112"/>
        <v>8.7280581150000014</v>
      </c>
      <c r="T431" s="64">
        <f t="shared" si="113"/>
        <v>45</v>
      </c>
      <c r="U431" s="66">
        <f t="shared" si="114"/>
        <v>552.47423611499994</v>
      </c>
      <c r="V431" s="68">
        <f t="shared" si="115"/>
        <v>46.039519676249995</v>
      </c>
      <c r="W431" s="68">
        <f t="shared" si="116"/>
        <v>461.93498002926418</v>
      </c>
      <c r="X431" s="68">
        <f t="shared" si="117"/>
        <v>307.95665335284281</v>
      </c>
      <c r="Z431" s="63"/>
      <c r="AA431" s="63"/>
    </row>
    <row r="432" spans="1:27" hidden="1" x14ac:dyDescent="0.25">
      <c r="A432" t="str">
        <f t="shared" si="104"/>
        <v>10620077B27/05/2026M</v>
      </c>
      <c r="B432" s="169" t="s">
        <v>827</v>
      </c>
      <c r="C432" s="61" t="s">
        <v>396</v>
      </c>
      <c r="D432" s="61" t="s">
        <v>591</v>
      </c>
      <c r="E432" s="61" t="s">
        <v>810</v>
      </c>
      <c r="F432" s="1" t="s">
        <v>354</v>
      </c>
      <c r="G432" s="62" t="str">
        <f t="shared" si="106"/>
        <v>60627</v>
      </c>
      <c r="H432" s="1">
        <v>10620077</v>
      </c>
      <c r="I432" s="1" t="s">
        <v>387</v>
      </c>
      <c r="J432" s="61">
        <v>32</v>
      </c>
      <c r="K432" s="61">
        <v>7.2</v>
      </c>
      <c r="L432" s="61">
        <v>9</v>
      </c>
      <c r="M432" s="69">
        <f t="shared" si="107"/>
        <v>2.3040000000000003</v>
      </c>
      <c r="N432" s="69">
        <f t="shared" si="108"/>
        <v>2.88</v>
      </c>
      <c r="O432" s="56">
        <f>INDEX(Rate_Chart!$A$1:$AK$127,MATCH(Data!K432,Rate_Chart!$A$1:$A$127,0),MATCH(Data!L432,Rate_Chart!$A$1:$AK$1,0))</f>
        <v>60.120000000000005</v>
      </c>
      <c r="P432" s="57">
        <f t="shared" si="109"/>
        <v>1923.8400000000001</v>
      </c>
      <c r="Q432" s="58">
        <f t="shared" si="110"/>
        <v>455.4545454545455</v>
      </c>
      <c r="R432" s="58">
        <f t="shared" si="111"/>
        <v>303.63636363636368</v>
      </c>
      <c r="S432" s="66">
        <f t="shared" si="112"/>
        <v>33.667200000000008</v>
      </c>
      <c r="T432" s="64">
        <f t="shared" si="113"/>
        <v>120</v>
      </c>
      <c r="U432" s="66">
        <f t="shared" si="114"/>
        <v>2077.5072</v>
      </c>
      <c r="V432" s="68">
        <f t="shared" si="115"/>
        <v>64.9221</v>
      </c>
      <c r="W432" s="68">
        <f t="shared" si="116"/>
        <v>491.83409090909089</v>
      </c>
      <c r="X432" s="68">
        <f t="shared" si="117"/>
        <v>327.88939393939393</v>
      </c>
      <c r="Z432" s="63"/>
      <c r="AA432" s="63"/>
    </row>
    <row r="433" spans="1:27" hidden="1" x14ac:dyDescent="0.25">
      <c r="A433" t="str">
        <f t="shared" si="104"/>
        <v>10620077C27/05/2026M</v>
      </c>
      <c r="B433" s="169" t="s">
        <v>827</v>
      </c>
      <c r="C433" s="61" t="s">
        <v>396</v>
      </c>
      <c r="D433" s="61" t="s">
        <v>591</v>
      </c>
      <c r="E433" s="61" t="s">
        <v>810</v>
      </c>
      <c r="F433" s="1" t="s">
        <v>354</v>
      </c>
      <c r="G433" s="62" t="str">
        <f t="shared" si="106"/>
        <v>60627</v>
      </c>
      <c r="H433" s="1">
        <v>10620077</v>
      </c>
      <c r="I433" s="1" t="s">
        <v>388</v>
      </c>
      <c r="J433" s="61">
        <v>26</v>
      </c>
      <c r="K433" s="61">
        <v>3.5</v>
      </c>
      <c r="L433" s="61">
        <v>8.1999999999999993</v>
      </c>
      <c r="M433" s="69">
        <f t="shared" si="107"/>
        <v>0.91</v>
      </c>
      <c r="N433" s="69">
        <f t="shared" si="108"/>
        <v>2.1319999999999997</v>
      </c>
      <c r="O433" s="56">
        <f>INDEX(Rate_Chart!$A$1:$AK$127,MATCH(Data!K433,Rate_Chart!$A$1:$A$127,0),MATCH(Data!L433,Rate_Chart!$A$1:$AK$1,0))</f>
        <v>37.392139800000002</v>
      </c>
      <c r="P433" s="57">
        <f t="shared" si="109"/>
        <v>972.19563480000011</v>
      </c>
      <c r="Q433" s="58">
        <f t="shared" si="110"/>
        <v>417.01271152416359</v>
      </c>
      <c r="R433" s="58">
        <f t="shared" si="111"/>
        <v>278.00847434944239</v>
      </c>
      <c r="S433" s="66">
        <f t="shared" si="112"/>
        <v>17.013423609000004</v>
      </c>
      <c r="T433" s="64">
        <f t="shared" si="113"/>
        <v>97.5</v>
      </c>
      <c r="U433" s="66">
        <f t="shared" si="114"/>
        <v>1086.7090584090001</v>
      </c>
      <c r="V433" s="68">
        <f t="shared" si="115"/>
        <v>41.796502246500005</v>
      </c>
      <c r="W433" s="68">
        <f t="shared" si="116"/>
        <v>466.13199531412641</v>
      </c>
      <c r="X433" s="68">
        <f t="shared" si="117"/>
        <v>310.75466354275096</v>
      </c>
      <c r="Z433" s="63"/>
      <c r="AA433" s="63"/>
    </row>
    <row r="434" spans="1:27" hidden="1" x14ac:dyDescent="0.25">
      <c r="A434" t="str">
        <f t="shared" si="104"/>
        <v>10620077C28/05/2026E</v>
      </c>
      <c r="B434" s="169" t="s">
        <v>827</v>
      </c>
      <c r="C434" s="61" t="s">
        <v>397</v>
      </c>
      <c r="D434" s="61" t="s">
        <v>591</v>
      </c>
      <c r="E434" s="61" t="s">
        <v>810</v>
      </c>
      <c r="F434" s="1" t="s">
        <v>354</v>
      </c>
      <c r="G434" s="62" t="str">
        <f t="shared" si="106"/>
        <v>60627</v>
      </c>
      <c r="H434" s="1">
        <v>10620077</v>
      </c>
      <c r="I434" s="1" t="s">
        <v>388</v>
      </c>
      <c r="J434" s="61">
        <v>8</v>
      </c>
      <c r="K434" s="61">
        <v>3.2</v>
      </c>
      <c r="L434" s="61">
        <v>8.1999999999999993</v>
      </c>
      <c r="M434" s="69">
        <f t="shared" si="107"/>
        <v>0.25600000000000001</v>
      </c>
      <c r="N434" s="69">
        <f t="shared" si="108"/>
        <v>0.65599999999999992</v>
      </c>
      <c r="O434" s="56">
        <f>INDEX(Rate_Chart!$A$1:$AK$127,MATCH(Data!K434,Rate_Chart!$A$1:$A$127,0),MATCH(Data!L434,Rate_Chart!$A$1:$AK$1,0))</f>
        <v>36.141139799999998</v>
      </c>
      <c r="P434" s="57">
        <f t="shared" si="109"/>
        <v>289.12911839999998</v>
      </c>
      <c r="Q434" s="58">
        <f t="shared" si="110"/>
        <v>417.0131515384615</v>
      </c>
      <c r="R434" s="58">
        <f t="shared" si="111"/>
        <v>278.00876769230769</v>
      </c>
      <c r="S434" s="66">
        <f t="shared" si="112"/>
        <v>5.0597595719999999</v>
      </c>
      <c r="T434" s="64">
        <f t="shared" si="113"/>
        <v>30</v>
      </c>
      <c r="U434" s="66">
        <f t="shared" si="114"/>
        <v>324.188877972</v>
      </c>
      <c r="V434" s="68">
        <f t="shared" si="115"/>
        <v>40.5236097465</v>
      </c>
      <c r="W434" s="68">
        <f t="shared" si="116"/>
        <v>467.58011245961535</v>
      </c>
      <c r="X434" s="68">
        <f t="shared" si="117"/>
        <v>311.72007497307692</v>
      </c>
      <c r="Z434" s="63"/>
      <c r="AA434" s="63"/>
    </row>
    <row r="435" spans="1:27" hidden="1" x14ac:dyDescent="0.25">
      <c r="A435" t="str">
        <f t="shared" si="104"/>
        <v>10620077B28/05/2026M</v>
      </c>
      <c r="B435" s="169" t="s">
        <v>828</v>
      </c>
      <c r="C435" s="61" t="s">
        <v>396</v>
      </c>
      <c r="D435" s="61" t="s">
        <v>591</v>
      </c>
      <c r="E435" s="61" t="s">
        <v>810</v>
      </c>
      <c r="F435" s="1" t="s">
        <v>354</v>
      </c>
      <c r="G435" s="62" t="str">
        <f t="shared" si="106"/>
        <v>60627</v>
      </c>
      <c r="H435" s="1">
        <v>10620077</v>
      </c>
      <c r="I435" s="1" t="s">
        <v>387</v>
      </c>
      <c r="J435" s="61">
        <v>23</v>
      </c>
      <c r="K435" s="61">
        <v>7.1</v>
      </c>
      <c r="L435" s="61">
        <v>8.8000000000000007</v>
      </c>
      <c r="M435" s="69">
        <f t="shared" si="107"/>
        <v>1.6329999999999998</v>
      </c>
      <c r="N435" s="69">
        <f t="shared" si="108"/>
        <v>2.024</v>
      </c>
      <c r="O435" s="56">
        <f>INDEX(Rate_Chart!$A$1:$AK$127,MATCH(Data!K435,Rate_Chart!$A$1:$A$127,0),MATCH(Data!L435,Rate_Chart!$A$1:$AK$1,0))</f>
        <v>58.692149999999998</v>
      </c>
      <c r="P435" s="57">
        <f t="shared" si="109"/>
        <v>1349.9194499999999</v>
      </c>
      <c r="Q435" s="58">
        <f t="shared" si="110"/>
        <v>452.63868894601546</v>
      </c>
      <c r="R435" s="58">
        <f t="shared" si="111"/>
        <v>301.75912596401031</v>
      </c>
      <c r="S435" s="66">
        <f t="shared" si="112"/>
        <v>23.623590374999999</v>
      </c>
      <c r="T435" s="64">
        <f t="shared" si="113"/>
        <v>86.25</v>
      </c>
      <c r="U435" s="66">
        <f t="shared" si="114"/>
        <v>1459.7930403749999</v>
      </c>
      <c r="V435" s="68">
        <f t="shared" si="115"/>
        <v>63.469262624999999</v>
      </c>
      <c r="W435" s="68">
        <f t="shared" si="116"/>
        <v>489.48017448586126</v>
      </c>
      <c r="X435" s="68">
        <f t="shared" si="117"/>
        <v>326.32011632390748</v>
      </c>
      <c r="Z435" s="63"/>
      <c r="AA435" s="63"/>
    </row>
    <row r="436" spans="1:27" hidden="1" x14ac:dyDescent="0.25">
      <c r="A436" t="str">
        <f t="shared" si="104"/>
        <v>10620077C28/05/2026M</v>
      </c>
      <c r="B436" s="169" t="s">
        <v>828</v>
      </c>
      <c r="C436" s="61" t="s">
        <v>396</v>
      </c>
      <c r="D436" s="61" t="s">
        <v>591</v>
      </c>
      <c r="E436" s="61" t="s">
        <v>810</v>
      </c>
      <c r="F436" s="1" t="s">
        <v>354</v>
      </c>
      <c r="G436" s="62" t="str">
        <f t="shared" si="106"/>
        <v>60627</v>
      </c>
      <c r="H436" s="1">
        <v>10620077</v>
      </c>
      <c r="I436" s="1" t="s">
        <v>388</v>
      </c>
      <c r="J436" s="61">
        <v>13</v>
      </c>
      <c r="K436" s="61">
        <v>4.3</v>
      </c>
      <c r="L436" s="61">
        <v>8.1</v>
      </c>
      <c r="M436" s="69">
        <f t="shared" si="107"/>
        <v>0.55899999999999994</v>
      </c>
      <c r="N436" s="69">
        <f t="shared" si="108"/>
        <v>1.0529999999999999</v>
      </c>
      <c r="O436" s="56">
        <f>INDEX(Rate_Chart!$A$1:$AK$127,MATCH(Data!K436,Rate_Chart!$A$1:$A$127,0),MATCH(Data!L436,Rate_Chart!$A$1:$AK$1,0))</f>
        <v>40.450125900000003</v>
      </c>
      <c r="P436" s="57">
        <f t="shared" si="109"/>
        <v>525.85163670000009</v>
      </c>
      <c r="Q436" s="58">
        <f t="shared" si="110"/>
        <v>417.01160721649489</v>
      </c>
      <c r="R436" s="58">
        <f t="shared" si="111"/>
        <v>278.00773814432995</v>
      </c>
      <c r="S436" s="66">
        <f t="shared" si="112"/>
        <v>9.2024036422500028</v>
      </c>
      <c r="T436" s="64">
        <f t="shared" si="113"/>
        <v>48.75</v>
      </c>
      <c r="U436" s="66">
        <f t="shared" si="114"/>
        <v>583.80404034225012</v>
      </c>
      <c r="V436" s="68">
        <f t="shared" si="115"/>
        <v>44.90800310325001</v>
      </c>
      <c r="W436" s="68">
        <f t="shared" si="116"/>
        <v>462.96910415721658</v>
      </c>
      <c r="X436" s="68">
        <f t="shared" si="117"/>
        <v>308.64606943814437</v>
      </c>
      <c r="Z436" s="63"/>
      <c r="AA436" s="63"/>
    </row>
    <row r="437" spans="1:27" hidden="1" x14ac:dyDescent="0.25">
      <c r="A437" t="str">
        <f t="shared" si="104"/>
        <v>10620077C22/05/2026E</v>
      </c>
      <c r="B437" s="169" t="s">
        <v>828</v>
      </c>
      <c r="C437" s="61" t="s">
        <v>397</v>
      </c>
      <c r="D437" s="61" t="s">
        <v>591</v>
      </c>
      <c r="E437" s="61" t="s">
        <v>810</v>
      </c>
      <c r="F437" s="1" t="s">
        <v>354</v>
      </c>
      <c r="G437" s="62" t="str">
        <f t="shared" si="106"/>
        <v>60627</v>
      </c>
      <c r="H437" s="1">
        <v>10620077</v>
      </c>
      <c r="I437" s="1" t="s">
        <v>388</v>
      </c>
      <c r="J437" s="61">
        <v>6</v>
      </c>
      <c r="K437" s="61">
        <v>3.1</v>
      </c>
      <c r="L437" s="61">
        <v>8</v>
      </c>
      <c r="M437" s="69">
        <f t="shared" si="107"/>
        <v>0.18600000000000003</v>
      </c>
      <c r="N437" s="69">
        <f t="shared" si="108"/>
        <v>0.48</v>
      </c>
      <c r="O437" s="56">
        <f>INDEX(Rate_Chart!$A$1:$AK$127,MATCH(Data!K437,Rate_Chart!$A$1:$A$127,0),MATCH(Data!L437,Rate_Chart!$A$1:$AK$1,0))</f>
        <v>35.168112000000008</v>
      </c>
      <c r="P437" s="57">
        <f t="shared" si="109"/>
        <v>211.00867200000005</v>
      </c>
      <c r="Q437" s="58">
        <f t="shared" si="110"/>
        <v>417.01318577075102</v>
      </c>
      <c r="R437" s="58">
        <f t="shared" si="111"/>
        <v>278.00879051383401</v>
      </c>
      <c r="S437" s="66">
        <f t="shared" si="112"/>
        <v>3.6926517600000013</v>
      </c>
      <c r="T437" s="64">
        <f t="shared" si="113"/>
        <v>22.5</v>
      </c>
      <c r="U437" s="66">
        <f t="shared" si="114"/>
        <v>237.20132376000004</v>
      </c>
      <c r="V437" s="68">
        <f t="shared" si="115"/>
        <v>39.533553960000006</v>
      </c>
      <c r="W437" s="68">
        <f t="shared" si="116"/>
        <v>468.77731968379447</v>
      </c>
      <c r="X437" s="68">
        <f t="shared" si="117"/>
        <v>312.51821312252963</v>
      </c>
      <c r="Z437" s="63"/>
      <c r="AA437" s="63"/>
    </row>
    <row r="438" spans="1:27" hidden="1" x14ac:dyDescent="0.25">
      <c r="A438" t="str">
        <f t="shared" si="104"/>
        <v>10620014B22/05/2026M</v>
      </c>
      <c r="B438" s="169" t="s">
        <v>822</v>
      </c>
      <c r="C438" s="61" t="s">
        <v>396</v>
      </c>
      <c r="D438" s="61" t="s">
        <v>591</v>
      </c>
      <c r="E438" s="61" t="s">
        <v>810</v>
      </c>
      <c r="F438" s="1" t="s">
        <v>355</v>
      </c>
      <c r="G438" s="62" t="str">
        <f t="shared" si="106"/>
        <v>60628</v>
      </c>
      <c r="H438" s="1">
        <v>10620014</v>
      </c>
      <c r="I438" s="1" t="s">
        <v>387</v>
      </c>
      <c r="J438" s="61">
        <v>13</v>
      </c>
      <c r="K438" s="61">
        <v>6.3</v>
      </c>
      <c r="L438" s="61">
        <v>8.8000000000000007</v>
      </c>
      <c r="M438" s="69">
        <f t="shared" si="107"/>
        <v>0.81899999999999995</v>
      </c>
      <c r="N438" s="69">
        <f t="shared" si="108"/>
        <v>1.1440000000000001</v>
      </c>
      <c r="O438" s="56">
        <v>52.078949999999999</v>
      </c>
      <c r="P438" s="57">
        <f t="shared" si="109"/>
        <v>677.02634999999998</v>
      </c>
      <c r="Q438" s="58">
        <f t="shared" si="110"/>
        <v>428.04616438356163</v>
      </c>
      <c r="R438" s="58">
        <f t="shared" si="111"/>
        <v>285.36410958904111</v>
      </c>
      <c r="S438" s="66">
        <f t="shared" si="112"/>
        <v>11.847961125000001</v>
      </c>
      <c r="T438" s="64">
        <f t="shared" si="113"/>
        <v>48.75</v>
      </c>
      <c r="U438" s="66">
        <f t="shared" si="114"/>
        <v>737.62431112499996</v>
      </c>
      <c r="V438" s="68">
        <f t="shared" si="115"/>
        <v>56.740331624999996</v>
      </c>
      <c r="W438" s="68">
        <f t="shared" si="116"/>
        <v>466.35889006849311</v>
      </c>
      <c r="X438" s="68">
        <f t="shared" si="117"/>
        <v>310.90592671232872</v>
      </c>
      <c r="Z438" s="63"/>
      <c r="AA438" s="63"/>
    </row>
    <row r="439" spans="1:27" hidden="1" x14ac:dyDescent="0.25">
      <c r="A439" t="str">
        <f t="shared" si="104"/>
        <v>10620014C22/05/2026M</v>
      </c>
      <c r="B439" s="169" t="s">
        <v>822</v>
      </c>
      <c r="C439" s="61" t="s">
        <v>396</v>
      </c>
      <c r="D439" s="61" t="s">
        <v>591</v>
      </c>
      <c r="E439" s="61" t="s">
        <v>810</v>
      </c>
      <c r="F439" s="1" t="s">
        <v>355</v>
      </c>
      <c r="G439" s="62" t="str">
        <f t="shared" si="106"/>
        <v>60628</v>
      </c>
      <c r="H439" s="1">
        <v>10620014</v>
      </c>
      <c r="I439" s="1" t="s">
        <v>388</v>
      </c>
      <c r="J439" s="61">
        <v>21</v>
      </c>
      <c r="K439" s="61">
        <v>4.7</v>
      </c>
      <c r="L439" s="61">
        <v>8.4</v>
      </c>
      <c r="M439" s="69">
        <f t="shared" si="107"/>
        <v>0.98699999999999999</v>
      </c>
      <c r="N439" s="69">
        <f t="shared" si="108"/>
        <v>1.764</v>
      </c>
      <c r="O439" s="56">
        <v>40.789108800000008</v>
      </c>
      <c r="P439" s="57">
        <f t="shared" si="109"/>
        <v>856.57128480000017</v>
      </c>
      <c r="Q439" s="58">
        <f t="shared" si="110"/>
        <v>396.01076504854376</v>
      </c>
      <c r="R439" s="58">
        <f t="shared" si="111"/>
        <v>264.00717669902917</v>
      </c>
      <c r="S439" s="66">
        <f t="shared" si="112"/>
        <v>14.989997484000005</v>
      </c>
      <c r="T439" s="64">
        <f t="shared" si="113"/>
        <v>78.75</v>
      </c>
      <c r="U439" s="66">
        <f t="shared" si="114"/>
        <v>950.31128228400019</v>
      </c>
      <c r="V439" s="68">
        <f t="shared" si="115"/>
        <v>45.252918204000011</v>
      </c>
      <c r="W439" s="68">
        <f t="shared" si="116"/>
        <v>439.34872042718456</v>
      </c>
      <c r="X439" s="68">
        <f t="shared" si="117"/>
        <v>292.89914695145637</v>
      </c>
      <c r="Z439" s="63"/>
      <c r="AA439" s="63"/>
    </row>
    <row r="440" spans="1:27" hidden="1" x14ac:dyDescent="0.25">
      <c r="A440" t="str">
        <f t="shared" si="104"/>
        <v>10620014B22/05/2026E</v>
      </c>
      <c r="B440" s="169" t="s">
        <v>822</v>
      </c>
      <c r="C440" s="61" t="s">
        <v>397</v>
      </c>
      <c r="D440" s="61" t="s">
        <v>591</v>
      </c>
      <c r="E440" s="61" t="s">
        <v>810</v>
      </c>
      <c r="F440" s="1" t="s">
        <v>355</v>
      </c>
      <c r="G440" s="62" t="str">
        <f t="shared" si="106"/>
        <v>60628</v>
      </c>
      <c r="H440" s="1">
        <v>10620014</v>
      </c>
      <c r="I440" s="1" t="s">
        <v>387</v>
      </c>
      <c r="J440" s="61">
        <v>8</v>
      </c>
      <c r="K440" s="61">
        <v>7.6</v>
      </c>
      <c r="L440" s="61">
        <v>8.8000000000000007</v>
      </c>
      <c r="M440" s="69">
        <f t="shared" si="107"/>
        <v>0.60799999999999998</v>
      </c>
      <c r="N440" s="69">
        <f t="shared" si="108"/>
        <v>0.70400000000000007</v>
      </c>
      <c r="O440" s="56">
        <v>62.825400000000002</v>
      </c>
      <c r="P440" s="57">
        <f t="shared" si="109"/>
        <v>502.60320000000002</v>
      </c>
      <c r="Q440" s="58">
        <f t="shared" si="110"/>
        <v>466.5252475247525</v>
      </c>
      <c r="R440" s="58">
        <f t="shared" si="111"/>
        <v>311.01683168316833</v>
      </c>
      <c r="S440" s="66">
        <f t="shared" si="112"/>
        <v>8.7955560000000013</v>
      </c>
      <c r="T440" s="64">
        <f t="shared" si="113"/>
        <v>30</v>
      </c>
      <c r="U440" s="66">
        <f t="shared" si="114"/>
        <v>541.39875600000005</v>
      </c>
      <c r="V440" s="68">
        <f t="shared" si="115"/>
        <v>67.674844500000006</v>
      </c>
      <c r="W440" s="68">
        <f t="shared" si="116"/>
        <v>502.53597400990105</v>
      </c>
      <c r="X440" s="68">
        <f t="shared" si="117"/>
        <v>335.02398267326737</v>
      </c>
      <c r="Z440" s="63"/>
      <c r="AA440" s="63"/>
    </row>
    <row r="441" spans="1:27" hidden="1" x14ac:dyDescent="0.25">
      <c r="A441" t="str">
        <f t="shared" si="104"/>
        <v>10620014C23/05/2026E</v>
      </c>
      <c r="B441" s="169" t="s">
        <v>822</v>
      </c>
      <c r="C441" s="61" t="s">
        <v>397</v>
      </c>
      <c r="D441" s="61" t="s">
        <v>591</v>
      </c>
      <c r="E441" s="61" t="s">
        <v>810</v>
      </c>
      <c r="F441" s="1" t="s">
        <v>355</v>
      </c>
      <c r="G441" s="62" t="str">
        <f t="shared" si="106"/>
        <v>60628</v>
      </c>
      <c r="H441" s="1">
        <v>10620014</v>
      </c>
      <c r="I441" s="1" t="s">
        <v>388</v>
      </c>
      <c r="J441" s="61">
        <v>24</v>
      </c>
      <c r="K441" s="61">
        <v>3.7</v>
      </c>
      <c r="L441" s="61">
        <v>8.1999999999999993</v>
      </c>
      <c r="M441" s="69">
        <f t="shared" si="107"/>
        <v>0.88800000000000012</v>
      </c>
      <c r="N441" s="69">
        <f t="shared" si="108"/>
        <v>1.9679999999999997</v>
      </c>
      <c r="O441" s="56">
        <v>36.301082400000006</v>
      </c>
      <c r="P441" s="57">
        <f t="shared" si="109"/>
        <v>871.22597760000008</v>
      </c>
      <c r="Q441" s="58">
        <f t="shared" si="110"/>
        <v>396.01180800000003</v>
      </c>
      <c r="R441" s="58">
        <f t="shared" si="111"/>
        <v>264.00787200000002</v>
      </c>
      <c r="S441" s="66">
        <f t="shared" si="112"/>
        <v>15.246454608000002</v>
      </c>
      <c r="T441" s="64">
        <f t="shared" si="113"/>
        <v>90</v>
      </c>
      <c r="U441" s="66">
        <f t="shared" si="114"/>
        <v>976.4724322080001</v>
      </c>
      <c r="V441" s="68">
        <f t="shared" si="115"/>
        <v>40.686351342000002</v>
      </c>
      <c r="W441" s="68">
        <f t="shared" si="116"/>
        <v>443.8511055490909</v>
      </c>
      <c r="X441" s="68">
        <f t="shared" si="117"/>
        <v>295.90073703272725</v>
      </c>
      <c r="Z441" s="63"/>
      <c r="AA441" s="63"/>
    </row>
    <row r="442" spans="1:27" hidden="1" x14ac:dyDescent="0.25">
      <c r="A442" t="str">
        <f t="shared" si="104"/>
        <v>10620014B23/05/2026M</v>
      </c>
      <c r="B442" s="169" t="s">
        <v>823</v>
      </c>
      <c r="C442" s="61" t="s">
        <v>396</v>
      </c>
      <c r="D442" s="61" t="s">
        <v>591</v>
      </c>
      <c r="E442" s="61" t="s">
        <v>810</v>
      </c>
      <c r="F442" s="1" t="s">
        <v>355</v>
      </c>
      <c r="G442" s="62" t="str">
        <f t="shared" si="106"/>
        <v>60628</v>
      </c>
      <c r="H442" s="1">
        <v>10620014</v>
      </c>
      <c r="I442" s="1" t="s">
        <v>387</v>
      </c>
      <c r="J442" s="61">
        <v>10</v>
      </c>
      <c r="K442" s="61">
        <v>7</v>
      </c>
      <c r="L442" s="61">
        <v>8.6</v>
      </c>
      <c r="M442" s="69">
        <f t="shared" si="107"/>
        <v>0.7</v>
      </c>
      <c r="N442" s="69">
        <f t="shared" si="108"/>
        <v>0.86</v>
      </c>
      <c r="O442" s="56">
        <v>57.280999999999999</v>
      </c>
      <c r="P442" s="57">
        <f t="shared" si="109"/>
        <v>572.80999999999995</v>
      </c>
      <c r="Q442" s="58">
        <f t="shared" si="110"/>
        <v>449.85078534031413</v>
      </c>
      <c r="R442" s="58">
        <f t="shared" si="111"/>
        <v>299.90052356020942</v>
      </c>
      <c r="S442" s="66">
        <f t="shared" si="112"/>
        <v>10.024175</v>
      </c>
      <c r="T442" s="64">
        <f t="shared" si="113"/>
        <v>37.5</v>
      </c>
      <c r="U442" s="66">
        <f t="shared" si="114"/>
        <v>620.33417499999996</v>
      </c>
      <c r="V442" s="68">
        <f t="shared" si="115"/>
        <v>62.033417499999999</v>
      </c>
      <c r="W442" s="68">
        <f t="shared" si="116"/>
        <v>487.17343586387437</v>
      </c>
      <c r="X442" s="68">
        <f t="shared" si="117"/>
        <v>324.78229057591625</v>
      </c>
      <c r="Z442" s="63"/>
      <c r="AA442" s="63"/>
    </row>
    <row r="443" spans="1:27" hidden="1" x14ac:dyDescent="0.25">
      <c r="A443" t="str">
        <f t="shared" si="104"/>
        <v>10620014C23/05/2026M</v>
      </c>
      <c r="B443" s="169" t="s">
        <v>823</v>
      </c>
      <c r="C443" s="61" t="s">
        <v>396</v>
      </c>
      <c r="D443" s="61" t="s">
        <v>591</v>
      </c>
      <c r="E443" s="61" t="s">
        <v>810</v>
      </c>
      <c r="F443" s="1" t="s">
        <v>355</v>
      </c>
      <c r="G443" s="62" t="str">
        <f t="shared" si="106"/>
        <v>60628</v>
      </c>
      <c r="H443" s="1">
        <v>10620014</v>
      </c>
      <c r="I443" s="1" t="s">
        <v>388</v>
      </c>
      <c r="J443" s="61">
        <v>25</v>
      </c>
      <c r="K443" s="61">
        <v>4.7</v>
      </c>
      <c r="L443" s="61">
        <v>8.1999999999999993</v>
      </c>
      <c r="M443" s="69">
        <f t="shared" si="107"/>
        <v>1.175</v>
      </c>
      <c r="N443" s="69">
        <f t="shared" si="108"/>
        <v>2.0499999999999998</v>
      </c>
      <c r="O443" s="56">
        <v>40.261082399999999</v>
      </c>
      <c r="P443" s="57">
        <f t="shared" si="109"/>
        <v>1006.52706</v>
      </c>
      <c r="Q443" s="58">
        <f t="shared" si="110"/>
        <v>396.01064655737707</v>
      </c>
      <c r="R443" s="58">
        <f t="shared" si="111"/>
        <v>264.00709770491807</v>
      </c>
      <c r="S443" s="66">
        <f t="shared" si="112"/>
        <v>17.614223550000002</v>
      </c>
      <c r="T443" s="64">
        <f t="shared" si="113"/>
        <v>93.75</v>
      </c>
      <c r="U443" s="66">
        <f t="shared" si="114"/>
        <v>1117.89128355</v>
      </c>
      <c r="V443" s="68">
        <f t="shared" si="115"/>
        <v>44.715651342000001</v>
      </c>
      <c r="W443" s="68">
        <f t="shared" si="116"/>
        <v>439.82607877377058</v>
      </c>
      <c r="X443" s="68">
        <f t="shared" si="117"/>
        <v>293.2173858491804</v>
      </c>
      <c r="Z443" s="63"/>
      <c r="AA443" s="63"/>
    </row>
    <row r="444" spans="1:27" hidden="1" x14ac:dyDescent="0.25">
      <c r="A444" t="str">
        <f t="shared" si="104"/>
        <v>10620014B23/05/2026E</v>
      </c>
      <c r="B444" s="169" t="s">
        <v>823</v>
      </c>
      <c r="C444" s="61" t="s">
        <v>397</v>
      </c>
      <c r="D444" s="61" t="s">
        <v>591</v>
      </c>
      <c r="E444" s="61" t="s">
        <v>810</v>
      </c>
      <c r="F444" s="1" t="s">
        <v>355</v>
      </c>
      <c r="G444" s="62" t="str">
        <f t="shared" si="106"/>
        <v>60628</v>
      </c>
      <c r="H444" s="1">
        <v>10620014</v>
      </c>
      <c r="I444" s="1" t="s">
        <v>387</v>
      </c>
      <c r="J444" s="61">
        <v>11</v>
      </c>
      <c r="K444" s="61">
        <v>7.2</v>
      </c>
      <c r="L444" s="61">
        <v>8.8000000000000007</v>
      </c>
      <c r="M444" s="69">
        <f t="shared" si="107"/>
        <v>0.79200000000000004</v>
      </c>
      <c r="N444" s="69">
        <f t="shared" si="108"/>
        <v>0.96800000000000008</v>
      </c>
      <c r="O444" s="56">
        <v>59.518800000000006</v>
      </c>
      <c r="P444" s="57">
        <f t="shared" si="109"/>
        <v>654.70680000000004</v>
      </c>
      <c r="Q444" s="58">
        <f t="shared" si="110"/>
        <v>455.50102040816324</v>
      </c>
      <c r="R444" s="58">
        <f t="shared" si="111"/>
        <v>303.66734693877549</v>
      </c>
      <c r="S444" s="66">
        <f t="shared" si="112"/>
        <v>11.457369000000002</v>
      </c>
      <c r="T444" s="64">
        <f t="shared" si="113"/>
        <v>41.25</v>
      </c>
      <c r="U444" s="66">
        <f t="shared" si="114"/>
        <v>707.41416900000002</v>
      </c>
      <c r="V444" s="68">
        <f t="shared" si="115"/>
        <v>64.310378999999998</v>
      </c>
      <c r="W444" s="68">
        <f t="shared" si="116"/>
        <v>492.17126785714277</v>
      </c>
      <c r="X444" s="68">
        <f t="shared" si="117"/>
        <v>328.11417857142851</v>
      </c>
      <c r="Z444" s="63"/>
      <c r="AA444" s="63"/>
    </row>
    <row r="445" spans="1:27" hidden="1" x14ac:dyDescent="0.25">
      <c r="A445" t="str">
        <f t="shared" si="104"/>
        <v>10620014C24/05/2026E</v>
      </c>
      <c r="B445" s="169" t="s">
        <v>823</v>
      </c>
      <c r="C445" s="61" t="s">
        <v>397</v>
      </c>
      <c r="D445" s="61" t="s">
        <v>591</v>
      </c>
      <c r="E445" s="61" t="s">
        <v>810</v>
      </c>
      <c r="F445" s="1" t="s">
        <v>355</v>
      </c>
      <c r="G445" s="62" t="str">
        <f t="shared" si="106"/>
        <v>60628</v>
      </c>
      <c r="H445" s="1">
        <v>10620014</v>
      </c>
      <c r="I445" s="1" t="s">
        <v>388</v>
      </c>
      <c r="J445" s="61">
        <v>20</v>
      </c>
      <c r="K445" s="61">
        <v>3.8</v>
      </c>
      <c r="L445" s="61">
        <v>8.1</v>
      </c>
      <c r="M445" s="69">
        <f t="shared" si="107"/>
        <v>0.76</v>
      </c>
      <c r="N445" s="69">
        <f t="shared" si="108"/>
        <v>1.62</v>
      </c>
      <c r="O445" s="56">
        <v>36.433069200000006</v>
      </c>
      <c r="P445" s="57">
        <f t="shared" si="109"/>
        <v>728.66138400000011</v>
      </c>
      <c r="Q445" s="58">
        <f t="shared" si="110"/>
        <v>396.01162173913048</v>
      </c>
      <c r="R445" s="58">
        <f t="shared" si="111"/>
        <v>264.00774782608698</v>
      </c>
      <c r="S445" s="66">
        <f t="shared" si="112"/>
        <v>12.751574220000004</v>
      </c>
      <c r="T445" s="64">
        <f t="shared" si="113"/>
        <v>75</v>
      </c>
      <c r="U445" s="66">
        <f t="shared" si="114"/>
        <v>816.41295822000006</v>
      </c>
      <c r="V445" s="68">
        <f t="shared" si="115"/>
        <v>40.820647911000002</v>
      </c>
      <c r="W445" s="68">
        <f t="shared" si="116"/>
        <v>443.70269468478261</v>
      </c>
      <c r="X445" s="68">
        <f t="shared" si="117"/>
        <v>295.80179645652174</v>
      </c>
      <c r="Z445" s="63"/>
      <c r="AA445" s="63"/>
    </row>
    <row r="446" spans="1:27" hidden="1" x14ac:dyDescent="0.25">
      <c r="A446" t="str">
        <f t="shared" si="104"/>
        <v>10620014B24/05/2026M</v>
      </c>
      <c r="B446" s="169" t="s">
        <v>824</v>
      </c>
      <c r="C446" s="61" t="s">
        <v>396</v>
      </c>
      <c r="D446" s="61" t="s">
        <v>591</v>
      </c>
      <c r="E446" s="61" t="s">
        <v>810</v>
      </c>
      <c r="F446" s="1" t="s">
        <v>355</v>
      </c>
      <c r="G446" s="62" t="str">
        <f t="shared" si="106"/>
        <v>60628</v>
      </c>
      <c r="H446" s="1">
        <v>10620014</v>
      </c>
      <c r="I446" s="1" t="s">
        <v>387</v>
      </c>
      <c r="J446" s="61">
        <v>7</v>
      </c>
      <c r="K446" s="61">
        <v>6.7</v>
      </c>
      <c r="L446" s="61">
        <v>8.8000000000000007</v>
      </c>
      <c r="M446" s="69">
        <f t="shared" si="107"/>
        <v>0.46899999999999997</v>
      </c>
      <c r="N446" s="69">
        <f t="shared" si="108"/>
        <v>0.6160000000000001</v>
      </c>
      <c r="O446" s="56">
        <v>55.385550000000002</v>
      </c>
      <c r="P446" s="57">
        <f t="shared" si="109"/>
        <v>387.69884999999999</v>
      </c>
      <c r="Q446" s="58">
        <f t="shared" si="110"/>
        <v>440.73381962864721</v>
      </c>
      <c r="R446" s="58">
        <f t="shared" si="111"/>
        <v>293.82254641909816</v>
      </c>
      <c r="S446" s="66">
        <f t="shared" si="112"/>
        <v>6.7847298750000009</v>
      </c>
      <c r="T446" s="64">
        <f t="shared" si="113"/>
        <v>26.25</v>
      </c>
      <c r="U446" s="66">
        <f t="shared" si="114"/>
        <v>420.73357987499998</v>
      </c>
      <c r="V446" s="68">
        <f t="shared" si="115"/>
        <v>60.104797124999997</v>
      </c>
      <c r="W446" s="68">
        <f t="shared" si="116"/>
        <v>478.2875102785145</v>
      </c>
      <c r="X446" s="68">
        <f t="shared" si="117"/>
        <v>318.85834018567635</v>
      </c>
      <c r="Z446" s="63"/>
      <c r="AA446" s="63"/>
    </row>
    <row r="447" spans="1:27" hidden="1" x14ac:dyDescent="0.25">
      <c r="A447" t="str">
        <f t="shared" si="104"/>
        <v>10620014C24/05/2026M</v>
      </c>
      <c r="B447" s="169" t="s">
        <v>824</v>
      </c>
      <c r="C447" s="61" t="s">
        <v>396</v>
      </c>
      <c r="D447" s="61" t="s">
        <v>591</v>
      </c>
      <c r="E447" s="61" t="s">
        <v>810</v>
      </c>
      <c r="F447" s="1" t="s">
        <v>355</v>
      </c>
      <c r="G447" s="62" t="str">
        <f t="shared" si="106"/>
        <v>60628</v>
      </c>
      <c r="H447" s="1">
        <v>10620014</v>
      </c>
      <c r="I447" s="1" t="s">
        <v>388</v>
      </c>
      <c r="J447" s="61">
        <v>11</v>
      </c>
      <c r="K447" s="61">
        <v>3.9</v>
      </c>
      <c r="L447" s="61">
        <v>8.1</v>
      </c>
      <c r="M447" s="69">
        <f t="shared" si="107"/>
        <v>0.42899999999999999</v>
      </c>
      <c r="N447" s="69">
        <f t="shared" si="108"/>
        <v>0.8909999999999999</v>
      </c>
      <c r="O447" s="56">
        <v>36.829069200000006</v>
      </c>
      <c r="P447" s="57">
        <f t="shared" si="109"/>
        <v>405.11976120000008</v>
      </c>
      <c r="Q447" s="58">
        <f t="shared" si="110"/>
        <v>396.01149677419363</v>
      </c>
      <c r="R447" s="58">
        <f t="shared" si="111"/>
        <v>264.00766451612907</v>
      </c>
      <c r="S447" s="66">
        <f t="shared" si="112"/>
        <v>7.0895958210000023</v>
      </c>
      <c r="T447" s="64">
        <f t="shared" si="113"/>
        <v>41.25</v>
      </c>
      <c r="U447" s="66">
        <f t="shared" si="114"/>
        <v>453.45935702100007</v>
      </c>
      <c r="V447" s="68">
        <f t="shared" si="115"/>
        <v>41.223577911000007</v>
      </c>
      <c r="W447" s="68">
        <f t="shared" si="116"/>
        <v>443.2642786129033</v>
      </c>
      <c r="X447" s="68">
        <f t="shared" si="117"/>
        <v>295.50951907526888</v>
      </c>
      <c r="Z447" s="63"/>
      <c r="AA447" s="63"/>
    </row>
    <row r="448" spans="1:27" hidden="1" x14ac:dyDescent="0.25">
      <c r="A448" t="str">
        <f t="shared" si="104"/>
        <v>10620014B24/05/2026E</v>
      </c>
      <c r="B448" s="169" t="s">
        <v>824</v>
      </c>
      <c r="C448" s="61" t="s">
        <v>397</v>
      </c>
      <c r="D448" s="61" t="s">
        <v>591</v>
      </c>
      <c r="E448" s="61" t="s">
        <v>810</v>
      </c>
      <c r="F448" s="1" t="s">
        <v>355</v>
      </c>
      <c r="G448" s="62" t="str">
        <f t="shared" si="106"/>
        <v>60628</v>
      </c>
      <c r="H448" s="1">
        <v>10620014</v>
      </c>
      <c r="I448" s="1" t="s">
        <v>387</v>
      </c>
      <c r="J448" s="61">
        <v>7</v>
      </c>
      <c r="K448" s="61">
        <v>7</v>
      </c>
      <c r="L448" s="61">
        <v>8.8000000000000007</v>
      </c>
      <c r="M448" s="69">
        <f t="shared" si="107"/>
        <v>0.49</v>
      </c>
      <c r="N448" s="69">
        <f t="shared" si="108"/>
        <v>0.6160000000000001</v>
      </c>
      <c r="O448" s="56">
        <v>57.865500000000004</v>
      </c>
      <c r="P448" s="57">
        <f t="shared" si="109"/>
        <v>405.05850000000004</v>
      </c>
      <c r="Q448" s="58">
        <f t="shared" si="110"/>
        <v>449.73186528497411</v>
      </c>
      <c r="R448" s="58">
        <f t="shared" si="111"/>
        <v>299.82124352331607</v>
      </c>
      <c r="S448" s="66">
        <f t="shared" si="112"/>
        <v>7.0885237500000011</v>
      </c>
      <c r="T448" s="64">
        <f t="shared" si="113"/>
        <v>26.25</v>
      </c>
      <c r="U448" s="66">
        <f t="shared" si="114"/>
        <v>438.39702375000002</v>
      </c>
      <c r="V448" s="68">
        <f t="shared" si="115"/>
        <v>62.62814625</v>
      </c>
      <c r="W448" s="68">
        <f t="shared" si="116"/>
        <v>486.74725064766835</v>
      </c>
      <c r="X448" s="68">
        <f t="shared" si="117"/>
        <v>324.49816709844555</v>
      </c>
      <c r="Z448" s="63"/>
      <c r="AA448" s="63"/>
    </row>
    <row r="449" spans="1:27" hidden="1" x14ac:dyDescent="0.25">
      <c r="A449" t="str">
        <f t="shared" si="104"/>
        <v>10620014C25/05/2026E</v>
      </c>
      <c r="B449" s="169" t="s">
        <v>824</v>
      </c>
      <c r="C449" s="61" t="s">
        <v>397</v>
      </c>
      <c r="D449" s="61" t="s">
        <v>591</v>
      </c>
      <c r="E449" s="61" t="s">
        <v>810</v>
      </c>
      <c r="F449" s="1" t="s">
        <v>355</v>
      </c>
      <c r="G449" s="62" t="str">
        <f t="shared" si="106"/>
        <v>60628</v>
      </c>
      <c r="H449" s="1">
        <v>10620014</v>
      </c>
      <c r="I449" s="1" t="s">
        <v>388</v>
      </c>
      <c r="J449" s="61">
        <v>19</v>
      </c>
      <c r="K449" s="61">
        <v>3.2</v>
      </c>
      <c r="L449" s="61">
        <v>8</v>
      </c>
      <c r="M449" s="69">
        <f t="shared" si="107"/>
        <v>0.6080000000000001</v>
      </c>
      <c r="N449" s="69">
        <f t="shared" si="108"/>
        <v>1.52</v>
      </c>
      <c r="O449" s="56">
        <v>33.793056000000007</v>
      </c>
      <c r="P449" s="57">
        <f t="shared" si="109"/>
        <v>642.06806400000016</v>
      </c>
      <c r="Q449" s="58">
        <f t="shared" si="110"/>
        <v>396.01237500000002</v>
      </c>
      <c r="R449" s="58">
        <f t="shared" si="111"/>
        <v>264.00825000000003</v>
      </c>
      <c r="S449" s="66">
        <f t="shared" si="112"/>
        <v>11.236191120000004</v>
      </c>
      <c r="T449" s="64">
        <f t="shared" si="113"/>
        <v>71.25</v>
      </c>
      <c r="U449" s="66">
        <f t="shared" si="114"/>
        <v>724.55425512000011</v>
      </c>
      <c r="V449" s="68">
        <f t="shared" si="115"/>
        <v>38.134434480000003</v>
      </c>
      <c r="W449" s="68">
        <f t="shared" si="116"/>
        <v>446.88790406249996</v>
      </c>
      <c r="X449" s="68">
        <f t="shared" si="117"/>
        <v>297.92526937499997</v>
      </c>
      <c r="Z449" s="63"/>
      <c r="AA449" s="63"/>
    </row>
    <row r="450" spans="1:27" hidden="1" x14ac:dyDescent="0.25">
      <c r="A450" t="str">
        <f t="shared" si="104"/>
        <v>10620014B25/05/2026M</v>
      </c>
      <c r="B450" s="169" t="s">
        <v>825</v>
      </c>
      <c r="C450" s="61" t="s">
        <v>396</v>
      </c>
      <c r="D450" s="61" t="s">
        <v>591</v>
      </c>
      <c r="E450" s="61" t="s">
        <v>810</v>
      </c>
      <c r="F450" s="1" t="s">
        <v>355</v>
      </c>
      <c r="G450" s="62" t="str">
        <f t="shared" si="106"/>
        <v>60628</v>
      </c>
      <c r="H450" s="1">
        <v>10620014</v>
      </c>
      <c r="I450" s="1" t="s">
        <v>387</v>
      </c>
      <c r="J450" s="61">
        <v>14</v>
      </c>
      <c r="K450" s="61">
        <v>6.6</v>
      </c>
      <c r="L450" s="61">
        <v>8.6</v>
      </c>
      <c r="M450" s="69">
        <f t="shared" si="107"/>
        <v>0.92399999999999993</v>
      </c>
      <c r="N450" s="69">
        <f t="shared" si="108"/>
        <v>1.204</v>
      </c>
      <c r="O450" s="56">
        <v>54.007799999999996</v>
      </c>
      <c r="P450" s="57">
        <f t="shared" si="109"/>
        <v>756.10919999999999</v>
      </c>
      <c r="Q450" s="58">
        <f t="shared" si="110"/>
        <v>437.90108108108109</v>
      </c>
      <c r="R450" s="58">
        <f t="shared" si="111"/>
        <v>291.93405405405406</v>
      </c>
      <c r="S450" s="66">
        <f t="shared" si="112"/>
        <v>13.231911</v>
      </c>
      <c r="T450" s="64">
        <f t="shared" si="113"/>
        <v>52.5</v>
      </c>
      <c r="U450" s="66">
        <f t="shared" si="114"/>
        <v>821.84111099999996</v>
      </c>
      <c r="V450" s="68">
        <f t="shared" si="115"/>
        <v>58.7029365</v>
      </c>
      <c r="W450" s="68">
        <f t="shared" si="116"/>
        <v>475.96975540540546</v>
      </c>
      <c r="X450" s="68">
        <f t="shared" si="117"/>
        <v>317.31317027027029</v>
      </c>
      <c r="Z450" s="63"/>
      <c r="AA450" s="63"/>
    </row>
    <row r="451" spans="1:27" hidden="1" x14ac:dyDescent="0.25">
      <c r="A451" t="str">
        <f t="shared" si="104"/>
        <v>10620014C25/05/2026M</v>
      </c>
      <c r="B451" s="169" t="s">
        <v>825</v>
      </c>
      <c r="C451" s="61" t="s">
        <v>396</v>
      </c>
      <c r="D451" s="61" t="s">
        <v>591</v>
      </c>
      <c r="E451" s="61" t="s">
        <v>810</v>
      </c>
      <c r="F451" s="1" t="s">
        <v>355</v>
      </c>
      <c r="G451" s="62" t="str">
        <f t="shared" si="106"/>
        <v>60628</v>
      </c>
      <c r="H451" s="1">
        <v>10620014</v>
      </c>
      <c r="I451" s="1" t="s">
        <v>388</v>
      </c>
      <c r="J451" s="61">
        <v>20</v>
      </c>
      <c r="K451" s="61">
        <v>4.5999999999999996</v>
      </c>
      <c r="L451" s="61">
        <v>8.1999999999999993</v>
      </c>
      <c r="M451" s="69">
        <f t="shared" si="107"/>
        <v>0.92</v>
      </c>
      <c r="N451" s="69">
        <f t="shared" si="108"/>
        <v>1.64</v>
      </c>
      <c r="O451" s="56">
        <v>39.865082400000006</v>
      </c>
      <c r="P451" s="57">
        <f t="shared" si="109"/>
        <v>797.30164800000011</v>
      </c>
      <c r="Q451" s="58">
        <f t="shared" si="110"/>
        <v>396.01075231788087</v>
      </c>
      <c r="R451" s="58">
        <f t="shared" si="111"/>
        <v>264.0071682119206</v>
      </c>
      <c r="S451" s="66">
        <f t="shared" si="112"/>
        <v>13.952778840000004</v>
      </c>
      <c r="T451" s="64">
        <f t="shared" si="113"/>
        <v>75</v>
      </c>
      <c r="U451" s="66">
        <f t="shared" si="114"/>
        <v>886.25442684000018</v>
      </c>
      <c r="V451" s="68">
        <f t="shared" si="115"/>
        <v>44.31272134200001</v>
      </c>
      <c r="W451" s="68">
        <f t="shared" si="116"/>
        <v>440.19259611258292</v>
      </c>
      <c r="X451" s="68">
        <f t="shared" si="117"/>
        <v>293.46173074172196</v>
      </c>
      <c r="Z451" s="63"/>
      <c r="AA451" s="63"/>
    </row>
    <row r="452" spans="1:27" hidden="1" x14ac:dyDescent="0.25">
      <c r="A452" t="str">
        <f t="shared" si="104"/>
        <v>10620014B25/05/2026E</v>
      </c>
      <c r="B452" s="169" t="s">
        <v>825</v>
      </c>
      <c r="C452" s="61" t="s">
        <v>397</v>
      </c>
      <c r="D452" s="61" t="s">
        <v>591</v>
      </c>
      <c r="E452" s="61" t="s">
        <v>810</v>
      </c>
      <c r="F452" s="1" t="s">
        <v>355</v>
      </c>
      <c r="G452" s="62" t="str">
        <f t="shared" si="106"/>
        <v>60628</v>
      </c>
      <c r="H452" s="1">
        <v>10620014</v>
      </c>
      <c r="I452" s="1" t="s">
        <v>387</v>
      </c>
      <c r="J452" s="61">
        <v>7</v>
      </c>
      <c r="K452" s="61">
        <v>7.5</v>
      </c>
      <c r="L452" s="61">
        <v>8.8000000000000007</v>
      </c>
      <c r="M452" s="69">
        <f t="shared" si="107"/>
        <v>0.52500000000000002</v>
      </c>
      <c r="N452" s="69">
        <f t="shared" si="108"/>
        <v>0.6160000000000001</v>
      </c>
      <c r="O452" s="56">
        <v>61.998750000000001</v>
      </c>
      <c r="P452" s="57">
        <f t="shared" si="109"/>
        <v>433.99125000000004</v>
      </c>
      <c r="Q452" s="58">
        <f t="shared" si="110"/>
        <v>463.83104738154617</v>
      </c>
      <c r="R452" s="58">
        <f t="shared" si="111"/>
        <v>309.22069825436409</v>
      </c>
      <c r="S452" s="66">
        <f t="shared" si="112"/>
        <v>7.5948468750000018</v>
      </c>
      <c r="T452" s="64">
        <f t="shared" si="113"/>
        <v>26.25</v>
      </c>
      <c r="U452" s="66">
        <f t="shared" si="114"/>
        <v>467.83609687500007</v>
      </c>
      <c r="V452" s="68">
        <f t="shared" si="115"/>
        <v>66.833728125000007</v>
      </c>
      <c r="W452" s="68">
        <f t="shared" si="116"/>
        <v>500.00295355361607</v>
      </c>
      <c r="X452" s="68">
        <f t="shared" si="117"/>
        <v>333.3353023690774</v>
      </c>
      <c r="Z452" s="63"/>
      <c r="AA452" s="63"/>
    </row>
    <row r="453" spans="1:27" hidden="1" x14ac:dyDescent="0.25">
      <c r="A453" t="str">
        <f t="shared" ref="A453:A516" si="118">CONCATENATE(H453,I453,B454,C453)</f>
        <v>10620014C26/05/2026E</v>
      </c>
      <c r="B453" s="169" t="s">
        <v>825</v>
      </c>
      <c r="C453" s="61" t="s">
        <v>397</v>
      </c>
      <c r="D453" s="61" t="s">
        <v>591</v>
      </c>
      <c r="E453" s="61" t="s">
        <v>810</v>
      </c>
      <c r="F453" s="1" t="s">
        <v>355</v>
      </c>
      <c r="G453" s="62" t="str">
        <f t="shared" si="106"/>
        <v>60628</v>
      </c>
      <c r="H453" s="1">
        <v>10620014</v>
      </c>
      <c r="I453" s="1" t="s">
        <v>388</v>
      </c>
      <c r="J453" s="61">
        <v>27</v>
      </c>
      <c r="K453" s="61">
        <v>4.2</v>
      </c>
      <c r="L453" s="61">
        <v>8.1999999999999993</v>
      </c>
      <c r="M453" s="69">
        <f t="shared" si="107"/>
        <v>1.1340000000000001</v>
      </c>
      <c r="N453" s="69">
        <f t="shared" si="108"/>
        <v>2.214</v>
      </c>
      <c r="O453" s="56">
        <v>38.281082400000003</v>
      </c>
      <c r="P453" s="57">
        <f t="shared" si="109"/>
        <v>1033.5892248</v>
      </c>
      <c r="Q453" s="58">
        <f t="shared" si="110"/>
        <v>396.01119724137936</v>
      </c>
      <c r="R453" s="58">
        <f t="shared" si="111"/>
        <v>264.00746482758626</v>
      </c>
      <c r="S453" s="66">
        <f t="shared" si="112"/>
        <v>18.087811434000002</v>
      </c>
      <c r="T453" s="64">
        <f t="shared" si="113"/>
        <v>101.25</v>
      </c>
      <c r="U453" s="66">
        <f t="shared" si="114"/>
        <v>1152.9270362340001</v>
      </c>
      <c r="V453" s="68">
        <f t="shared" si="115"/>
        <v>42.701001342000005</v>
      </c>
      <c r="W453" s="68">
        <f t="shared" si="116"/>
        <v>441.73449664137939</v>
      </c>
      <c r="X453" s="68">
        <f t="shared" si="117"/>
        <v>294.48966442758626</v>
      </c>
      <c r="Z453" s="63"/>
      <c r="AA453" s="63"/>
    </row>
    <row r="454" spans="1:27" hidden="1" x14ac:dyDescent="0.25">
      <c r="A454" t="str">
        <f t="shared" si="118"/>
        <v>10620014B26/05/2026M</v>
      </c>
      <c r="B454" s="169" t="s">
        <v>826</v>
      </c>
      <c r="C454" s="61" t="s">
        <v>396</v>
      </c>
      <c r="D454" s="61" t="s">
        <v>591</v>
      </c>
      <c r="E454" s="61" t="s">
        <v>810</v>
      </c>
      <c r="F454" s="1" t="s">
        <v>355</v>
      </c>
      <c r="G454" s="62" t="str">
        <f t="shared" ref="G454:G517" si="119">MID(F454,2,5)</f>
        <v>60628</v>
      </c>
      <c r="H454" s="1">
        <v>10620014</v>
      </c>
      <c r="I454" s="1" t="s">
        <v>387</v>
      </c>
      <c r="J454" s="61">
        <v>12</v>
      </c>
      <c r="K454" s="61">
        <v>6.6</v>
      </c>
      <c r="L454" s="61">
        <v>8.8000000000000007</v>
      </c>
      <c r="M454" s="69">
        <f t="shared" si="107"/>
        <v>0.79199999999999993</v>
      </c>
      <c r="N454" s="69">
        <f t="shared" si="108"/>
        <v>1.056</v>
      </c>
      <c r="O454" s="56">
        <f>INDEX(Rate_Chart!$A$1:$AK$127,MATCH(Data!K454,Rate_Chart!$A$1:$A$127,0),MATCH(Data!L454,Rate_Chart!$A$1:$AK$1,0))</f>
        <v>54.558900000000001</v>
      </c>
      <c r="P454" s="57">
        <f t="shared" si="109"/>
        <v>654.70680000000004</v>
      </c>
      <c r="Q454" s="58">
        <f t="shared" si="110"/>
        <v>437.63823529411764</v>
      </c>
      <c r="R454" s="58">
        <f t="shared" si="111"/>
        <v>291.75882352941176</v>
      </c>
      <c r="S454" s="66">
        <f t="shared" si="112"/>
        <v>11.457369000000002</v>
      </c>
      <c r="T454" s="64">
        <f t="shared" si="113"/>
        <v>45</v>
      </c>
      <c r="U454" s="66">
        <f t="shared" si="114"/>
        <v>711.16416900000002</v>
      </c>
      <c r="V454" s="68">
        <f t="shared" si="115"/>
        <v>59.263680749999999</v>
      </c>
      <c r="W454" s="68">
        <f t="shared" si="116"/>
        <v>475.37711831550797</v>
      </c>
      <c r="X454" s="68">
        <f t="shared" si="117"/>
        <v>316.91807887700531</v>
      </c>
      <c r="Z454" s="63"/>
      <c r="AA454" s="63"/>
    </row>
    <row r="455" spans="1:27" hidden="1" x14ac:dyDescent="0.25">
      <c r="A455" t="str">
        <f t="shared" si="118"/>
        <v>10620014C26/05/2026M</v>
      </c>
      <c r="B455" s="169" t="s">
        <v>826</v>
      </c>
      <c r="C455" s="61" t="s">
        <v>396</v>
      </c>
      <c r="D455" s="61" t="s">
        <v>591</v>
      </c>
      <c r="E455" s="61" t="s">
        <v>810</v>
      </c>
      <c r="F455" s="1" t="s">
        <v>355</v>
      </c>
      <c r="G455" s="62" t="str">
        <f t="shared" si="119"/>
        <v>60628</v>
      </c>
      <c r="H455" s="1">
        <v>10620014</v>
      </c>
      <c r="I455" s="1" t="s">
        <v>388</v>
      </c>
      <c r="J455" s="61">
        <v>21</v>
      </c>
      <c r="K455" s="61">
        <v>4.5</v>
      </c>
      <c r="L455" s="61">
        <v>8.3000000000000007</v>
      </c>
      <c r="M455" s="69">
        <f t="shared" si="107"/>
        <v>0.94499999999999995</v>
      </c>
      <c r="N455" s="69">
        <f t="shared" si="108"/>
        <v>1.7430000000000001</v>
      </c>
      <c r="O455" s="56">
        <f>INDEX(Rate_Chart!$A$1:$AK$127,MATCH(Data!K455,Rate_Chart!$A$1:$A$127,0),MATCH(Data!L455,Rate_Chart!$A$1:$AK$1,0))</f>
        <v>41.840153700000002</v>
      </c>
      <c r="P455" s="57">
        <f t="shared" si="109"/>
        <v>878.64322770000001</v>
      </c>
      <c r="Q455" s="58">
        <f t="shared" si="110"/>
        <v>417.01149867109638</v>
      </c>
      <c r="R455" s="58">
        <f t="shared" si="111"/>
        <v>278.00766578073092</v>
      </c>
      <c r="S455" s="66">
        <f t="shared" si="112"/>
        <v>15.376256484750002</v>
      </c>
      <c r="T455" s="64">
        <f t="shared" si="113"/>
        <v>78.75</v>
      </c>
      <c r="U455" s="66">
        <f t="shared" si="114"/>
        <v>972.76948418475001</v>
      </c>
      <c r="V455" s="68">
        <f t="shared" si="115"/>
        <v>46.322356389749999</v>
      </c>
      <c r="W455" s="68">
        <f t="shared" si="116"/>
        <v>461.68461518023258</v>
      </c>
      <c r="X455" s="68">
        <f t="shared" si="117"/>
        <v>307.78974345348837</v>
      </c>
      <c r="Z455" s="63"/>
      <c r="AA455" s="63"/>
    </row>
    <row r="456" spans="1:27" hidden="1" x14ac:dyDescent="0.25">
      <c r="A456" t="str">
        <f t="shared" si="118"/>
        <v>10620014B26/05/2026E</v>
      </c>
      <c r="B456" s="169" t="s">
        <v>826</v>
      </c>
      <c r="C456" s="61" t="s">
        <v>397</v>
      </c>
      <c r="D456" s="61" t="s">
        <v>591</v>
      </c>
      <c r="E456" s="61" t="s">
        <v>810</v>
      </c>
      <c r="F456" s="1" t="s">
        <v>355</v>
      </c>
      <c r="G456" s="62" t="str">
        <f t="shared" si="119"/>
        <v>60628</v>
      </c>
      <c r="H456" s="1">
        <v>10620014</v>
      </c>
      <c r="I456" s="1" t="s">
        <v>387</v>
      </c>
      <c r="J456" s="61">
        <v>4</v>
      </c>
      <c r="K456" s="61">
        <v>7</v>
      </c>
      <c r="L456" s="61">
        <v>9</v>
      </c>
      <c r="M456" s="69">
        <f t="shared" si="107"/>
        <v>0.28000000000000003</v>
      </c>
      <c r="N456" s="69">
        <f t="shared" si="108"/>
        <v>0.36</v>
      </c>
      <c r="O456" s="56">
        <f>INDEX(Rate_Chart!$A$1:$AK$127,MATCH(Data!K456,Rate_Chart!$A$1:$A$127,0),MATCH(Data!L456,Rate_Chart!$A$1:$AK$1,0))</f>
        <v>58.45</v>
      </c>
      <c r="P456" s="57">
        <f t="shared" si="109"/>
        <v>233.8</v>
      </c>
      <c r="Q456" s="58">
        <f t="shared" si="110"/>
        <v>449.61538461538464</v>
      </c>
      <c r="R456" s="58">
        <f t="shared" si="111"/>
        <v>299.74358974358978</v>
      </c>
      <c r="S456" s="66">
        <f t="shared" si="112"/>
        <v>4.0915000000000008</v>
      </c>
      <c r="T456" s="64">
        <f t="shared" si="113"/>
        <v>15</v>
      </c>
      <c r="U456" s="66">
        <f t="shared" si="114"/>
        <v>252.89150000000001</v>
      </c>
      <c r="V456" s="68">
        <f t="shared" si="115"/>
        <v>63.222875000000002</v>
      </c>
      <c r="W456" s="68">
        <f t="shared" si="116"/>
        <v>486.32980769230767</v>
      </c>
      <c r="X456" s="68">
        <f t="shared" si="117"/>
        <v>324.21987179487178</v>
      </c>
      <c r="Z456" s="63"/>
      <c r="AA456" s="63"/>
    </row>
    <row r="457" spans="1:27" hidden="1" x14ac:dyDescent="0.25">
      <c r="A457" t="str">
        <f t="shared" si="118"/>
        <v>10620014C27/05/2026E</v>
      </c>
      <c r="B457" s="169" t="s">
        <v>826</v>
      </c>
      <c r="C457" s="61" t="s">
        <v>397</v>
      </c>
      <c r="D457" s="61" t="s">
        <v>591</v>
      </c>
      <c r="E457" s="61" t="s">
        <v>810</v>
      </c>
      <c r="F457" s="1" t="s">
        <v>355</v>
      </c>
      <c r="G457" s="62" t="str">
        <f t="shared" si="119"/>
        <v>60628</v>
      </c>
      <c r="H457" s="1">
        <v>10620014</v>
      </c>
      <c r="I457" s="1" t="s">
        <v>388</v>
      </c>
      <c r="J457" s="61">
        <v>25</v>
      </c>
      <c r="K457" s="61">
        <v>4.2</v>
      </c>
      <c r="L457" s="61">
        <v>8.5</v>
      </c>
      <c r="M457" s="69">
        <f t="shared" si="107"/>
        <v>1.05</v>
      </c>
      <c r="N457" s="69">
        <f t="shared" si="108"/>
        <v>2.125</v>
      </c>
      <c r="O457" s="56">
        <f>INDEX(Rate_Chart!$A$1:$AK$127,MATCH(Data!K457,Rate_Chart!$A$1:$A$127,0),MATCH(Data!L457,Rate_Chart!$A$1:$AK$1,0))</f>
        <v>41.145181500000007</v>
      </c>
      <c r="P457" s="57">
        <f t="shared" si="109"/>
        <v>1028.6295375000002</v>
      </c>
      <c r="Q457" s="58">
        <f t="shared" si="110"/>
        <v>417.01197466216217</v>
      </c>
      <c r="R457" s="58">
        <f t="shared" si="111"/>
        <v>278.00798310810814</v>
      </c>
      <c r="S457" s="66">
        <f t="shared" si="112"/>
        <v>18.001016906250005</v>
      </c>
      <c r="T457" s="64">
        <f t="shared" si="113"/>
        <v>93.75</v>
      </c>
      <c r="U457" s="66">
        <f t="shared" si="114"/>
        <v>1140.3805544062502</v>
      </c>
      <c r="V457" s="68">
        <f t="shared" si="115"/>
        <v>45.615222176250008</v>
      </c>
      <c r="W457" s="68">
        <f t="shared" si="116"/>
        <v>462.31644097550679</v>
      </c>
      <c r="X457" s="68">
        <f t="shared" si="117"/>
        <v>308.21096065033788</v>
      </c>
      <c r="Z457" s="63"/>
      <c r="AA457" s="63"/>
    </row>
    <row r="458" spans="1:27" hidden="1" x14ac:dyDescent="0.25">
      <c r="A458" t="str">
        <f t="shared" si="118"/>
        <v>10620014B27/05/2026M</v>
      </c>
      <c r="B458" s="169" t="s">
        <v>827</v>
      </c>
      <c r="C458" s="61" t="s">
        <v>396</v>
      </c>
      <c r="D458" s="61" t="s">
        <v>591</v>
      </c>
      <c r="E458" s="61" t="s">
        <v>810</v>
      </c>
      <c r="F458" s="1" t="s">
        <v>355</v>
      </c>
      <c r="G458" s="62" t="str">
        <f t="shared" si="119"/>
        <v>60628</v>
      </c>
      <c r="H458" s="1">
        <v>10620014</v>
      </c>
      <c r="I458" s="1" t="s">
        <v>387</v>
      </c>
      <c r="J458" s="61">
        <v>10</v>
      </c>
      <c r="K458" s="61">
        <v>7.5</v>
      </c>
      <c r="L458" s="61">
        <v>9</v>
      </c>
      <c r="M458" s="69">
        <f t="shared" si="107"/>
        <v>0.75</v>
      </c>
      <c r="N458" s="69">
        <f t="shared" si="108"/>
        <v>0.9</v>
      </c>
      <c r="O458" s="56">
        <f>INDEX(Rate_Chart!$A$1:$AK$127,MATCH(Data!K458,Rate_Chart!$A$1:$A$127,0),MATCH(Data!L458,Rate_Chart!$A$1:$AK$1,0))</f>
        <v>62.625</v>
      </c>
      <c r="P458" s="57">
        <f t="shared" si="109"/>
        <v>626.25</v>
      </c>
      <c r="Q458" s="58">
        <f t="shared" si="110"/>
        <v>463.88888888888886</v>
      </c>
      <c r="R458" s="58">
        <f t="shared" si="111"/>
        <v>309.25925925925924</v>
      </c>
      <c r="S458" s="66">
        <f t="shared" si="112"/>
        <v>10.959375000000001</v>
      </c>
      <c r="T458" s="64">
        <f t="shared" si="113"/>
        <v>37.5</v>
      </c>
      <c r="U458" s="66">
        <f t="shared" si="114"/>
        <v>674.70937500000002</v>
      </c>
      <c r="V458" s="68">
        <f t="shared" si="115"/>
        <v>67.470937500000005</v>
      </c>
      <c r="W458" s="68">
        <f t="shared" si="116"/>
        <v>499.78472222222223</v>
      </c>
      <c r="X458" s="68">
        <f t="shared" si="117"/>
        <v>333.18981481481484</v>
      </c>
      <c r="Z458" s="63"/>
      <c r="AA458" s="63"/>
    </row>
    <row r="459" spans="1:27" hidden="1" x14ac:dyDescent="0.25">
      <c r="A459" t="str">
        <f t="shared" si="118"/>
        <v>10620014C27/05/2026M</v>
      </c>
      <c r="B459" s="169" t="s">
        <v>827</v>
      </c>
      <c r="C459" s="61" t="s">
        <v>396</v>
      </c>
      <c r="D459" s="61" t="s">
        <v>591</v>
      </c>
      <c r="E459" s="61" t="s">
        <v>810</v>
      </c>
      <c r="F459" s="1" t="s">
        <v>355</v>
      </c>
      <c r="G459" s="62" t="str">
        <f t="shared" si="119"/>
        <v>60628</v>
      </c>
      <c r="H459" s="1">
        <v>10620014</v>
      </c>
      <c r="I459" s="1" t="s">
        <v>388</v>
      </c>
      <c r="J459" s="61">
        <v>14</v>
      </c>
      <c r="K459" s="61">
        <v>4.8</v>
      </c>
      <c r="L459" s="61">
        <v>8.5</v>
      </c>
      <c r="M459" s="69">
        <f t="shared" si="107"/>
        <v>0.67200000000000004</v>
      </c>
      <c r="N459" s="69">
        <f t="shared" si="108"/>
        <v>1.19</v>
      </c>
      <c r="O459" s="56">
        <f>INDEX(Rate_Chart!$A$1:$AK$127,MATCH(Data!K459,Rate_Chart!$A$1:$A$127,0),MATCH(Data!L459,Rate_Chart!$A$1:$AK$1,0))</f>
        <v>43.647181500000002</v>
      </c>
      <c r="P459" s="57">
        <f t="shared" si="109"/>
        <v>611.06054100000006</v>
      </c>
      <c r="Q459" s="58">
        <f t="shared" si="110"/>
        <v>417.0112882165605</v>
      </c>
      <c r="R459" s="58">
        <f t="shared" si="111"/>
        <v>278.00752547770702</v>
      </c>
      <c r="S459" s="66">
        <f t="shared" si="112"/>
        <v>10.693559467500002</v>
      </c>
      <c r="T459" s="64">
        <f t="shared" si="113"/>
        <v>52.5</v>
      </c>
      <c r="U459" s="66">
        <f t="shared" si="114"/>
        <v>674.25410046750005</v>
      </c>
      <c r="V459" s="68">
        <f t="shared" si="115"/>
        <v>48.161007176250003</v>
      </c>
      <c r="W459" s="68">
        <f t="shared" si="116"/>
        <v>460.13701123805731</v>
      </c>
      <c r="X459" s="68">
        <f t="shared" si="117"/>
        <v>306.75800749203819</v>
      </c>
      <c r="Z459" s="63"/>
      <c r="AA459" s="63"/>
    </row>
    <row r="460" spans="1:27" hidden="1" x14ac:dyDescent="0.25">
      <c r="A460" t="str">
        <f t="shared" si="118"/>
        <v>10620014B27/05/2026E</v>
      </c>
      <c r="B460" s="169" t="s">
        <v>827</v>
      </c>
      <c r="C460" s="61" t="s">
        <v>397</v>
      </c>
      <c r="D460" s="61" t="s">
        <v>591</v>
      </c>
      <c r="E460" s="61" t="s">
        <v>810</v>
      </c>
      <c r="F460" s="1" t="s">
        <v>355</v>
      </c>
      <c r="G460" s="62" t="str">
        <f t="shared" si="119"/>
        <v>60628</v>
      </c>
      <c r="H460" s="1">
        <v>10620014</v>
      </c>
      <c r="I460" s="1" t="s">
        <v>387</v>
      </c>
      <c r="J460" s="61">
        <v>10</v>
      </c>
      <c r="K460" s="61">
        <v>6.9</v>
      </c>
      <c r="L460" s="61">
        <v>9</v>
      </c>
      <c r="M460" s="69">
        <f t="shared" si="107"/>
        <v>0.69</v>
      </c>
      <c r="N460" s="69">
        <f t="shared" si="108"/>
        <v>0.9</v>
      </c>
      <c r="O460" s="56">
        <f>INDEX(Rate_Chart!$A$1:$AK$127,MATCH(Data!K460,Rate_Chart!$A$1:$A$127,0),MATCH(Data!L460,Rate_Chart!$A$1:$AK$1,0))</f>
        <v>57.615000000000002</v>
      </c>
      <c r="P460" s="57">
        <f t="shared" si="109"/>
        <v>576.15</v>
      </c>
      <c r="Q460" s="58">
        <f t="shared" si="110"/>
        <v>446.62790697674421</v>
      </c>
      <c r="R460" s="58">
        <f t="shared" si="111"/>
        <v>297.75193798449612</v>
      </c>
      <c r="S460" s="66">
        <f t="shared" si="112"/>
        <v>10.082625</v>
      </c>
      <c r="T460" s="64">
        <f t="shared" si="113"/>
        <v>37.5</v>
      </c>
      <c r="U460" s="66">
        <f t="shared" si="114"/>
        <v>623.73262499999998</v>
      </c>
      <c r="V460" s="68">
        <f t="shared" si="115"/>
        <v>62.373262499999996</v>
      </c>
      <c r="W460" s="68">
        <f t="shared" si="116"/>
        <v>483.51366279069765</v>
      </c>
      <c r="X460" s="68">
        <f t="shared" si="117"/>
        <v>322.3424418604651</v>
      </c>
      <c r="Z460" s="63"/>
      <c r="AA460" s="63"/>
    </row>
    <row r="461" spans="1:27" hidden="1" x14ac:dyDescent="0.25">
      <c r="A461" t="str">
        <f t="shared" si="118"/>
        <v>10620014C28/05/2026E</v>
      </c>
      <c r="B461" s="169" t="s">
        <v>827</v>
      </c>
      <c r="C461" s="61" t="s">
        <v>397</v>
      </c>
      <c r="D461" s="61" t="s">
        <v>591</v>
      </c>
      <c r="E461" s="61" t="s">
        <v>810</v>
      </c>
      <c r="F461" s="1" t="s">
        <v>355</v>
      </c>
      <c r="G461" s="62" t="str">
        <f t="shared" si="119"/>
        <v>60628</v>
      </c>
      <c r="H461" s="1">
        <v>10620014</v>
      </c>
      <c r="I461" s="1" t="s">
        <v>388</v>
      </c>
      <c r="J461" s="61">
        <v>17</v>
      </c>
      <c r="K461" s="61">
        <v>3.4</v>
      </c>
      <c r="L461" s="61">
        <v>8.5</v>
      </c>
      <c r="M461" s="69">
        <f t="shared" si="107"/>
        <v>0.57799999999999996</v>
      </c>
      <c r="N461" s="69">
        <f t="shared" si="108"/>
        <v>1.4450000000000001</v>
      </c>
      <c r="O461" s="56">
        <f>INDEX(Rate_Chart!$A$1:$AK$127,MATCH(Data!K461,Rate_Chart!$A$1:$A$127,0),MATCH(Data!L461,Rate_Chart!$A$1:$AK$1,0))</f>
        <v>37.809181500000008</v>
      </c>
      <c r="P461" s="57">
        <f t="shared" si="109"/>
        <v>642.75608550000015</v>
      </c>
      <c r="Q461" s="58">
        <f t="shared" si="110"/>
        <v>417.01303125000004</v>
      </c>
      <c r="R461" s="58">
        <f t="shared" si="111"/>
        <v>278.00868750000001</v>
      </c>
      <c r="S461" s="66">
        <f t="shared" si="112"/>
        <v>11.248231496250003</v>
      </c>
      <c r="T461" s="64">
        <f t="shared" si="113"/>
        <v>63.75</v>
      </c>
      <c r="U461" s="66">
        <f t="shared" si="114"/>
        <v>717.75431699625017</v>
      </c>
      <c r="V461" s="68">
        <f t="shared" si="115"/>
        <v>42.220842176250009</v>
      </c>
      <c r="W461" s="68">
        <f t="shared" si="116"/>
        <v>465.67105341452213</v>
      </c>
      <c r="X461" s="68">
        <f t="shared" si="117"/>
        <v>310.44736894301474</v>
      </c>
      <c r="Z461" s="63"/>
      <c r="AA461" s="63"/>
    </row>
    <row r="462" spans="1:27" hidden="1" x14ac:dyDescent="0.25">
      <c r="A462" t="str">
        <f t="shared" si="118"/>
        <v>10620014B28/05/2026M</v>
      </c>
      <c r="B462" s="169" t="s">
        <v>828</v>
      </c>
      <c r="C462" s="61" t="s">
        <v>396</v>
      </c>
      <c r="D462" s="61" t="s">
        <v>591</v>
      </c>
      <c r="E462" s="61" t="s">
        <v>810</v>
      </c>
      <c r="F462" s="1" t="s">
        <v>355</v>
      </c>
      <c r="G462" s="62" t="str">
        <f t="shared" si="119"/>
        <v>60628</v>
      </c>
      <c r="H462" s="1">
        <v>10620014</v>
      </c>
      <c r="I462" s="1" t="s">
        <v>387</v>
      </c>
      <c r="J462" s="61">
        <v>12</v>
      </c>
      <c r="K462" s="61">
        <v>7</v>
      </c>
      <c r="L462" s="61">
        <v>8.8000000000000007</v>
      </c>
      <c r="M462" s="69">
        <f t="shared" si="107"/>
        <v>0.84</v>
      </c>
      <c r="N462" s="69">
        <f t="shared" si="108"/>
        <v>1.056</v>
      </c>
      <c r="O462" s="56">
        <f>INDEX(Rate_Chart!$A$1:$AK$127,MATCH(Data!K462,Rate_Chart!$A$1:$A$127,0),MATCH(Data!L462,Rate_Chart!$A$1:$AK$1,0))</f>
        <v>57.865500000000004</v>
      </c>
      <c r="P462" s="57">
        <f t="shared" si="109"/>
        <v>694.38600000000008</v>
      </c>
      <c r="Q462" s="58">
        <f t="shared" si="110"/>
        <v>449.73186528497411</v>
      </c>
      <c r="R462" s="58">
        <f t="shared" si="111"/>
        <v>299.82124352331607</v>
      </c>
      <c r="S462" s="66">
        <f t="shared" si="112"/>
        <v>12.151755000000003</v>
      </c>
      <c r="T462" s="64">
        <f t="shared" si="113"/>
        <v>45</v>
      </c>
      <c r="U462" s="66">
        <f t="shared" si="114"/>
        <v>751.53775500000006</v>
      </c>
      <c r="V462" s="68">
        <f t="shared" si="115"/>
        <v>62.628146250000007</v>
      </c>
      <c r="W462" s="68">
        <f t="shared" si="116"/>
        <v>486.74725064766841</v>
      </c>
      <c r="X462" s="68">
        <f t="shared" si="117"/>
        <v>324.49816709844561</v>
      </c>
      <c r="Z462" s="63"/>
      <c r="AA462" s="63"/>
    </row>
    <row r="463" spans="1:27" hidden="1" x14ac:dyDescent="0.25">
      <c r="A463" t="str">
        <f t="shared" si="118"/>
        <v>10620014C28/05/2026M</v>
      </c>
      <c r="B463" s="169" t="s">
        <v>828</v>
      </c>
      <c r="C463" s="61" t="s">
        <v>396</v>
      </c>
      <c r="D463" s="61" t="s">
        <v>591</v>
      </c>
      <c r="E463" s="61" t="s">
        <v>810</v>
      </c>
      <c r="F463" s="1" t="s">
        <v>355</v>
      </c>
      <c r="G463" s="62" t="str">
        <f t="shared" si="119"/>
        <v>60628</v>
      </c>
      <c r="H463" s="1">
        <v>10620014</v>
      </c>
      <c r="I463" s="1" t="s">
        <v>388</v>
      </c>
      <c r="J463" s="61">
        <v>22</v>
      </c>
      <c r="K463" s="61">
        <v>4.4000000000000004</v>
      </c>
      <c r="L463" s="61">
        <v>8.5</v>
      </c>
      <c r="M463" s="69">
        <f t="shared" si="107"/>
        <v>0.96800000000000008</v>
      </c>
      <c r="N463" s="69">
        <f t="shared" si="108"/>
        <v>1.87</v>
      </c>
      <c r="O463" s="56">
        <f>INDEX(Rate_Chart!$A$1:$AK$127,MATCH(Data!K463,Rate_Chart!$A$1:$A$127,0),MATCH(Data!L463,Rate_Chart!$A$1:$AK$1,0))</f>
        <v>41.97918150000001</v>
      </c>
      <c r="P463" s="57">
        <f t="shared" si="109"/>
        <v>923.54199300000028</v>
      </c>
      <c r="Q463" s="58">
        <f t="shared" si="110"/>
        <v>417.01173675496693</v>
      </c>
      <c r="R463" s="58">
        <f t="shared" si="111"/>
        <v>278.00782450331127</v>
      </c>
      <c r="S463" s="66">
        <f t="shared" si="112"/>
        <v>16.161984877500007</v>
      </c>
      <c r="T463" s="64">
        <f t="shared" si="113"/>
        <v>82.5</v>
      </c>
      <c r="U463" s="66">
        <f t="shared" si="114"/>
        <v>1022.2039778775003</v>
      </c>
      <c r="V463" s="68">
        <f t="shared" si="115"/>
        <v>46.463817176250011</v>
      </c>
      <c r="W463" s="68">
        <f t="shared" si="116"/>
        <v>461.56109777731791</v>
      </c>
      <c r="X463" s="68">
        <f t="shared" si="117"/>
        <v>307.70739851821196</v>
      </c>
      <c r="Z463" s="63"/>
      <c r="AA463" s="63"/>
    </row>
    <row r="464" spans="1:27" hidden="1" x14ac:dyDescent="0.25">
      <c r="A464" t="str">
        <f t="shared" si="118"/>
        <v>10620014B28/05/2026E</v>
      </c>
      <c r="B464" s="169" t="s">
        <v>828</v>
      </c>
      <c r="C464" s="61" t="s">
        <v>397</v>
      </c>
      <c r="D464" s="61" t="s">
        <v>591</v>
      </c>
      <c r="E464" s="61" t="s">
        <v>810</v>
      </c>
      <c r="F464" s="1" t="s">
        <v>355</v>
      </c>
      <c r="G464" s="62" t="str">
        <f t="shared" si="119"/>
        <v>60628</v>
      </c>
      <c r="H464" s="1">
        <v>10620014</v>
      </c>
      <c r="I464" s="1" t="s">
        <v>387</v>
      </c>
      <c r="J464" s="61">
        <v>3</v>
      </c>
      <c r="K464" s="61">
        <v>7.5</v>
      </c>
      <c r="L464" s="61">
        <v>8.8000000000000007</v>
      </c>
      <c r="M464" s="69">
        <f t="shared" si="107"/>
        <v>0.22500000000000001</v>
      </c>
      <c r="N464" s="69">
        <f t="shared" si="108"/>
        <v>0.26400000000000001</v>
      </c>
      <c r="O464" s="56">
        <f>INDEX(Rate_Chart!$A$1:$AK$127,MATCH(Data!K464,Rate_Chart!$A$1:$A$127,0),MATCH(Data!L464,Rate_Chart!$A$1:$AK$1,0))</f>
        <v>61.998750000000001</v>
      </c>
      <c r="P464" s="57">
        <f t="shared" si="109"/>
        <v>185.99625</v>
      </c>
      <c r="Q464" s="58">
        <f t="shared" si="110"/>
        <v>463.83104738154617</v>
      </c>
      <c r="R464" s="58">
        <f t="shared" si="111"/>
        <v>309.22069825436409</v>
      </c>
      <c r="S464" s="66">
        <f t="shared" si="112"/>
        <v>3.2549343750000004</v>
      </c>
      <c r="T464" s="64">
        <f t="shared" si="113"/>
        <v>11.25</v>
      </c>
      <c r="U464" s="66">
        <f t="shared" si="114"/>
        <v>200.50118437500001</v>
      </c>
      <c r="V464" s="68">
        <f t="shared" si="115"/>
        <v>66.833728125000007</v>
      </c>
      <c r="W464" s="68">
        <f t="shared" si="116"/>
        <v>500.00295355361607</v>
      </c>
      <c r="X464" s="68">
        <f t="shared" si="117"/>
        <v>333.3353023690774</v>
      </c>
      <c r="Z464" s="63"/>
      <c r="AA464" s="63"/>
    </row>
    <row r="465" spans="1:27" hidden="1" x14ac:dyDescent="0.25">
      <c r="A465" t="str">
        <f t="shared" si="118"/>
        <v>10620014C22/05/2026E</v>
      </c>
      <c r="B465" s="169" t="s">
        <v>828</v>
      </c>
      <c r="C465" s="61" t="s">
        <v>397</v>
      </c>
      <c r="D465" s="61" t="s">
        <v>591</v>
      </c>
      <c r="E465" s="61" t="s">
        <v>810</v>
      </c>
      <c r="F465" s="1" t="s">
        <v>355</v>
      </c>
      <c r="G465" s="62" t="str">
        <f t="shared" si="119"/>
        <v>60628</v>
      </c>
      <c r="H465" s="1">
        <v>10620014</v>
      </c>
      <c r="I465" s="1" t="s">
        <v>388</v>
      </c>
      <c r="J465" s="61">
        <v>16</v>
      </c>
      <c r="K465" s="61">
        <v>3.7</v>
      </c>
      <c r="L465" s="61">
        <v>8.1999999999999993</v>
      </c>
      <c r="M465" s="69">
        <f t="shared" si="107"/>
        <v>0.59200000000000008</v>
      </c>
      <c r="N465" s="69">
        <f t="shared" si="108"/>
        <v>1.3119999999999998</v>
      </c>
      <c r="O465" s="56">
        <f>INDEX(Rate_Chart!$A$1:$AK$127,MATCH(Data!K465,Rate_Chart!$A$1:$A$127,0),MATCH(Data!L465,Rate_Chart!$A$1:$AK$1,0))</f>
        <v>38.226139799999999</v>
      </c>
      <c r="P465" s="57">
        <f t="shared" si="109"/>
        <v>611.61823679999998</v>
      </c>
      <c r="Q465" s="58">
        <f t="shared" si="110"/>
        <v>417.01243418181815</v>
      </c>
      <c r="R465" s="58">
        <f t="shared" si="111"/>
        <v>278.00828945454543</v>
      </c>
      <c r="S465" s="66">
        <f t="shared" si="112"/>
        <v>10.703319144</v>
      </c>
      <c r="T465" s="64">
        <f t="shared" si="113"/>
        <v>60</v>
      </c>
      <c r="U465" s="66">
        <f t="shared" si="114"/>
        <v>682.32155594400001</v>
      </c>
      <c r="V465" s="68">
        <f t="shared" si="115"/>
        <v>42.645097246500001</v>
      </c>
      <c r="W465" s="68">
        <f t="shared" si="116"/>
        <v>465.21924268909089</v>
      </c>
      <c r="X465" s="68">
        <f t="shared" si="117"/>
        <v>310.14616179272724</v>
      </c>
      <c r="Z465" s="63"/>
      <c r="AA465" s="63"/>
    </row>
    <row r="466" spans="1:27" hidden="1" x14ac:dyDescent="0.25">
      <c r="A466" t="str">
        <f t="shared" si="118"/>
        <v>10620100B22/05/2026M</v>
      </c>
      <c r="B466" s="169" t="s">
        <v>822</v>
      </c>
      <c r="C466" s="61" t="s">
        <v>396</v>
      </c>
      <c r="D466" s="61" t="s">
        <v>591</v>
      </c>
      <c r="E466" s="61" t="s">
        <v>704</v>
      </c>
      <c r="F466" s="1" t="s">
        <v>705</v>
      </c>
      <c r="G466" s="62" t="str">
        <f t="shared" si="119"/>
        <v>60646</v>
      </c>
      <c r="H466" s="1">
        <v>10620100</v>
      </c>
      <c r="I466" s="1" t="s">
        <v>387</v>
      </c>
      <c r="J466" s="61">
        <v>60</v>
      </c>
      <c r="K466" s="61">
        <v>6.8</v>
      </c>
      <c r="L466" s="61">
        <v>9</v>
      </c>
      <c r="M466" s="69">
        <f t="shared" si="107"/>
        <v>4.08</v>
      </c>
      <c r="N466" s="69">
        <f t="shared" si="108"/>
        <v>5.4</v>
      </c>
      <c r="O466" s="56">
        <v>56.78</v>
      </c>
      <c r="P466" s="57">
        <f t="shared" si="109"/>
        <v>3406.8</v>
      </c>
      <c r="Q466" s="58">
        <f t="shared" si="110"/>
        <v>443.59375</v>
      </c>
      <c r="R466" s="58">
        <f t="shared" si="111"/>
        <v>295.72916666666669</v>
      </c>
      <c r="S466" s="66">
        <f t="shared" si="112"/>
        <v>59.619000000000007</v>
      </c>
      <c r="T466" s="64">
        <f t="shared" si="113"/>
        <v>225</v>
      </c>
      <c r="U466" s="66">
        <f t="shared" si="114"/>
        <v>3691.4190000000003</v>
      </c>
      <c r="V466" s="68">
        <f t="shared" si="115"/>
        <v>61.523650000000004</v>
      </c>
      <c r="W466" s="68">
        <f t="shared" si="116"/>
        <v>480.65351562500001</v>
      </c>
      <c r="X466" s="68">
        <f t="shared" si="117"/>
        <v>320.43567708333336</v>
      </c>
      <c r="Z466" s="63"/>
      <c r="AA466" s="63"/>
    </row>
    <row r="467" spans="1:27" hidden="1" x14ac:dyDescent="0.25">
      <c r="A467" t="str">
        <f t="shared" si="118"/>
        <v>10620100B23/05/2026E</v>
      </c>
      <c r="B467" s="169" t="s">
        <v>822</v>
      </c>
      <c r="C467" s="61" t="s">
        <v>397</v>
      </c>
      <c r="D467" s="61" t="s">
        <v>591</v>
      </c>
      <c r="E467" s="61" t="s">
        <v>704</v>
      </c>
      <c r="F467" s="1" t="s">
        <v>705</v>
      </c>
      <c r="G467" s="62" t="str">
        <f t="shared" si="119"/>
        <v>60646</v>
      </c>
      <c r="H467" s="1">
        <v>10620100</v>
      </c>
      <c r="I467" s="1" t="s">
        <v>387</v>
      </c>
      <c r="J467" s="61">
        <v>50</v>
      </c>
      <c r="K467" s="61">
        <v>6.7</v>
      </c>
      <c r="L467" s="61">
        <v>9</v>
      </c>
      <c r="M467" s="69">
        <f t="shared" si="107"/>
        <v>3.35</v>
      </c>
      <c r="N467" s="69">
        <f t="shared" si="108"/>
        <v>4.5</v>
      </c>
      <c r="O467" s="56">
        <v>55.945</v>
      </c>
      <c r="P467" s="57">
        <f t="shared" si="109"/>
        <v>2797.25</v>
      </c>
      <c r="Q467" s="58">
        <f t="shared" si="110"/>
        <v>440.51181102362204</v>
      </c>
      <c r="R467" s="58">
        <f t="shared" si="111"/>
        <v>293.67454068241472</v>
      </c>
      <c r="S467" s="66">
        <f t="shared" si="112"/>
        <v>48.951875000000001</v>
      </c>
      <c r="T467" s="64">
        <f t="shared" si="113"/>
        <v>187.5</v>
      </c>
      <c r="U467" s="66">
        <f t="shared" si="114"/>
        <v>3033.7018750000002</v>
      </c>
      <c r="V467" s="68">
        <f t="shared" si="115"/>
        <v>60.674037500000004</v>
      </c>
      <c r="W467" s="68">
        <f t="shared" si="116"/>
        <v>477.74832677165358</v>
      </c>
      <c r="X467" s="68">
        <f t="shared" si="117"/>
        <v>318.4988845144357</v>
      </c>
      <c r="Z467" s="63"/>
      <c r="AA467" s="63"/>
    </row>
    <row r="468" spans="1:27" hidden="1" x14ac:dyDescent="0.25">
      <c r="A468" t="str">
        <f t="shared" si="118"/>
        <v>10620100B23/05/2026M</v>
      </c>
      <c r="B468" s="169" t="s">
        <v>823</v>
      </c>
      <c r="C468" s="61" t="s">
        <v>396</v>
      </c>
      <c r="D468" s="61" t="s">
        <v>591</v>
      </c>
      <c r="E468" s="61" t="s">
        <v>704</v>
      </c>
      <c r="F468" s="1" t="s">
        <v>705</v>
      </c>
      <c r="G468" s="62" t="str">
        <f t="shared" si="119"/>
        <v>60646</v>
      </c>
      <c r="H468" s="1">
        <v>10620100</v>
      </c>
      <c r="I468" s="1" t="s">
        <v>387</v>
      </c>
      <c r="J468" s="61">
        <v>60</v>
      </c>
      <c r="K468" s="61">
        <v>6.8</v>
      </c>
      <c r="L468" s="61">
        <v>9</v>
      </c>
      <c r="M468" s="69">
        <f t="shared" si="107"/>
        <v>4.08</v>
      </c>
      <c r="N468" s="69">
        <f t="shared" si="108"/>
        <v>5.4</v>
      </c>
      <c r="O468" s="56">
        <v>56.78</v>
      </c>
      <c r="P468" s="57">
        <f t="shared" si="109"/>
        <v>3406.8</v>
      </c>
      <c r="Q468" s="58">
        <f t="shared" si="110"/>
        <v>443.59375</v>
      </c>
      <c r="R468" s="58">
        <f t="shared" si="111"/>
        <v>295.72916666666669</v>
      </c>
      <c r="S468" s="66">
        <f t="shared" si="112"/>
        <v>59.619000000000007</v>
      </c>
      <c r="T468" s="64">
        <f t="shared" si="113"/>
        <v>225</v>
      </c>
      <c r="U468" s="66">
        <f t="shared" si="114"/>
        <v>3691.4190000000003</v>
      </c>
      <c r="V468" s="68">
        <f t="shared" si="115"/>
        <v>61.523650000000004</v>
      </c>
      <c r="W468" s="68">
        <f t="shared" si="116"/>
        <v>480.65351562500001</v>
      </c>
      <c r="X468" s="68">
        <f t="shared" si="117"/>
        <v>320.43567708333336</v>
      </c>
      <c r="Z468" s="63"/>
      <c r="AA468" s="63"/>
    </row>
    <row r="469" spans="1:27" hidden="1" x14ac:dyDescent="0.25">
      <c r="A469" t="str">
        <f t="shared" si="118"/>
        <v>10620100B24/05/2026E</v>
      </c>
      <c r="B469" s="169" t="s">
        <v>823</v>
      </c>
      <c r="C469" s="61" t="s">
        <v>397</v>
      </c>
      <c r="D469" s="61" t="s">
        <v>591</v>
      </c>
      <c r="E469" s="61" t="s">
        <v>704</v>
      </c>
      <c r="F469" s="1" t="s">
        <v>705</v>
      </c>
      <c r="G469" s="62" t="str">
        <f t="shared" si="119"/>
        <v>60646</v>
      </c>
      <c r="H469" s="1">
        <v>10620100</v>
      </c>
      <c r="I469" s="1" t="s">
        <v>387</v>
      </c>
      <c r="J469" s="61">
        <v>50</v>
      </c>
      <c r="K469" s="61">
        <v>6.8</v>
      </c>
      <c r="L469" s="61">
        <v>8.8000000000000007</v>
      </c>
      <c r="M469" s="69">
        <f t="shared" si="107"/>
        <v>3.4</v>
      </c>
      <c r="N469" s="69">
        <f t="shared" si="108"/>
        <v>4.4000000000000004</v>
      </c>
      <c r="O469" s="56">
        <v>56.212200000000003</v>
      </c>
      <c r="P469" s="57">
        <f t="shared" si="109"/>
        <v>2810.61</v>
      </c>
      <c r="Q469" s="58">
        <f t="shared" si="110"/>
        <v>443.78052631578947</v>
      </c>
      <c r="R469" s="58">
        <f t="shared" si="111"/>
        <v>295.8536842105263</v>
      </c>
      <c r="S469" s="66">
        <f t="shared" si="112"/>
        <v>49.185675000000003</v>
      </c>
      <c r="T469" s="64">
        <f t="shared" si="113"/>
        <v>187.5</v>
      </c>
      <c r="U469" s="66">
        <f t="shared" si="114"/>
        <v>3047.2956750000003</v>
      </c>
      <c r="V469" s="68">
        <f t="shared" si="115"/>
        <v>60.945913500000003</v>
      </c>
      <c r="W469" s="68">
        <f t="shared" si="116"/>
        <v>481.15194868421054</v>
      </c>
      <c r="X469" s="68">
        <f t="shared" si="117"/>
        <v>320.76796578947369</v>
      </c>
      <c r="Z469" s="63"/>
      <c r="AA469" s="63"/>
    </row>
    <row r="470" spans="1:27" hidden="1" x14ac:dyDescent="0.25">
      <c r="A470" t="str">
        <f t="shared" si="118"/>
        <v>10620100B24/05/2026M</v>
      </c>
      <c r="B470" s="169" t="s">
        <v>824</v>
      </c>
      <c r="C470" s="61" t="s">
        <v>396</v>
      </c>
      <c r="D470" s="61" t="s">
        <v>591</v>
      </c>
      <c r="E470" s="61" t="s">
        <v>704</v>
      </c>
      <c r="F470" s="1" t="s">
        <v>705</v>
      </c>
      <c r="G470" s="62" t="str">
        <f t="shared" si="119"/>
        <v>60646</v>
      </c>
      <c r="H470" s="1">
        <v>10620100</v>
      </c>
      <c r="I470" s="1" t="s">
        <v>387</v>
      </c>
      <c r="J470" s="61">
        <v>50</v>
      </c>
      <c r="K470" s="61">
        <v>6.8</v>
      </c>
      <c r="L470" s="61">
        <v>8.8000000000000007</v>
      </c>
      <c r="M470" s="69">
        <f t="shared" si="107"/>
        <v>3.4</v>
      </c>
      <c r="N470" s="69">
        <f t="shared" si="108"/>
        <v>4.4000000000000004</v>
      </c>
      <c r="O470" s="56">
        <v>56.212200000000003</v>
      </c>
      <c r="P470" s="57">
        <f t="shared" si="109"/>
        <v>2810.61</v>
      </c>
      <c r="Q470" s="58">
        <f t="shared" si="110"/>
        <v>443.78052631578947</v>
      </c>
      <c r="R470" s="58">
        <f t="shared" si="111"/>
        <v>295.8536842105263</v>
      </c>
      <c r="S470" s="66">
        <f t="shared" si="112"/>
        <v>49.185675000000003</v>
      </c>
      <c r="T470" s="64">
        <f t="shared" si="113"/>
        <v>187.5</v>
      </c>
      <c r="U470" s="66">
        <f t="shared" si="114"/>
        <v>3047.2956750000003</v>
      </c>
      <c r="V470" s="68">
        <f t="shared" si="115"/>
        <v>60.945913500000003</v>
      </c>
      <c r="W470" s="68">
        <f t="shared" si="116"/>
        <v>481.15194868421054</v>
      </c>
      <c r="X470" s="68">
        <f t="shared" si="117"/>
        <v>320.76796578947369</v>
      </c>
      <c r="Z470" s="63"/>
      <c r="AA470" s="63"/>
    </row>
    <row r="471" spans="1:27" hidden="1" x14ac:dyDescent="0.25">
      <c r="A471" t="str">
        <f t="shared" si="118"/>
        <v>10620100C24/05/2026M</v>
      </c>
      <c r="B471" s="169" t="s">
        <v>824</v>
      </c>
      <c r="C471" s="61" t="s">
        <v>396</v>
      </c>
      <c r="D471" s="61" t="s">
        <v>591</v>
      </c>
      <c r="E471" s="61" t="s">
        <v>704</v>
      </c>
      <c r="F471" s="1" t="s">
        <v>705</v>
      </c>
      <c r="G471" s="62" t="str">
        <f t="shared" si="119"/>
        <v>60646</v>
      </c>
      <c r="H471" s="1">
        <v>10620100</v>
      </c>
      <c r="I471" s="1" t="s">
        <v>388</v>
      </c>
      <c r="J471" s="61">
        <v>200</v>
      </c>
      <c r="K471" s="61">
        <v>4</v>
      </c>
      <c r="L471" s="61">
        <v>8.1</v>
      </c>
      <c r="M471" s="69">
        <f t="shared" si="107"/>
        <v>8</v>
      </c>
      <c r="N471" s="69">
        <f t="shared" si="108"/>
        <v>16.2</v>
      </c>
      <c r="O471" s="56">
        <v>37.225069200000007</v>
      </c>
      <c r="P471" s="57">
        <f t="shared" si="109"/>
        <v>7445.0138400000014</v>
      </c>
      <c r="Q471" s="58">
        <f t="shared" si="110"/>
        <v>396.01137446808519</v>
      </c>
      <c r="R471" s="58">
        <f t="shared" si="111"/>
        <v>264.00758297872346</v>
      </c>
      <c r="S471" s="66">
        <f t="shared" si="112"/>
        <v>130.28774220000003</v>
      </c>
      <c r="T471" s="64">
        <f t="shared" si="113"/>
        <v>750</v>
      </c>
      <c r="U471" s="66">
        <f t="shared" si="114"/>
        <v>8325.3015822000016</v>
      </c>
      <c r="V471" s="68">
        <f t="shared" si="115"/>
        <v>41.626507911000004</v>
      </c>
      <c r="W471" s="68">
        <f t="shared" si="116"/>
        <v>442.83519054255322</v>
      </c>
      <c r="X471" s="68">
        <f t="shared" si="117"/>
        <v>295.22346036170217</v>
      </c>
      <c r="Z471" s="63"/>
      <c r="AA471" s="63"/>
    </row>
    <row r="472" spans="1:27" hidden="1" x14ac:dyDescent="0.25">
      <c r="A472" t="str">
        <f t="shared" si="118"/>
        <v>10620100B25/05/2026E</v>
      </c>
      <c r="B472" s="169" t="s">
        <v>824</v>
      </c>
      <c r="C472" s="61" t="s">
        <v>397</v>
      </c>
      <c r="D472" s="61" t="s">
        <v>591</v>
      </c>
      <c r="E472" s="61" t="s">
        <v>704</v>
      </c>
      <c r="F472" s="1" t="s">
        <v>705</v>
      </c>
      <c r="G472" s="62" t="str">
        <f t="shared" si="119"/>
        <v>60646</v>
      </c>
      <c r="H472" s="1">
        <v>10620100</v>
      </c>
      <c r="I472" s="1" t="s">
        <v>387</v>
      </c>
      <c r="J472" s="61">
        <v>50</v>
      </c>
      <c r="K472" s="61">
        <v>6.8</v>
      </c>
      <c r="L472" s="61">
        <v>8.8000000000000007</v>
      </c>
      <c r="M472" s="69">
        <f t="shared" si="107"/>
        <v>3.4</v>
      </c>
      <c r="N472" s="69">
        <f t="shared" si="108"/>
        <v>4.4000000000000004</v>
      </c>
      <c r="O472" s="56">
        <v>56.212200000000003</v>
      </c>
      <c r="P472" s="57">
        <f t="shared" si="109"/>
        <v>2810.61</v>
      </c>
      <c r="Q472" s="58">
        <f t="shared" si="110"/>
        <v>443.78052631578947</v>
      </c>
      <c r="R472" s="58">
        <f t="shared" si="111"/>
        <v>295.8536842105263</v>
      </c>
      <c r="S472" s="66">
        <f t="shared" si="112"/>
        <v>49.185675000000003</v>
      </c>
      <c r="T472" s="64">
        <f t="shared" si="113"/>
        <v>187.5</v>
      </c>
      <c r="U472" s="66">
        <f t="shared" si="114"/>
        <v>3047.2956750000003</v>
      </c>
      <c r="V472" s="68">
        <f t="shared" si="115"/>
        <v>60.945913500000003</v>
      </c>
      <c r="W472" s="68">
        <f t="shared" si="116"/>
        <v>481.15194868421054</v>
      </c>
      <c r="X472" s="68">
        <f t="shared" si="117"/>
        <v>320.76796578947369</v>
      </c>
      <c r="Z472" s="63"/>
      <c r="AA472" s="63"/>
    </row>
    <row r="473" spans="1:27" hidden="1" x14ac:dyDescent="0.25">
      <c r="A473" t="str">
        <f t="shared" si="118"/>
        <v>10620100B25/05/2026M</v>
      </c>
      <c r="B473" s="169" t="s">
        <v>825</v>
      </c>
      <c r="C473" s="61" t="s">
        <v>396</v>
      </c>
      <c r="D473" s="61" t="s">
        <v>591</v>
      </c>
      <c r="E473" s="61" t="s">
        <v>704</v>
      </c>
      <c r="F473" s="1" t="s">
        <v>705</v>
      </c>
      <c r="G473" s="62" t="str">
        <f t="shared" si="119"/>
        <v>60646</v>
      </c>
      <c r="H473" s="1">
        <v>10620100</v>
      </c>
      <c r="I473" s="1" t="s">
        <v>387</v>
      </c>
      <c r="J473" s="61">
        <v>50</v>
      </c>
      <c r="K473" s="61">
        <v>6.8</v>
      </c>
      <c r="L473" s="61">
        <v>8.8000000000000007</v>
      </c>
      <c r="M473" s="69">
        <f t="shared" si="107"/>
        <v>3.4</v>
      </c>
      <c r="N473" s="69">
        <f t="shared" si="108"/>
        <v>4.4000000000000004</v>
      </c>
      <c r="O473" s="56">
        <v>56.212200000000003</v>
      </c>
      <c r="P473" s="57">
        <f t="shared" si="109"/>
        <v>2810.61</v>
      </c>
      <c r="Q473" s="58">
        <f t="shared" si="110"/>
        <v>443.78052631578947</v>
      </c>
      <c r="R473" s="58">
        <f t="shared" si="111"/>
        <v>295.8536842105263</v>
      </c>
      <c r="S473" s="66">
        <f t="shared" si="112"/>
        <v>49.185675000000003</v>
      </c>
      <c r="T473" s="64">
        <f t="shared" si="113"/>
        <v>187.5</v>
      </c>
      <c r="U473" s="66">
        <f t="shared" si="114"/>
        <v>3047.2956750000003</v>
      </c>
      <c r="V473" s="68">
        <f t="shared" si="115"/>
        <v>60.945913500000003</v>
      </c>
      <c r="W473" s="68">
        <f t="shared" si="116"/>
        <v>481.15194868421054</v>
      </c>
      <c r="X473" s="68">
        <f t="shared" si="117"/>
        <v>320.76796578947369</v>
      </c>
      <c r="Z473" s="63"/>
      <c r="AA473" s="63"/>
    </row>
    <row r="474" spans="1:27" hidden="1" x14ac:dyDescent="0.25">
      <c r="A474" t="str">
        <f t="shared" si="118"/>
        <v>10620100B26/05/2026E</v>
      </c>
      <c r="B474" s="169" t="s">
        <v>825</v>
      </c>
      <c r="C474" s="61" t="s">
        <v>397</v>
      </c>
      <c r="D474" s="61" t="s">
        <v>591</v>
      </c>
      <c r="E474" s="61" t="s">
        <v>704</v>
      </c>
      <c r="F474" s="1" t="s">
        <v>705</v>
      </c>
      <c r="G474" s="62" t="str">
        <f t="shared" si="119"/>
        <v>60646</v>
      </c>
      <c r="H474" s="1">
        <v>10620100</v>
      </c>
      <c r="I474" s="1" t="s">
        <v>387</v>
      </c>
      <c r="J474" s="61">
        <v>50</v>
      </c>
      <c r="K474" s="61">
        <v>6.8</v>
      </c>
      <c r="L474" s="61">
        <v>8.8000000000000007</v>
      </c>
      <c r="M474" s="69">
        <f t="shared" si="107"/>
        <v>3.4</v>
      </c>
      <c r="N474" s="69">
        <f t="shared" si="108"/>
        <v>4.4000000000000004</v>
      </c>
      <c r="O474" s="56">
        <v>56.212200000000003</v>
      </c>
      <c r="P474" s="57">
        <f t="shared" si="109"/>
        <v>2810.61</v>
      </c>
      <c r="Q474" s="58">
        <f t="shared" si="110"/>
        <v>443.78052631578947</v>
      </c>
      <c r="R474" s="58">
        <f t="shared" si="111"/>
        <v>295.8536842105263</v>
      </c>
      <c r="S474" s="66">
        <f t="shared" si="112"/>
        <v>49.185675000000003</v>
      </c>
      <c r="T474" s="64">
        <f t="shared" si="113"/>
        <v>187.5</v>
      </c>
      <c r="U474" s="66">
        <f t="shared" si="114"/>
        <v>3047.2956750000003</v>
      </c>
      <c r="V474" s="68">
        <f t="shared" si="115"/>
        <v>60.945913500000003</v>
      </c>
      <c r="W474" s="68">
        <f t="shared" si="116"/>
        <v>481.15194868421054</v>
      </c>
      <c r="X474" s="68">
        <f t="shared" si="117"/>
        <v>320.76796578947369</v>
      </c>
      <c r="Z474" s="63"/>
      <c r="AA474" s="63"/>
    </row>
    <row r="475" spans="1:27" hidden="1" x14ac:dyDescent="0.25">
      <c r="A475" t="str">
        <f t="shared" si="118"/>
        <v>10620100B26/05/2026M</v>
      </c>
      <c r="B475" s="169" t="s">
        <v>826</v>
      </c>
      <c r="C475" s="61" t="s">
        <v>396</v>
      </c>
      <c r="D475" s="61" t="s">
        <v>591</v>
      </c>
      <c r="E475" s="61" t="s">
        <v>704</v>
      </c>
      <c r="F475" s="1" t="s">
        <v>705</v>
      </c>
      <c r="G475" s="62" t="str">
        <f t="shared" si="119"/>
        <v>60646</v>
      </c>
      <c r="H475" s="1">
        <v>10620100</v>
      </c>
      <c r="I475" s="1" t="s">
        <v>387</v>
      </c>
      <c r="J475" s="61">
        <v>50</v>
      </c>
      <c r="K475" s="61">
        <v>6.8</v>
      </c>
      <c r="L475" s="61">
        <v>8.8000000000000007</v>
      </c>
      <c r="M475" s="69">
        <f t="shared" si="107"/>
        <v>3.4</v>
      </c>
      <c r="N475" s="69">
        <f t="shared" si="108"/>
        <v>4.4000000000000004</v>
      </c>
      <c r="O475" s="56">
        <f>INDEX(Rate_Chart!$A$1:$AK$127,MATCH(Data!K475,Rate_Chart!$A$1:$A$127,0),MATCH(Data!L475,Rate_Chart!$A$1:$AK$1,0))</f>
        <v>56.212200000000003</v>
      </c>
      <c r="P475" s="57">
        <f t="shared" si="109"/>
        <v>2810.61</v>
      </c>
      <c r="Q475" s="58">
        <f t="shared" si="110"/>
        <v>443.78052631578947</v>
      </c>
      <c r="R475" s="58">
        <f t="shared" si="111"/>
        <v>295.8536842105263</v>
      </c>
      <c r="S475" s="66">
        <f t="shared" si="112"/>
        <v>49.185675000000003</v>
      </c>
      <c r="T475" s="64">
        <f t="shared" si="113"/>
        <v>187.5</v>
      </c>
      <c r="U475" s="66">
        <f t="shared" si="114"/>
        <v>3047.2956750000003</v>
      </c>
      <c r="V475" s="68">
        <f t="shared" si="115"/>
        <v>60.945913500000003</v>
      </c>
      <c r="W475" s="68">
        <f t="shared" si="116"/>
        <v>481.15194868421054</v>
      </c>
      <c r="X475" s="68">
        <f t="shared" si="117"/>
        <v>320.76796578947369</v>
      </c>
      <c r="Z475" s="63"/>
      <c r="AA475" s="63"/>
    </row>
    <row r="476" spans="1:27" hidden="1" x14ac:dyDescent="0.25">
      <c r="A476" t="str">
        <f t="shared" si="118"/>
        <v>10620100B27/05/2026E</v>
      </c>
      <c r="B476" s="169" t="s">
        <v>826</v>
      </c>
      <c r="C476" s="61" t="s">
        <v>397</v>
      </c>
      <c r="D476" s="61" t="s">
        <v>591</v>
      </c>
      <c r="E476" s="61" t="s">
        <v>704</v>
      </c>
      <c r="F476" s="1" t="s">
        <v>705</v>
      </c>
      <c r="G476" s="62" t="str">
        <f t="shared" si="119"/>
        <v>60646</v>
      </c>
      <c r="H476" s="1">
        <v>10620100</v>
      </c>
      <c r="I476" s="1" t="s">
        <v>387</v>
      </c>
      <c r="J476" s="61">
        <v>60</v>
      </c>
      <c r="K476" s="61">
        <v>7</v>
      </c>
      <c r="L476" s="61">
        <v>9</v>
      </c>
      <c r="M476" s="69">
        <f t="shared" si="107"/>
        <v>4.2</v>
      </c>
      <c r="N476" s="69">
        <f t="shared" si="108"/>
        <v>5.4</v>
      </c>
      <c r="O476" s="56">
        <f>INDEX(Rate_Chart!$A$1:$AK$127,MATCH(Data!K476,Rate_Chart!$A$1:$A$127,0),MATCH(Data!L476,Rate_Chart!$A$1:$AK$1,0))</f>
        <v>58.45</v>
      </c>
      <c r="P476" s="57">
        <f t="shared" si="109"/>
        <v>3507</v>
      </c>
      <c r="Q476" s="58">
        <f t="shared" si="110"/>
        <v>449.61538461538464</v>
      </c>
      <c r="R476" s="58">
        <f t="shared" si="111"/>
        <v>299.74358974358978</v>
      </c>
      <c r="S476" s="66">
        <f t="shared" si="112"/>
        <v>61.372500000000009</v>
      </c>
      <c r="T476" s="64">
        <f t="shared" si="113"/>
        <v>225</v>
      </c>
      <c r="U476" s="66">
        <f t="shared" si="114"/>
        <v>3793.3724999999999</v>
      </c>
      <c r="V476" s="68">
        <f t="shared" si="115"/>
        <v>63.222875000000002</v>
      </c>
      <c r="W476" s="68">
        <f t="shared" si="116"/>
        <v>486.32980769230767</v>
      </c>
      <c r="X476" s="68">
        <f t="shared" si="117"/>
        <v>324.21987179487178</v>
      </c>
      <c r="Z476" s="63"/>
      <c r="AA476" s="63"/>
    </row>
    <row r="477" spans="1:27" hidden="1" x14ac:dyDescent="0.25">
      <c r="A477" t="str">
        <f t="shared" si="118"/>
        <v>10620100B27/05/2026M</v>
      </c>
      <c r="B477" s="169" t="s">
        <v>827</v>
      </c>
      <c r="C477" s="61" t="s">
        <v>396</v>
      </c>
      <c r="D477" s="61" t="s">
        <v>591</v>
      </c>
      <c r="E477" s="61" t="s">
        <v>704</v>
      </c>
      <c r="F477" s="1" t="s">
        <v>705</v>
      </c>
      <c r="G477" s="62" t="str">
        <f t="shared" si="119"/>
        <v>60646</v>
      </c>
      <c r="H477" s="1">
        <v>10620100</v>
      </c>
      <c r="I477" s="1" t="s">
        <v>387</v>
      </c>
      <c r="J477" s="61">
        <v>60</v>
      </c>
      <c r="K477" s="61">
        <v>7</v>
      </c>
      <c r="L477" s="61">
        <v>9</v>
      </c>
      <c r="M477" s="69">
        <f t="shared" si="107"/>
        <v>4.2</v>
      </c>
      <c r="N477" s="69">
        <f t="shared" si="108"/>
        <v>5.4</v>
      </c>
      <c r="O477" s="56">
        <f>INDEX(Rate_Chart!$A$1:$AK$127,MATCH(Data!K477,Rate_Chart!$A$1:$A$127,0),MATCH(Data!L477,Rate_Chart!$A$1:$AK$1,0))</f>
        <v>58.45</v>
      </c>
      <c r="P477" s="57">
        <f t="shared" si="109"/>
        <v>3507</v>
      </c>
      <c r="Q477" s="58">
        <f t="shared" si="110"/>
        <v>449.61538461538464</v>
      </c>
      <c r="R477" s="58">
        <f t="shared" si="111"/>
        <v>299.74358974358978</v>
      </c>
      <c r="S477" s="66">
        <f t="shared" si="112"/>
        <v>61.372500000000009</v>
      </c>
      <c r="T477" s="64">
        <f t="shared" si="113"/>
        <v>225</v>
      </c>
      <c r="U477" s="66">
        <f t="shared" si="114"/>
        <v>3793.3724999999999</v>
      </c>
      <c r="V477" s="68">
        <f t="shared" si="115"/>
        <v>63.222875000000002</v>
      </c>
      <c r="W477" s="68">
        <f t="shared" si="116"/>
        <v>486.32980769230767</v>
      </c>
      <c r="X477" s="68">
        <f t="shared" si="117"/>
        <v>324.21987179487178</v>
      </c>
      <c r="Z477" s="63"/>
      <c r="AA477" s="63"/>
    </row>
    <row r="478" spans="1:27" hidden="1" x14ac:dyDescent="0.25">
      <c r="A478" t="str">
        <f t="shared" si="118"/>
        <v>10620100B28/05/2026E</v>
      </c>
      <c r="B478" s="169" t="s">
        <v>827</v>
      </c>
      <c r="C478" s="61" t="s">
        <v>397</v>
      </c>
      <c r="D478" s="61" t="s">
        <v>591</v>
      </c>
      <c r="E478" s="61" t="s">
        <v>704</v>
      </c>
      <c r="F478" s="1" t="s">
        <v>705</v>
      </c>
      <c r="G478" s="62" t="str">
        <f t="shared" si="119"/>
        <v>60646</v>
      </c>
      <c r="H478" s="1">
        <v>10620100</v>
      </c>
      <c r="I478" s="1" t="s">
        <v>387</v>
      </c>
      <c r="J478" s="61">
        <v>61</v>
      </c>
      <c r="K478" s="61">
        <v>7</v>
      </c>
      <c r="L478" s="61">
        <v>9</v>
      </c>
      <c r="M478" s="69">
        <f t="shared" ref="M478:M541" si="120">K478*J478/100</f>
        <v>4.2699999999999996</v>
      </c>
      <c r="N478" s="69">
        <f t="shared" ref="N478:N541" si="121">L478*J478/100</f>
        <v>5.49</v>
      </c>
      <c r="O478" s="56">
        <f>INDEX(Rate_Chart!$A$1:$AK$127,MATCH(Data!K478,Rate_Chart!$A$1:$A$127,0),MATCH(Data!L478,Rate_Chart!$A$1:$AK$1,0))</f>
        <v>58.45</v>
      </c>
      <c r="P478" s="57">
        <f t="shared" ref="P478:P541" si="122">O478*J478</f>
        <v>3565.4500000000003</v>
      </c>
      <c r="Q478" s="58">
        <f t="shared" ref="Q478:Q541" si="123">O478/(K478%+L478%*2/3)</f>
        <v>449.61538461538464</v>
      </c>
      <c r="R478" s="58">
        <f t="shared" ref="R478:R541" si="124">Q478*2/3</f>
        <v>299.74358974358978</v>
      </c>
      <c r="S478" s="66">
        <f t="shared" ref="S478:S541" si="125">P478*1.75%</f>
        <v>62.395375000000008</v>
      </c>
      <c r="T478" s="64">
        <f t="shared" ref="T478:T541" si="126">J478*3.75</f>
        <v>228.75</v>
      </c>
      <c r="U478" s="66">
        <f t="shared" ref="U478:U541" si="127">S478+T478+P478</f>
        <v>3856.5953750000003</v>
      </c>
      <c r="V478" s="68">
        <f t="shared" ref="V478:V541" si="128">U478/J478</f>
        <v>63.222875000000002</v>
      </c>
      <c r="W478" s="68">
        <f t="shared" ref="W478:W541" si="129">V478/(K478%+L478%*2/3)</f>
        <v>486.32980769230767</v>
      </c>
      <c r="X478" s="68">
        <f t="shared" ref="X478:X541" si="130">W478*2/3</f>
        <v>324.21987179487178</v>
      </c>
      <c r="Z478" s="63"/>
      <c r="AA478" s="63"/>
    </row>
    <row r="479" spans="1:27" hidden="1" x14ac:dyDescent="0.25">
      <c r="A479" t="str">
        <f t="shared" si="118"/>
        <v>10620100B28/05/2026M</v>
      </c>
      <c r="B479" s="169" t="s">
        <v>828</v>
      </c>
      <c r="C479" s="61" t="s">
        <v>396</v>
      </c>
      <c r="D479" s="61" t="s">
        <v>591</v>
      </c>
      <c r="E479" s="61" t="s">
        <v>704</v>
      </c>
      <c r="F479" s="1" t="s">
        <v>705</v>
      </c>
      <c r="G479" s="62" t="str">
        <f t="shared" si="119"/>
        <v>60646</v>
      </c>
      <c r="H479" s="1">
        <v>10620100</v>
      </c>
      <c r="I479" s="1" t="s">
        <v>387</v>
      </c>
      <c r="J479" s="61">
        <v>42</v>
      </c>
      <c r="K479" s="61">
        <v>6.9</v>
      </c>
      <c r="L479" s="61">
        <v>9</v>
      </c>
      <c r="M479" s="69">
        <f t="shared" si="120"/>
        <v>2.8980000000000001</v>
      </c>
      <c r="N479" s="69">
        <f t="shared" si="121"/>
        <v>3.78</v>
      </c>
      <c r="O479" s="56">
        <f>INDEX(Rate_Chart!$A$1:$AK$127,MATCH(Data!K479,Rate_Chart!$A$1:$A$127,0),MATCH(Data!L479,Rate_Chart!$A$1:$AK$1,0))</f>
        <v>57.615000000000002</v>
      </c>
      <c r="P479" s="57">
        <f t="shared" si="122"/>
        <v>2419.83</v>
      </c>
      <c r="Q479" s="58">
        <f t="shared" si="123"/>
        <v>446.62790697674421</v>
      </c>
      <c r="R479" s="58">
        <f t="shared" si="124"/>
        <v>297.75193798449612</v>
      </c>
      <c r="S479" s="66">
        <f t="shared" si="125"/>
        <v>42.347025000000002</v>
      </c>
      <c r="T479" s="64">
        <f t="shared" si="126"/>
        <v>157.5</v>
      </c>
      <c r="U479" s="66">
        <f t="shared" si="127"/>
        <v>2619.677025</v>
      </c>
      <c r="V479" s="68">
        <f t="shared" si="128"/>
        <v>62.373262499999996</v>
      </c>
      <c r="W479" s="68">
        <f t="shared" si="129"/>
        <v>483.51366279069765</v>
      </c>
      <c r="X479" s="68">
        <f t="shared" si="130"/>
        <v>322.3424418604651</v>
      </c>
      <c r="Z479" s="63"/>
      <c r="AA479" s="63"/>
    </row>
    <row r="480" spans="1:27" hidden="1" x14ac:dyDescent="0.25">
      <c r="A480" t="str">
        <f t="shared" si="118"/>
        <v>10620100B22/05/2026E</v>
      </c>
      <c r="B480" s="169" t="s">
        <v>828</v>
      </c>
      <c r="C480" s="61" t="s">
        <v>397</v>
      </c>
      <c r="D480" s="61" t="s">
        <v>591</v>
      </c>
      <c r="E480" s="61" t="s">
        <v>704</v>
      </c>
      <c r="F480" s="1" t="s">
        <v>705</v>
      </c>
      <c r="G480" s="62" t="str">
        <f t="shared" si="119"/>
        <v>60646</v>
      </c>
      <c r="H480" s="1">
        <v>10620100</v>
      </c>
      <c r="I480" s="1" t="s">
        <v>387</v>
      </c>
      <c r="J480" s="61">
        <v>60</v>
      </c>
      <c r="K480" s="61">
        <v>6.8</v>
      </c>
      <c r="L480" s="61">
        <v>9</v>
      </c>
      <c r="M480" s="69">
        <f t="shared" si="120"/>
        <v>4.08</v>
      </c>
      <c r="N480" s="69">
        <f t="shared" si="121"/>
        <v>5.4</v>
      </c>
      <c r="O480" s="56">
        <f>INDEX(Rate_Chart!$A$1:$AK$127,MATCH(Data!K480,Rate_Chart!$A$1:$A$127,0),MATCH(Data!L480,Rate_Chart!$A$1:$AK$1,0))</f>
        <v>56.78</v>
      </c>
      <c r="P480" s="57">
        <f t="shared" si="122"/>
        <v>3406.8</v>
      </c>
      <c r="Q480" s="58">
        <f t="shared" si="123"/>
        <v>443.59375</v>
      </c>
      <c r="R480" s="58">
        <f t="shared" si="124"/>
        <v>295.72916666666669</v>
      </c>
      <c r="S480" s="66">
        <f t="shared" si="125"/>
        <v>59.619000000000007</v>
      </c>
      <c r="T480" s="64">
        <f t="shared" si="126"/>
        <v>225</v>
      </c>
      <c r="U480" s="66">
        <f t="shared" si="127"/>
        <v>3691.4190000000003</v>
      </c>
      <c r="V480" s="68">
        <f t="shared" si="128"/>
        <v>61.523650000000004</v>
      </c>
      <c r="W480" s="68">
        <f t="shared" si="129"/>
        <v>480.65351562500001</v>
      </c>
      <c r="X480" s="68">
        <f t="shared" si="130"/>
        <v>320.43567708333336</v>
      </c>
      <c r="Z480" s="63"/>
      <c r="AA480" s="63"/>
    </row>
    <row r="481" spans="1:27" hidden="1" x14ac:dyDescent="0.25">
      <c r="A481" t="str">
        <f t="shared" si="118"/>
        <v>10620056C22/05/2026M</v>
      </c>
      <c r="B481" s="169" t="s">
        <v>822</v>
      </c>
      <c r="C481" s="61" t="s">
        <v>396</v>
      </c>
      <c r="D481" s="61" t="s">
        <v>591</v>
      </c>
      <c r="E481" s="61" t="s">
        <v>810</v>
      </c>
      <c r="F481" s="1" t="s">
        <v>356</v>
      </c>
      <c r="G481" s="62" t="str">
        <f t="shared" si="119"/>
        <v>64501</v>
      </c>
      <c r="H481" s="1">
        <v>10620056</v>
      </c>
      <c r="I481" s="1" t="s">
        <v>388</v>
      </c>
      <c r="J481" s="61">
        <v>18</v>
      </c>
      <c r="K481" s="61">
        <v>4.5999999999999996</v>
      </c>
      <c r="L481" s="61">
        <v>8.1</v>
      </c>
      <c r="M481" s="69">
        <f t="shared" si="120"/>
        <v>0.82799999999999996</v>
      </c>
      <c r="N481" s="69">
        <f t="shared" si="121"/>
        <v>1.4579999999999997</v>
      </c>
      <c r="O481" s="56">
        <v>39.601069200000005</v>
      </c>
      <c r="P481" s="57">
        <f t="shared" si="122"/>
        <v>712.81924560000004</v>
      </c>
      <c r="Q481" s="58">
        <f t="shared" si="123"/>
        <v>396.01069200000001</v>
      </c>
      <c r="R481" s="58">
        <f t="shared" si="124"/>
        <v>264.00712800000002</v>
      </c>
      <c r="S481" s="66">
        <f t="shared" si="125"/>
        <v>12.474336798000001</v>
      </c>
      <c r="T481" s="64">
        <f t="shared" si="126"/>
        <v>67.5</v>
      </c>
      <c r="U481" s="66">
        <f t="shared" si="127"/>
        <v>792.79358239800001</v>
      </c>
      <c r="V481" s="68">
        <f t="shared" si="128"/>
        <v>44.044087910999998</v>
      </c>
      <c r="W481" s="68">
        <f t="shared" si="129"/>
        <v>440.44087910999997</v>
      </c>
      <c r="X481" s="68">
        <f t="shared" si="130"/>
        <v>293.62725273999996</v>
      </c>
      <c r="Z481" s="63"/>
      <c r="AA481" s="63"/>
    </row>
    <row r="482" spans="1:27" hidden="1" x14ac:dyDescent="0.25">
      <c r="A482" t="str">
        <f t="shared" si="118"/>
        <v>10620056C23/05/2026E</v>
      </c>
      <c r="B482" s="169" t="s">
        <v>822</v>
      </c>
      <c r="C482" s="61" t="s">
        <v>397</v>
      </c>
      <c r="D482" s="61" t="s">
        <v>591</v>
      </c>
      <c r="E482" s="61" t="s">
        <v>810</v>
      </c>
      <c r="F482" s="1" t="s">
        <v>356</v>
      </c>
      <c r="G482" s="62" t="str">
        <f t="shared" si="119"/>
        <v>64501</v>
      </c>
      <c r="H482" s="1">
        <v>10620056</v>
      </c>
      <c r="I482" s="1" t="s">
        <v>388</v>
      </c>
      <c r="J482" s="61">
        <v>17</v>
      </c>
      <c r="K482" s="61">
        <v>4.3</v>
      </c>
      <c r="L482" s="61">
        <v>8.1</v>
      </c>
      <c r="M482" s="69">
        <f t="shared" si="120"/>
        <v>0.73099999999999998</v>
      </c>
      <c r="N482" s="69">
        <f t="shared" si="121"/>
        <v>1.3769999999999998</v>
      </c>
      <c r="O482" s="56">
        <v>38.413069200000002</v>
      </c>
      <c r="P482" s="57">
        <f t="shared" si="122"/>
        <v>653.02217640000003</v>
      </c>
      <c r="Q482" s="58">
        <f t="shared" si="123"/>
        <v>396.0110226804124</v>
      </c>
      <c r="R482" s="58">
        <f t="shared" si="124"/>
        <v>264.00734845360824</v>
      </c>
      <c r="S482" s="66">
        <f t="shared" si="125"/>
        <v>11.427888087000001</v>
      </c>
      <c r="T482" s="64">
        <f t="shared" si="126"/>
        <v>63.75</v>
      </c>
      <c r="U482" s="66">
        <f t="shared" si="127"/>
        <v>728.20006448700008</v>
      </c>
      <c r="V482" s="68">
        <f t="shared" si="128"/>
        <v>42.835297911000005</v>
      </c>
      <c r="W482" s="68">
        <f t="shared" si="129"/>
        <v>441.6010093917526</v>
      </c>
      <c r="X482" s="68">
        <f t="shared" si="130"/>
        <v>294.40067292783505</v>
      </c>
      <c r="Z482" s="63"/>
      <c r="AA482" s="63"/>
    </row>
    <row r="483" spans="1:27" hidden="1" x14ac:dyDescent="0.25">
      <c r="A483" t="str">
        <f t="shared" si="118"/>
        <v>10620056C23/05/2026M</v>
      </c>
      <c r="B483" s="169" t="s">
        <v>823</v>
      </c>
      <c r="C483" s="61" t="s">
        <v>396</v>
      </c>
      <c r="D483" s="61" t="s">
        <v>591</v>
      </c>
      <c r="E483" s="61" t="s">
        <v>810</v>
      </c>
      <c r="F483" s="1" t="s">
        <v>356</v>
      </c>
      <c r="G483" s="62" t="str">
        <f t="shared" si="119"/>
        <v>64501</v>
      </c>
      <c r="H483" s="1">
        <v>10620056</v>
      </c>
      <c r="I483" s="1" t="s">
        <v>388</v>
      </c>
      <c r="J483" s="61">
        <v>18</v>
      </c>
      <c r="K483" s="61">
        <v>4.5999999999999996</v>
      </c>
      <c r="L483" s="61">
        <v>8.1</v>
      </c>
      <c r="M483" s="69">
        <f t="shared" si="120"/>
        <v>0.82799999999999996</v>
      </c>
      <c r="N483" s="69">
        <f t="shared" si="121"/>
        <v>1.4579999999999997</v>
      </c>
      <c r="O483" s="56">
        <v>39.601069200000005</v>
      </c>
      <c r="P483" s="57">
        <f t="shared" si="122"/>
        <v>712.81924560000004</v>
      </c>
      <c r="Q483" s="58">
        <f t="shared" si="123"/>
        <v>396.01069200000001</v>
      </c>
      <c r="R483" s="58">
        <f t="shared" si="124"/>
        <v>264.00712800000002</v>
      </c>
      <c r="S483" s="66">
        <f t="shared" si="125"/>
        <v>12.474336798000001</v>
      </c>
      <c r="T483" s="64">
        <f t="shared" si="126"/>
        <v>67.5</v>
      </c>
      <c r="U483" s="66">
        <f t="shared" si="127"/>
        <v>792.79358239800001</v>
      </c>
      <c r="V483" s="68">
        <f t="shared" si="128"/>
        <v>44.044087910999998</v>
      </c>
      <c r="W483" s="68">
        <f t="shared" si="129"/>
        <v>440.44087910999997</v>
      </c>
      <c r="X483" s="68">
        <f t="shared" si="130"/>
        <v>293.62725273999996</v>
      </c>
      <c r="Z483" s="63"/>
      <c r="AA483" s="63"/>
    </row>
    <row r="484" spans="1:27" hidden="1" x14ac:dyDescent="0.25">
      <c r="A484" t="str">
        <f t="shared" si="118"/>
        <v>10620056C24/05/2026E</v>
      </c>
      <c r="B484" s="169" t="s">
        <v>823</v>
      </c>
      <c r="C484" s="61" t="s">
        <v>397</v>
      </c>
      <c r="D484" s="61" t="s">
        <v>591</v>
      </c>
      <c r="E484" s="61" t="s">
        <v>810</v>
      </c>
      <c r="F484" s="1" t="s">
        <v>356</v>
      </c>
      <c r="G484" s="62" t="str">
        <f t="shared" si="119"/>
        <v>64501</v>
      </c>
      <c r="H484" s="1">
        <v>10620056</v>
      </c>
      <c r="I484" s="1" t="s">
        <v>388</v>
      </c>
      <c r="J484" s="61">
        <v>16</v>
      </c>
      <c r="K484" s="61">
        <v>4.2</v>
      </c>
      <c r="L484" s="61">
        <v>8</v>
      </c>
      <c r="M484" s="69">
        <f t="shared" si="120"/>
        <v>0.67200000000000004</v>
      </c>
      <c r="N484" s="69">
        <f t="shared" si="121"/>
        <v>1.28</v>
      </c>
      <c r="O484" s="56">
        <v>37.753056000000001</v>
      </c>
      <c r="P484" s="57">
        <f t="shared" si="122"/>
        <v>604.04889600000001</v>
      </c>
      <c r="Q484" s="58">
        <f t="shared" si="123"/>
        <v>396.01107692307693</v>
      </c>
      <c r="R484" s="58">
        <f t="shared" si="124"/>
        <v>264.00738461538464</v>
      </c>
      <c r="S484" s="66">
        <f t="shared" si="125"/>
        <v>10.570855680000001</v>
      </c>
      <c r="T484" s="64">
        <f t="shared" si="126"/>
        <v>60</v>
      </c>
      <c r="U484" s="66">
        <f t="shared" si="127"/>
        <v>674.61975168000004</v>
      </c>
      <c r="V484" s="68">
        <f t="shared" si="128"/>
        <v>42.163734480000002</v>
      </c>
      <c r="W484" s="68">
        <f t="shared" si="129"/>
        <v>442.27693510489507</v>
      </c>
      <c r="X484" s="68">
        <f t="shared" si="130"/>
        <v>294.85129006993003</v>
      </c>
      <c r="Z484" s="63"/>
      <c r="AA484" s="63"/>
    </row>
    <row r="485" spans="1:27" hidden="1" x14ac:dyDescent="0.25">
      <c r="A485" t="str">
        <f t="shared" si="118"/>
        <v>10620056C24/05/2026M</v>
      </c>
      <c r="B485" s="169" t="s">
        <v>824</v>
      </c>
      <c r="C485" s="61" t="s">
        <v>396</v>
      </c>
      <c r="D485" s="61" t="s">
        <v>591</v>
      </c>
      <c r="E485" s="61" t="s">
        <v>810</v>
      </c>
      <c r="F485" s="1" t="s">
        <v>356</v>
      </c>
      <c r="G485" s="62" t="str">
        <f t="shared" si="119"/>
        <v>64501</v>
      </c>
      <c r="H485" s="1">
        <v>10620056</v>
      </c>
      <c r="I485" s="1" t="s">
        <v>388</v>
      </c>
      <c r="J485" s="61">
        <v>17</v>
      </c>
      <c r="K485" s="61">
        <v>4.7</v>
      </c>
      <c r="L485" s="61">
        <v>8.1</v>
      </c>
      <c r="M485" s="69">
        <f t="shared" si="120"/>
        <v>0.79900000000000004</v>
      </c>
      <c r="N485" s="69">
        <f t="shared" si="121"/>
        <v>1.3769999999999998</v>
      </c>
      <c r="O485" s="56">
        <v>39.997069199999999</v>
      </c>
      <c r="P485" s="57">
        <f t="shared" si="122"/>
        <v>679.95017639999992</v>
      </c>
      <c r="Q485" s="58">
        <f t="shared" si="123"/>
        <v>396.0105861386138</v>
      </c>
      <c r="R485" s="58">
        <f t="shared" si="124"/>
        <v>264.00705742574252</v>
      </c>
      <c r="S485" s="66">
        <f t="shared" si="125"/>
        <v>11.899128086999999</v>
      </c>
      <c r="T485" s="64">
        <f t="shared" si="126"/>
        <v>63.75</v>
      </c>
      <c r="U485" s="66">
        <f t="shared" si="127"/>
        <v>755.59930448699993</v>
      </c>
      <c r="V485" s="68">
        <f t="shared" si="128"/>
        <v>44.447017910999996</v>
      </c>
      <c r="W485" s="68">
        <f t="shared" si="129"/>
        <v>440.06948426732669</v>
      </c>
      <c r="X485" s="68">
        <f t="shared" si="130"/>
        <v>293.37965617821777</v>
      </c>
      <c r="Z485" s="63"/>
      <c r="AA485" s="63"/>
    </row>
    <row r="486" spans="1:27" hidden="1" x14ac:dyDescent="0.25">
      <c r="A486" t="str">
        <f t="shared" si="118"/>
        <v>10620056C25/05/2026E</v>
      </c>
      <c r="B486" s="169" t="s">
        <v>824</v>
      </c>
      <c r="C486" s="61" t="s">
        <v>397</v>
      </c>
      <c r="D486" s="61" t="s">
        <v>591</v>
      </c>
      <c r="E486" s="61" t="s">
        <v>810</v>
      </c>
      <c r="F486" s="1" t="s">
        <v>356</v>
      </c>
      <c r="G486" s="62" t="str">
        <f t="shared" si="119"/>
        <v>64501</v>
      </c>
      <c r="H486" s="1">
        <v>10620056</v>
      </c>
      <c r="I486" s="1" t="s">
        <v>388</v>
      </c>
      <c r="J486" s="61">
        <v>19</v>
      </c>
      <c r="K486" s="61">
        <v>3.8</v>
      </c>
      <c r="L486" s="61">
        <v>8</v>
      </c>
      <c r="M486" s="69">
        <f t="shared" si="120"/>
        <v>0.72199999999999998</v>
      </c>
      <c r="N486" s="69">
        <f t="shared" si="121"/>
        <v>1.52</v>
      </c>
      <c r="O486" s="56">
        <v>36.169056000000005</v>
      </c>
      <c r="P486" s="57">
        <f t="shared" si="122"/>
        <v>687.21206400000005</v>
      </c>
      <c r="Q486" s="58">
        <f t="shared" si="123"/>
        <v>396.01156204379566</v>
      </c>
      <c r="R486" s="58">
        <f t="shared" si="124"/>
        <v>264.00770802919709</v>
      </c>
      <c r="S486" s="66">
        <f t="shared" si="125"/>
        <v>12.026211120000003</v>
      </c>
      <c r="T486" s="64">
        <f t="shared" si="126"/>
        <v>71.25</v>
      </c>
      <c r="U486" s="66">
        <f t="shared" si="127"/>
        <v>770.48827512000003</v>
      </c>
      <c r="V486" s="68">
        <f t="shared" si="128"/>
        <v>40.552014480000004</v>
      </c>
      <c r="W486" s="68">
        <f t="shared" si="129"/>
        <v>444.000158540146</v>
      </c>
      <c r="X486" s="68">
        <f t="shared" si="130"/>
        <v>296.00010569343067</v>
      </c>
      <c r="Z486" s="63"/>
      <c r="AA486" s="63"/>
    </row>
    <row r="487" spans="1:27" hidden="1" x14ac:dyDescent="0.25">
      <c r="A487" t="str">
        <f t="shared" si="118"/>
        <v>10620056C26/05/2026M</v>
      </c>
      <c r="B487" s="169" t="s">
        <v>825</v>
      </c>
      <c r="C487" s="61" t="s">
        <v>396</v>
      </c>
      <c r="D487" s="61" t="s">
        <v>591</v>
      </c>
      <c r="E487" s="61" t="s">
        <v>810</v>
      </c>
      <c r="F487" s="1" t="s">
        <v>356</v>
      </c>
      <c r="G487" s="62" t="str">
        <f t="shared" si="119"/>
        <v>64501</v>
      </c>
      <c r="H487" s="1">
        <v>10620056</v>
      </c>
      <c r="I487" s="1" t="s">
        <v>388</v>
      </c>
      <c r="J487" s="61">
        <v>19</v>
      </c>
      <c r="K487" s="61">
        <v>4.7</v>
      </c>
      <c r="L487" s="61">
        <v>8.1</v>
      </c>
      <c r="M487" s="69">
        <f t="shared" si="120"/>
        <v>0.89300000000000002</v>
      </c>
      <c r="N487" s="69">
        <f t="shared" si="121"/>
        <v>1.5390000000000001</v>
      </c>
      <c r="O487" s="56">
        <v>39.997069199999999</v>
      </c>
      <c r="P487" s="57">
        <f t="shared" si="122"/>
        <v>759.94431480000003</v>
      </c>
      <c r="Q487" s="58">
        <f t="shared" si="123"/>
        <v>396.0105861386138</v>
      </c>
      <c r="R487" s="58">
        <f t="shared" si="124"/>
        <v>264.00705742574252</v>
      </c>
      <c r="S487" s="66">
        <f t="shared" si="125"/>
        <v>13.299025509000002</v>
      </c>
      <c r="T487" s="64">
        <f t="shared" si="126"/>
        <v>71.25</v>
      </c>
      <c r="U487" s="66">
        <f t="shared" si="127"/>
        <v>844.49334030900002</v>
      </c>
      <c r="V487" s="68">
        <f t="shared" si="128"/>
        <v>44.447017911000003</v>
      </c>
      <c r="W487" s="68">
        <f t="shared" si="129"/>
        <v>440.06948426732674</v>
      </c>
      <c r="X487" s="68">
        <f t="shared" si="130"/>
        <v>293.37965617821783</v>
      </c>
      <c r="Z487" s="63"/>
      <c r="AA487" s="63"/>
    </row>
    <row r="488" spans="1:27" hidden="1" x14ac:dyDescent="0.25">
      <c r="A488" t="str">
        <f t="shared" si="118"/>
        <v>10620056C26/05/2026M</v>
      </c>
      <c r="B488" s="169" t="s">
        <v>826</v>
      </c>
      <c r="C488" s="61" t="s">
        <v>396</v>
      </c>
      <c r="D488" s="61" t="s">
        <v>591</v>
      </c>
      <c r="E488" s="61" t="s">
        <v>810</v>
      </c>
      <c r="F488" s="1" t="s">
        <v>356</v>
      </c>
      <c r="G488" s="62" t="str">
        <f t="shared" si="119"/>
        <v>64501</v>
      </c>
      <c r="H488" s="1">
        <v>10620056</v>
      </c>
      <c r="I488" s="1" t="s">
        <v>388</v>
      </c>
      <c r="J488" s="61">
        <v>17</v>
      </c>
      <c r="K488" s="61">
        <v>4.7</v>
      </c>
      <c r="L488" s="61">
        <v>8.3000000000000007</v>
      </c>
      <c r="M488" s="69">
        <f t="shared" si="120"/>
        <v>0.79900000000000004</v>
      </c>
      <c r="N488" s="69">
        <f t="shared" si="121"/>
        <v>1.4110000000000003</v>
      </c>
      <c r="O488" s="56">
        <f>INDEX(Rate_Chart!$A$1:$AK$127,MATCH(Data!K488,Rate_Chart!$A$1:$A$127,0),MATCH(Data!L488,Rate_Chart!$A$1:$AK$1,0))</f>
        <v>42.674153700000005</v>
      </c>
      <c r="P488" s="57">
        <f t="shared" si="122"/>
        <v>725.46061290000011</v>
      </c>
      <c r="Q488" s="58">
        <f t="shared" si="123"/>
        <v>417.01127394136813</v>
      </c>
      <c r="R488" s="58">
        <f t="shared" si="124"/>
        <v>278.00751596091209</v>
      </c>
      <c r="S488" s="66">
        <f t="shared" si="125"/>
        <v>12.695560725750003</v>
      </c>
      <c r="T488" s="64">
        <f t="shared" si="126"/>
        <v>63.75</v>
      </c>
      <c r="U488" s="66">
        <f t="shared" si="127"/>
        <v>801.90617362575017</v>
      </c>
      <c r="V488" s="68">
        <f t="shared" si="128"/>
        <v>47.170951389750009</v>
      </c>
      <c r="W488" s="68">
        <f t="shared" si="129"/>
        <v>460.95392237540727</v>
      </c>
      <c r="X488" s="68">
        <f t="shared" si="130"/>
        <v>307.30261491693818</v>
      </c>
      <c r="Z488" s="63"/>
      <c r="AA488" s="63"/>
    </row>
    <row r="489" spans="1:27" hidden="1" x14ac:dyDescent="0.25">
      <c r="A489" t="str">
        <f t="shared" si="118"/>
        <v>10620056C27/05/2026E</v>
      </c>
      <c r="B489" s="169" t="s">
        <v>826</v>
      </c>
      <c r="C489" s="61" t="s">
        <v>397</v>
      </c>
      <c r="D489" s="61" t="s">
        <v>591</v>
      </c>
      <c r="E489" s="61" t="s">
        <v>810</v>
      </c>
      <c r="F489" s="1" t="s">
        <v>356</v>
      </c>
      <c r="G489" s="62" t="str">
        <f t="shared" si="119"/>
        <v>64501</v>
      </c>
      <c r="H489" s="1">
        <v>10620056</v>
      </c>
      <c r="I489" s="1" t="s">
        <v>388</v>
      </c>
      <c r="J489" s="61">
        <v>20</v>
      </c>
      <c r="K489" s="61">
        <v>4.4000000000000004</v>
      </c>
      <c r="L489" s="61">
        <v>8.5</v>
      </c>
      <c r="M489" s="69">
        <f t="shared" si="120"/>
        <v>0.88</v>
      </c>
      <c r="N489" s="69">
        <f t="shared" si="121"/>
        <v>1.7</v>
      </c>
      <c r="O489" s="56">
        <f>INDEX(Rate_Chart!$A$1:$AK$127,MATCH(Data!K489,Rate_Chart!$A$1:$A$127,0),MATCH(Data!L489,Rate_Chart!$A$1:$AK$1,0))</f>
        <v>41.97918150000001</v>
      </c>
      <c r="P489" s="57">
        <f t="shared" si="122"/>
        <v>839.5836300000002</v>
      </c>
      <c r="Q489" s="58">
        <f t="shared" si="123"/>
        <v>417.01173675496693</v>
      </c>
      <c r="R489" s="58">
        <f t="shared" si="124"/>
        <v>278.00782450331127</v>
      </c>
      <c r="S489" s="66">
        <f t="shared" si="125"/>
        <v>14.692713525000006</v>
      </c>
      <c r="T489" s="64">
        <f t="shared" si="126"/>
        <v>75</v>
      </c>
      <c r="U489" s="66">
        <f t="shared" si="127"/>
        <v>929.27634352500024</v>
      </c>
      <c r="V489" s="68">
        <f t="shared" si="128"/>
        <v>46.463817176250011</v>
      </c>
      <c r="W489" s="68">
        <f t="shared" si="129"/>
        <v>461.56109777731791</v>
      </c>
      <c r="X489" s="68">
        <f t="shared" si="130"/>
        <v>307.70739851821196</v>
      </c>
      <c r="Z489" s="63"/>
      <c r="AA489" s="63"/>
    </row>
    <row r="490" spans="1:27" hidden="1" x14ac:dyDescent="0.25">
      <c r="A490" t="str">
        <f t="shared" si="118"/>
        <v>10620056C27/05/2026M</v>
      </c>
      <c r="B490" s="169" t="s">
        <v>827</v>
      </c>
      <c r="C490" s="61" t="s">
        <v>396</v>
      </c>
      <c r="D490" s="61" t="s">
        <v>591</v>
      </c>
      <c r="E490" s="61" t="s">
        <v>810</v>
      </c>
      <c r="F490" s="1" t="s">
        <v>356</v>
      </c>
      <c r="G490" s="62" t="str">
        <f t="shared" si="119"/>
        <v>64501</v>
      </c>
      <c r="H490" s="1">
        <v>10620056</v>
      </c>
      <c r="I490" s="1" t="s">
        <v>388</v>
      </c>
      <c r="J490" s="61">
        <v>20</v>
      </c>
      <c r="K490" s="61">
        <v>4.8</v>
      </c>
      <c r="L490" s="61">
        <v>8.5</v>
      </c>
      <c r="M490" s="69">
        <f t="shared" si="120"/>
        <v>0.96</v>
      </c>
      <c r="N490" s="69">
        <f t="shared" si="121"/>
        <v>1.7</v>
      </c>
      <c r="O490" s="56">
        <f>INDEX(Rate_Chart!$A$1:$AK$127,MATCH(Data!K490,Rate_Chart!$A$1:$A$127,0),MATCH(Data!L490,Rate_Chart!$A$1:$AK$1,0))</f>
        <v>43.647181500000002</v>
      </c>
      <c r="P490" s="57">
        <f t="shared" si="122"/>
        <v>872.94362999999998</v>
      </c>
      <c r="Q490" s="58">
        <f t="shared" si="123"/>
        <v>417.0112882165605</v>
      </c>
      <c r="R490" s="58">
        <f t="shared" si="124"/>
        <v>278.00752547770702</v>
      </c>
      <c r="S490" s="66">
        <f t="shared" si="125"/>
        <v>15.276513525</v>
      </c>
      <c r="T490" s="64">
        <f t="shared" si="126"/>
        <v>75</v>
      </c>
      <c r="U490" s="66">
        <f t="shared" si="127"/>
        <v>963.22014352500003</v>
      </c>
      <c r="V490" s="68">
        <f t="shared" si="128"/>
        <v>48.161007176250003</v>
      </c>
      <c r="W490" s="68">
        <f t="shared" si="129"/>
        <v>460.13701123805731</v>
      </c>
      <c r="X490" s="68">
        <f t="shared" si="130"/>
        <v>306.75800749203819</v>
      </c>
      <c r="Z490" s="63"/>
      <c r="AA490" s="63"/>
    </row>
    <row r="491" spans="1:27" hidden="1" x14ac:dyDescent="0.25">
      <c r="A491" t="str">
        <f t="shared" si="118"/>
        <v>10620056C28/05/2026E</v>
      </c>
      <c r="B491" s="169" t="s">
        <v>827</v>
      </c>
      <c r="C491" s="61" t="s">
        <v>397</v>
      </c>
      <c r="D491" s="61" t="s">
        <v>591</v>
      </c>
      <c r="E491" s="61" t="s">
        <v>810</v>
      </c>
      <c r="F491" s="1" t="s">
        <v>356</v>
      </c>
      <c r="G491" s="62" t="str">
        <f t="shared" si="119"/>
        <v>64501</v>
      </c>
      <c r="H491" s="1">
        <v>10620056</v>
      </c>
      <c r="I491" s="1" t="s">
        <v>388</v>
      </c>
      <c r="J491" s="61">
        <v>19</v>
      </c>
      <c r="K491" s="61">
        <v>4.0999999999999996</v>
      </c>
      <c r="L491" s="61">
        <v>8.5</v>
      </c>
      <c r="M491" s="69">
        <f t="shared" si="120"/>
        <v>0.77899999999999991</v>
      </c>
      <c r="N491" s="69">
        <f t="shared" si="121"/>
        <v>1.615</v>
      </c>
      <c r="O491" s="56">
        <f>INDEX(Rate_Chart!$A$1:$AK$127,MATCH(Data!K491,Rate_Chart!$A$1:$A$127,0),MATCH(Data!L491,Rate_Chart!$A$1:$AK$1,0))</f>
        <v>40.728181500000005</v>
      </c>
      <c r="P491" s="57">
        <f t="shared" si="122"/>
        <v>773.8354485000001</v>
      </c>
      <c r="Q491" s="58">
        <f t="shared" si="123"/>
        <v>417.01209726962463</v>
      </c>
      <c r="R491" s="58">
        <f t="shared" si="124"/>
        <v>278.0080648464164</v>
      </c>
      <c r="S491" s="66">
        <f t="shared" si="125"/>
        <v>13.542120348750004</v>
      </c>
      <c r="T491" s="64">
        <f t="shared" si="126"/>
        <v>71.25</v>
      </c>
      <c r="U491" s="66">
        <f t="shared" si="127"/>
        <v>858.62756884875012</v>
      </c>
      <c r="V491" s="68">
        <f t="shared" si="128"/>
        <v>45.190924676250006</v>
      </c>
      <c r="W491" s="68">
        <f t="shared" si="129"/>
        <v>462.70571340870316</v>
      </c>
      <c r="X491" s="68">
        <f t="shared" si="130"/>
        <v>308.47047560580211</v>
      </c>
      <c r="Z491" s="63"/>
      <c r="AA491" s="63"/>
    </row>
    <row r="492" spans="1:27" hidden="1" x14ac:dyDescent="0.25">
      <c r="A492" t="str">
        <f t="shared" si="118"/>
        <v>10620056C28/05/2026M</v>
      </c>
      <c r="B492" s="169" t="s">
        <v>828</v>
      </c>
      <c r="C492" s="61" t="s">
        <v>396</v>
      </c>
      <c r="D492" s="61" t="s">
        <v>591</v>
      </c>
      <c r="E492" s="61" t="s">
        <v>810</v>
      </c>
      <c r="F492" s="1" t="s">
        <v>356</v>
      </c>
      <c r="G492" s="62" t="str">
        <f t="shared" si="119"/>
        <v>64501</v>
      </c>
      <c r="H492" s="1">
        <v>10620056</v>
      </c>
      <c r="I492" s="1" t="s">
        <v>388</v>
      </c>
      <c r="J492" s="61">
        <v>12</v>
      </c>
      <c r="K492" s="61">
        <v>5.2</v>
      </c>
      <c r="L492" s="61">
        <v>8.4</v>
      </c>
      <c r="M492" s="69">
        <f t="shared" si="120"/>
        <v>0.62400000000000011</v>
      </c>
      <c r="N492" s="69">
        <f t="shared" si="121"/>
        <v>1.008</v>
      </c>
      <c r="O492" s="56">
        <f>INDEX(Rate_Chart!$A$1:$AK$127,MATCH(Data!K492,Rate_Chart!$A$1:$A$127,0),MATCH(Data!L492,Rate_Chart!$A$1:$AK$1,0))</f>
        <v>45.037167600000004</v>
      </c>
      <c r="P492" s="57">
        <f t="shared" si="122"/>
        <v>540.44601120000004</v>
      </c>
      <c r="Q492" s="58">
        <f t="shared" si="123"/>
        <v>417.01081111111108</v>
      </c>
      <c r="R492" s="58">
        <f t="shared" si="124"/>
        <v>278.00720740740741</v>
      </c>
      <c r="S492" s="66">
        <f t="shared" si="125"/>
        <v>9.4578051960000025</v>
      </c>
      <c r="T492" s="64">
        <f t="shared" si="126"/>
        <v>45</v>
      </c>
      <c r="U492" s="66">
        <f t="shared" si="127"/>
        <v>594.90381639600002</v>
      </c>
      <c r="V492" s="68">
        <f t="shared" si="128"/>
        <v>49.575318033000002</v>
      </c>
      <c r="W492" s="68">
        <f t="shared" si="129"/>
        <v>459.03072252777775</v>
      </c>
      <c r="X492" s="68">
        <f t="shared" si="130"/>
        <v>306.02048168518519</v>
      </c>
      <c r="Z492" s="63"/>
      <c r="AA492" s="63"/>
    </row>
    <row r="493" spans="1:27" hidden="1" x14ac:dyDescent="0.25">
      <c r="A493" t="str">
        <f t="shared" si="118"/>
        <v>10620056C22/05/2026E</v>
      </c>
      <c r="B493" s="169" t="s">
        <v>828</v>
      </c>
      <c r="C493" s="61" t="s">
        <v>397</v>
      </c>
      <c r="D493" s="61" t="s">
        <v>591</v>
      </c>
      <c r="E493" s="61" t="s">
        <v>810</v>
      </c>
      <c r="F493" s="1" t="s">
        <v>356</v>
      </c>
      <c r="G493" s="62" t="str">
        <f t="shared" si="119"/>
        <v>64501</v>
      </c>
      <c r="H493" s="1">
        <v>10620056</v>
      </c>
      <c r="I493" s="1" t="s">
        <v>388</v>
      </c>
      <c r="J493" s="61">
        <v>20</v>
      </c>
      <c r="K493" s="61">
        <v>3.7</v>
      </c>
      <c r="L493" s="61">
        <v>8.1</v>
      </c>
      <c r="M493" s="69">
        <f t="shared" si="120"/>
        <v>0.74</v>
      </c>
      <c r="N493" s="69">
        <f t="shared" si="121"/>
        <v>1.62</v>
      </c>
      <c r="O493" s="56">
        <f>INDEX(Rate_Chart!$A$1:$AK$127,MATCH(Data!K493,Rate_Chart!$A$1:$A$127,0),MATCH(Data!L493,Rate_Chart!$A$1:$AK$1,0))</f>
        <v>37.948125900000008</v>
      </c>
      <c r="P493" s="57">
        <f t="shared" si="122"/>
        <v>758.96251800000016</v>
      </c>
      <c r="Q493" s="58">
        <f t="shared" si="123"/>
        <v>417.01237252747262</v>
      </c>
      <c r="R493" s="58">
        <f t="shared" si="124"/>
        <v>278.00824835164843</v>
      </c>
      <c r="S493" s="66">
        <f t="shared" si="125"/>
        <v>13.281844065000005</v>
      </c>
      <c r="T493" s="64">
        <f t="shared" si="126"/>
        <v>75</v>
      </c>
      <c r="U493" s="66">
        <f t="shared" si="127"/>
        <v>847.24436206500013</v>
      </c>
      <c r="V493" s="68">
        <f t="shared" si="128"/>
        <v>42.362218103250008</v>
      </c>
      <c r="W493" s="68">
        <f t="shared" si="129"/>
        <v>465.51888025549459</v>
      </c>
      <c r="X493" s="68">
        <f t="shared" si="130"/>
        <v>310.34592017032975</v>
      </c>
      <c r="Z493" s="63"/>
      <c r="AA493" s="63"/>
    </row>
    <row r="494" spans="1:27" hidden="1" x14ac:dyDescent="0.25">
      <c r="A494" t="str">
        <f t="shared" si="118"/>
        <v>10620099C23/05/2026E</v>
      </c>
      <c r="B494" s="169" t="s">
        <v>822</v>
      </c>
      <c r="C494" s="61" t="s">
        <v>397</v>
      </c>
      <c r="D494" s="61" t="s">
        <v>591</v>
      </c>
      <c r="E494" s="61" t="s">
        <v>810</v>
      </c>
      <c r="F494" s="1" t="s">
        <v>758</v>
      </c>
      <c r="G494" s="62" t="str">
        <f t="shared" si="119"/>
        <v>64504</v>
      </c>
      <c r="H494" s="1">
        <v>10620099</v>
      </c>
      <c r="I494" s="1" t="s">
        <v>388</v>
      </c>
      <c r="J494" s="61">
        <v>40</v>
      </c>
      <c r="K494" s="61">
        <v>3.3</v>
      </c>
      <c r="L494" s="61">
        <v>8</v>
      </c>
      <c r="M494" s="69">
        <f t="shared" si="120"/>
        <v>1.32</v>
      </c>
      <c r="N494" s="69">
        <f t="shared" si="121"/>
        <v>3.2</v>
      </c>
      <c r="O494" s="56">
        <v>34.189056000000008</v>
      </c>
      <c r="P494" s="57">
        <f t="shared" si="122"/>
        <v>1367.5622400000002</v>
      </c>
      <c r="Q494" s="58">
        <f t="shared" si="123"/>
        <v>396.01223166023169</v>
      </c>
      <c r="R494" s="58">
        <f t="shared" si="124"/>
        <v>264.00815444015444</v>
      </c>
      <c r="S494" s="66">
        <f t="shared" si="125"/>
        <v>23.932339200000005</v>
      </c>
      <c r="T494" s="64">
        <f t="shared" si="126"/>
        <v>150</v>
      </c>
      <c r="U494" s="66">
        <f t="shared" si="127"/>
        <v>1541.4945792000003</v>
      </c>
      <c r="V494" s="68">
        <f t="shared" si="128"/>
        <v>38.537364480000008</v>
      </c>
      <c r="W494" s="68">
        <f t="shared" si="129"/>
        <v>446.37873915057918</v>
      </c>
      <c r="X494" s="68">
        <f t="shared" si="130"/>
        <v>297.5858261003861</v>
      </c>
      <c r="Z494" s="63"/>
      <c r="AA494" s="63"/>
    </row>
    <row r="495" spans="1:27" hidden="1" x14ac:dyDescent="0.25">
      <c r="A495" t="str">
        <f t="shared" si="118"/>
        <v>10620099C23/05/2026M</v>
      </c>
      <c r="B495" s="169" t="s">
        <v>823</v>
      </c>
      <c r="C495" s="61" t="s">
        <v>396</v>
      </c>
      <c r="D495" s="61" t="s">
        <v>591</v>
      </c>
      <c r="E495" s="61" t="s">
        <v>810</v>
      </c>
      <c r="F495" s="1" t="s">
        <v>758</v>
      </c>
      <c r="G495" s="62" t="str">
        <f t="shared" si="119"/>
        <v>64504</v>
      </c>
      <c r="H495" s="1">
        <v>10620099</v>
      </c>
      <c r="I495" s="1" t="s">
        <v>388</v>
      </c>
      <c r="J495" s="61">
        <v>62</v>
      </c>
      <c r="K495" s="61">
        <v>3.7</v>
      </c>
      <c r="L495" s="61">
        <v>8</v>
      </c>
      <c r="M495" s="69">
        <f t="shared" si="120"/>
        <v>2.294</v>
      </c>
      <c r="N495" s="69">
        <f t="shared" si="121"/>
        <v>4.96</v>
      </c>
      <c r="O495" s="56">
        <v>35.773056000000004</v>
      </c>
      <c r="P495" s="57">
        <f t="shared" si="122"/>
        <v>2217.9294720000003</v>
      </c>
      <c r="Q495" s="58">
        <f t="shared" si="123"/>
        <v>396.01169003690035</v>
      </c>
      <c r="R495" s="58">
        <f t="shared" si="124"/>
        <v>264.00779335793356</v>
      </c>
      <c r="S495" s="66">
        <f t="shared" si="125"/>
        <v>38.81376576000001</v>
      </c>
      <c r="T495" s="64">
        <f t="shared" si="126"/>
        <v>232.5</v>
      </c>
      <c r="U495" s="66">
        <f t="shared" si="127"/>
        <v>2489.2432377600003</v>
      </c>
      <c r="V495" s="68">
        <f t="shared" si="128"/>
        <v>40.149084480000006</v>
      </c>
      <c r="W495" s="68">
        <f t="shared" si="129"/>
        <v>444.45480974169743</v>
      </c>
      <c r="X495" s="68">
        <f t="shared" si="130"/>
        <v>296.30320649446497</v>
      </c>
      <c r="Z495" s="63"/>
      <c r="AA495" s="63"/>
    </row>
    <row r="496" spans="1:27" hidden="1" x14ac:dyDescent="0.25">
      <c r="A496" t="str">
        <f t="shared" si="118"/>
        <v>10620099C24/05/2026E</v>
      </c>
      <c r="B496" s="169" t="s">
        <v>823</v>
      </c>
      <c r="C496" s="61" t="s">
        <v>397</v>
      </c>
      <c r="D496" s="61" t="s">
        <v>591</v>
      </c>
      <c r="E496" s="61" t="s">
        <v>810</v>
      </c>
      <c r="F496" s="1" t="s">
        <v>758</v>
      </c>
      <c r="G496" s="62" t="str">
        <f t="shared" si="119"/>
        <v>64504</v>
      </c>
      <c r="H496" s="1">
        <v>10620099</v>
      </c>
      <c r="I496" s="1" t="s">
        <v>388</v>
      </c>
      <c r="J496" s="61">
        <v>27</v>
      </c>
      <c r="K496" s="61">
        <v>3</v>
      </c>
      <c r="L496" s="61">
        <v>8</v>
      </c>
      <c r="M496" s="69">
        <f t="shared" si="120"/>
        <v>0.81</v>
      </c>
      <c r="N496" s="69">
        <f t="shared" si="121"/>
        <v>2.16</v>
      </c>
      <c r="O496" s="56">
        <v>33.001056000000005</v>
      </c>
      <c r="P496" s="57">
        <f t="shared" si="122"/>
        <v>891.02851200000009</v>
      </c>
      <c r="Q496" s="58">
        <f t="shared" si="123"/>
        <v>396.01267200000001</v>
      </c>
      <c r="R496" s="58">
        <f t="shared" si="124"/>
        <v>264.00844799999999</v>
      </c>
      <c r="S496" s="66">
        <f t="shared" si="125"/>
        <v>15.592998960000003</v>
      </c>
      <c r="T496" s="64">
        <f t="shared" si="126"/>
        <v>101.25</v>
      </c>
      <c r="U496" s="66">
        <f t="shared" si="127"/>
        <v>1007.8715109600001</v>
      </c>
      <c r="V496" s="68">
        <f t="shared" si="128"/>
        <v>37.328574480000007</v>
      </c>
      <c r="W496" s="68">
        <f t="shared" si="129"/>
        <v>447.94289376000006</v>
      </c>
      <c r="X496" s="68">
        <f t="shared" si="130"/>
        <v>298.62859584000006</v>
      </c>
      <c r="Z496" s="63"/>
      <c r="AA496" s="63"/>
    </row>
    <row r="497" spans="1:27" hidden="1" x14ac:dyDescent="0.25">
      <c r="A497" t="str">
        <f t="shared" si="118"/>
        <v>10620099C25/05/2026E</v>
      </c>
      <c r="B497" s="169" t="s">
        <v>824</v>
      </c>
      <c r="C497" s="61" t="s">
        <v>397</v>
      </c>
      <c r="D497" s="61" t="s">
        <v>591</v>
      </c>
      <c r="E497" s="61" t="s">
        <v>810</v>
      </c>
      <c r="F497" s="1" t="s">
        <v>758</v>
      </c>
      <c r="G497" s="62" t="str">
        <f t="shared" si="119"/>
        <v>64504</v>
      </c>
      <c r="H497" s="1">
        <v>10620099</v>
      </c>
      <c r="I497" s="1" t="s">
        <v>388</v>
      </c>
      <c r="J497" s="61">
        <v>31</v>
      </c>
      <c r="K497" s="61">
        <v>3</v>
      </c>
      <c r="L497" s="61">
        <v>8</v>
      </c>
      <c r="M497" s="69">
        <f t="shared" si="120"/>
        <v>0.93</v>
      </c>
      <c r="N497" s="69">
        <f t="shared" si="121"/>
        <v>2.48</v>
      </c>
      <c r="O497" s="56">
        <v>33.001056000000005</v>
      </c>
      <c r="P497" s="57">
        <f t="shared" si="122"/>
        <v>1023.0327360000001</v>
      </c>
      <c r="Q497" s="58">
        <f t="shared" si="123"/>
        <v>396.01267200000001</v>
      </c>
      <c r="R497" s="58">
        <f t="shared" si="124"/>
        <v>264.00844799999999</v>
      </c>
      <c r="S497" s="66">
        <f t="shared" si="125"/>
        <v>17.903072880000003</v>
      </c>
      <c r="T497" s="64">
        <f t="shared" si="126"/>
        <v>116.25</v>
      </c>
      <c r="U497" s="66">
        <f t="shared" si="127"/>
        <v>1157.1858088800002</v>
      </c>
      <c r="V497" s="68">
        <f t="shared" si="128"/>
        <v>37.328574480000007</v>
      </c>
      <c r="W497" s="68">
        <f t="shared" si="129"/>
        <v>447.94289376000006</v>
      </c>
      <c r="X497" s="68">
        <f t="shared" si="130"/>
        <v>298.62859584000006</v>
      </c>
      <c r="Z497" s="63"/>
      <c r="AA497" s="63"/>
    </row>
    <row r="498" spans="1:27" hidden="1" x14ac:dyDescent="0.25">
      <c r="A498" t="str">
        <f t="shared" si="118"/>
        <v>10620099C26/05/2026E</v>
      </c>
      <c r="B498" s="169" t="s">
        <v>825</v>
      </c>
      <c r="C498" s="61" t="s">
        <v>397</v>
      </c>
      <c r="D498" s="61" t="s">
        <v>591</v>
      </c>
      <c r="E498" s="61" t="s">
        <v>810</v>
      </c>
      <c r="F498" s="1" t="s">
        <v>758</v>
      </c>
      <c r="G498" s="62" t="str">
        <f t="shared" si="119"/>
        <v>64504</v>
      </c>
      <c r="H498" s="1">
        <v>10620099</v>
      </c>
      <c r="I498" s="1" t="s">
        <v>388</v>
      </c>
      <c r="J498" s="61">
        <v>45</v>
      </c>
      <c r="K498" s="61">
        <v>3.5</v>
      </c>
      <c r="L498" s="61">
        <v>8.1999999999999993</v>
      </c>
      <c r="M498" s="69">
        <f t="shared" si="120"/>
        <v>1.575</v>
      </c>
      <c r="N498" s="69">
        <f t="shared" si="121"/>
        <v>3.6899999999999995</v>
      </c>
      <c r="O498" s="56">
        <v>35.509082400000004</v>
      </c>
      <c r="P498" s="57">
        <f t="shared" si="122"/>
        <v>1597.9087080000002</v>
      </c>
      <c r="Q498" s="58">
        <f t="shared" si="123"/>
        <v>396.0120713754647</v>
      </c>
      <c r="R498" s="58">
        <f t="shared" si="124"/>
        <v>264.00804758364313</v>
      </c>
      <c r="S498" s="66">
        <f t="shared" si="125"/>
        <v>27.963402390000006</v>
      </c>
      <c r="T498" s="64">
        <f t="shared" si="126"/>
        <v>168.75</v>
      </c>
      <c r="U498" s="66">
        <f t="shared" si="127"/>
        <v>1794.6221103900002</v>
      </c>
      <c r="V498" s="68">
        <f t="shared" si="128"/>
        <v>39.880491342000006</v>
      </c>
      <c r="W498" s="68">
        <f t="shared" si="129"/>
        <v>444.76384396282532</v>
      </c>
      <c r="X498" s="68">
        <f t="shared" si="130"/>
        <v>296.50922930855023</v>
      </c>
      <c r="Z498" s="63"/>
      <c r="AA498" s="63"/>
    </row>
    <row r="499" spans="1:27" hidden="1" x14ac:dyDescent="0.25">
      <c r="A499" t="str">
        <f t="shared" si="118"/>
        <v>10620099C26/05/2026M</v>
      </c>
      <c r="B499" s="169" t="s">
        <v>826</v>
      </c>
      <c r="C499" s="61" t="s">
        <v>396</v>
      </c>
      <c r="D499" s="61" t="s">
        <v>591</v>
      </c>
      <c r="E499" s="61" t="s">
        <v>810</v>
      </c>
      <c r="F499" s="1" t="s">
        <v>758</v>
      </c>
      <c r="G499" s="62" t="str">
        <f t="shared" si="119"/>
        <v>64504</v>
      </c>
      <c r="H499" s="1">
        <v>10620099</v>
      </c>
      <c r="I499" s="1" t="s">
        <v>388</v>
      </c>
      <c r="J499" s="61">
        <v>32</v>
      </c>
      <c r="K499" s="61">
        <v>3.3</v>
      </c>
      <c r="L499" s="61">
        <v>8.1999999999999993</v>
      </c>
      <c r="M499" s="69">
        <f t="shared" si="120"/>
        <v>1.056</v>
      </c>
      <c r="N499" s="69">
        <f t="shared" si="121"/>
        <v>2.6239999999999997</v>
      </c>
      <c r="O499" s="56">
        <f>INDEX(Rate_Chart!$A$1:$AK$127,MATCH(Data!K499,Rate_Chart!$A$1:$A$127,0),MATCH(Data!L499,Rate_Chart!$A$1:$AK$1,0))</f>
        <v>36.558139799999999</v>
      </c>
      <c r="P499" s="57">
        <f t="shared" si="122"/>
        <v>1169.8604736</v>
      </c>
      <c r="Q499" s="58">
        <f t="shared" si="123"/>
        <v>417.0130015209125</v>
      </c>
      <c r="R499" s="58">
        <f t="shared" si="124"/>
        <v>278.00866768060831</v>
      </c>
      <c r="S499" s="66">
        <f t="shared" si="125"/>
        <v>20.472558288000002</v>
      </c>
      <c r="T499" s="64">
        <f t="shared" si="126"/>
        <v>120</v>
      </c>
      <c r="U499" s="66">
        <f t="shared" si="127"/>
        <v>1310.3330318880001</v>
      </c>
      <c r="V499" s="68">
        <f t="shared" si="128"/>
        <v>40.947907246500002</v>
      </c>
      <c r="W499" s="68">
        <f t="shared" si="129"/>
        <v>467.08639444676805</v>
      </c>
      <c r="X499" s="68">
        <f t="shared" si="130"/>
        <v>311.39092963117872</v>
      </c>
      <c r="Z499" s="63"/>
      <c r="AA499" s="63"/>
    </row>
    <row r="500" spans="1:27" hidden="1" x14ac:dyDescent="0.25">
      <c r="A500" t="str">
        <f t="shared" si="118"/>
        <v>10620099C27/05/2026E</v>
      </c>
      <c r="B500" s="169" t="s">
        <v>826</v>
      </c>
      <c r="C500" s="61" t="s">
        <v>397</v>
      </c>
      <c r="D500" s="61" t="s">
        <v>591</v>
      </c>
      <c r="E500" s="61" t="s">
        <v>810</v>
      </c>
      <c r="F500" s="1" t="s">
        <v>758</v>
      </c>
      <c r="G500" s="62" t="str">
        <f t="shared" si="119"/>
        <v>64504</v>
      </c>
      <c r="H500" s="1">
        <v>10620099</v>
      </c>
      <c r="I500" s="1" t="s">
        <v>388</v>
      </c>
      <c r="J500" s="61">
        <v>28</v>
      </c>
      <c r="K500" s="61">
        <v>3</v>
      </c>
      <c r="L500" s="61">
        <v>8</v>
      </c>
      <c r="M500" s="69">
        <f t="shared" si="120"/>
        <v>0.84</v>
      </c>
      <c r="N500" s="69">
        <f t="shared" si="121"/>
        <v>2.2400000000000002</v>
      </c>
      <c r="O500" s="56">
        <f>INDEX(Rate_Chart!$A$1:$AK$127,MATCH(Data!K500,Rate_Chart!$A$1:$A$127,0),MATCH(Data!L500,Rate_Chart!$A$1:$AK$1,0))</f>
        <v>34.751112000000006</v>
      </c>
      <c r="P500" s="57">
        <f t="shared" si="122"/>
        <v>973.03113600000017</v>
      </c>
      <c r="Q500" s="58">
        <f t="shared" si="123"/>
        <v>417.01334400000002</v>
      </c>
      <c r="R500" s="58">
        <f t="shared" si="124"/>
        <v>278.00889599999999</v>
      </c>
      <c r="S500" s="66">
        <f t="shared" si="125"/>
        <v>17.028044880000003</v>
      </c>
      <c r="T500" s="64">
        <f t="shared" si="126"/>
        <v>105</v>
      </c>
      <c r="U500" s="66">
        <f t="shared" si="127"/>
        <v>1095.0591808800002</v>
      </c>
      <c r="V500" s="68">
        <f t="shared" si="128"/>
        <v>39.109256460000005</v>
      </c>
      <c r="W500" s="68">
        <f t="shared" si="129"/>
        <v>469.31107752000003</v>
      </c>
      <c r="X500" s="68">
        <f t="shared" si="130"/>
        <v>312.87405168000004</v>
      </c>
      <c r="Z500" s="63"/>
      <c r="AA500" s="63"/>
    </row>
    <row r="501" spans="1:27" hidden="1" x14ac:dyDescent="0.25">
      <c r="A501" t="str">
        <f t="shared" si="118"/>
        <v>10620099C27/05/2026M</v>
      </c>
      <c r="B501" s="169" t="s">
        <v>827</v>
      </c>
      <c r="C501" s="61" t="s">
        <v>396</v>
      </c>
      <c r="D501" s="61" t="s">
        <v>591</v>
      </c>
      <c r="E501" s="61" t="s">
        <v>810</v>
      </c>
      <c r="F501" s="1" t="s">
        <v>758</v>
      </c>
      <c r="G501" s="62" t="str">
        <f t="shared" si="119"/>
        <v>64504</v>
      </c>
      <c r="H501" s="1">
        <v>10620099</v>
      </c>
      <c r="I501" s="1" t="s">
        <v>388</v>
      </c>
      <c r="J501" s="61">
        <v>70</v>
      </c>
      <c r="K501" s="61">
        <v>3.3</v>
      </c>
      <c r="L501" s="61">
        <v>8.1999999999999993</v>
      </c>
      <c r="M501" s="69">
        <f t="shared" si="120"/>
        <v>2.31</v>
      </c>
      <c r="N501" s="69">
        <f t="shared" si="121"/>
        <v>5.74</v>
      </c>
      <c r="O501" s="56">
        <f>INDEX(Rate_Chart!$A$1:$AK$127,MATCH(Data!K501,Rate_Chart!$A$1:$A$127,0),MATCH(Data!L501,Rate_Chart!$A$1:$AK$1,0))</f>
        <v>36.558139799999999</v>
      </c>
      <c r="P501" s="57">
        <f t="shared" si="122"/>
        <v>2559.069786</v>
      </c>
      <c r="Q501" s="58">
        <f t="shared" si="123"/>
        <v>417.0130015209125</v>
      </c>
      <c r="R501" s="58">
        <f t="shared" si="124"/>
        <v>278.00866768060831</v>
      </c>
      <c r="S501" s="66">
        <f t="shared" si="125"/>
        <v>44.783721255000003</v>
      </c>
      <c r="T501" s="64">
        <f t="shared" si="126"/>
        <v>262.5</v>
      </c>
      <c r="U501" s="66">
        <f t="shared" si="127"/>
        <v>2866.3535072549998</v>
      </c>
      <c r="V501" s="68">
        <f t="shared" si="128"/>
        <v>40.947907246499994</v>
      </c>
      <c r="W501" s="68">
        <f t="shared" si="129"/>
        <v>467.086394446768</v>
      </c>
      <c r="X501" s="68">
        <f t="shared" si="130"/>
        <v>311.39092963117866</v>
      </c>
      <c r="Z501" s="63"/>
      <c r="AA501" s="63"/>
    </row>
    <row r="502" spans="1:27" hidden="1" x14ac:dyDescent="0.25">
      <c r="A502" t="str">
        <f t="shared" si="118"/>
        <v>10620099C28/05/2026E</v>
      </c>
      <c r="B502" s="169" t="s">
        <v>827</v>
      </c>
      <c r="C502" s="61" t="s">
        <v>397</v>
      </c>
      <c r="D502" s="61" t="s">
        <v>591</v>
      </c>
      <c r="E502" s="61" t="s">
        <v>810</v>
      </c>
      <c r="F502" s="1" t="s">
        <v>758</v>
      </c>
      <c r="G502" s="62" t="str">
        <f t="shared" si="119"/>
        <v>64504</v>
      </c>
      <c r="H502" s="1">
        <v>10620099</v>
      </c>
      <c r="I502" s="1" t="s">
        <v>388</v>
      </c>
      <c r="J502" s="61">
        <v>37</v>
      </c>
      <c r="K502" s="61">
        <v>3.3</v>
      </c>
      <c r="L502" s="61">
        <v>8.1999999999999993</v>
      </c>
      <c r="M502" s="69">
        <f t="shared" si="120"/>
        <v>1.2209999999999999</v>
      </c>
      <c r="N502" s="69">
        <f t="shared" si="121"/>
        <v>3.0339999999999998</v>
      </c>
      <c r="O502" s="56">
        <f>INDEX(Rate_Chart!$A$1:$AK$127,MATCH(Data!K502,Rate_Chart!$A$1:$A$127,0),MATCH(Data!L502,Rate_Chart!$A$1:$AK$1,0))</f>
        <v>36.558139799999999</v>
      </c>
      <c r="P502" s="57">
        <f t="shared" si="122"/>
        <v>1352.6511725999999</v>
      </c>
      <c r="Q502" s="58">
        <f t="shared" si="123"/>
        <v>417.0130015209125</v>
      </c>
      <c r="R502" s="58">
        <f t="shared" si="124"/>
        <v>278.00866768060831</v>
      </c>
      <c r="S502" s="66">
        <f t="shared" si="125"/>
        <v>23.671395520499999</v>
      </c>
      <c r="T502" s="64">
        <f t="shared" si="126"/>
        <v>138.75</v>
      </c>
      <c r="U502" s="66">
        <f t="shared" si="127"/>
        <v>1515.0725681204999</v>
      </c>
      <c r="V502" s="68">
        <f t="shared" si="128"/>
        <v>40.947907246499994</v>
      </c>
      <c r="W502" s="68">
        <f t="shared" si="129"/>
        <v>467.086394446768</v>
      </c>
      <c r="X502" s="68">
        <f t="shared" si="130"/>
        <v>311.39092963117866</v>
      </c>
      <c r="Z502" s="63"/>
      <c r="AA502" s="63"/>
    </row>
    <row r="503" spans="1:27" hidden="1" x14ac:dyDescent="0.25">
      <c r="A503" t="str">
        <f t="shared" si="118"/>
        <v>10620099C22/05/2026E</v>
      </c>
      <c r="B503" s="169" t="s">
        <v>828</v>
      </c>
      <c r="C503" s="61" t="s">
        <v>397</v>
      </c>
      <c r="D503" s="61" t="s">
        <v>591</v>
      </c>
      <c r="E503" s="61" t="s">
        <v>810</v>
      </c>
      <c r="F503" s="1" t="s">
        <v>758</v>
      </c>
      <c r="G503" s="62" t="str">
        <f t="shared" si="119"/>
        <v>64504</v>
      </c>
      <c r="H503" s="1">
        <v>10620099</v>
      </c>
      <c r="I503" s="1" t="s">
        <v>388</v>
      </c>
      <c r="J503" s="61">
        <v>48</v>
      </c>
      <c r="K503" s="61">
        <v>3.2</v>
      </c>
      <c r="L503" s="61">
        <v>8</v>
      </c>
      <c r="M503" s="69">
        <f t="shared" si="120"/>
        <v>1.5360000000000003</v>
      </c>
      <c r="N503" s="69">
        <f t="shared" si="121"/>
        <v>3.84</v>
      </c>
      <c r="O503" s="56">
        <f>INDEX(Rate_Chart!$A$1:$AK$127,MATCH(Data!K503,Rate_Chart!$A$1:$A$127,0),MATCH(Data!L503,Rate_Chart!$A$1:$AK$1,0))</f>
        <v>35.585112000000002</v>
      </c>
      <c r="P503" s="57">
        <f t="shared" si="122"/>
        <v>1708.085376</v>
      </c>
      <c r="Q503" s="58">
        <f t="shared" si="123"/>
        <v>417.01303124999998</v>
      </c>
      <c r="R503" s="58">
        <f t="shared" si="124"/>
        <v>278.00868750000001</v>
      </c>
      <c r="S503" s="66">
        <f t="shared" si="125"/>
        <v>29.891494080000001</v>
      </c>
      <c r="T503" s="64">
        <f t="shared" si="126"/>
        <v>180</v>
      </c>
      <c r="U503" s="66">
        <f t="shared" si="127"/>
        <v>1917.97687008</v>
      </c>
      <c r="V503" s="68">
        <f t="shared" si="128"/>
        <v>39.957851460000001</v>
      </c>
      <c r="W503" s="68">
        <f t="shared" si="129"/>
        <v>468.25607179687495</v>
      </c>
      <c r="X503" s="68">
        <f t="shared" si="130"/>
        <v>312.17071453124998</v>
      </c>
      <c r="Z503" s="63"/>
      <c r="AA503" s="63"/>
    </row>
    <row r="504" spans="1:27" hidden="1" x14ac:dyDescent="0.25">
      <c r="A504" t="str">
        <f t="shared" si="118"/>
        <v>10620005B22/05/2026M</v>
      </c>
      <c r="B504" s="169" t="s">
        <v>822</v>
      </c>
      <c r="C504" s="61" t="s">
        <v>396</v>
      </c>
      <c r="D504" s="61" t="s">
        <v>591</v>
      </c>
      <c r="E504" s="61" t="s">
        <v>595</v>
      </c>
      <c r="F504" s="1" t="s">
        <v>357</v>
      </c>
      <c r="G504" s="62" t="str">
        <f t="shared" si="119"/>
        <v>64505</v>
      </c>
      <c r="H504" s="1">
        <v>10620005</v>
      </c>
      <c r="I504" s="1" t="s">
        <v>387</v>
      </c>
      <c r="J504" s="61">
        <v>34</v>
      </c>
      <c r="K504" s="61">
        <v>8.4</v>
      </c>
      <c r="L504" s="61">
        <v>9</v>
      </c>
      <c r="M504" s="69">
        <f t="shared" si="120"/>
        <v>2.8560000000000003</v>
      </c>
      <c r="N504" s="69">
        <f t="shared" si="121"/>
        <v>3.06</v>
      </c>
      <c r="O504" s="56">
        <v>70.14</v>
      </c>
      <c r="P504" s="57">
        <f t="shared" si="122"/>
        <v>2384.7600000000002</v>
      </c>
      <c r="Q504" s="58">
        <f t="shared" si="123"/>
        <v>487.08333333333326</v>
      </c>
      <c r="R504" s="58">
        <f t="shared" si="124"/>
        <v>324.72222222222217</v>
      </c>
      <c r="S504" s="66">
        <f t="shared" si="125"/>
        <v>41.733300000000007</v>
      </c>
      <c r="T504" s="64">
        <f t="shared" si="126"/>
        <v>127.5</v>
      </c>
      <c r="U504" s="66">
        <f t="shared" si="127"/>
        <v>2553.9933000000001</v>
      </c>
      <c r="V504" s="68">
        <f t="shared" si="128"/>
        <v>75.117450000000005</v>
      </c>
      <c r="W504" s="68">
        <f t="shared" si="129"/>
        <v>521.64895833333333</v>
      </c>
      <c r="X504" s="68">
        <f t="shared" si="130"/>
        <v>347.76597222222222</v>
      </c>
      <c r="Z504" s="63"/>
      <c r="AA504" s="63"/>
    </row>
    <row r="505" spans="1:27" hidden="1" x14ac:dyDescent="0.25">
      <c r="A505" t="str">
        <f t="shared" si="118"/>
        <v>10620005B22/05/2026E</v>
      </c>
      <c r="B505" s="169" t="s">
        <v>822</v>
      </c>
      <c r="C505" s="61" t="s">
        <v>397</v>
      </c>
      <c r="D505" s="61" t="s">
        <v>591</v>
      </c>
      <c r="E505" s="61" t="s">
        <v>595</v>
      </c>
      <c r="F505" s="1" t="s">
        <v>357</v>
      </c>
      <c r="G505" s="62" t="str">
        <f t="shared" si="119"/>
        <v>64505</v>
      </c>
      <c r="H505" s="1">
        <v>10620005</v>
      </c>
      <c r="I505" s="1" t="s">
        <v>387</v>
      </c>
      <c r="J505" s="61">
        <v>28</v>
      </c>
      <c r="K505" s="61">
        <v>8.1999999999999993</v>
      </c>
      <c r="L505" s="61">
        <v>9</v>
      </c>
      <c r="M505" s="69">
        <f t="shared" si="120"/>
        <v>2.2959999999999998</v>
      </c>
      <c r="N505" s="69">
        <f t="shared" si="121"/>
        <v>2.52</v>
      </c>
      <c r="O505" s="56">
        <v>68.469999999999985</v>
      </c>
      <c r="P505" s="57">
        <f t="shared" si="122"/>
        <v>1917.1599999999996</v>
      </c>
      <c r="Q505" s="58">
        <f t="shared" si="123"/>
        <v>482.18309859154925</v>
      </c>
      <c r="R505" s="58">
        <f t="shared" si="124"/>
        <v>321.45539906103284</v>
      </c>
      <c r="S505" s="66">
        <f t="shared" si="125"/>
        <v>33.5503</v>
      </c>
      <c r="T505" s="64">
        <f t="shared" si="126"/>
        <v>105</v>
      </c>
      <c r="U505" s="66">
        <f t="shared" si="127"/>
        <v>2055.7102999999997</v>
      </c>
      <c r="V505" s="68">
        <f t="shared" si="128"/>
        <v>73.418224999999993</v>
      </c>
      <c r="W505" s="68">
        <f t="shared" si="129"/>
        <v>517.02975352112674</v>
      </c>
      <c r="X505" s="68">
        <f t="shared" si="130"/>
        <v>344.68650234741784</v>
      </c>
      <c r="Z505" s="63"/>
      <c r="AA505" s="63"/>
    </row>
    <row r="506" spans="1:27" hidden="1" x14ac:dyDescent="0.25">
      <c r="A506" t="str">
        <f t="shared" si="118"/>
        <v>10620005C23/05/2026E</v>
      </c>
      <c r="B506" s="169" t="s">
        <v>822</v>
      </c>
      <c r="C506" s="61" t="s">
        <v>397</v>
      </c>
      <c r="D506" s="61" t="s">
        <v>591</v>
      </c>
      <c r="E506" s="61" t="s">
        <v>595</v>
      </c>
      <c r="F506" s="1" t="s">
        <v>357</v>
      </c>
      <c r="G506" s="62" t="str">
        <f t="shared" si="119"/>
        <v>64505</v>
      </c>
      <c r="H506" s="1">
        <v>10620005</v>
      </c>
      <c r="I506" s="1" t="s">
        <v>388</v>
      </c>
      <c r="J506" s="61">
        <v>41</v>
      </c>
      <c r="K506" s="61">
        <v>4</v>
      </c>
      <c r="L506" s="61">
        <v>8.1999999999999993</v>
      </c>
      <c r="M506" s="69">
        <f t="shared" si="120"/>
        <v>1.64</v>
      </c>
      <c r="N506" s="69">
        <f t="shared" si="121"/>
        <v>3.3620000000000001</v>
      </c>
      <c r="O506" s="56">
        <v>37.489082400000001</v>
      </c>
      <c r="P506" s="57">
        <f t="shared" si="122"/>
        <v>1537.0523784</v>
      </c>
      <c r="Q506" s="58">
        <f t="shared" si="123"/>
        <v>396.01143380281695</v>
      </c>
      <c r="R506" s="58">
        <f t="shared" si="124"/>
        <v>264.00762253521128</v>
      </c>
      <c r="S506" s="66">
        <f t="shared" si="125"/>
        <v>26.898416622000003</v>
      </c>
      <c r="T506" s="64">
        <f t="shared" si="126"/>
        <v>153.75</v>
      </c>
      <c r="U506" s="66">
        <f t="shared" si="127"/>
        <v>1717.700795022</v>
      </c>
      <c r="V506" s="68">
        <f t="shared" si="128"/>
        <v>41.895141342000002</v>
      </c>
      <c r="W506" s="68">
        <f t="shared" si="129"/>
        <v>442.55430995070429</v>
      </c>
      <c r="X506" s="68">
        <f t="shared" si="130"/>
        <v>295.03620663380286</v>
      </c>
      <c r="Z506" s="63"/>
      <c r="AA506" s="63"/>
    </row>
    <row r="507" spans="1:27" hidden="1" x14ac:dyDescent="0.25">
      <c r="A507" t="str">
        <f t="shared" si="118"/>
        <v>10620005B23/05/2026M</v>
      </c>
      <c r="B507" s="169" t="s">
        <v>823</v>
      </c>
      <c r="C507" s="61" t="s">
        <v>396</v>
      </c>
      <c r="D507" s="61" t="s">
        <v>591</v>
      </c>
      <c r="E507" s="61" t="s">
        <v>595</v>
      </c>
      <c r="F507" s="1" t="s">
        <v>357</v>
      </c>
      <c r="G507" s="62" t="str">
        <f t="shared" si="119"/>
        <v>64505</v>
      </c>
      <c r="H507" s="1">
        <v>10620005</v>
      </c>
      <c r="I507" s="1" t="s">
        <v>387</v>
      </c>
      <c r="J507" s="61">
        <v>34</v>
      </c>
      <c r="K507" s="61">
        <v>8.1999999999999993</v>
      </c>
      <c r="L507" s="61">
        <v>9</v>
      </c>
      <c r="M507" s="69">
        <f t="shared" si="120"/>
        <v>2.7879999999999994</v>
      </c>
      <c r="N507" s="69">
        <f t="shared" si="121"/>
        <v>3.06</v>
      </c>
      <c r="O507" s="56">
        <v>68.469999999999985</v>
      </c>
      <c r="P507" s="57">
        <f t="shared" si="122"/>
        <v>2327.9799999999996</v>
      </c>
      <c r="Q507" s="58">
        <f t="shared" si="123"/>
        <v>482.18309859154925</v>
      </c>
      <c r="R507" s="58">
        <f t="shared" si="124"/>
        <v>321.45539906103284</v>
      </c>
      <c r="S507" s="66">
        <f t="shared" si="125"/>
        <v>40.739649999999997</v>
      </c>
      <c r="T507" s="64">
        <f t="shared" si="126"/>
        <v>127.5</v>
      </c>
      <c r="U507" s="66">
        <f t="shared" si="127"/>
        <v>2496.2196499999995</v>
      </c>
      <c r="V507" s="68">
        <f t="shared" si="128"/>
        <v>73.418224999999993</v>
      </c>
      <c r="W507" s="68">
        <f t="shared" si="129"/>
        <v>517.02975352112674</v>
      </c>
      <c r="X507" s="68">
        <f t="shared" si="130"/>
        <v>344.68650234741784</v>
      </c>
      <c r="Z507" s="63"/>
      <c r="AA507" s="63"/>
    </row>
    <row r="508" spans="1:27" hidden="1" x14ac:dyDescent="0.25">
      <c r="A508" t="str">
        <f t="shared" si="118"/>
        <v>10620005B23/05/2026E</v>
      </c>
      <c r="B508" s="169" t="s">
        <v>823</v>
      </c>
      <c r="C508" s="61" t="s">
        <v>397</v>
      </c>
      <c r="D508" s="61" t="s">
        <v>591</v>
      </c>
      <c r="E508" s="61" t="s">
        <v>595</v>
      </c>
      <c r="F508" s="1" t="s">
        <v>357</v>
      </c>
      <c r="G508" s="62" t="str">
        <f t="shared" si="119"/>
        <v>64505</v>
      </c>
      <c r="H508" s="1">
        <v>10620005</v>
      </c>
      <c r="I508" s="1" t="s">
        <v>387</v>
      </c>
      <c r="J508" s="61">
        <v>34</v>
      </c>
      <c r="K508" s="61">
        <v>7.8</v>
      </c>
      <c r="L508" s="61">
        <v>9</v>
      </c>
      <c r="M508" s="69">
        <f t="shared" si="120"/>
        <v>2.6519999999999997</v>
      </c>
      <c r="N508" s="69">
        <f t="shared" si="121"/>
        <v>3.06</v>
      </c>
      <c r="O508" s="56">
        <v>65.13</v>
      </c>
      <c r="P508" s="57">
        <f t="shared" si="122"/>
        <v>2214.42</v>
      </c>
      <c r="Q508" s="58">
        <f t="shared" si="123"/>
        <v>471.95652173913038</v>
      </c>
      <c r="R508" s="58">
        <f t="shared" si="124"/>
        <v>314.63768115942025</v>
      </c>
      <c r="S508" s="66">
        <f t="shared" si="125"/>
        <v>38.752350000000007</v>
      </c>
      <c r="T508" s="64">
        <f t="shared" si="126"/>
        <v>127.5</v>
      </c>
      <c r="U508" s="66">
        <f t="shared" si="127"/>
        <v>2380.6723500000003</v>
      </c>
      <c r="V508" s="68">
        <f t="shared" si="128"/>
        <v>70.01977500000001</v>
      </c>
      <c r="W508" s="68">
        <f t="shared" si="129"/>
        <v>507.38967391304351</v>
      </c>
      <c r="X508" s="68">
        <f t="shared" si="130"/>
        <v>338.25978260869567</v>
      </c>
      <c r="Z508" s="63"/>
      <c r="AA508" s="63"/>
    </row>
    <row r="509" spans="1:27" hidden="1" x14ac:dyDescent="0.25">
      <c r="A509" t="str">
        <f t="shared" si="118"/>
        <v>10620005C24/05/2026E</v>
      </c>
      <c r="B509" s="169" t="s">
        <v>823</v>
      </c>
      <c r="C509" s="61" t="s">
        <v>397</v>
      </c>
      <c r="D509" s="61" t="s">
        <v>591</v>
      </c>
      <c r="E509" s="61" t="s">
        <v>595</v>
      </c>
      <c r="F509" s="1" t="s">
        <v>357</v>
      </c>
      <c r="G509" s="62" t="str">
        <f t="shared" si="119"/>
        <v>64505</v>
      </c>
      <c r="H509" s="1">
        <v>10620005</v>
      </c>
      <c r="I509" s="1" t="s">
        <v>388</v>
      </c>
      <c r="J509" s="61">
        <v>9</v>
      </c>
      <c r="K509" s="61">
        <v>4.0999999999999996</v>
      </c>
      <c r="L509" s="61">
        <v>8.1999999999999993</v>
      </c>
      <c r="M509" s="69">
        <f t="shared" si="120"/>
        <v>0.36899999999999999</v>
      </c>
      <c r="N509" s="69">
        <f t="shared" si="121"/>
        <v>0.73799999999999999</v>
      </c>
      <c r="O509" s="56">
        <v>37.885082400000002</v>
      </c>
      <c r="P509" s="57">
        <f t="shared" si="122"/>
        <v>340.9657416</v>
      </c>
      <c r="Q509" s="58">
        <f t="shared" si="123"/>
        <v>396.01131428571438</v>
      </c>
      <c r="R509" s="58">
        <f t="shared" si="124"/>
        <v>264.00754285714294</v>
      </c>
      <c r="S509" s="66">
        <f t="shared" si="125"/>
        <v>5.9669004780000003</v>
      </c>
      <c r="T509" s="64">
        <f t="shared" si="126"/>
        <v>33.75</v>
      </c>
      <c r="U509" s="66">
        <f t="shared" si="127"/>
        <v>380.68264207800001</v>
      </c>
      <c r="V509" s="68">
        <f t="shared" si="128"/>
        <v>42.298071342</v>
      </c>
      <c r="W509" s="68">
        <f t="shared" si="129"/>
        <v>442.14011855749135</v>
      </c>
      <c r="X509" s="68">
        <f t="shared" si="130"/>
        <v>294.76007903832755</v>
      </c>
      <c r="Z509" s="63"/>
      <c r="AA509" s="63"/>
    </row>
    <row r="510" spans="1:27" hidden="1" x14ac:dyDescent="0.25">
      <c r="A510" t="str">
        <f t="shared" si="118"/>
        <v>10620005B24/05/2026M</v>
      </c>
      <c r="B510" s="169" t="s">
        <v>824</v>
      </c>
      <c r="C510" s="61" t="s">
        <v>396</v>
      </c>
      <c r="D510" s="61" t="s">
        <v>591</v>
      </c>
      <c r="E510" s="61" t="s">
        <v>595</v>
      </c>
      <c r="F510" s="1" t="s">
        <v>357</v>
      </c>
      <c r="G510" s="62" t="str">
        <f t="shared" si="119"/>
        <v>64505</v>
      </c>
      <c r="H510" s="1">
        <v>10620005</v>
      </c>
      <c r="I510" s="1" t="s">
        <v>387</v>
      </c>
      <c r="J510" s="61">
        <v>23</v>
      </c>
      <c r="K510" s="61">
        <v>8.3000000000000007</v>
      </c>
      <c r="L510" s="61">
        <v>9</v>
      </c>
      <c r="M510" s="69">
        <f t="shared" si="120"/>
        <v>1.909</v>
      </c>
      <c r="N510" s="69">
        <f t="shared" si="121"/>
        <v>2.0699999999999998</v>
      </c>
      <c r="O510" s="56">
        <v>69.305000000000007</v>
      </c>
      <c r="P510" s="57">
        <f t="shared" si="122"/>
        <v>1594.0150000000001</v>
      </c>
      <c r="Q510" s="58">
        <f t="shared" si="123"/>
        <v>484.65034965034965</v>
      </c>
      <c r="R510" s="58">
        <f t="shared" si="124"/>
        <v>323.10023310023308</v>
      </c>
      <c r="S510" s="66">
        <f t="shared" si="125"/>
        <v>27.895262500000005</v>
      </c>
      <c r="T510" s="64">
        <f t="shared" si="126"/>
        <v>86.25</v>
      </c>
      <c r="U510" s="66">
        <f t="shared" si="127"/>
        <v>1708.1602625</v>
      </c>
      <c r="V510" s="68">
        <f t="shared" si="128"/>
        <v>74.267837499999999</v>
      </c>
      <c r="W510" s="68">
        <f t="shared" si="129"/>
        <v>519.35550699300688</v>
      </c>
      <c r="X510" s="68">
        <f t="shared" si="130"/>
        <v>346.23700466200461</v>
      </c>
      <c r="Z510" s="63"/>
      <c r="AA510" s="63"/>
    </row>
    <row r="511" spans="1:27" hidden="1" x14ac:dyDescent="0.25">
      <c r="A511" t="str">
        <f t="shared" si="118"/>
        <v>10620005B24/05/2026E</v>
      </c>
      <c r="B511" s="169" t="s">
        <v>824</v>
      </c>
      <c r="C511" s="61" t="s">
        <v>397</v>
      </c>
      <c r="D511" s="61" t="s">
        <v>591</v>
      </c>
      <c r="E511" s="61" t="s">
        <v>595</v>
      </c>
      <c r="F511" s="1" t="s">
        <v>357</v>
      </c>
      <c r="G511" s="62" t="str">
        <f t="shared" si="119"/>
        <v>64505</v>
      </c>
      <c r="H511" s="1">
        <v>10620005</v>
      </c>
      <c r="I511" s="1" t="s">
        <v>387</v>
      </c>
      <c r="J511" s="61">
        <v>27</v>
      </c>
      <c r="K511" s="61">
        <v>8.3000000000000007</v>
      </c>
      <c r="L511" s="61">
        <v>9</v>
      </c>
      <c r="M511" s="69">
        <f t="shared" si="120"/>
        <v>2.2410000000000001</v>
      </c>
      <c r="N511" s="69">
        <f t="shared" si="121"/>
        <v>2.4300000000000002</v>
      </c>
      <c r="O511" s="56">
        <v>69.305000000000007</v>
      </c>
      <c r="P511" s="57">
        <f t="shared" si="122"/>
        <v>1871.2350000000001</v>
      </c>
      <c r="Q511" s="58">
        <f t="shared" si="123"/>
        <v>484.65034965034965</v>
      </c>
      <c r="R511" s="58">
        <f t="shared" si="124"/>
        <v>323.10023310023308</v>
      </c>
      <c r="S511" s="66">
        <f t="shared" si="125"/>
        <v>32.746612500000005</v>
      </c>
      <c r="T511" s="64">
        <f t="shared" si="126"/>
        <v>101.25</v>
      </c>
      <c r="U511" s="66">
        <f t="shared" si="127"/>
        <v>2005.2316125000002</v>
      </c>
      <c r="V511" s="68">
        <f t="shared" si="128"/>
        <v>74.267837500000013</v>
      </c>
      <c r="W511" s="68">
        <f t="shared" si="129"/>
        <v>519.355506993007</v>
      </c>
      <c r="X511" s="68">
        <f t="shared" si="130"/>
        <v>346.23700466200467</v>
      </c>
      <c r="Z511" s="63"/>
      <c r="AA511" s="63"/>
    </row>
    <row r="512" spans="1:27" hidden="1" x14ac:dyDescent="0.25">
      <c r="A512" t="str">
        <f t="shared" si="118"/>
        <v>10620005C25/05/2026E</v>
      </c>
      <c r="B512" s="169" t="s">
        <v>824</v>
      </c>
      <c r="C512" s="61" t="s">
        <v>397</v>
      </c>
      <c r="D512" s="61" t="s">
        <v>591</v>
      </c>
      <c r="E512" s="61" t="s">
        <v>595</v>
      </c>
      <c r="F512" s="1" t="s">
        <v>357</v>
      </c>
      <c r="G512" s="62" t="str">
        <f t="shared" si="119"/>
        <v>64505</v>
      </c>
      <c r="H512" s="1">
        <v>10620005</v>
      </c>
      <c r="I512" s="1" t="s">
        <v>388</v>
      </c>
      <c r="J512" s="61">
        <v>36</v>
      </c>
      <c r="K512" s="61">
        <v>3.9</v>
      </c>
      <c r="L512" s="61">
        <v>8.1999999999999993</v>
      </c>
      <c r="M512" s="69">
        <f t="shared" si="120"/>
        <v>1.4040000000000001</v>
      </c>
      <c r="N512" s="69">
        <f t="shared" si="121"/>
        <v>2.952</v>
      </c>
      <c r="O512" s="56">
        <v>37.0930824</v>
      </c>
      <c r="P512" s="57">
        <f t="shared" si="122"/>
        <v>1335.3509664000001</v>
      </c>
      <c r="Q512" s="58">
        <f t="shared" si="123"/>
        <v>396.01155587188612</v>
      </c>
      <c r="R512" s="58">
        <f t="shared" si="124"/>
        <v>264.00770391459076</v>
      </c>
      <c r="S512" s="66">
        <f t="shared" si="125"/>
        <v>23.368641912000005</v>
      </c>
      <c r="T512" s="64">
        <f t="shared" si="126"/>
        <v>135</v>
      </c>
      <c r="U512" s="66">
        <f t="shared" si="127"/>
        <v>1493.719608312</v>
      </c>
      <c r="V512" s="68">
        <f t="shared" si="128"/>
        <v>41.492211341999997</v>
      </c>
      <c r="W512" s="68">
        <f t="shared" si="129"/>
        <v>442.97734528825623</v>
      </c>
      <c r="X512" s="68">
        <f t="shared" si="130"/>
        <v>295.3182301921708</v>
      </c>
      <c r="Z512" s="63"/>
      <c r="AA512" s="63"/>
    </row>
    <row r="513" spans="1:27" hidden="1" x14ac:dyDescent="0.25">
      <c r="A513" t="str">
        <f t="shared" si="118"/>
        <v>10620005B25/05/2026M</v>
      </c>
      <c r="B513" s="169" t="s">
        <v>825</v>
      </c>
      <c r="C513" s="61" t="s">
        <v>396</v>
      </c>
      <c r="D513" s="61" t="s">
        <v>591</v>
      </c>
      <c r="E513" s="61" t="s">
        <v>595</v>
      </c>
      <c r="F513" s="1" t="s">
        <v>357</v>
      </c>
      <c r="G513" s="62" t="str">
        <f t="shared" si="119"/>
        <v>64505</v>
      </c>
      <c r="H513" s="1">
        <v>10620005</v>
      </c>
      <c r="I513" s="1" t="s">
        <v>387</v>
      </c>
      <c r="J513" s="61">
        <v>27</v>
      </c>
      <c r="K513" s="61">
        <v>8.1</v>
      </c>
      <c r="L513" s="61">
        <v>9</v>
      </c>
      <c r="M513" s="69">
        <f t="shared" si="120"/>
        <v>2.1869999999999998</v>
      </c>
      <c r="N513" s="69">
        <f t="shared" si="121"/>
        <v>2.4300000000000002</v>
      </c>
      <c r="O513" s="56">
        <v>67.635000000000005</v>
      </c>
      <c r="P513" s="57">
        <f t="shared" si="122"/>
        <v>1826.1450000000002</v>
      </c>
      <c r="Q513" s="58">
        <f t="shared" si="123"/>
        <v>479.68085106382978</v>
      </c>
      <c r="R513" s="58">
        <f t="shared" si="124"/>
        <v>319.78723404255317</v>
      </c>
      <c r="S513" s="66">
        <f t="shared" si="125"/>
        <v>31.957537500000008</v>
      </c>
      <c r="T513" s="64">
        <f t="shared" si="126"/>
        <v>101.25</v>
      </c>
      <c r="U513" s="66">
        <f t="shared" si="127"/>
        <v>1959.3525375000002</v>
      </c>
      <c r="V513" s="68">
        <f t="shared" si="128"/>
        <v>72.5686125</v>
      </c>
      <c r="W513" s="68">
        <f t="shared" si="129"/>
        <v>514.67101063829784</v>
      </c>
      <c r="X513" s="68">
        <f t="shared" si="130"/>
        <v>343.11400709219856</v>
      </c>
      <c r="Z513" s="63"/>
      <c r="AA513" s="63"/>
    </row>
    <row r="514" spans="1:27" hidden="1" x14ac:dyDescent="0.25">
      <c r="A514" t="str">
        <f t="shared" si="118"/>
        <v>10620005B25/05/2026E</v>
      </c>
      <c r="B514" s="169" t="s">
        <v>825</v>
      </c>
      <c r="C514" s="61" t="s">
        <v>397</v>
      </c>
      <c r="D514" s="61" t="s">
        <v>591</v>
      </c>
      <c r="E514" s="61" t="s">
        <v>595</v>
      </c>
      <c r="F514" s="1" t="s">
        <v>357</v>
      </c>
      <c r="G514" s="62" t="str">
        <f t="shared" si="119"/>
        <v>64505</v>
      </c>
      <c r="H514" s="1">
        <v>10620005</v>
      </c>
      <c r="I514" s="1" t="s">
        <v>387</v>
      </c>
      <c r="J514" s="61">
        <v>34</v>
      </c>
      <c r="K514" s="61">
        <v>8</v>
      </c>
      <c r="L514" s="61">
        <v>9</v>
      </c>
      <c r="M514" s="69">
        <f t="shared" si="120"/>
        <v>2.72</v>
      </c>
      <c r="N514" s="69">
        <f t="shared" si="121"/>
        <v>3.06</v>
      </c>
      <c r="O514" s="56">
        <v>66.8</v>
      </c>
      <c r="P514" s="57">
        <f t="shared" si="122"/>
        <v>2271.1999999999998</v>
      </c>
      <c r="Q514" s="58">
        <f t="shared" si="123"/>
        <v>477.14285714285705</v>
      </c>
      <c r="R514" s="58">
        <f t="shared" si="124"/>
        <v>318.09523809523802</v>
      </c>
      <c r="S514" s="66">
        <f t="shared" si="125"/>
        <v>39.746000000000002</v>
      </c>
      <c r="T514" s="64">
        <f t="shared" si="126"/>
        <v>127.5</v>
      </c>
      <c r="U514" s="66">
        <f t="shared" si="127"/>
        <v>2438.4459999999999</v>
      </c>
      <c r="V514" s="68">
        <f t="shared" si="128"/>
        <v>71.718999999999994</v>
      </c>
      <c r="W514" s="68">
        <f t="shared" si="129"/>
        <v>512.27857142857135</v>
      </c>
      <c r="X514" s="68">
        <f t="shared" si="130"/>
        <v>341.51904761904757</v>
      </c>
      <c r="Z514" s="63"/>
      <c r="AA514" s="63"/>
    </row>
    <row r="515" spans="1:27" hidden="1" x14ac:dyDescent="0.25">
      <c r="A515" t="str">
        <f t="shared" si="118"/>
        <v>10620005C26/05/2026E</v>
      </c>
      <c r="B515" s="169" t="s">
        <v>825</v>
      </c>
      <c r="C515" s="61" t="s">
        <v>397</v>
      </c>
      <c r="D515" s="61" t="s">
        <v>591</v>
      </c>
      <c r="E515" s="61" t="s">
        <v>595</v>
      </c>
      <c r="F515" s="1" t="s">
        <v>357</v>
      </c>
      <c r="G515" s="62" t="str">
        <f t="shared" si="119"/>
        <v>64505</v>
      </c>
      <c r="H515" s="1">
        <v>10620005</v>
      </c>
      <c r="I515" s="1" t="s">
        <v>388</v>
      </c>
      <c r="J515" s="61">
        <v>32</v>
      </c>
      <c r="K515" s="61">
        <v>4</v>
      </c>
      <c r="L515" s="61">
        <v>8.1999999999999993</v>
      </c>
      <c r="M515" s="69">
        <f t="shared" si="120"/>
        <v>1.28</v>
      </c>
      <c r="N515" s="69">
        <f t="shared" si="121"/>
        <v>2.6239999999999997</v>
      </c>
      <c r="O515" s="56">
        <v>37.489082400000001</v>
      </c>
      <c r="P515" s="57">
        <f t="shared" si="122"/>
        <v>1199.6506368</v>
      </c>
      <c r="Q515" s="58">
        <f t="shared" si="123"/>
        <v>396.01143380281695</v>
      </c>
      <c r="R515" s="58">
        <f t="shared" si="124"/>
        <v>264.00762253521128</v>
      </c>
      <c r="S515" s="66">
        <f t="shared" si="125"/>
        <v>20.993886144000001</v>
      </c>
      <c r="T515" s="64">
        <f t="shared" si="126"/>
        <v>120</v>
      </c>
      <c r="U515" s="66">
        <f t="shared" si="127"/>
        <v>1340.6445229440001</v>
      </c>
      <c r="V515" s="68">
        <f t="shared" si="128"/>
        <v>41.895141342000002</v>
      </c>
      <c r="W515" s="68">
        <f t="shared" si="129"/>
        <v>442.55430995070429</v>
      </c>
      <c r="X515" s="68">
        <f t="shared" si="130"/>
        <v>295.03620663380286</v>
      </c>
      <c r="Z515" s="63"/>
      <c r="AA515" s="63"/>
    </row>
    <row r="516" spans="1:27" hidden="1" x14ac:dyDescent="0.25">
      <c r="A516" t="str">
        <f t="shared" si="118"/>
        <v>10620005B26/05/2026M</v>
      </c>
      <c r="B516" s="169" t="s">
        <v>826</v>
      </c>
      <c r="C516" s="61" t="s">
        <v>396</v>
      </c>
      <c r="D516" s="61" t="s">
        <v>591</v>
      </c>
      <c r="E516" s="61" t="s">
        <v>595</v>
      </c>
      <c r="F516" s="1" t="s">
        <v>357</v>
      </c>
      <c r="G516" s="62" t="str">
        <f t="shared" si="119"/>
        <v>64505</v>
      </c>
      <c r="H516" s="1">
        <v>10620005</v>
      </c>
      <c r="I516" s="1" t="s">
        <v>387</v>
      </c>
      <c r="J516" s="61">
        <v>41</v>
      </c>
      <c r="K516" s="61">
        <v>7.8</v>
      </c>
      <c r="L516" s="61">
        <v>9</v>
      </c>
      <c r="M516" s="69">
        <f t="shared" si="120"/>
        <v>3.198</v>
      </c>
      <c r="N516" s="69">
        <f t="shared" si="121"/>
        <v>3.69</v>
      </c>
      <c r="O516" s="56">
        <f>INDEX(Rate_Chart!$A$1:$AK$127,MATCH(Data!K516,Rate_Chart!$A$1:$A$127,0),MATCH(Data!L516,Rate_Chart!$A$1:$AK$1,0))</f>
        <v>65.13</v>
      </c>
      <c r="P516" s="57">
        <f t="shared" si="122"/>
        <v>2670.33</v>
      </c>
      <c r="Q516" s="58">
        <f t="shared" si="123"/>
        <v>471.95652173913038</v>
      </c>
      <c r="R516" s="58">
        <f t="shared" si="124"/>
        <v>314.63768115942025</v>
      </c>
      <c r="S516" s="66">
        <f t="shared" si="125"/>
        <v>46.730775000000001</v>
      </c>
      <c r="T516" s="64">
        <f t="shared" si="126"/>
        <v>153.75</v>
      </c>
      <c r="U516" s="66">
        <f t="shared" si="127"/>
        <v>2870.8107749999999</v>
      </c>
      <c r="V516" s="68">
        <f t="shared" si="128"/>
        <v>70.019774999999996</v>
      </c>
      <c r="W516" s="68">
        <f t="shared" si="129"/>
        <v>507.3896739130434</v>
      </c>
      <c r="X516" s="68">
        <f t="shared" si="130"/>
        <v>338.25978260869562</v>
      </c>
      <c r="Z516" s="63"/>
      <c r="AA516" s="63"/>
    </row>
    <row r="517" spans="1:27" hidden="1" x14ac:dyDescent="0.25">
      <c r="A517" t="str">
        <f t="shared" ref="A517:A580" si="131">CONCATENATE(H517,I517,B518,C517)</f>
        <v>10620005B26/05/2026E</v>
      </c>
      <c r="B517" s="169" t="s">
        <v>826</v>
      </c>
      <c r="C517" s="61" t="s">
        <v>397</v>
      </c>
      <c r="D517" s="61" t="s">
        <v>591</v>
      </c>
      <c r="E517" s="61" t="s">
        <v>595</v>
      </c>
      <c r="F517" s="1" t="s">
        <v>357</v>
      </c>
      <c r="G517" s="62" t="str">
        <f t="shared" si="119"/>
        <v>64505</v>
      </c>
      <c r="H517" s="1">
        <v>10620005</v>
      </c>
      <c r="I517" s="1" t="s">
        <v>387</v>
      </c>
      <c r="J517" s="61">
        <v>22</v>
      </c>
      <c r="K517" s="61">
        <v>8.4</v>
      </c>
      <c r="L517" s="61">
        <v>9</v>
      </c>
      <c r="M517" s="69">
        <f t="shared" si="120"/>
        <v>1.8480000000000001</v>
      </c>
      <c r="N517" s="69">
        <f t="shared" si="121"/>
        <v>1.98</v>
      </c>
      <c r="O517" s="56">
        <f>INDEX(Rate_Chart!$A$1:$AK$127,MATCH(Data!K517,Rate_Chart!$A$1:$A$127,0),MATCH(Data!L517,Rate_Chart!$A$1:$AK$1,0))</f>
        <v>70.14</v>
      </c>
      <c r="P517" s="57">
        <f t="shared" si="122"/>
        <v>1543.08</v>
      </c>
      <c r="Q517" s="58">
        <f t="shared" si="123"/>
        <v>487.08333333333326</v>
      </c>
      <c r="R517" s="58">
        <f t="shared" si="124"/>
        <v>324.72222222222217</v>
      </c>
      <c r="S517" s="66">
        <f t="shared" si="125"/>
        <v>27.003900000000002</v>
      </c>
      <c r="T517" s="64">
        <f t="shared" si="126"/>
        <v>82.5</v>
      </c>
      <c r="U517" s="66">
        <f t="shared" si="127"/>
        <v>1652.5838999999999</v>
      </c>
      <c r="V517" s="68">
        <f t="shared" si="128"/>
        <v>75.117449999999991</v>
      </c>
      <c r="W517" s="68">
        <f t="shared" si="129"/>
        <v>521.64895833333321</v>
      </c>
      <c r="X517" s="68">
        <f t="shared" si="130"/>
        <v>347.76597222222216</v>
      </c>
      <c r="Z517" s="63"/>
      <c r="AA517" s="63"/>
    </row>
    <row r="518" spans="1:27" hidden="1" x14ac:dyDescent="0.25">
      <c r="A518" t="str">
        <f t="shared" si="131"/>
        <v>10620005C27/05/2026E</v>
      </c>
      <c r="B518" s="169" t="s">
        <v>826</v>
      </c>
      <c r="C518" s="61" t="s">
        <v>397</v>
      </c>
      <c r="D518" s="61" t="s">
        <v>591</v>
      </c>
      <c r="E518" s="61" t="s">
        <v>595</v>
      </c>
      <c r="F518" s="1" t="s">
        <v>357</v>
      </c>
      <c r="G518" s="62" t="str">
        <f t="shared" ref="G518:G581" si="132">MID(F518,2,5)</f>
        <v>64505</v>
      </c>
      <c r="H518" s="1">
        <v>10620005</v>
      </c>
      <c r="I518" s="1" t="s">
        <v>388</v>
      </c>
      <c r="J518" s="61">
        <v>41</v>
      </c>
      <c r="K518" s="61">
        <v>4.5999999999999996</v>
      </c>
      <c r="L518" s="61">
        <v>8.5</v>
      </c>
      <c r="M518" s="69">
        <f t="shared" si="120"/>
        <v>1.8859999999999999</v>
      </c>
      <c r="N518" s="69">
        <f t="shared" si="121"/>
        <v>3.4849999999999999</v>
      </c>
      <c r="O518" s="56">
        <f>INDEX(Rate_Chart!$A$1:$AK$127,MATCH(Data!K518,Rate_Chart!$A$1:$A$127,0),MATCH(Data!L518,Rate_Chart!$A$1:$AK$1,0))</f>
        <v>42.813181499999999</v>
      </c>
      <c r="P518" s="57">
        <f t="shared" si="122"/>
        <v>1755.3404415</v>
      </c>
      <c r="Q518" s="58">
        <f t="shared" si="123"/>
        <v>417.01150811688308</v>
      </c>
      <c r="R518" s="58">
        <f t="shared" si="124"/>
        <v>278.00767207792205</v>
      </c>
      <c r="S518" s="66">
        <f t="shared" si="125"/>
        <v>30.718457726250001</v>
      </c>
      <c r="T518" s="64">
        <f t="shared" si="126"/>
        <v>153.75</v>
      </c>
      <c r="U518" s="66">
        <f t="shared" si="127"/>
        <v>1939.8088992262501</v>
      </c>
      <c r="V518" s="68">
        <f t="shared" si="128"/>
        <v>47.31241217625</v>
      </c>
      <c r="W518" s="68">
        <f t="shared" si="129"/>
        <v>460.83518353490257</v>
      </c>
      <c r="X518" s="68">
        <f t="shared" si="130"/>
        <v>307.22345568993507</v>
      </c>
      <c r="Z518" s="63"/>
      <c r="AA518" s="63"/>
    </row>
    <row r="519" spans="1:27" hidden="1" x14ac:dyDescent="0.25">
      <c r="A519" t="str">
        <f t="shared" si="131"/>
        <v>10620005B27/05/2026M</v>
      </c>
      <c r="B519" s="169" t="s">
        <v>827</v>
      </c>
      <c r="C519" s="61" t="s">
        <v>396</v>
      </c>
      <c r="D519" s="61" t="s">
        <v>591</v>
      </c>
      <c r="E519" s="61" t="s">
        <v>595</v>
      </c>
      <c r="F519" s="1" t="s">
        <v>357</v>
      </c>
      <c r="G519" s="62" t="str">
        <f t="shared" si="132"/>
        <v>64505</v>
      </c>
      <c r="H519" s="1">
        <v>10620005</v>
      </c>
      <c r="I519" s="1" t="s">
        <v>387</v>
      </c>
      <c r="J519" s="61">
        <v>36</v>
      </c>
      <c r="K519" s="61">
        <v>8.1999999999999993</v>
      </c>
      <c r="L519" s="61">
        <v>9</v>
      </c>
      <c r="M519" s="69">
        <f t="shared" si="120"/>
        <v>2.952</v>
      </c>
      <c r="N519" s="69">
        <f t="shared" si="121"/>
        <v>3.24</v>
      </c>
      <c r="O519" s="56">
        <f>INDEX(Rate_Chart!$A$1:$AK$127,MATCH(Data!K519,Rate_Chart!$A$1:$A$127,0),MATCH(Data!L519,Rate_Chart!$A$1:$AK$1,0))</f>
        <v>68.469999999999985</v>
      </c>
      <c r="P519" s="57">
        <f t="shared" si="122"/>
        <v>2464.9199999999996</v>
      </c>
      <c r="Q519" s="58">
        <f t="shared" si="123"/>
        <v>482.18309859154925</v>
      </c>
      <c r="R519" s="58">
        <f t="shared" si="124"/>
        <v>321.45539906103284</v>
      </c>
      <c r="S519" s="66">
        <f t="shared" si="125"/>
        <v>43.136099999999999</v>
      </c>
      <c r="T519" s="64">
        <f t="shared" si="126"/>
        <v>135</v>
      </c>
      <c r="U519" s="66">
        <f t="shared" si="127"/>
        <v>2643.0560999999998</v>
      </c>
      <c r="V519" s="68">
        <f t="shared" si="128"/>
        <v>73.418224999999993</v>
      </c>
      <c r="W519" s="68">
        <f t="shared" si="129"/>
        <v>517.02975352112674</v>
      </c>
      <c r="X519" s="68">
        <f t="shared" si="130"/>
        <v>344.68650234741784</v>
      </c>
      <c r="Z519" s="63"/>
      <c r="AA519" s="63"/>
    </row>
    <row r="520" spans="1:27" hidden="1" x14ac:dyDescent="0.25">
      <c r="A520" t="str">
        <f t="shared" si="131"/>
        <v>10620005B27/05/2026E</v>
      </c>
      <c r="B520" s="169" t="s">
        <v>827</v>
      </c>
      <c r="C520" s="61" t="s">
        <v>397</v>
      </c>
      <c r="D520" s="61" t="s">
        <v>591</v>
      </c>
      <c r="E520" s="61" t="s">
        <v>595</v>
      </c>
      <c r="F520" s="1" t="s">
        <v>357</v>
      </c>
      <c r="G520" s="62" t="str">
        <f t="shared" si="132"/>
        <v>64505</v>
      </c>
      <c r="H520" s="1">
        <v>10620005</v>
      </c>
      <c r="I520" s="1" t="s">
        <v>387</v>
      </c>
      <c r="J520" s="61">
        <v>29</v>
      </c>
      <c r="K520" s="61">
        <v>8.6</v>
      </c>
      <c r="L520" s="61">
        <v>9</v>
      </c>
      <c r="M520" s="69">
        <f t="shared" si="120"/>
        <v>2.4939999999999998</v>
      </c>
      <c r="N520" s="69">
        <f t="shared" si="121"/>
        <v>2.61</v>
      </c>
      <c r="O520" s="56">
        <f>INDEX(Rate_Chart!$A$1:$AK$127,MATCH(Data!K520,Rate_Chart!$A$1:$A$127,0),MATCH(Data!L520,Rate_Chart!$A$1:$AK$1,0))</f>
        <v>71.809999999999988</v>
      </c>
      <c r="P520" s="57">
        <f t="shared" si="122"/>
        <v>2082.4899999999998</v>
      </c>
      <c r="Q520" s="58">
        <f t="shared" si="123"/>
        <v>491.84931506849313</v>
      </c>
      <c r="R520" s="58">
        <f t="shared" si="124"/>
        <v>327.89954337899542</v>
      </c>
      <c r="S520" s="66">
        <f t="shared" si="125"/>
        <v>36.443575000000003</v>
      </c>
      <c r="T520" s="64">
        <f t="shared" si="126"/>
        <v>108.75</v>
      </c>
      <c r="U520" s="66">
        <f t="shared" si="127"/>
        <v>2227.683575</v>
      </c>
      <c r="V520" s="68">
        <f t="shared" si="128"/>
        <v>76.816675000000004</v>
      </c>
      <c r="W520" s="68">
        <f t="shared" si="129"/>
        <v>526.1416095890412</v>
      </c>
      <c r="X520" s="68">
        <f t="shared" si="130"/>
        <v>350.7610730593608</v>
      </c>
      <c r="Z520" s="63"/>
      <c r="AA520" s="63"/>
    </row>
    <row r="521" spans="1:27" hidden="1" x14ac:dyDescent="0.25">
      <c r="A521" t="str">
        <f t="shared" si="131"/>
        <v>10620005C28/05/2026E</v>
      </c>
      <c r="B521" s="169" t="s">
        <v>827</v>
      </c>
      <c r="C521" s="61" t="s">
        <v>397</v>
      </c>
      <c r="D521" s="61" t="s">
        <v>591</v>
      </c>
      <c r="E521" s="61" t="s">
        <v>595</v>
      </c>
      <c r="F521" s="1" t="s">
        <v>357</v>
      </c>
      <c r="G521" s="62" t="str">
        <f t="shared" si="132"/>
        <v>64505</v>
      </c>
      <c r="H521" s="1">
        <v>10620005</v>
      </c>
      <c r="I521" s="1" t="s">
        <v>388</v>
      </c>
      <c r="J521" s="61">
        <v>27</v>
      </c>
      <c r="K521" s="61">
        <v>4.4000000000000004</v>
      </c>
      <c r="L521" s="61">
        <v>8.5</v>
      </c>
      <c r="M521" s="69">
        <f t="shared" si="120"/>
        <v>1.1880000000000002</v>
      </c>
      <c r="N521" s="69">
        <f t="shared" si="121"/>
        <v>2.2949999999999999</v>
      </c>
      <c r="O521" s="56">
        <f>INDEX(Rate_Chart!$A$1:$AK$127,MATCH(Data!K521,Rate_Chart!$A$1:$A$127,0),MATCH(Data!L521,Rate_Chart!$A$1:$AK$1,0))</f>
        <v>41.97918150000001</v>
      </c>
      <c r="P521" s="57">
        <f t="shared" si="122"/>
        <v>1133.4379005000003</v>
      </c>
      <c r="Q521" s="58">
        <f t="shared" si="123"/>
        <v>417.01173675496693</v>
      </c>
      <c r="R521" s="58">
        <f t="shared" si="124"/>
        <v>278.00782450331127</v>
      </c>
      <c r="S521" s="66">
        <f t="shared" si="125"/>
        <v>19.835163258750008</v>
      </c>
      <c r="T521" s="64">
        <f t="shared" si="126"/>
        <v>101.25</v>
      </c>
      <c r="U521" s="66">
        <f t="shared" si="127"/>
        <v>1254.5230637587504</v>
      </c>
      <c r="V521" s="68">
        <f t="shared" si="128"/>
        <v>46.463817176250011</v>
      </c>
      <c r="W521" s="68">
        <f t="shared" si="129"/>
        <v>461.56109777731791</v>
      </c>
      <c r="X521" s="68">
        <f t="shared" si="130"/>
        <v>307.70739851821196</v>
      </c>
      <c r="Z521" s="63"/>
      <c r="AA521" s="63"/>
    </row>
    <row r="522" spans="1:27" hidden="1" x14ac:dyDescent="0.25">
      <c r="A522" t="str">
        <f t="shared" si="131"/>
        <v>10620005B28/05/2026M</v>
      </c>
      <c r="B522" s="169" t="s">
        <v>828</v>
      </c>
      <c r="C522" s="61" t="s">
        <v>396</v>
      </c>
      <c r="D522" s="61" t="s">
        <v>591</v>
      </c>
      <c r="E522" s="61" t="s">
        <v>595</v>
      </c>
      <c r="F522" s="1" t="s">
        <v>357</v>
      </c>
      <c r="G522" s="62" t="str">
        <f t="shared" si="132"/>
        <v>64505</v>
      </c>
      <c r="H522" s="1">
        <v>10620005</v>
      </c>
      <c r="I522" s="1" t="s">
        <v>387</v>
      </c>
      <c r="J522" s="61">
        <v>29</v>
      </c>
      <c r="K522" s="61">
        <v>8.1999999999999993</v>
      </c>
      <c r="L522" s="61">
        <v>9</v>
      </c>
      <c r="M522" s="69">
        <f t="shared" si="120"/>
        <v>2.3779999999999997</v>
      </c>
      <c r="N522" s="69">
        <f t="shared" si="121"/>
        <v>2.61</v>
      </c>
      <c r="O522" s="56">
        <f>INDEX(Rate_Chart!$A$1:$AK$127,MATCH(Data!K522,Rate_Chart!$A$1:$A$127,0),MATCH(Data!L522,Rate_Chart!$A$1:$AK$1,0))</f>
        <v>68.469999999999985</v>
      </c>
      <c r="P522" s="57">
        <f t="shared" si="122"/>
        <v>1985.6299999999997</v>
      </c>
      <c r="Q522" s="58">
        <f t="shared" si="123"/>
        <v>482.18309859154925</v>
      </c>
      <c r="R522" s="58">
        <f t="shared" si="124"/>
        <v>321.45539906103284</v>
      </c>
      <c r="S522" s="66">
        <f t="shared" si="125"/>
        <v>34.748525000000001</v>
      </c>
      <c r="T522" s="64">
        <f t="shared" si="126"/>
        <v>108.75</v>
      </c>
      <c r="U522" s="66">
        <f t="shared" si="127"/>
        <v>2129.1285249999996</v>
      </c>
      <c r="V522" s="68">
        <f t="shared" si="128"/>
        <v>73.418224999999993</v>
      </c>
      <c r="W522" s="68">
        <f t="shared" si="129"/>
        <v>517.02975352112674</v>
      </c>
      <c r="X522" s="68">
        <f t="shared" si="130"/>
        <v>344.68650234741784</v>
      </c>
      <c r="Z522" s="63"/>
      <c r="AA522" s="63"/>
    </row>
    <row r="523" spans="1:27" hidden="1" x14ac:dyDescent="0.25">
      <c r="A523" t="str">
        <f t="shared" si="131"/>
        <v>10620005B28/05/2026E</v>
      </c>
      <c r="B523" s="169" t="s">
        <v>828</v>
      </c>
      <c r="C523" s="61" t="s">
        <v>397</v>
      </c>
      <c r="D523" s="61" t="s">
        <v>591</v>
      </c>
      <c r="E523" s="61" t="s">
        <v>595</v>
      </c>
      <c r="F523" s="1" t="s">
        <v>357</v>
      </c>
      <c r="G523" s="62" t="str">
        <f t="shared" si="132"/>
        <v>64505</v>
      </c>
      <c r="H523" s="1">
        <v>10620005</v>
      </c>
      <c r="I523" s="1" t="s">
        <v>387</v>
      </c>
      <c r="J523" s="61">
        <v>31</v>
      </c>
      <c r="K523" s="61">
        <v>8</v>
      </c>
      <c r="L523" s="61">
        <v>9</v>
      </c>
      <c r="M523" s="69">
        <f t="shared" si="120"/>
        <v>2.48</v>
      </c>
      <c r="N523" s="69">
        <f t="shared" si="121"/>
        <v>2.79</v>
      </c>
      <c r="O523" s="56">
        <f>INDEX(Rate_Chart!$A$1:$AK$127,MATCH(Data!K523,Rate_Chart!$A$1:$A$127,0),MATCH(Data!L523,Rate_Chart!$A$1:$AK$1,0))</f>
        <v>66.8</v>
      </c>
      <c r="P523" s="57">
        <f t="shared" si="122"/>
        <v>2070.7999999999997</v>
      </c>
      <c r="Q523" s="58">
        <f t="shared" si="123"/>
        <v>477.14285714285705</v>
      </c>
      <c r="R523" s="58">
        <f t="shared" si="124"/>
        <v>318.09523809523802</v>
      </c>
      <c r="S523" s="66">
        <f t="shared" si="125"/>
        <v>36.238999999999997</v>
      </c>
      <c r="T523" s="64">
        <f t="shared" si="126"/>
        <v>116.25</v>
      </c>
      <c r="U523" s="66">
        <f t="shared" si="127"/>
        <v>2223.2889999999998</v>
      </c>
      <c r="V523" s="68">
        <f t="shared" si="128"/>
        <v>71.718999999999994</v>
      </c>
      <c r="W523" s="68">
        <f t="shared" si="129"/>
        <v>512.27857142857135</v>
      </c>
      <c r="X523" s="68">
        <f t="shared" si="130"/>
        <v>341.51904761904757</v>
      </c>
      <c r="Z523" s="63"/>
      <c r="AA523" s="63"/>
    </row>
    <row r="524" spans="1:27" hidden="1" x14ac:dyDescent="0.25">
      <c r="A524" t="str">
        <f t="shared" si="131"/>
        <v>10620005C22/05/2026E</v>
      </c>
      <c r="B524" s="169" t="s">
        <v>828</v>
      </c>
      <c r="C524" s="61" t="s">
        <v>397</v>
      </c>
      <c r="D524" s="61" t="s">
        <v>591</v>
      </c>
      <c r="E524" s="61" t="s">
        <v>595</v>
      </c>
      <c r="F524" s="1" t="s">
        <v>357</v>
      </c>
      <c r="G524" s="62" t="str">
        <f t="shared" si="132"/>
        <v>64505</v>
      </c>
      <c r="H524" s="1">
        <v>10620005</v>
      </c>
      <c r="I524" s="1" t="s">
        <v>388</v>
      </c>
      <c r="J524" s="61">
        <v>41</v>
      </c>
      <c r="K524" s="61">
        <v>4</v>
      </c>
      <c r="L524" s="61">
        <v>8.1999999999999993</v>
      </c>
      <c r="M524" s="69">
        <f t="shared" si="120"/>
        <v>1.64</v>
      </c>
      <c r="N524" s="69">
        <f t="shared" si="121"/>
        <v>3.3620000000000001</v>
      </c>
      <c r="O524" s="56">
        <f>INDEX(Rate_Chart!$A$1:$AK$127,MATCH(Data!K524,Rate_Chart!$A$1:$A$127,0),MATCH(Data!L524,Rate_Chart!$A$1:$AK$1,0))</f>
        <v>39.477139800000003</v>
      </c>
      <c r="P524" s="57">
        <f t="shared" si="122"/>
        <v>1618.5627318000002</v>
      </c>
      <c r="Q524" s="58">
        <f t="shared" si="123"/>
        <v>417.0120401408451</v>
      </c>
      <c r="R524" s="58">
        <f t="shared" si="124"/>
        <v>278.00802676056338</v>
      </c>
      <c r="S524" s="66">
        <f t="shared" si="125"/>
        <v>28.324847806500006</v>
      </c>
      <c r="T524" s="64">
        <f t="shared" si="126"/>
        <v>153.75</v>
      </c>
      <c r="U524" s="66">
        <f t="shared" si="127"/>
        <v>1800.6375796065001</v>
      </c>
      <c r="V524" s="68">
        <f t="shared" si="128"/>
        <v>43.917989746500005</v>
      </c>
      <c r="W524" s="68">
        <f t="shared" si="129"/>
        <v>463.92242689964797</v>
      </c>
      <c r="X524" s="68">
        <f t="shared" si="130"/>
        <v>309.28161793309863</v>
      </c>
      <c r="Z524" s="63"/>
      <c r="AA524" s="63"/>
    </row>
    <row r="525" spans="1:27" hidden="1" x14ac:dyDescent="0.25">
      <c r="A525" t="str">
        <f t="shared" si="131"/>
        <v>10620037B22/05/2026M</v>
      </c>
      <c r="B525" s="169" t="s">
        <v>822</v>
      </c>
      <c r="C525" s="61" t="s">
        <v>396</v>
      </c>
      <c r="D525" s="61" t="s">
        <v>591</v>
      </c>
      <c r="E525" s="61" t="s">
        <v>593</v>
      </c>
      <c r="F525" s="1" t="s">
        <v>358</v>
      </c>
      <c r="G525" s="62" t="str">
        <f t="shared" si="132"/>
        <v>64506</v>
      </c>
      <c r="H525" s="1">
        <v>10620037</v>
      </c>
      <c r="I525" s="1" t="s">
        <v>387</v>
      </c>
      <c r="J525" s="61">
        <v>59</v>
      </c>
      <c r="K525" s="61">
        <v>6.2</v>
      </c>
      <c r="L525" s="61">
        <v>9</v>
      </c>
      <c r="M525" s="69">
        <f t="shared" si="120"/>
        <v>3.6579999999999999</v>
      </c>
      <c r="N525" s="69">
        <f t="shared" si="121"/>
        <v>5.31</v>
      </c>
      <c r="O525" s="56">
        <v>51.77</v>
      </c>
      <c r="P525" s="57">
        <f t="shared" si="122"/>
        <v>3054.4300000000003</v>
      </c>
      <c r="Q525" s="58">
        <f t="shared" si="123"/>
        <v>424.34426229508199</v>
      </c>
      <c r="R525" s="58">
        <f t="shared" si="124"/>
        <v>282.89617486338801</v>
      </c>
      <c r="S525" s="66">
        <f t="shared" si="125"/>
        <v>53.452525000000009</v>
      </c>
      <c r="T525" s="64">
        <f t="shared" si="126"/>
        <v>221.25</v>
      </c>
      <c r="U525" s="66">
        <f t="shared" si="127"/>
        <v>3329.1325250000004</v>
      </c>
      <c r="V525" s="68">
        <f t="shared" si="128"/>
        <v>56.425975000000008</v>
      </c>
      <c r="W525" s="68">
        <f t="shared" si="129"/>
        <v>462.50799180327874</v>
      </c>
      <c r="X525" s="68">
        <f t="shared" si="130"/>
        <v>308.33866120218585</v>
      </c>
      <c r="Z525" s="63"/>
      <c r="AA525" s="63"/>
    </row>
    <row r="526" spans="1:27" hidden="1" x14ac:dyDescent="0.25">
      <c r="A526" t="str">
        <f t="shared" si="131"/>
        <v>10620037C22/05/2026M</v>
      </c>
      <c r="B526" s="169" t="s">
        <v>822</v>
      </c>
      <c r="C526" s="61" t="s">
        <v>396</v>
      </c>
      <c r="D526" s="61" t="s">
        <v>591</v>
      </c>
      <c r="E526" s="61" t="s">
        <v>593</v>
      </c>
      <c r="F526" s="1" t="s">
        <v>358</v>
      </c>
      <c r="G526" s="62" t="str">
        <f t="shared" si="132"/>
        <v>64506</v>
      </c>
      <c r="H526" s="1">
        <v>10620037</v>
      </c>
      <c r="I526" s="1" t="s">
        <v>388</v>
      </c>
      <c r="J526" s="61">
        <v>66</v>
      </c>
      <c r="K526" s="61">
        <v>3.8</v>
      </c>
      <c r="L526" s="61">
        <v>8.1999999999999993</v>
      </c>
      <c r="M526" s="69">
        <f t="shared" si="120"/>
        <v>2.508</v>
      </c>
      <c r="N526" s="69">
        <f t="shared" si="121"/>
        <v>5.411999999999999</v>
      </c>
      <c r="O526" s="56">
        <v>36.697082399999999</v>
      </c>
      <c r="P526" s="57">
        <f t="shared" si="122"/>
        <v>2422.0074384</v>
      </c>
      <c r="Q526" s="58">
        <f t="shared" si="123"/>
        <v>396.01168057553957</v>
      </c>
      <c r="R526" s="58">
        <f t="shared" si="124"/>
        <v>264.0077870503597</v>
      </c>
      <c r="S526" s="66">
        <f t="shared" si="125"/>
        <v>42.385130172000004</v>
      </c>
      <c r="T526" s="64">
        <f t="shared" si="126"/>
        <v>247.5</v>
      </c>
      <c r="U526" s="66">
        <f t="shared" si="127"/>
        <v>2711.8925685720001</v>
      </c>
      <c r="V526" s="68">
        <f t="shared" si="128"/>
        <v>41.089281342</v>
      </c>
      <c r="W526" s="68">
        <f t="shared" si="129"/>
        <v>443.40951088489209</v>
      </c>
      <c r="X526" s="68">
        <f t="shared" si="130"/>
        <v>295.60634058992804</v>
      </c>
      <c r="Z526" s="63"/>
      <c r="AA526" s="63"/>
    </row>
    <row r="527" spans="1:27" hidden="1" x14ac:dyDescent="0.25">
      <c r="A527" t="str">
        <f t="shared" si="131"/>
        <v>10620037B22/05/2026E</v>
      </c>
      <c r="B527" s="169" t="s">
        <v>822</v>
      </c>
      <c r="C527" s="61" t="s">
        <v>397</v>
      </c>
      <c r="D527" s="61" t="s">
        <v>591</v>
      </c>
      <c r="E527" s="61" t="s">
        <v>593</v>
      </c>
      <c r="F527" s="1" t="s">
        <v>358</v>
      </c>
      <c r="G527" s="62" t="str">
        <f t="shared" si="132"/>
        <v>64506</v>
      </c>
      <c r="H527" s="1">
        <v>10620037</v>
      </c>
      <c r="I527" s="1" t="s">
        <v>387</v>
      </c>
      <c r="J527" s="61">
        <v>58</v>
      </c>
      <c r="K527" s="61">
        <v>6.5</v>
      </c>
      <c r="L527" s="61">
        <v>9</v>
      </c>
      <c r="M527" s="69">
        <f t="shared" si="120"/>
        <v>3.77</v>
      </c>
      <c r="N527" s="69">
        <f t="shared" si="121"/>
        <v>5.22</v>
      </c>
      <c r="O527" s="56">
        <v>54.274999999999999</v>
      </c>
      <c r="P527" s="57">
        <f t="shared" si="122"/>
        <v>3147.95</v>
      </c>
      <c r="Q527" s="58">
        <f t="shared" si="123"/>
        <v>434.2</v>
      </c>
      <c r="R527" s="58">
        <f t="shared" si="124"/>
        <v>289.46666666666664</v>
      </c>
      <c r="S527" s="66">
        <f t="shared" si="125"/>
        <v>55.089125000000003</v>
      </c>
      <c r="T527" s="64">
        <f t="shared" si="126"/>
        <v>217.5</v>
      </c>
      <c r="U527" s="66">
        <f t="shared" si="127"/>
        <v>3420.5391249999998</v>
      </c>
      <c r="V527" s="68">
        <f t="shared" si="128"/>
        <v>58.974812499999999</v>
      </c>
      <c r="W527" s="68">
        <f t="shared" si="129"/>
        <v>471.79849999999999</v>
      </c>
      <c r="X527" s="68">
        <f t="shared" si="130"/>
        <v>314.53233333333333</v>
      </c>
      <c r="Z527" s="63"/>
      <c r="AA527" s="63"/>
    </row>
    <row r="528" spans="1:27" hidden="1" x14ac:dyDescent="0.25">
      <c r="A528" t="str">
        <f t="shared" si="131"/>
        <v>10620037C23/05/2026E</v>
      </c>
      <c r="B528" s="169" t="s">
        <v>822</v>
      </c>
      <c r="C528" s="61" t="s">
        <v>397</v>
      </c>
      <c r="D528" s="61" t="s">
        <v>591</v>
      </c>
      <c r="E528" s="61" t="s">
        <v>593</v>
      </c>
      <c r="F528" s="1" t="s">
        <v>358</v>
      </c>
      <c r="G528" s="62" t="str">
        <f t="shared" si="132"/>
        <v>64506</v>
      </c>
      <c r="H528" s="1">
        <v>10620037</v>
      </c>
      <c r="I528" s="1" t="s">
        <v>388</v>
      </c>
      <c r="J528" s="61">
        <v>30</v>
      </c>
      <c r="K528" s="61">
        <v>3.3</v>
      </c>
      <c r="L528" s="61">
        <v>8</v>
      </c>
      <c r="M528" s="69">
        <f t="shared" si="120"/>
        <v>0.99</v>
      </c>
      <c r="N528" s="69">
        <f t="shared" si="121"/>
        <v>2.4</v>
      </c>
      <c r="O528" s="56">
        <v>34.189056000000008</v>
      </c>
      <c r="P528" s="57">
        <f t="shared" si="122"/>
        <v>1025.6716800000002</v>
      </c>
      <c r="Q528" s="58">
        <f t="shared" si="123"/>
        <v>396.01223166023169</v>
      </c>
      <c r="R528" s="58">
        <f t="shared" si="124"/>
        <v>264.00815444015444</v>
      </c>
      <c r="S528" s="66">
        <f t="shared" si="125"/>
        <v>17.949254400000004</v>
      </c>
      <c r="T528" s="64">
        <f t="shared" si="126"/>
        <v>112.5</v>
      </c>
      <c r="U528" s="66">
        <f t="shared" si="127"/>
        <v>1156.1209344000001</v>
      </c>
      <c r="V528" s="68">
        <f t="shared" si="128"/>
        <v>38.537364480000001</v>
      </c>
      <c r="W528" s="68">
        <f t="shared" si="129"/>
        <v>446.37873915057912</v>
      </c>
      <c r="X528" s="68">
        <f t="shared" si="130"/>
        <v>297.5858261003861</v>
      </c>
      <c r="Z528" s="63"/>
      <c r="AA528" s="63"/>
    </row>
    <row r="529" spans="1:27" hidden="1" x14ac:dyDescent="0.25">
      <c r="A529" t="str">
        <f t="shared" si="131"/>
        <v>10620037B23/05/2026M</v>
      </c>
      <c r="B529" s="169" t="s">
        <v>823</v>
      </c>
      <c r="C529" s="61" t="s">
        <v>396</v>
      </c>
      <c r="D529" s="61" t="s">
        <v>591</v>
      </c>
      <c r="E529" s="61" t="s">
        <v>593</v>
      </c>
      <c r="F529" s="1" t="s">
        <v>358</v>
      </c>
      <c r="G529" s="62" t="str">
        <f t="shared" si="132"/>
        <v>64506</v>
      </c>
      <c r="H529" s="1">
        <v>10620037</v>
      </c>
      <c r="I529" s="1" t="s">
        <v>387</v>
      </c>
      <c r="J529" s="61">
        <v>69</v>
      </c>
      <c r="K529" s="61">
        <v>6.3</v>
      </c>
      <c r="L529" s="61">
        <v>8.8000000000000007</v>
      </c>
      <c r="M529" s="69">
        <f t="shared" si="120"/>
        <v>4.3469999999999995</v>
      </c>
      <c r="N529" s="69">
        <f t="shared" si="121"/>
        <v>6.0720000000000001</v>
      </c>
      <c r="O529" s="56">
        <v>52.078949999999999</v>
      </c>
      <c r="P529" s="57">
        <f t="shared" si="122"/>
        <v>3593.4475499999999</v>
      </c>
      <c r="Q529" s="58">
        <f t="shared" si="123"/>
        <v>428.04616438356163</v>
      </c>
      <c r="R529" s="58">
        <f t="shared" si="124"/>
        <v>285.36410958904111</v>
      </c>
      <c r="S529" s="66">
        <f t="shared" si="125"/>
        <v>62.885332125000005</v>
      </c>
      <c r="T529" s="64">
        <f t="shared" si="126"/>
        <v>258.75</v>
      </c>
      <c r="U529" s="66">
        <f t="shared" si="127"/>
        <v>3915.0828821249997</v>
      </c>
      <c r="V529" s="68">
        <f t="shared" si="128"/>
        <v>56.740331624999996</v>
      </c>
      <c r="W529" s="68">
        <f t="shared" si="129"/>
        <v>466.35889006849311</v>
      </c>
      <c r="X529" s="68">
        <f t="shared" si="130"/>
        <v>310.90592671232872</v>
      </c>
      <c r="Z529" s="63"/>
      <c r="AA529" s="63"/>
    </row>
    <row r="530" spans="1:27" hidden="1" x14ac:dyDescent="0.25">
      <c r="A530" t="str">
        <f t="shared" si="131"/>
        <v>10620037C23/05/2026M</v>
      </c>
      <c r="B530" s="169" t="s">
        <v>823</v>
      </c>
      <c r="C530" s="61" t="s">
        <v>396</v>
      </c>
      <c r="D530" s="61" t="s">
        <v>591</v>
      </c>
      <c r="E530" s="61" t="s">
        <v>593</v>
      </c>
      <c r="F530" s="1" t="s">
        <v>358</v>
      </c>
      <c r="G530" s="62" t="str">
        <f t="shared" si="132"/>
        <v>64506</v>
      </c>
      <c r="H530" s="1">
        <v>10620037</v>
      </c>
      <c r="I530" s="1" t="s">
        <v>388</v>
      </c>
      <c r="J530" s="61">
        <v>62</v>
      </c>
      <c r="K530" s="61">
        <v>3.5</v>
      </c>
      <c r="L530" s="61">
        <v>8.1999999999999993</v>
      </c>
      <c r="M530" s="69">
        <f t="shared" si="120"/>
        <v>2.17</v>
      </c>
      <c r="N530" s="69">
        <f t="shared" si="121"/>
        <v>5.0839999999999996</v>
      </c>
      <c r="O530" s="56">
        <v>35.509082400000004</v>
      </c>
      <c r="P530" s="57">
        <f t="shared" si="122"/>
        <v>2201.5631088000005</v>
      </c>
      <c r="Q530" s="58">
        <f t="shared" si="123"/>
        <v>396.0120713754647</v>
      </c>
      <c r="R530" s="58">
        <f t="shared" si="124"/>
        <v>264.00804758364313</v>
      </c>
      <c r="S530" s="66">
        <f t="shared" si="125"/>
        <v>38.527354404000015</v>
      </c>
      <c r="T530" s="64">
        <f t="shared" si="126"/>
        <v>232.5</v>
      </c>
      <c r="U530" s="66">
        <f t="shared" si="127"/>
        <v>2472.5904632040006</v>
      </c>
      <c r="V530" s="68">
        <f t="shared" si="128"/>
        <v>39.880491342000006</v>
      </c>
      <c r="W530" s="68">
        <f t="shared" si="129"/>
        <v>444.76384396282532</v>
      </c>
      <c r="X530" s="68">
        <f t="shared" si="130"/>
        <v>296.50922930855023</v>
      </c>
      <c r="Z530" s="63"/>
      <c r="AA530" s="63"/>
    </row>
    <row r="531" spans="1:27" hidden="1" x14ac:dyDescent="0.25">
      <c r="A531" t="str">
        <f t="shared" si="131"/>
        <v>10620037B24/05/2026E</v>
      </c>
      <c r="B531" s="169" t="s">
        <v>823</v>
      </c>
      <c r="C531" s="61" t="s">
        <v>397</v>
      </c>
      <c r="D531" s="61" t="s">
        <v>591</v>
      </c>
      <c r="E531" s="61" t="s">
        <v>593</v>
      </c>
      <c r="F531" s="1" t="s">
        <v>358</v>
      </c>
      <c r="G531" s="62" t="str">
        <f t="shared" si="132"/>
        <v>64506</v>
      </c>
      <c r="H531" s="1">
        <v>10620037</v>
      </c>
      <c r="I531" s="1" t="s">
        <v>387</v>
      </c>
      <c r="J531" s="61">
        <v>30</v>
      </c>
      <c r="K531" s="61">
        <v>6.1</v>
      </c>
      <c r="L531" s="61">
        <v>9</v>
      </c>
      <c r="M531" s="69">
        <f t="shared" si="120"/>
        <v>1.83</v>
      </c>
      <c r="N531" s="69">
        <f t="shared" si="121"/>
        <v>2.7</v>
      </c>
      <c r="O531" s="56">
        <v>50.935000000000002</v>
      </c>
      <c r="P531" s="57">
        <f t="shared" si="122"/>
        <v>1528.0500000000002</v>
      </c>
      <c r="Q531" s="58">
        <f t="shared" si="123"/>
        <v>420.95041322314052</v>
      </c>
      <c r="R531" s="58">
        <f t="shared" si="124"/>
        <v>280.63360881542701</v>
      </c>
      <c r="S531" s="66">
        <f t="shared" si="125"/>
        <v>26.740875000000006</v>
      </c>
      <c r="T531" s="64">
        <f t="shared" si="126"/>
        <v>112.5</v>
      </c>
      <c r="U531" s="66">
        <f t="shared" si="127"/>
        <v>1667.2908750000001</v>
      </c>
      <c r="V531" s="68">
        <f t="shared" si="128"/>
        <v>55.576362500000002</v>
      </c>
      <c r="W531" s="68">
        <f t="shared" si="129"/>
        <v>459.30878099173555</v>
      </c>
      <c r="X531" s="68">
        <f t="shared" si="130"/>
        <v>306.20585399449038</v>
      </c>
      <c r="Z531" s="63"/>
      <c r="AA531" s="63"/>
    </row>
    <row r="532" spans="1:27" hidden="1" x14ac:dyDescent="0.25">
      <c r="A532" t="str">
        <f t="shared" si="131"/>
        <v>10620037B24/05/2026M</v>
      </c>
      <c r="B532" s="169" t="s">
        <v>824</v>
      </c>
      <c r="C532" s="61" t="s">
        <v>396</v>
      </c>
      <c r="D532" s="61" t="s">
        <v>591</v>
      </c>
      <c r="E532" s="61" t="s">
        <v>593</v>
      </c>
      <c r="F532" s="1" t="s">
        <v>358</v>
      </c>
      <c r="G532" s="62" t="str">
        <f t="shared" si="132"/>
        <v>64506</v>
      </c>
      <c r="H532" s="1">
        <v>10620037</v>
      </c>
      <c r="I532" s="1" t="s">
        <v>387</v>
      </c>
      <c r="J532" s="61">
        <v>8</v>
      </c>
      <c r="K532" s="61">
        <v>6.9</v>
      </c>
      <c r="L532" s="61">
        <v>9</v>
      </c>
      <c r="M532" s="69">
        <f t="shared" si="120"/>
        <v>0.55200000000000005</v>
      </c>
      <c r="N532" s="69">
        <f t="shared" si="121"/>
        <v>0.72</v>
      </c>
      <c r="O532" s="56">
        <v>57.615000000000002</v>
      </c>
      <c r="P532" s="57">
        <f t="shared" si="122"/>
        <v>460.92</v>
      </c>
      <c r="Q532" s="58">
        <f t="shared" si="123"/>
        <v>446.62790697674421</v>
      </c>
      <c r="R532" s="58">
        <f t="shared" si="124"/>
        <v>297.75193798449612</v>
      </c>
      <c r="S532" s="66">
        <f t="shared" si="125"/>
        <v>8.0661000000000005</v>
      </c>
      <c r="T532" s="64">
        <f t="shared" si="126"/>
        <v>30</v>
      </c>
      <c r="U532" s="66">
        <f t="shared" si="127"/>
        <v>498.98610000000002</v>
      </c>
      <c r="V532" s="68">
        <f t="shared" si="128"/>
        <v>62.373262500000003</v>
      </c>
      <c r="W532" s="68">
        <f t="shared" si="129"/>
        <v>483.51366279069771</v>
      </c>
      <c r="X532" s="68">
        <f t="shared" si="130"/>
        <v>322.34244186046516</v>
      </c>
      <c r="Z532" s="63"/>
      <c r="AA532" s="63"/>
    </row>
    <row r="533" spans="1:27" hidden="1" x14ac:dyDescent="0.25">
      <c r="A533" t="str">
        <f t="shared" si="131"/>
        <v>10620037B25/05/2026E</v>
      </c>
      <c r="B533" s="169" t="s">
        <v>824</v>
      </c>
      <c r="C533" s="61" t="s">
        <v>397</v>
      </c>
      <c r="D533" s="61" t="s">
        <v>591</v>
      </c>
      <c r="E533" s="61" t="s">
        <v>593</v>
      </c>
      <c r="F533" s="1" t="s">
        <v>358</v>
      </c>
      <c r="G533" s="62" t="str">
        <f t="shared" si="132"/>
        <v>64506</v>
      </c>
      <c r="H533" s="1">
        <v>10620037</v>
      </c>
      <c r="I533" s="1" t="s">
        <v>387</v>
      </c>
      <c r="J533" s="61">
        <v>41</v>
      </c>
      <c r="K533" s="61">
        <v>6.1</v>
      </c>
      <c r="L533" s="61">
        <v>9</v>
      </c>
      <c r="M533" s="69">
        <f t="shared" si="120"/>
        <v>2.5009999999999999</v>
      </c>
      <c r="N533" s="69">
        <f t="shared" si="121"/>
        <v>3.69</v>
      </c>
      <c r="O533" s="56">
        <v>50.935000000000002</v>
      </c>
      <c r="P533" s="57">
        <f t="shared" si="122"/>
        <v>2088.335</v>
      </c>
      <c r="Q533" s="58">
        <f t="shared" si="123"/>
        <v>420.95041322314052</v>
      </c>
      <c r="R533" s="58">
        <f t="shared" si="124"/>
        <v>280.63360881542701</v>
      </c>
      <c r="S533" s="66">
        <f t="shared" si="125"/>
        <v>36.545862500000005</v>
      </c>
      <c r="T533" s="64">
        <f t="shared" si="126"/>
        <v>153.75</v>
      </c>
      <c r="U533" s="66">
        <f t="shared" si="127"/>
        <v>2278.6308625000001</v>
      </c>
      <c r="V533" s="68">
        <f t="shared" si="128"/>
        <v>55.576362500000002</v>
      </c>
      <c r="W533" s="68">
        <f t="shared" si="129"/>
        <v>459.30878099173555</v>
      </c>
      <c r="X533" s="68">
        <f t="shared" si="130"/>
        <v>306.20585399449038</v>
      </c>
      <c r="Z533" s="63"/>
      <c r="AA533" s="63"/>
    </row>
    <row r="534" spans="1:27" hidden="1" x14ac:dyDescent="0.25">
      <c r="A534" t="str">
        <f t="shared" si="131"/>
        <v>10620037B25/05/2026M</v>
      </c>
      <c r="B534" s="169" t="s">
        <v>825</v>
      </c>
      <c r="C534" s="61" t="s">
        <v>396</v>
      </c>
      <c r="D534" s="61" t="s">
        <v>591</v>
      </c>
      <c r="E534" s="61" t="s">
        <v>593</v>
      </c>
      <c r="F534" s="1" t="s">
        <v>358</v>
      </c>
      <c r="G534" s="62" t="str">
        <f t="shared" si="132"/>
        <v>64506</v>
      </c>
      <c r="H534" s="1">
        <v>10620037</v>
      </c>
      <c r="I534" s="1" t="s">
        <v>387</v>
      </c>
      <c r="J534" s="61">
        <v>68</v>
      </c>
      <c r="K534" s="61">
        <v>6</v>
      </c>
      <c r="L534" s="61">
        <v>8.8000000000000007</v>
      </c>
      <c r="M534" s="69">
        <f t="shared" si="120"/>
        <v>4.08</v>
      </c>
      <c r="N534" s="69">
        <f t="shared" si="121"/>
        <v>5.9840000000000009</v>
      </c>
      <c r="O534" s="56">
        <v>49.599000000000004</v>
      </c>
      <c r="P534" s="57">
        <f t="shared" si="122"/>
        <v>3372.7320000000004</v>
      </c>
      <c r="Q534" s="58">
        <f t="shared" si="123"/>
        <v>417.96910112359552</v>
      </c>
      <c r="R534" s="58">
        <f t="shared" si="124"/>
        <v>278.64606741573033</v>
      </c>
      <c r="S534" s="66">
        <f t="shared" si="125"/>
        <v>59.022810000000014</v>
      </c>
      <c r="T534" s="64">
        <f t="shared" si="126"/>
        <v>255</v>
      </c>
      <c r="U534" s="66">
        <f t="shared" si="127"/>
        <v>3686.7548100000004</v>
      </c>
      <c r="V534" s="68">
        <f t="shared" si="128"/>
        <v>54.216982500000007</v>
      </c>
      <c r="W534" s="68">
        <f t="shared" si="129"/>
        <v>456.8846839887641</v>
      </c>
      <c r="X534" s="68">
        <f t="shared" si="130"/>
        <v>304.58978932584273</v>
      </c>
      <c r="Z534" s="63"/>
      <c r="AA534" s="63"/>
    </row>
    <row r="535" spans="1:27" hidden="1" x14ac:dyDescent="0.25">
      <c r="A535" t="str">
        <f t="shared" si="131"/>
        <v>10620037C25/05/2026M</v>
      </c>
      <c r="B535" s="169" t="s">
        <v>825</v>
      </c>
      <c r="C535" s="61" t="s">
        <v>396</v>
      </c>
      <c r="D535" s="61" t="s">
        <v>591</v>
      </c>
      <c r="E535" s="61" t="s">
        <v>593</v>
      </c>
      <c r="F535" s="1" t="s">
        <v>358</v>
      </c>
      <c r="G535" s="62" t="str">
        <f t="shared" si="132"/>
        <v>64506</v>
      </c>
      <c r="H535" s="1">
        <v>10620037</v>
      </c>
      <c r="I535" s="1" t="s">
        <v>388</v>
      </c>
      <c r="J535" s="61">
        <v>38</v>
      </c>
      <c r="K535" s="61">
        <v>3.6</v>
      </c>
      <c r="L535" s="61">
        <v>8</v>
      </c>
      <c r="M535" s="69">
        <f t="shared" si="120"/>
        <v>1.3680000000000001</v>
      </c>
      <c r="N535" s="69">
        <f t="shared" si="121"/>
        <v>3.04</v>
      </c>
      <c r="O535" s="56">
        <v>35.377056000000003</v>
      </c>
      <c r="P535" s="57">
        <f t="shared" si="122"/>
        <v>1344.3281280000001</v>
      </c>
      <c r="Q535" s="58">
        <f t="shared" si="123"/>
        <v>396.01182089552236</v>
      </c>
      <c r="R535" s="58">
        <f t="shared" si="124"/>
        <v>264.00788059701489</v>
      </c>
      <c r="S535" s="66">
        <f t="shared" si="125"/>
        <v>23.525742240000003</v>
      </c>
      <c r="T535" s="64">
        <f t="shared" si="126"/>
        <v>142.5</v>
      </c>
      <c r="U535" s="66">
        <f t="shared" si="127"/>
        <v>1510.3538702400001</v>
      </c>
      <c r="V535" s="68">
        <f t="shared" si="128"/>
        <v>39.746154480000001</v>
      </c>
      <c r="W535" s="68">
        <f t="shared" si="129"/>
        <v>444.91963970149249</v>
      </c>
      <c r="X535" s="68">
        <f t="shared" si="130"/>
        <v>296.61309313432832</v>
      </c>
      <c r="Z535" s="63"/>
      <c r="AA535" s="63"/>
    </row>
    <row r="536" spans="1:27" hidden="1" x14ac:dyDescent="0.25">
      <c r="A536" t="str">
        <f t="shared" si="131"/>
        <v>10620037B25/05/2026E</v>
      </c>
      <c r="B536" s="169" t="s">
        <v>825</v>
      </c>
      <c r="C536" s="61" t="s">
        <v>397</v>
      </c>
      <c r="D536" s="61" t="s">
        <v>591</v>
      </c>
      <c r="E536" s="61" t="s">
        <v>593</v>
      </c>
      <c r="F536" s="1" t="s">
        <v>358</v>
      </c>
      <c r="G536" s="62" t="str">
        <f t="shared" si="132"/>
        <v>64506</v>
      </c>
      <c r="H536" s="1">
        <v>10620037</v>
      </c>
      <c r="I536" s="1" t="s">
        <v>387</v>
      </c>
      <c r="J536" s="61">
        <v>68</v>
      </c>
      <c r="K536" s="61">
        <v>6.1</v>
      </c>
      <c r="L536" s="61">
        <v>9</v>
      </c>
      <c r="M536" s="69">
        <f t="shared" si="120"/>
        <v>4.1479999999999997</v>
      </c>
      <c r="N536" s="69">
        <f t="shared" si="121"/>
        <v>6.12</v>
      </c>
      <c r="O536" s="56">
        <v>50.935000000000002</v>
      </c>
      <c r="P536" s="57">
        <f t="shared" si="122"/>
        <v>3463.58</v>
      </c>
      <c r="Q536" s="58">
        <f t="shared" si="123"/>
        <v>420.95041322314052</v>
      </c>
      <c r="R536" s="58">
        <f t="shared" si="124"/>
        <v>280.63360881542701</v>
      </c>
      <c r="S536" s="66">
        <f t="shared" si="125"/>
        <v>60.612650000000002</v>
      </c>
      <c r="T536" s="64">
        <f t="shared" si="126"/>
        <v>255</v>
      </c>
      <c r="U536" s="66">
        <f t="shared" si="127"/>
        <v>3779.19265</v>
      </c>
      <c r="V536" s="68">
        <f t="shared" si="128"/>
        <v>55.576362500000002</v>
      </c>
      <c r="W536" s="68">
        <f t="shared" si="129"/>
        <v>459.30878099173555</v>
      </c>
      <c r="X536" s="68">
        <f t="shared" si="130"/>
        <v>306.20585399449038</v>
      </c>
      <c r="Z536" s="63"/>
      <c r="AA536" s="63"/>
    </row>
    <row r="537" spans="1:27" hidden="1" x14ac:dyDescent="0.25">
      <c r="A537" t="str">
        <f t="shared" si="131"/>
        <v>10620037C26/05/2026E</v>
      </c>
      <c r="B537" s="169" t="s">
        <v>825</v>
      </c>
      <c r="C537" s="61" t="s">
        <v>397</v>
      </c>
      <c r="D537" s="61" t="s">
        <v>591</v>
      </c>
      <c r="E537" s="61" t="s">
        <v>593</v>
      </c>
      <c r="F537" s="1" t="s">
        <v>358</v>
      </c>
      <c r="G537" s="62" t="str">
        <f t="shared" si="132"/>
        <v>64506</v>
      </c>
      <c r="H537" s="1">
        <v>10620037</v>
      </c>
      <c r="I537" s="1" t="s">
        <v>388</v>
      </c>
      <c r="J537" s="61">
        <v>33</v>
      </c>
      <c r="K537" s="61">
        <v>3.2</v>
      </c>
      <c r="L537" s="61">
        <v>8.1999999999999993</v>
      </c>
      <c r="M537" s="69">
        <f t="shared" si="120"/>
        <v>1.056</v>
      </c>
      <c r="N537" s="69">
        <f t="shared" si="121"/>
        <v>2.7059999999999995</v>
      </c>
      <c r="O537" s="56">
        <v>34.321082400000002</v>
      </c>
      <c r="P537" s="57">
        <f t="shared" si="122"/>
        <v>1132.5957192000001</v>
      </c>
      <c r="Q537" s="58">
        <f t="shared" si="123"/>
        <v>396.01248923076923</v>
      </c>
      <c r="R537" s="58">
        <f t="shared" si="124"/>
        <v>264.00832615384616</v>
      </c>
      <c r="S537" s="66">
        <f t="shared" si="125"/>
        <v>19.820425086000004</v>
      </c>
      <c r="T537" s="64">
        <f t="shared" si="126"/>
        <v>123.75</v>
      </c>
      <c r="U537" s="66">
        <f t="shared" si="127"/>
        <v>1276.166144286</v>
      </c>
      <c r="V537" s="68">
        <f t="shared" si="128"/>
        <v>38.671701341999999</v>
      </c>
      <c r="W537" s="68">
        <f t="shared" si="129"/>
        <v>446.21193856153843</v>
      </c>
      <c r="X537" s="68">
        <f t="shared" si="130"/>
        <v>297.47462570769227</v>
      </c>
      <c r="Z537" s="63"/>
      <c r="AA537" s="63"/>
    </row>
    <row r="538" spans="1:27" hidden="1" x14ac:dyDescent="0.25">
      <c r="A538" t="str">
        <f t="shared" si="131"/>
        <v>10620037B26/05/2026M</v>
      </c>
      <c r="B538" s="169" t="s">
        <v>826</v>
      </c>
      <c r="C538" s="61" t="s">
        <v>396</v>
      </c>
      <c r="D538" s="61" t="s">
        <v>591</v>
      </c>
      <c r="E538" s="61" t="s">
        <v>593</v>
      </c>
      <c r="F538" s="1" t="s">
        <v>358</v>
      </c>
      <c r="G538" s="62" t="str">
        <f t="shared" si="132"/>
        <v>64506</v>
      </c>
      <c r="H538" s="1">
        <v>10620037</v>
      </c>
      <c r="I538" s="1" t="s">
        <v>387</v>
      </c>
      <c r="J538" s="61">
        <v>63</v>
      </c>
      <c r="K538" s="61">
        <v>6</v>
      </c>
      <c r="L538" s="61">
        <v>9</v>
      </c>
      <c r="M538" s="69">
        <f t="shared" si="120"/>
        <v>3.78</v>
      </c>
      <c r="N538" s="69">
        <f t="shared" si="121"/>
        <v>5.67</v>
      </c>
      <c r="O538" s="56">
        <f>INDEX(Rate_Chart!$A$1:$AK$127,MATCH(Data!K538,Rate_Chart!$A$1:$A$127,0),MATCH(Data!L538,Rate_Chart!$A$1:$AK$1,0))</f>
        <v>50.1</v>
      </c>
      <c r="P538" s="57">
        <f t="shared" si="122"/>
        <v>3156.3</v>
      </c>
      <c r="Q538" s="58">
        <f t="shared" si="123"/>
        <v>417.5</v>
      </c>
      <c r="R538" s="58">
        <f t="shared" si="124"/>
        <v>278.33333333333331</v>
      </c>
      <c r="S538" s="66">
        <f t="shared" si="125"/>
        <v>55.235250000000008</v>
      </c>
      <c r="T538" s="64">
        <f t="shared" si="126"/>
        <v>236.25</v>
      </c>
      <c r="U538" s="66">
        <f t="shared" si="127"/>
        <v>3447.7852500000004</v>
      </c>
      <c r="V538" s="68">
        <f t="shared" si="128"/>
        <v>54.726750000000003</v>
      </c>
      <c r="W538" s="68">
        <f t="shared" si="129"/>
        <v>456.05625000000003</v>
      </c>
      <c r="X538" s="68">
        <f t="shared" si="130"/>
        <v>304.03750000000002</v>
      </c>
      <c r="Z538" s="63"/>
      <c r="AA538" s="63"/>
    </row>
    <row r="539" spans="1:27" hidden="1" x14ac:dyDescent="0.25">
      <c r="A539" t="str">
        <f t="shared" si="131"/>
        <v>10620037C26/05/2026M</v>
      </c>
      <c r="B539" s="169" t="s">
        <v>826</v>
      </c>
      <c r="C539" s="61" t="s">
        <v>396</v>
      </c>
      <c r="D539" s="61" t="s">
        <v>591</v>
      </c>
      <c r="E539" s="61" t="s">
        <v>593</v>
      </c>
      <c r="F539" s="1" t="s">
        <v>358</v>
      </c>
      <c r="G539" s="62" t="str">
        <f t="shared" si="132"/>
        <v>64506</v>
      </c>
      <c r="H539" s="1">
        <v>10620037</v>
      </c>
      <c r="I539" s="1" t="s">
        <v>388</v>
      </c>
      <c r="J539" s="61">
        <v>62</v>
      </c>
      <c r="K539" s="61">
        <v>3.6</v>
      </c>
      <c r="L539" s="61">
        <v>8.1999999999999993</v>
      </c>
      <c r="M539" s="69">
        <f t="shared" si="120"/>
        <v>2.2320000000000002</v>
      </c>
      <c r="N539" s="69">
        <f t="shared" si="121"/>
        <v>5.0839999999999996</v>
      </c>
      <c r="O539" s="56">
        <f>INDEX(Rate_Chart!$A$1:$AK$127,MATCH(Data!K539,Rate_Chart!$A$1:$A$127,0),MATCH(Data!L539,Rate_Chart!$A$1:$AK$1,0))</f>
        <v>37.809139800000004</v>
      </c>
      <c r="P539" s="57">
        <f t="shared" si="122"/>
        <v>2344.1666676000004</v>
      </c>
      <c r="Q539" s="58">
        <f t="shared" si="123"/>
        <v>417.01257132352941</v>
      </c>
      <c r="R539" s="58">
        <f t="shared" si="124"/>
        <v>278.00838088235292</v>
      </c>
      <c r="S539" s="66">
        <f t="shared" si="125"/>
        <v>41.022916683000012</v>
      </c>
      <c r="T539" s="64">
        <f t="shared" si="126"/>
        <v>232.5</v>
      </c>
      <c r="U539" s="66">
        <f t="shared" si="127"/>
        <v>2617.6895842830004</v>
      </c>
      <c r="V539" s="68">
        <f t="shared" si="128"/>
        <v>42.220799746500006</v>
      </c>
      <c r="W539" s="68">
        <f t="shared" si="129"/>
        <v>465.67058543933825</v>
      </c>
      <c r="X539" s="68">
        <f t="shared" si="130"/>
        <v>310.44705695955884</v>
      </c>
      <c r="Z539" s="63"/>
      <c r="AA539" s="63"/>
    </row>
    <row r="540" spans="1:27" hidden="1" x14ac:dyDescent="0.25">
      <c r="A540" t="str">
        <f t="shared" si="131"/>
        <v>10620037B26/05/2026E</v>
      </c>
      <c r="B540" s="169" t="s">
        <v>826</v>
      </c>
      <c r="C540" s="61" t="s">
        <v>397</v>
      </c>
      <c r="D540" s="61" t="s">
        <v>591</v>
      </c>
      <c r="E540" s="61" t="s">
        <v>593</v>
      </c>
      <c r="F540" s="1" t="s">
        <v>358</v>
      </c>
      <c r="G540" s="62" t="str">
        <f t="shared" si="132"/>
        <v>64506</v>
      </c>
      <c r="H540" s="1">
        <v>10620037</v>
      </c>
      <c r="I540" s="1" t="s">
        <v>387</v>
      </c>
      <c r="J540" s="61">
        <v>63</v>
      </c>
      <c r="K540" s="61">
        <v>5.6</v>
      </c>
      <c r="L540" s="61">
        <v>9</v>
      </c>
      <c r="M540" s="69">
        <f t="shared" si="120"/>
        <v>3.5279999999999996</v>
      </c>
      <c r="N540" s="69">
        <f t="shared" si="121"/>
        <v>5.67</v>
      </c>
      <c r="O540" s="56">
        <f>INDEX(Rate_Chart!$A$1:$AK$127,MATCH(Data!K540,Rate_Chart!$A$1:$A$127,0),MATCH(Data!L540,Rate_Chart!$A$1:$AK$1,0))</f>
        <v>46.76</v>
      </c>
      <c r="P540" s="57">
        <f t="shared" si="122"/>
        <v>2945.8799999999997</v>
      </c>
      <c r="Q540" s="58">
        <f t="shared" si="123"/>
        <v>403.10344827586209</v>
      </c>
      <c r="R540" s="58">
        <f t="shared" si="124"/>
        <v>268.73563218390808</v>
      </c>
      <c r="S540" s="66">
        <f t="shared" si="125"/>
        <v>51.552900000000001</v>
      </c>
      <c r="T540" s="64">
        <f t="shared" si="126"/>
        <v>236.25</v>
      </c>
      <c r="U540" s="66">
        <f t="shared" si="127"/>
        <v>3233.6828999999998</v>
      </c>
      <c r="V540" s="68">
        <f t="shared" si="128"/>
        <v>51.328299999999999</v>
      </c>
      <c r="W540" s="68">
        <f t="shared" si="129"/>
        <v>442.48534482758623</v>
      </c>
      <c r="X540" s="68">
        <f t="shared" si="130"/>
        <v>294.99022988505749</v>
      </c>
      <c r="Z540" s="63"/>
      <c r="AA540" s="63"/>
    </row>
    <row r="541" spans="1:27" hidden="1" x14ac:dyDescent="0.25">
      <c r="A541" t="str">
        <f t="shared" si="131"/>
        <v>10620037C27/05/2026E</v>
      </c>
      <c r="B541" s="169" t="s">
        <v>826</v>
      </c>
      <c r="C541" s="61" t="s">
        <v>397</v>
      </c>
      <c r="D541" s="61" t="s">
        <v>591</v>
      </c>
      <c r="E541" s="61" t="s">
        <v>593</v>
      </c>
      <c r="F541" s="1" t="s">
        <v>358</v>
      </c>
      <c r="G541" s="62" t="str">
        <f t="shared" si="132"/>
        <v>64506</v>
      </c>
      <c r="H541" s="1">
        <v>10620037</v>
      </c>
      <c r="I541" s="1" t="s">
        <v>388</v>
      </c>
      <c r="J541" s="61">
        <v>73</v>
      </c>
      <c r="K541" s="61">
        <v>3.2</v>
      </c>
      <c r="L541" s="61">
        <v>8.1999999999999993</v>
      </c>
      <c r="M541" s="69">
        <f t="shared" si="120"/>
        <v>2.3360000000000003</v>
      </c>
      <c r="N541" s="69">
        <f t="shared" si="121"/>
        <v>5.9859999999999989</v>
      </c>
      <c r="O541" s="56">
        <f>INDEX(Rate_Chart!$A$1:$AK$127,MATCH(Data!K541,Rate_Chart!$A$1:$A$127,0),MATCH(Data!L541,Rate_Chart!$A$1:$AK$1,0))</f>
        <v>36.141139799999998</v>
      </c>
      <c r="P541" s="57">
        <f t="shared" si="122"/>
        <v>2638.3032054</v>
      </c>
      <c r="Q541" s="58">
        <f t="shared" si="123"/>
        <v>417.0131515384615</v>
      </c>
      <c r="R541" s="58">
        <f t="shared" si="124"/>
        <v>278.00876769230769</v>
      </c>
      <c r="S541" s="66">
        <f t="shared" si="125"/>
        <v>46.170306094500006</v>
      </c>
      <c r="T541" s="64">
        <f t="shared" si="126"/>
        <v>273.75</v>
      </c>
      <c r="U541" s="66">
        <f t="shared" si="127"/>
        <v>2958.2235114945001</v>
      </c>
      <c r="V541" s="68">
        <f t="shared" si="128"/>
        <v>40.5236097465</v>
      </c>
      <c r="W541" s="68">
        <f t="shared" si="129"/>
        <v>467.58011245961535</v>
      </c>
      <c r="X541" s="68">
        <f t="shared" si="130"/>
        <v>311.72007497307692</v>
      </c>
      <c r="Z541" s="63"/>
      <c r="AA541" s="63"/>
    </row>
    <row r="542" spans="1:27" hidden="1" x14ac:dyDescent="0.25">
      <c r="A542" t="str">
        <f t="shared" si="131"/>
        <v>10620037B27/05/2026M</v>
      </c>
      <c r="B542" s="169" t="s">
        <v>827</v>
      </c>
      <c r="C542" s="61" t="s">
        <v>396</v>
      </c>
      <c r="D542" s="61" t="s">
        <v>591</v>
      </c>
      <c r="E542" s="61" t="s">
        <v>593</v>
      </c>
      <c r="F542" s="1" t="s">
        <v>358</v>
      </c>
      <c r="G542" s="62" t="str">
        <f t="shared" si="132"/>
        <v>64506</v>
      </c>
      <c r="H542" s="1">
        <v>10620037</v>
      </c>
      <c r="I542" s="1" t="s">
        <v>387</v>
      </c>
      <c r="J542" s="61">
        <v>55</v>
      </c>
      <c r="K542" s="61">
        <v>6</v>
      </c>
      <c r="L542" s="61">
        <v>9</v>
      </c>
      <c r="M542" s="69">
        <f t="shared" ref="M542:M605" si="133">K542*J542/100</f>
        <v>3.3</v>
      </c>
      <c r="N542" s="69">
        <f t="shared" ref="N542:N605" si="134">L542*J542/100</f>
        <v>4.95</v>
      </c>
      <c r="O542" s="56">
        <f>INDEX(Rate_Chart!$A$1:$AK$127,MATCH(Data!K542,Rate_Chart!$A$1:$A$127,0),MATCH(Data!L542,Rate_Chart!$A$1:$AK$1,0))</f>
        <v>50.1</v>
      </c>
      <c r="P542" s="57">
        <f t="shared" ref="P542:P605" si="135">O542*J542</f>
        <v>2755.5</v>
      </c>
      <c r="Q542" s="58">
        <f t="shared" ref="Q542:Q605" si="136">O542/(K542%+L542%*2/3)</f>
        <v>417.5</v>
      </c>
      <c r="R542" s="58">
        <f t="shared" ref="R542:R605" si="137">Q542*2/3</f>
        <v>278.33333333333331</v>
      </c>
      <c r="S542" s="66">
        <f t="shared" ref="S542:S605" si="138">P542*1.75%</f>
        <v>48.221250000000005</v>
      </c>
      <c r="T542" s="64">
        <f t="shared" ref="T542:T605" si="139">J542*3.75</f>
        <v>206.25</v>
      </c>
      <c r="U542" s="66">
        <f t="shared" ref="U542:U605" si="140">S542+T542+P542</f>
        <v>3009.9712500000001</v>
      </c>
      <c r="V542" s="68">
        <f t="shared" ref="V542:V605" si="141">U542/J542</f>
        <v>54.726750000000003</v>
      </c>
      <c r="W542" s="68">
        <f t="shared" ref="W542:W605" si="142">V542/(K542%+L542%*2/3)</f>
        <v>456.05625000000003</v>
      </c>
      <c r="X542" s="68">
        <f t="shared" ref="X542:X605" si="143">W542*2/3</f>
        <v>304.03750000000002</v>
      </c>
      <c r="Z542" s="63"/>
      <c r="AA542" s="63"/>
    </row>
    <row r="543" spans="1:27" hidden="1" x14ac:dyDescent="0.25">
      <c r="A543" t="str">
        <f t="shared" si="131"/>
        <v>10620037C27/05/2026M</v>
      </c>
      <c r="B543" s="169" t="s">
        <v>827</v>
      </c>
      <c r="C543" s="61" t="s">
        <v>396</v>
      </c>
      <c r="D543" s="61" t="s">
        <v>591</v>
      </c>
      <c r="E543" s="61" t="s">
        <v>593</v>
      </c>
      <c r="F543" s="1" t="s">
        <v>358</v>
      </c>
      <c r="G543" s="62" t="str">
        <f t="shared" si="132"/>
        <v>64506</v>
      </c>
      <c r="H543" s="1">
        <v>10620037</v>
      </c>
      <c r="I543" s="1" t="s">
        <v>388</v>
      </c>
      <c r="J543" s="61">
        <v>63</v>
      </c>
      <c r="K543" s="61">
        <v>3.3</v>
      </c>
      <c r="L543" s="61">
        <v>8.4</v>
      </c>
      <c r="M543" s="69">
        <f t="shared" si="133"/>
        <v>2.0789999999999997</v>
      </c>
      <c r="N543" s="69">
        <f t="shared" si="134"/>
        <v>5.2920000000000007</v>
      </c>
      <c r="O543" s="56">
        <f>INDEX(Rate_Chart!$A$1:$AK$127,MATCH(Data!K543,Rate_Chart!$A$1:$A$127,0),MATCH(Data!L543,Rate_Chart!$A$1:$AK$1,0))</f>
        <v>37.114167600000009</v>
      </c>
      <c r="P543" s="57">
        <f t="shared" si="135"/>
        <v>2338.1925588000004</v>
      </c>
      <c r="Q543" s="58">
        <f t="shared" si="136"/>
        <v>417.01311910112372</v>
      </c>
      <c r="R543" s="58">
        <f t="shared" si="137"/>
        <v>278.00874606741581</v>
      </c>
      <c r="S543" s="66">
        <f t="shared" si="138"/>
        <v>40.91836977900001</v>
      </c>
      <c r="T543" s="64">
        <f t="shared" si="139"/>
        <v>236.25</v>
      </c>
      <c r="U543" s="66">
        <f t="shared" si="140"/>
        <v>2615.3609285790003</v>
      </c>
      <c r="V543" s="68">
        <f t="shared" si="141"/>
        <v>41.513665533000008</v>
      </c>
      <c r="W543" s="68">
        <f t="shared" si="142"/>
        <v>466.4456801460675</v>
      </c>
      <c r="X543" s="68">
        <f t="shared" si="143"/>
        <v>310.96378676404498</v>
      </c>
      <c r="Z543" s="63"/>
      <c r="AA543" s="63"/>
    </row>
    <row r="544" spans="1:27" hidden="1" x14ac:dyDescent="0.25">
      <c r="A544" t="str">
        <f t="shared" si="131"/>
        <v>10620037B27/05/2026E</v>
      </c>
      <c r="B544" s="169" t="s">
        <v>827</v>
      </c>
      <c r="C544" s="61" t="s">
        <v>397</v>
      </c>
      <c r="D544" s="61" t="s">
        <v>591</v>
      </c>
      <c r="E544" s="61" t="s">
        <v>593</v>
      </c>
      <c r="F544" s="1" t="s">
        <v>358</v>
      </c>
      <c r="G544" s="62" t="str">
        <f t="shared" si="132"/>
        <v>64506</v>
      </c>
      <c r="H544" s="1">
        <v>10620037</v>
      </c>
      <c r="I544" s="1" t="s">
        <v>387</v>
      </c>
      <c r="J544" s="61">
        <v>66</v>
      </c>
      <c r="K544" s="61">
        <v>5.6</v>
      </c>
      <c r="L544" s="61">
        <v>9</v>
      </c>
      <c r="M544" s="69">
        <f t="shared" si="133"/>
        <v>3.6959999999999997</v>
      </c>
      <c r="N544" s="69">
        <f t="shared" si="134"/>
        <v>5.94</v>
      </c>
      <c r="O544" s="56">
        <f>INDEX(Rate_Chart!$A$1:$AK$127,MATCH(Data!K544,Rate_Chart!$A$1:$A$127,0),MATCH(Data!L544,Rate_Chart!$A$1:$AK$1,0))</f>
        <v>46.76</v>
      </c>
      <c r="P544" s="57">
        <f t="shared" si="135"/>
        <v>3086.16</v>
      </c>
      <c r="Q544" s="58">
        <f t="shared" si="136"/>
        <v>403.10344827586209</v>
      </c>
      <c r="R544" s="58">
        <f t="shared" si="137"/>
        <v>268.73563218390808</v>
      </c>
      <c r="S544" s="66">
        <f t="shared" si="138"/>
        <v>54.007800000000003</v>
      </c>
      <c r="T544" s="64">
        <f t="shared" si="139"/>
        <v>247.5</v>
      </c>
      <c r="U544" s="66">
        <f t="shared" si="140"/>
        <v>3387.6677999999997</v>
      </c>
      <c r="V544" s="68">
        <f t="shared" si="141"/>
        <v>51.328299999999999</v>
      </c>
      <c r="W544" s="68">
        <f t="shared" si="142"/>
        <v>442.48534482758623</v>
      </c>
      <c r="X544" s="68">
        <f t="shared" si="143"/>
        <v>294.99022988505749</v>
      </c>
      <c r="Z544" s="63"/>
      <c r="AA544" s="63"/>
    </row>
    <row r="545" spans="1:27" hidden="1" x14ac:dyDescent="0.25">
      <c r="A545" t="str">
        <f t="shared" si="131"/>
        <v>10620037C28/05/2026E</v>
      </c>
      <c r="B545" s="169" t="s">
        <v>827</v>
      </c>
      <c r="C545" s="61" t="s">
        <v>397</v>
      </c>
      <c r="D545" s="61" t="s">
        <v>591</v>
      </c>
      <c r="E545" s="61" t="s">
        <v>593</v>
      </c>
      <c r="F545" s="1" t="s">
        <v>358</v>
      </c>
      <c r="G545" s="62" t="str">
        <f t="shared" si="132"/>
        <v>64506</v>
      </c>
      <c r="H545" s="1">
        <v>10620037</v>
      </c>
      <c r="I545" s="1" t="s">
        <v>388</v>
      </c>
      <c r="J545" s="61">
        <v>36</v>
      </c>
      <c r="K545" s="61">
        <v>3.3</v>
      </c>
      <c r="L545" s="61">
        <v>8.3000000000000007</v>
      </c>
      <c r="M545" s="69">
        <f t="shared" si="133"/>
        <v>1.1879999999999999</v>
      </c>
      <c r="N545" s="69">
        <f t="shared" si="134"/>
        <v>2.988</v>
      </c>
      <c r="O545" s="56">
        <f>INDEX(Rate_Chart!$A$1:$AK$127,MATCH(Data!K545,Rate_Chart!$A$1:$A$127,0),MATCH(Data!L545,Rate_Chart!$A$1:$AK$1,0))</f>
        <v>36.836153700000004</v>
      </c>
      <c r="P545" s="57">
        <f t="shared" si="135"/>
        <v>1326.1015332000002</v>
      </c>
      <c r="Q545" s="58">
        <f t="shared" si="136"/>
        <v>417.01306075471695</v>
      </c>
      <c r="R545" s="58">
        <f t="shared" si="137"/>
        <v>278.00870716981132</v>
      </c>
      <c r="S545" s="66">
        <f t="shared" si="138"/>
        <v>23.206776831000006</v>
      </c>
      <c r="T545" s="64">
        <f t="shared" si="139"/>
        <v>135</v>
      </c>
      <c r="U545" s="66">
        <f t="shared" si="140"/>
        <v>1484.3083100310002</v>
      </c>
      <c r="V545" s="68">
        <f t="shared" si="141"/>
        <v>41.230786389750008</v>
      </c>
      <c r="W545" s="68">
        <f t="shared" si="142"/>
        <v>466.76361950660379</v>
      </c>
      <c r="X545" s="68">
        <f t="shared" si="143"/>
        <v>311.17574633773586</v>
      </c>
      <c r="Z545" s="63"/>
      <c r="AA545" s="63"/>
    </row>
    <row r="546" spans="1:27" hidden="1" x14ac:dyDescent="0.25">
      <c r="A546" t="str">
        <f t="shared" si="131"/>
        <v>10620037C28/05/2026M</v>
      </c>
      <c r="B546" s="169" t="s">
        <v>828</v>
      </c>
      <c r="C546" s="61" t="s">
        <v>396</v>
      </c>
      <c r="D546" s="61" t="s">
        <v>591</v>
      </c>
      <c r="E546" s="61" t="s">
        <v>593</v>
      </c>
      <c r="F546" s="1" t="s">
        <v>358</v>
      </c>
      <c r="G546" s="62" t="str">
        <f t="shared" si="132"/>
        <v>64506</v>
      </c>
      <c r="H546" s="1">
        <v>10620037</v>
      </c>
      <c r="I546" s="1" t="s">
        <v>388</v>
      </c>
      <c r="J546" s="61">
        <v>72</v>
      </c>
      <c r="K546" s="61">
        <v>3.8</v>
      </c>
      <c r="L546" s="61">
        <v>8.3000000000000007</v>
      </c>
      <c r="M546" s="69">
        <f t="shared" si="133"/>
        <v>2.7359999999999998</v>
      </c>
      <c r="N546" s="69">
        <f t="shared" si="134"/>
        <v>5.976</v>
      </c>
      <c r="O546" s="56">
        <f>INDEX(Rate_Chart!$A$1:$AK$127,MATCH(Data!K546,Rate_Chart!$A$1:$A$127,0),MATCH(Data!L546,Rate_Chart!$A$1:$AK$1,0))</f>
        <v>38.921153700000005</v>
      </c>
      <c r="P546" s="57">
        <f t="shared" si="135"/>
        <v>2802.3230664000002</v>
      </c>
      <c r="Q546" s="58">
        <f t="shared" si="136"/>
        <v>417.01236107142859</v>
      </c>
      <c r="R546" s="58">
        <f t="shared" si="137"/>
        <v>278.00824071428571</v>
      </c>
      <c r="S546" s="66">
        <f t="shared" si="138"/>
        <v>49.040653662000011</v>
      </c>
      <c r="T546" s="64">
        <f t="shared" si="139"/>
        <v>270</v>
      </c>
      <c r="U546" s="66">
        <f t="shared" si="140"/>
        <v>3121.3637200620001</v>
      </c>
      <c r="V546" s="68">
        <f t="shared" si="141"/>
        <v>43.352273889750002</v>
      </c>
      <c r="W546" s="68">
        <f t="shared" si="142"/>
        <v>464.48864881874999</v>
      </c>
      <c r="X546" s="68">
        <f t="shared" si="143"/>
        <v>309.6590992125</v>
      </c>
      <c r="Z546" s="63"/>
      <c r="AA546" s="63"/>
    </row>
    <row r="547" spans="1:27" hidden="1" x14ac:dyDescent="0.25">
      <c r="A547" t="str">
        <f t="shared" si="131"/>
        <v>10620037B28/05/2026E</v>
      </c>
      <c r="B547" s="169" t="s">
        <v>828</v>
      </c>
      <c r="C547" s="61" t="s">
        <v>397</v>
      </c>
      <c r="D547" s="61" t="s">
        <v>591</v>
      </c>
      <c r="E547" s="61" t="s">
        <v>593</v>
      </c>
      <c r="F547" s="1" t="s">
        <v>358</v>
      </c>
      <c r="G547" s="62" t="str">
        <f t="shared" si="132"/>
        <v>64506</v>
      </c>
      <c r="H547" s="1">
        <v>10620037</v>
      </c>
      <c r="I547" s="1" t="s">
        <v>387</v>
      </c>
      <c r="J547" s="61">
        <v>52</v>
      </c>
      <c r="K547" s="61">
        <v>6</v>
      </c>
      <c r="L547" s="61">
        <v>9</v>
      </c>
      <c r="M547" s="69">
        <f t="shared" si="133"/>
        <v>3.12</v>
      </c>
      <c r="N547" s="69">
        <f t="shared" si="134"/>
        <v>4.68</v>
      </c>
      <c r="O547" s="56">
        <f>INDEX(Rate_Chart!$A$1:$AK$127,MATCH(Data!K547,Rate_Chart!$A$1:$A$127,0),MATCH(Data!L547,Rate_Chart!$A$1:$AK$1,0))</f>
        <v>50.1</v>
      </c>
      <c r="P547" s="57">
        <f t="shared" si="135"/>
        <v>2605.2000000000003</v>
      </c>
      <c r="Q547" s="58">
        <f t="shared" si="136"/>
        <v>417.5</v>
      </c>
      <c r="R547" s="58">
        <f t="shared" si="137"/>
        <v>278.33333333333331</v>
      </c>
      <c r="S547" s="66">
        <f t="shared" si="138"/>
        <v>45.591000000000008</v>
      </c>
      <c r="T547" s="64">
        <f t="shared" si="139"/>
        <v>195</v>
      </c>
      <c r="U547" s="66">
        <f t="shared" si="140"/>
        <v>2845.7910000000002</v>
      </c>
      <c r="V547" s="68">
        <f t="shared" si="141"/>
        <v>54.726750000000003</v>
      </c>
      <c r="W547" s="68">
        <f t="shared" si="142"/>
        <v>456.05625000000003</v>
      </c>
      <c r="X547" s="68">
        <f t="shared" si="143"/>
        <v>304.03750000000002</v>
      </c>
      <c r="Z547" s="63"/>
      <c r="AA547" s="63"/>
    </row>
    <row r="548" spans="1:27" hidden="1" x14ac:dyDescent="0.25">
      <c r="A548" t="str">
        <f t="shared" si="131"/>
        <v>10620037C22/05/2026E</v>
      </c>
      <c r="B548" s="169" t="s">
        <v>828</v>
      </c>
      <c r="C548" s="61" t="s">
        <v>397</v>
      </c>
      <c r="D548" s="61" t="s">
        <v>591</v>
      </c>
      <c r="E548" s="61" t="s">
        <v>593</v>
      </c>
      <c r="F548" s="1" t="s">
        <v>358</v>
      </c>
      <c r="G548" s="62" t="str">
        <f t="shared" si="132"/>
        <v>64506</v>
      </c>
      <c r="H548" s="1">
        <v>10620037</v>
      </c>
      <c r="I548" s="1" t="s">
        <v>388</v>
      </c>
      <c r="J548" s="61">
        <v>36</v>
      </c>
      <c r="K548" s="61">
        <v>3.3</v>
      </c>
      <c r="L548" s="61">
        <v>8</v>
      </c>
      <c r="M548" s="69">
        <f t="shared" si="133"/>
        <v>1.1879999999999999</v>
      </c>
      <c r="N548" s="69">
        <f t="shared" si="134"/>
        <v>2.88</v>
      </c>
      <c r="O548" s="56">
        <f>INDEX(Rate_Chart!$A$1:$AK$127,MATCH(Data!K548,Rate_Chart!$A$1:$A$127,0),MATCH(Data!L548,Rate_Chart!$A$1:$AK$1,0))</f>
        <v>36.002112000000004</v>
      </c>
      <c r="P548" s="57">
        <f t="shared" si="135"/>
        <v>1296.0760320000002</v>
      </c>
      <c r="Q548" s="58">
        <f t="shared" si="136"/>
        <v>417.01288030888031</v>
      </c>
      <c r="R548" s="58">
        <f t="shared" si="137"/>
        <v>278.00858687258687</v>
      </c>
      <c r="S548" s="66">
        <f t="shared" si="138"/>
        <v>22.681330560000006</v>
      </c>
      <c r="T548" s="64">
        <f t="shared" si="139"/>
        <v>135</v>
      </c>
      <c r="U548" s="66">
        <f t="shared" si="140"/>
        <v>1453.7573625600003</v>
      </c>
      <c r="V548" s="68">
        <f t="shared" si="141"/>
        <v>40.382148960000009</v>
      </c>
      <c r="W548" s="68">
        <f t="shared" si="142"/>
        <v>467.74689915057917</v>
      </c>
      <c r="X548" s="68">
        <f t="shared" si="143"/>
        <v>311.83126610038613</v>
      </c>
      <c r="Z548" s="63"/>
      <c r="AA548" s="63"/>
    </row>
    <row r="549" spans="1:27" hidden="1" x14ac:dyDescent="0.25">
      <c r="A549" t="str">
        <f t="shared" si="131"/>
        <v>10620010B22/05/2026M</v>
      </c>
      <c r="B549" s="169" t="s">
        <v>822</v>
      </c>
      <c r="C549" s="61" t="s">
        <v>396</v>
      </c>
      <c r="D549" s="61" t="s">
        <v>591</v>
      </c>
      <c r="E549" s="61" t="s">
        <v>595</v>
      </c>
      <c r="F549" s="1" t="s">
        <v>812</v>
      </c>
      <c r="G549" s="62" t="str">
        <f t="shared" si="132"/>
        <v>64508</v>
      </c>
      <c r="H549" s="1">
        <v>10620010</v>
      </c>
      <c r="I549" s="1" t="s">
        <v>387</v>
      </c>
      <c r="J549" s="61">
        <v>30</v>
      </c>
      <c r="K549" s="61">
        <v>7.4</v>
      </c>
      <c r="L549" s="61">
        <v>9</v>
      </c>
      <c r="M549" s="69">
        <f t="shared" si="133"/>
        <v>2.2200000000000002</v>
      </c>
      <c r="N549" s="69">
        <f t="shared" si="134"/>
        <v>2.7</v>
      </c>
      <c r="O549" s="56">
        <v>61.790000000000006</v>
      </c>
      <c r="P549" s="57">
        <f t="shared" si="135"/>
        <v>1853.7000000000003</v>
      </c>
      <c r="Q549" s="58">
        <f t="shared" si="136"/>
        <v>461.11940298507466</v>
      </c>
      <c r="R549" s="58">
        <f t="shared" si="137"/>
        <v>307.41293532338312</v>
      </c>
      <c r="S549" s="66">
        <f t="shared" si="138"/>
        <v>32.439750000000011</v>
      </c>
      <c r="T549" s="64">
        <f t="shared" si="139"/>
        <v>112.5</v>
      </c>
      <c r="U549" s="66">
        <f t="shared" si="140"/>
        <v>1998.6397500000003</v>
      </c>
      <c r="V549" s="68">
        <f t="shared" si="141"/>
        <v>66.621325000000013</v>
      </c>
      <c r="W549" s="68">
        <f t="shared" si="142"/>
        <v>497.17406716417918</v>
      </c>
      <c r="X549" s="68">
        <f t="shared" si="143"/>
        <v>331.44937810945277</v>
      </c>
      <c r="Z549" s="63"/>
      <c r="AA549" s="63"/>
    </row>
    <row r="550" spans="1:27" hidden="1" x14ac:dyDescent="0.25">
      <c r="A550" t="str">
        <f t="shared" si="131"/>
        <v>10620010C22/05/2026M</v>
      </c>
      <c r="B550" s="169" t="s">
        <v>822</v>
      </c>
      <c r="C550" s="61" t="s">
        <v>396</v>
      </c>
      <c r="D550" s="61" t="s">
        <v>591</v>
      </c>
      <c r="E550" s="61" t="s">
        <v>595</v>
      </c>
      <c r="F550" s="1" t="s">
        <v>812</v>
      </c>
      <c r="G550" s="62" t="str">
        <f t="shared" si="132"/>
        <v>64508</v>
      </c>
      <c r="H550" s="1">
        <v>10620010</v>
      </c>
      <c r="I550" s="1" t="s">
        <v>388</v>
      </c>
      <c r="J550" s="61">
        <v>28</v>
      </c>
      <c r="K550" s="61">
        <v>4.5</v>
      </c>
      <c r="L550" s="61">
        <v>8.3000000000000007</v>
      </c>
      <c r="M550" s="69">
        <f t="shared" si="133"/>
        <v>1.26</v>
      </c>
      <c r="N550" s="69">
        <f t="shared" si="134"/>
        <v>2.3240000000000003</v>
      </c>
      <c r="O550" s="56">
        <v>39.733095600000006</v>
      </c>
      <c r="P550" s="57">
        <f t="shared" si="135"/>
        <v>1112.5266768000001</v>
      </c>
      <c r="Q550" s="58">
        <f t="shared" si="136"/>
        <v>396.01091960132896</v>
      </c>
      <c r="R550" s="58">
        <f t="shared" si="137"/>
        <v>264.00727973421931</v>
      </c>
      <c r="S550" s="66">
        <f t="shared" si="138"/>
        <v>19.469216844000005</v>
      </c>
      <c r="T550" s="64">
        <f t="shared" si="139"/>
        <v>105</v>
      </c>
      <c r="U550" s="66">
        <f t="shared" si="140"/>
        <v>1236.995893644</v>
      </c>
      <c r="V550" s="68">
        <f t="shared" si="141"/>
        <v>44.178424773000003</v>
      </c>
      <c r="W550" s="68">
        <f t="shared" si="142"/>
        <v>440.31652597674423</v>
      </c>
      <c r="X550" s="68">
        <f t="shared" si="143"/>
        <v>293.5443506511628</v>
      </c>
      <c r="Z550" s="63"/>
      <c r="AA550" s="63"/>
    </row>
    <row r="551" spans="1:27" hidden="1" x14ac:dyDescent="0.25">
      <c r="A551" t="str">
        <f t="shared" si="131"/>
        <v>10620010B23/05/2026E</v>
      </c>
      <c r="B551" s="169" t="s">
        <v>822</v>
      </c>
      <c r="C551" s="61" t="s">
        <v>397</v>
      </c>
      <c r="D551" s="61" t="s">
        <v>591</v>
      </c>
      <c r="E551" s="61" t="s">
        <v>595</v>
      </c>
      <c r="F551" s="1" t="s">
        <v>812</v>
      </c>
      <c r="G551" s="62" t="str">
        <f t="shared" si="132"/>
        <v>64508</v>
      </c>
      <c r="H551" s="1">
        <v>10620010</v>
      </c>
      <c r="I551" s="1" t="s">
        <v>387</v>
      </c>
      <c r="J551" s="61">
        <v>30</v>
      </c>
      <c r="K551" s="61">
        <v>7.1</v>
      </c>
      <c r="L551" s="61">
        <v>9</v>
      </c>
      <c r="M551" s="69">
        <f t="shared" si="133"/>
        <v>2.13</v>
      </c>
      <c r="N551" s="69">
        <f t="shared" si="134"/>
        <v>2.7</v>
      </c>
      <c r="O551" s="56">
        <v>59.284999999999997</v>
      </c>
      <c r="P551" s="57">
        <f t="shared" si="135"/>
        <v>1778.55</v>
      </c>
      <c r="Q551" s="58">
        <f t="shared" si="136"/>
        <v>452.55725190839689</v>
      </c>
      <c r="R551" s="58">
        <f t="shared" si="137"/>
        <v>301.70483460559791</v>
      </c>
      <c r="S551" s="66">
        <f t="shared" si="138"/>
        <v>31.124625000000002</v>
      </c>
      <c r="T551" s="64">
        <f t="shared" si="139"/>
        <v>112.5</v>
      </c>
      <c r="U551" s="66">
        <f t="shared" si="140"/>
        <v>1922.1746249999999</v>
      </c>
      <c r="V551" s="68">
        <f t="shared" si="141"/>
        <v>64.072487499999994</v>
      </c>
      <c r="W551" s="68">
        <f t="shared" si="142"/>
        <v>489.10295801526712</v>
      </c>
      <c r="X551" s="68">
        <f t="shared" si="143"/>
        <v>326.06863867684473</v>
      </c>
      <c r="Z551" s="63"/>
      <c r="AA551" s="63"/>
    </row>
    <row r="552" spans="1:27" hidden="1" x14ac:dyDescent="0.25">
      <c r="A552" t="str">
        <f t="shared" si="131"/>
        <v>10620010B23/05/2026E</v>
      </c>
      <c r="B552" s="169" t="s">
        <v>823</v>
      </c>
      <c r="C552" s="61" t="s">
        <v>397</v>
      </c>
      <c r="D552" s="61" t="s">
        <v>591</v>
      </c>
      <c r="E552" s="61" t="s">
        <v>595</v>
      </c>
      <c r="F552" s="1" t="s">
        <v>812</v>
      </c>
      <c r="G552" s="62" t="str">
        <f t="shared" si="132"/>
        <v>64508</v>
      </c>
      <c r="H552" s="1">
        <v>10620010</v>
      </c>
      <c r="I552" s="1" t="s">
        <v>387</v>
      </c>
      <c r="J552" s="61">
        <v>15</v>
      </c>
      <c r="K552" s="61">
        <v>7.6</v>
      </c>
      <c r="L552" s="61">
        <v>9</v>
      </c>
      <c r="M552" s="69">
        <f t="shared" si="133"/>
        <v>1.1399999999999999</v>
      </c>
      <c r="N552" s="69">
        <f t="shared" si="134"/>
        <v>1.35</v>
      </c>
      <c r="O552" s="56">
        <v>63.46</v>
      </c>
      <c r="P552" s="57">
        <f t="shared" si="135"/>
        <v>951.9</v>
      </c>
      <c r="Q552" s="58">
        <f t="shared" si="136"/>
        <v>466.61764705882348</v>
      </c>
      <c r="R552" s="58">
        <f t="shared" si="137"/>
        <v>311.07843137254901</v>
      </c>
      <c r="S552" s="66">
        <f t="shared" si="138"/>
        <v>16.658250000000002</v>
      </c>
      <c r="T552" s="64">
        <f t="shared" si="139"/>
        <v>56.25</v>
      </c>
      <c r="U552" s="66">
        <f t="shared" si="140"/>
        <v>1024.80825</v>
      </c>
      <c r="V552" s="68">
        <f t="shared" si="141"/>
        <v>68.320549999999997</v>
      </c>
      <c r="W552" s="68">
        <f t="shared" si="142"/>
        <v>502.35698529411758</v>
      </c>
      <c r="X552" s="68">
        <f t="shared" si="143"/>
        <v>334.90465686274507</v>
      </c>
      <c r="Z552" s="63"/>
      <c r="AA552" s="63"/>
    </row>
    <row r="553" spans="1:27" hidden="1" x14ac:dyDescent="0.25">
      <c r="A553" t="str">
        <f t="shared" si="131"/>
        <v>10620010C24/05/2026E</v>
      </c>
      <c r="B553" s="169" t="s">
        <v>823</v>
      </c>
      <c r="C553" s="61" t="s">
        <v>397</v>
      </c>
      <c r="D553" s="61" t="s">
        <v>591</v>
      </c>
      <c r="E553" s="61" t="s">
        <v>595</v>
      </c>
      <c r="F553" s="1" t="s">
        <v>812</v>
      </c>
      <c r="G553" s="62" t="str">
        <f t="shared" si="132"/>
        <v>64508</v>
      </c>
      <c r="H553" s="1">
        <v>10620010</v>
      </c>
      <c r="I553" s="1" t="s">
        <v>388</v>
      </c>
      <c r="J553" s="61">
        <v>11</v>
      </c>
      <c r="K553" s="61">
        <v>3.8</v>
      </c>
      <c r="L553" s="61">
        <v>8.4</v>
      </c>
      <c r="M553" s="69">
        <f t="shared" si="133"/>
        <v>0.41799999999999998</v>
      </c>
      <c r="N553" s="69">
        <f t="shared" si="134"/>
        <v>0.92400000000000004</v>
      </c>
      <c r="O553" s="56">
        <v>37.225108800000008</v>
      </c>
      <c r="P553" s="57">
        <f t="shared" si="135"/>
        <v>409.47619680000008</v>
      </c>
      <c r="Q553" s="58">
        <f t="shared" si="136"/>
        <v>396.01179574468091</v>
      </c>
      <c r="R553" s="58">
        <f t="shared" si="137"/>
        <v>264.00786382978725</v>
      </c>
      <c r="S553" s="66">
        <f t="shared" si="138"/>
        <v>7.1658334440000022</v>
      </c>
      <c r="T553" s="64">
        <f t="shared" si="139"/>
        <v>41.25</v>
      </c>
      <c r="U553" s="66">
        <f t="shared" si="140"/>
        <v>457.89203024400007</v>
      </c>
      <c r="V553" s="68">
        <f t="shared" si="141"/>
        <v>41.626548204000009</v>
      </c>
      <c r="W553" s="68">
        <f t="shared" si="142"/>
        <v>442.83561919148946</v>
      </c>
      <c r="X553" s="68">
        <f t="shared" si="143"/>
        <v>295.22374612765964</v>
      </c>
      <c r="Z553" s="63"/>
      <c r="AA553" s="63"/>
    </row>
    <row r="554" spans="1:27" hidden="1" x14ac:dyDescent="0.25">
      <c r="A554" t="str">
        <f t="shared" si="131"/>
        <v>10620010B24/05/2026M</v>
      </c>
      <c r="B554" s="169" t="s">
        <v>824</v>
      </c>
      <c r="C554" s="61" t="s">
        <v>396</v>
      </c>
      <c r="D554" s="61" t="s">
        <v>591</v>
      </c>
      <c r="E554" s="61" t="s">
        <v>595</v>
      </c>
      <c r="F554" s="1" t="s">
        <v>812</v>
      </c>
      <c r="G554" s="62" t="str">
        <f t="shared" si="132"/>
        <v>64508</v>
      </c>
      <c r="H554" s="1">
        <v>10620010</v>
      </c>
      <c r="I554" s="1" t="s">
        <v>387</v>
      </c>
      <c r="J554" s="61">
        <v>6</v>
      </c>
      <c r="K554" s="61">
        <v>7.7</v>
      </c>
      <c r="L554" s="61">
        <v>9</v>
      </c>
      <c r="M554" s="69">
        <f t="shared" si="133"/>
        <v>0.46200000000000002</v>
      </c>
      <c r="N554" s="69">
        <f t="shared" si="134"/>
        <v>0.54</v>
      </c>
      <c r="O554" s="56">
        <v>64.295000000000002</v>
      </c>
      <c r="P554" s="57">
        <f t="shared" si="135"/>
        <v>385.77</v>
      </c>
      <c r="Q554" s="58">
        <f t="shared" si="136"/>
        <v>469.30656934306569</v>
      </c>
      <c r="R554" s="58">
        <f t="shared" si="137"/>
        <v>312.87104622871044</v>
      </c>
      <c r="S554" s="66">
        <f t="shared" si="138"/>
        <v>6.7509750000000004</v>
      </c>
      <c r="T554" s="64">
        <f t="shared" si="139"/>
        <v>22.5</v>
      </c>
      <c r="U554" s="66">
        <f t="shared" si="140"/>
        <v>415.02097499999996</v>
      </c>
      <c r="V554" s="68">
        <f t="shared" si="141"/>
        <v>69.170162499999989</v>
      </c>
      <c r="W554" s="68">
        <f t="shared" si="142"/>
        <v>504.89169708029186</v>
      </c>
      <c r="X554" s="68">
        <f t="shared" si="143"/>
        <v>336.59446472019459</v>
      </c>
      <c r="Z554" s="63"/>
      <c r="AA554" s="63"/>
    </row>
    <row r="555" spans="1:27" hidden="1" x14ac:dyDescent="0.25">
      <c r="A555" t="str">
        <f t="shared" si="131"/>
        <v>10620010B24/05/2026E</v>
      </c>
      <c r="B555" s="169" t="s">
        <v>824</v>
      </c>
      <c r="C555" s="61" t="s">
        <v>397</v>
      </c>
      <c r="D555" s="61" t="s">
        <v>591</v>
      </c>
      <c r="E555" s="61" t="s">
        <v>595</v>
      </c>
      <c r="F555" s="1" t="s">
        <v>812</v>
      </c>
      <c r="G555" s="62" t="str">
        <f t="shared" si="132"/>
        <v>64508</v>
      </c>
      <c r="H555" s="1">
        <v>10620010</v>
      </c>
      <c r="I555" s="1" t="s">
        <v>387</v>
      </c>
      <c r="J555" s="61">
        <v>34</v>
      </c>
      <c r="K555" s="61">
        <v>7.1</v>
      </c>
      <c r="L555" s="61">
        <v>9</v>
      </c>
      <c r="M555" s="69">
        <f t="shared" si="133"/>
        <v>2.4139999999999997</v>
      </c>
      <c r="N555" s="69">
        <f t="shared" si="134"/>
        <v>3.06</v>
      </c>
      <c r="O555" s="56">
        <v>59.284999999999997</v>
      </c>
      <c r="P555" s="57">
        <f t="shared" si="135"/>
        <v>2015.6899999999998</v>
      </c>
      <c r="Q555" s="58">
        <f t="shared" si="136"/>
        <v>452.55725190839689</v>
      </c>
      <c r="R555" s="58">
        <f t="shared" si="137"/>
        <v>301.70483460559791</v>
      </c>
      <c r="S555" s="66">
        <f t="shared" si="138"/>
        <v>35.274574999999999</v>
      </c>
      <c r="T555" s="64">
        <f t="shared" si="139"/>
        <v>127.5</v>
      </c>
      <c r="U555" s="66">
        <f t="shared" si="140"/>
        <v>2178.464575</v>
      </c>
      <c r="V555" s="68">
        <f t="shared" si="141"/>
        <v>64.072487499999994</v>
      </c>
      <c r="W555" s="68">
        <f t="shared" si="142"/>
        <v>489.10295801526712</v>
      </c>
      <c r="X555" s="68">
        <f t="shared" si="143"/>
        <v>326.06863867684473</v>
      </c>
      <c r="Z555" s="63"/>
      <c r="AA555" s="63"/>
    </row>
    <row r="556" spans="1:27" hidden="1" x14ac:dyDescent="0.25">
      <c r="A556" t="str">
        <f t="shared" si="131"/>
        <v>10620010C25/05/2026E</v>
      </c>
      <c r="B556" s="169" t="s">
        <v>824</v>
      </c>
      <c r="C556" s="61" t="s">
        <v>397</v>
      </c>
      <c r="D556" s="61" t="s">
        <v>591</v>
      </c>
      <c r="E556" s="61" t="s">
        <v>595</v>
      </c>
      <c r="F556" s="1" t="s">
        <v>812</v>
      </c>
      <c r="G556" s="62" t="str">
        <f t="shared" si="132"/>
        <v>64508</v>
      </c>
      <c r="H556" s="1">
        <v>10620010</v>
      </c>
      <c r="I556" s="1" t="s">
        <v>388</v>
      </c>
      <c r="J556" s="61">
        <v>10</v>
      </c>
      <c r="K556" s="61">
        <v>3.9</v>
      </c>
      <c r="L556" s="61">
        <v>8.1</v>
      </c>
      <c r="M556" s="69">
        <f t="shared" si="133"/>
        <v>0.39</v>
      </c>
      <c r="N556" s="69">
        <f t="shared" si="134"/>
        <v>0.81</v>
      </c>
      <c r="O556" s="56">
        <v>36.829069200000006</v>
      </c>
      <c r="P556" s="57">
        <f t="shared" si="135"/>
        <v>368.29069200000004</v>
      </c>
      <c r="Q556" s="58">
        <f t="shared" si="136"/>
        <v>396.01149677419363</v>
      </c>
      <c r="R556" s="58">
        <f t="shared" si="137"/>
        <v>264.00766451612907</v>
      </c>
      <c r="S556" s="66">
        <f t="shared" si="138"/>
        <v>6.4450871100000011</v>
      </c>
      <c r="T556" s="64">
        <f t="shared" si="139"/>
        <v>37.5</v>
      </c>
      <c r="U556" s="66">
        <f t="shared" si="140"/>
        <v>412.23577911000007</v>
      </c>
      <c r="V556" s="68">
        <f t="shared" si="141"/>
        <v>41.223577911000007</v>
      </c>
      <c r="W556" s="68">
        <f t="shared" si="142"/>
        <v>443.2642786129033</v>
      </c>
      <c r="X556" s="68">
        <f t="shared" si="143"/>
        <v>295.50951907526888</v>
      </c>
      <c r="Z556" s="63"/>
      <c r="AA556" s="63"/>
    </row>
    <row r="557" spans="1:27" hidden="1" x14ac:dyDescent="0.25">
      <c r="A557" t="str">
        <f t="shared" si="131"/>
        <v>10620010B25/05/2026M</v>
      </c>
      <c r="B557" s="169" t="s">
        <v>825</v>
      </c>
      <c r="C557" s="61" t="s">
        <v>396</v>
      </c>
      <c r="D557" s="61" t="s">
        <v>591</v>
      </c>
      <c r="E557" s="61" t="s">
        <v>595</v>
      </c>
      <c r="F557" s="1" t="s">
        <v>812</v>
      </c>
      <c r="G557" s="62" t="str">
        <f t="shared" si="132"/>
        <v>64508</v>
      </c>
      <c r="H557" s="1">
        <v>10620010</v>
      </c>
      <c r="I557" s="1" t="s">
        <v>387</v>
      </c>
      <c r="J557" s="61">
        <v>30</v>
      </c>
      <c r="K557" s="61">
        <v>7.5</v>
      </c>
      <c r="L557" s="61">
        <v>8.8000000000000007</v>
      </c>
      <c r="M557" s="69">
        <f t="shared" si="133"/>
        <v>2.25</v>
      </c>
      <c r="N557" s="69">
        <f t="shared" si="134"/>
        <v>2.64</v>
      </c>
      <c r="O557" s="56">
        <v>61.998750000000001</v>
      </c>
      <c r="P557" s="57">
        <f t="shared" si="135"/>
        <v>1859.9625000000001</v>
      </c>
      <c r="Q557" s="58">
        <f t="shared" si="136"/>
        <v>463.83104738154617</v>
      </c>
      <c r="R557" s="58">
        <f t="shared" si="137"/>
        <v>309.22069825436409</v>
      </c>
      <c r="S557" s="66">
        <f t="shared" si="138"/>
        <v>32.549343750000006</v>
      </c>
      <c r="T557" s="64">
        <f t="shared" si="139"/>
        <v>112.5</v>
      </c>
      <c r="U557" s="66">
        <f t="shared" si="140"/>
        <v>2005.01184375</v>
      </c>
      <c r="V557" s="68">
        <f t="shared" si="141"/>
        <v>66.833728125000007</v>
      </c>
      <c r="W557" s="68">
        <f t="shared" si="142"/>
        <v>500.00295355361607</v>
      </c>
      <c r="X557" s="68">
        <f t="shared" si="143"/>
        <v>333.3353023690774</v>
      </c>
      <c r="Z557" s="63"/>
      <c r="AA557" s="63"/>
    </row>
    <row r="558" spans="1:27" hidden="1" x14ac:dyDescent="0.25">
      <c r="A558" t="str">
        <f t="shared" si="131"/>
        <v>10620010C25/05/2026M</v>
      </c>
      <c r="B558" s="169" t="s">
        <v>825</v>
      </c>
      <c r="C558" s="61" t="s">
        <v>396</v>
      </c>
      <c r="D558" s="61" t="s">
        <v>591</v>
      </c>
      <c r="E558" s="61" t="s">
        <v>595</v>
      </c>
      <c r="F558" s="1" t="s">
        <v>812</v>
      </c>
      <c r="G558" s="62" t="str">
        <f t="shared" si="132"/>
        <v>64508</v>
      </c>
      <c r="H558" s="1">
        <v>10620010</v>
      </c>
      <c r="I558" s="1" t="s">
        <v>388</v>
      </c>
      <c r="J558" s="61">
        <v>25</v>
      </c>
      <c r="K558" s="61">
        <v>4.4000000000000004</v>
      </c>
      <c r="L558" s="61">
        <v>8.1999999999999993</v>
      </c>
      <c r="M558" s="69">
        <f t="shared" si="133"/>
        <v>1.1000000000000001</v>
      </c>
      <c r="N558" s="69">
        <f t="shared" si="134"/>
        <v>2.0499999999999998</v>
      </c>
      <c r="O558" s="56">
        <v>39.073082400000004</v>
      </c>
      <c r="P558" s="57">
        <f t="shared" si="135"/>
        <v>976.82706000000007</v>
      </c>
      <c r="Q558" s="58">
        <f t="shared" si="136"/>
        <v>396.01097027027032</v>
      </c>
      <c r="R558" s="58">
        <f t="shared" si="137"/>
        <v>264.00731351351357</v>
      </c>
      <c r="S558" s="66">
        <f t="shared" si="138"/>
        <v>17.094473550000004</v>
      </c>
      <c r="T558" s="64">
        <f t="shared" si="139"/>
        <v>93.75</v>
      </c>
      <c r="U558" s="66">
        <f t="shared" si="140"/>
        <v>1087.67153355</v>
      </c>
      <c r="V558" s="68">
        <f t="shared" si="141"/>
        <v>43.506861342000001</v>
      </c>
      <c r="W558" s="68">
        <f t="shared" si="142"/>
        <v>440.94791900675676</v>
      </c>
      <c r="X558" s="68">
        <f t="shared" si="143"/>
        <v>293.96527933783784</v>
      </c>
      <c r="Z558" s="63"/>
      <c r="AA558" s="63"/>
    </row>
    <row r="559" spans="1:27" hidden="1" x14ac:dyDescent="0.25">
      <c r="A559" t="str">
        <f t="shared" si="131"/>
        <v>10620010B25/05/2026E</v>
      </c>
      <c r="B559" s="169" t="s">
        <v>825</v>
      </c>
      <c r="C559" s="61" t="s">
        <v>397</v>
      </c>
      <c r="D559" s="61" t="s">
        <v>591</v>
      </c>
      <c r="E559" s="61" t="s">
        <v>595</v>
      </c>
      <c r="F559" s="1" t="s">
        <v>812</v>
      </c>
      <c r="G559" s="62" t="str">
        <f t="shared" si="132"/>
        <v>64508</v>
      </c>
      <c r="H559" s="1">
        <v>10620010</v>
      </c>
      <c r="I559" s="1" t="s">
        <v>387</v>
      </c>
      <c r="J559" s="61">
        <v>29</v>
      </c>
      <c r="K559" s="61">
        <v>7.3</v>
      </c>
      <c r="L559" s="61">
        <v>9</v>
      </c>
      <c r="M559" s="69">
        <f t="shared" si="133"/>
        <v>2.117</v>
      </c>
      <c r="N559" s="69">
        <f t="shared" si="134"/>
        <v>2.61</v>
      </c>
      <c r="O559" s="56">
        <v>60.954999999999998</v>
      </c>
      <c r="P559" s="57">
        <f t="shared" si="135"/>
        <v>1767.6949999999999</v>
      </c>
      <c r="Q559" s="58">
        <f t="shared" si="136"/>
        <v>458.30827067669168</v>
      </c>
      <c r="R559" s="58">
        <f t="shared" si="137"/>
        <v>305.53884711779443</v>
      </c>
      <c r="S559" s="66">
        <f t="shared" si="138"/>
        <v>30.934662500000002</v>
      </c>
      <c r="T559" s="64">
        <f t="shared" si="139"/>
        <v>108.75</v>
      </c>
      <c r="U559" s="66">
        <f t="shared" si="140"/>
        <v>1907.3796625</v>
      </c>
      <c r="V559" s="68">
        <f t="shared" si="141"/>
        <v>65.771712500000007</v>
      </c>
      <c r="W559" s="68">
        <f t="shared" si="142"/>
        <v>494.52415413533839</v>
      </c>
      <c r="X559" s="68">
        <f t="shared" si="143"/>
        <v>329.68276942355891</v>
      </c>
      <c r="Z559" s="63"/>
      <c r="AA559" s="63"/>
    </row>
    <row r="560" spans="1:27" hidden="1" x14ac:dyDescent="0.25">
      <c r="A560" t="str">
        <f t="shared" si="131"/>
        <v>10620010C26/05/2026E</v>
      </c>
      <c r="B560" s="169" t="s">
        <v>825</v>
      </c>
      <c r="C560" s="61" t="s">
        <v>397</v>
      </c>
      <c r="D560" s="61" t="s">
        <v>591</v>
      </c>
      <c r="E560" s="61" t="s">
        <v>595</v>
      </c>
      <c r="F560" s="1" t="s">
        <v>812</v>
      </c>
      <c r="G560" s="62" t="str">
        <f t="shared" si="132"/>
        <v>64508</v>
      </c>
      <c r="H560" s="1">
        <v>10620010</v>
      </c>
      <c r="I560" s="1" t="s">
        <v>388</v>
      </c>
      <c r="J560" s="61">
        <v>10</v>
      </c>
      <c r="K560" s="61">
        <v>4</v>
      </c>
      <c r="L560" s="61">
        <v>8.4</v>
      </c>
      <c r="M560" s="69">
        <f t="shared" si="133"/>
        <v>0.4</v>
      </c>
      <c r="N560" s="69">
        <f t="shared" si="134"/>
        <v>0.84</v>
      </c>
      <c r="O560" s="56">
        <v>38.017108800000003</v>
      </c>
      <c r="P560" s="57">
        <f t="shared" si="135"/>
        <v>380.17108800000005</v>
      </c>
      <c r="Q560" s="58">
        <f t="shared" si="136"/>
        <v>396.01155</v>
      </c>
      <c r="R560" s="58">
        <f t="shared" si="137"/>
        <v>264.0077</v>
      </c>
      <c r="S560" s="66">
        <f t="shared" si="138"/>
        <v>6.6529940400000012</v>
      </c>
      <c r="T560" s="64">
        <f t="shared" si="139"/>
        <v>37.5</v>
      </c>
      <c r="U560" s="66">
        <f t="shared" si="140"/>
        <v>424.32408204000006</v>
      </c>
      <c r="V560" s="68">
        <f t="shared" si="141"/>
        <v>42.432408204000005</v>
      </c>
      <c r="W560" s="68">
        <f t="shared" si="142"/>
        <v>442.00425212500005</v>
      </c>
      <c r="X560" s="68">
        <f t="shared" si="143"/>
        <v>294.66950141666672</v>
      </c>
      <c r="Z560" s="63"/>
      <c r="AA560" s="63"/>
    </row>
    <row r="561" spans="1:27" hidden="1" x14ac:dyDescent="0.25">
      <c r="A561" t="str">
        <f t="shared" si="131"/>
        <v>10620010B26/05/2026M</v>
      </c>
      <c r="B561" s="169" t="s">
        <v>826</v>
      </c>
      <c r="C561" s="61" t="s">
        <v>396</v>
      </c>
      <c r="D561" s="61" t="s">
        <v>591</v>
      </c>
      <c r="E561" s="61" t="s">
        <v>595</v>
      </c>
      <c r="F561" s="1" t="s">
        <v>812</v>
      </c>
      <c r="G561" s="62" t="str">
        <f t="shared" si="132"/>
        <v>64508</v>
      </c>
      <c r="H561" s="1">
        <v>10620010</v>
      </c>
      <c r="I561" s="1" t="s">
        <v>387</v>
      </c>
      <c r="J561" s="61">
        <v>25</v>
      </c>
      <c r="K561" s="61">
        <v>7.6</v>
      </c>
      <c r="L561" s="61">
        <v>9</v>
      </c>
      <c r="M561" s="69">
        <f t="shared" si="133"/>
        <v>1.9</v>
      </c>
      <c r="N561" s="69">
        <f t="shared" si="134"/>
        <v>2.25</v>
      </c>
      <c r="O561" s="56">
        <f>INDEX(Rate_Chart!$A$1:$AK$127,MATCH(Data!K561,Rate_Chart!$A$1:$A$127,0),MATCH(Data!L561,Rate_Chart!$A$1:$AK$1,0))</f>
        <v>63.46</v>
      </c>
      <c r="P561" s="57">
        <f t="shared" si="135"/>
        <v>1586.5</v>
      </c>
      <c r="Q561" s="58">
        <f t="shared" si="136"/>
        <v>466.61764705882348</v>
      </c>
      <c r="R561" s="58">
        <f t="shared" si="137"/>
        <v>311.07843137254901</v>
      </c>
      <c r="S561" s="66">
        <f t="shared" si="138"/>
        <v>27.763750000000002</v>
      </c>
      <c r="T561" s="64">
        <f t="shared" si="139"/>
        <v>93.75</v>
      </c>
      <c r="U561" s="66">
        <f t="shared" si="140"/>
        <v>1708.0137500000001</v>
      </c>
      <c r="V561" s="68">
        <f t="shared" si="141"/>
        <v>68.320549999999997</v>
      </c>
      <c r="W561" s="68">
        <f t="shared" si="142"/>
        <v>502.35698529411758</v>
      </c>
      <c r="X561" s="68">
        <f t="shared" si="143"/>
        <v>334.90465686274507</v>
      </c>
      <c r="Z561" s="63"/>
      <c r="AA561" s="63"/>
    </row>
    <row r="562" spans="1:27" hidden="1" x14ac:dyDescent="0.25">
      <c r="A562" t="str">
        <f t="shared" si="131"/>
        <v>10620010B26/05/2026E</v>
      </c>
      <c r="B562" s="169" t="s">
        <v>826</v>
      </c>
      <c r="C562" s="61" t="s">
        <v>397</v>
      </c>
      <c r="D562" s="61" t="s">
        <v>591</v>
      </c>
      <c r="E562" s="61" t="s">
        <v>595</v>
      </c>
      <c r="F562" s="1" t="s">
        <v>812</v>
      </c>
      <c r="G562" s="62" t="str">
        <f t="shared" si="132"/>
        <v>64508</v>
      </c>
      <c r="H562" s="1">
        <v>10620010</v>
      </c>
      <c r="I562" s="1" t="s">
        <v>387</v>
      </c>
      <c r="J562" s="61">
        <v>22</v>
      </c>
      <c r="K562" s="61">
        <v>7.3</v>
      </c>
      <c r="L562" s="61">
        <v>9</v>
      </c>
      <c r="M562" s="69">
        <f t="shared" si="133"/>
        <v>1.6059999999999999</v>
      </c>
      <c r="N562" s="69">
        <f t="shared" si="134"/>
        <v>1.98</v>
      </c>
      <c r="O562" s="56">
        <f>INDEX(Rate_Chart!$A$1:$AK$127,MATCH(Data!K562,Rate_Chart!$A$1:$A$127,0),MATCH(Data!L562,Rate_Chart!$A$1:$AK$1,0))</f>
        <v>60.954999999999998</v>
      </c>
      <c r="P562" s="57">
        <f t="shared" si="135"/>
        <v>1341.01</v>
      </c>
      <c r="Q562" s="58">
        <f t="shared" si="136"/>
        <v>458.30827067669168</v>
      </c>
      <c r="R562" s="58">
        <f t="shared" si="137"/>
        <v>305.53884711779443</v>
      </c>
      <c r="S562" s="66">
        <f t="shared" si="138"/>
        <v>23.467675000000003</v>
      </c>
      <c r="T562" s="64">
        <f t="shared" si="139"/>
        <v>82.5</v>
      </c>
      <c r="U562" s="66">
        <f t="shared" si="140"/>
        <v>1446.9776750000001</v>
      </c>
      <c r="V562" s="68">
        <f t="shared" si="141"/>
        <v>65.771712500000007</v>
      </c>
      <c r="W562" s="68">
        <f t="shared" si="142"/>
        <v>494.52415413533839</v>
      </c>
      <c r="X562" s="68">
        <f t="shared" si="143"/>
        <v>329.68276942355891</v>
      </c>
      <c r="Z562" s="63"/>
      <c r="AA562" s="63"/>
    </row>
    <row r="563" spans="1:27" hidden="1" x14ac:dyDescent="0.25">
      <c r="A563" t="str">
        <f t="shared" si="131"/>
        <v>10620010C27/05/2026E</v>
      </c>
      <c r="B563" s="169" t="s">
        <v>826</v>
      </c>
      <c r="C563" s="61" t="s">
        <v>397</v>
      </c>
      <c r="D563" s="61" t="s">
        <v>591</v>
      </c>
      <c r="E563" s="61" t="s">
        <v>595</v>
      </c>
      <c r="F563" s="1" t="s">
        <v>812</v>
      </c>
      <c r="G563" s="62" t="str">
        <f t="shared" si="132"/>
        <v>64508</v>
      </c>
      <c r="H563" s="1">
        <v>10620010</v>
      </c>
      <c r="I563" s="1" t="s">
        <v>388</v>
      </c>
      <c r="J563" s="61">
        <v>13</v>
      </c>
      <c r="K563" s="61">
        <v>4.5999999999999996</v>
      </c>
      <c r="L563" s="61">
        <v>8.5</v>
      </c>
      <c r="M563" s="69">
        <f t="shared" si="133"/>
        <v>0.59799999999999998</v>
      </c>
      <c r="N563" s="69">
        <f t="shared" si="134"/>
        <v>1.105</v>
      </c>
      <c r="O563" s="56">
        <f>INDEX(Rate_Chart!$A$1:$AK$127,MATCH(Data!K563,Rate_Chart!$A$1:$A$127,0),MATCH(Data!L563,Rate_Chart!$A$1:$AK$1,0))</f>
        <v>42.813181499999999</v>
      </c>
      <c r="P563" s="57">
        <f t="shared" si="135"/>
        <v>556.57135949999997</v>
      </c>
      <c r="Q563" s="58">
        <f t="shared" si="136"/>
        <v>417.01150811688308</v>
      </c>
      <c r="R563" s="58">
        <f t="shared" si="137"/>
        <v>278.00767207792205</v>
      </c>
      <c r="S563" s="66">
        <f t="shared" si="138"/>
        <v>9.7399987912500006</v>
      </c>
      <c r="T563" s="64">
        <f t="shared" si="139"/>
        <v>48.75</v>
      </c>
      <c r="U563" s="66">
        <f t="shared" si="140"/>
        <v>615.06135829124992</v>
      </c>
      <c r="V563" s="68">
        <f t="shared" si="141"/>
        <v>47.312412176249993</v>
      </c>
      <c r="W563" s="68">
        <f t="shared" si="142"/>
        <v>460.83518353490251</v>
      </c>
      <c r="X563" s="68">
        <f t="shared" si="143"/>
        <v>307.22345568993501</v>
      </c>
      <c r="Z563" s="63"/>
      <c r="AA563" s="63"/>
    </row>
    <row r="564" spans="1:27" hidden="1" x14ac:dyDescent="0.25">
      <c r="A564" t="str">
        <f t="shared" si="131"/>
        <v>10620010B27/05/2026M</v>
      </c>
      <c r="B564" s="169" t="s">
        <v>827</v>
      </c>
      <c r="C564" s="61" t="s">
        <v>396</v>
      </c>
      <c r="D564" s="61" t="s">
        <v>591</v>
      </c>
      <c r="E564" s="61" t="s">
        <v>595</v>
      </c>
      <c r="F564" s="1" t="s">
        <v>812</v>
      </c>
      <c r="G564" s="62" t="str">
        <f t="shared" si="132"/>
        <v>64508</v>
      </c>
      <c r="H564" s="1">
        <v>10620010</v>
      </c>
      <c r="I564" s="1" t="s">
        <v>387</v>
      </c>
      <c r="J564" s="61">
        <v>34</v>
      </c>
      <c r="K564" s="61">
        <v>7.5</v>
      </c>
      <c r="L564" s="61">
        <v>9</v>
      </c>
      <c r="M564" s="69">
        <f t="shared" si="133"/>
        <v>2.5499999999999998</v>
      </c>
      <c r="N564" s="69">
        <f t="shared" si="134"/>
        <v>3.06</v>
      </c>
      <c r="O564" s="56">
        <f>INDEX(Rate_Chart!$A$1:$AK$127,MATCH(Data!K564,Rate_Chart!$A$1:$A$127,0),MATCH(Data!L564,Rate_Chart!$A$1:$AK$1,0))</f>
        <v>62.625</v>
      </c>
      <c r="P564" s="57">
        <f t="shared" si="135"/>
        <v>2129.25</v>
      </c>
      <c r="Q564" s="58">
        <f t="shared" si="136"/>
        <v>463.88888888888886</v>
      </c>
      <c r="R564" s="58">
        <f t="shared" si="137"/>
        <v>309.25925925925924</v>
      </c>
      <c r="S564" s="66">
        <f t="shared" si="138"/>
        <v>37.261875000000003</v>
      </c>
      <c r="T564" s="64">
        <f t="shared" si="139"/>
        <v>127.5</v>
      </c>
      <c r="U564" s="66">
        <f t="shared" si="140"/>
        <v>2294.0118750000001</v>
      </c>
      <c r="V564" s="68">
        <f t="shared" si="141"/>
        <v>67.470937500000005</v>
      </c>
      <c r="W564" s="68">
        <f t="shared" si="142"/>
        <v>499.78472222222223</v>
      </c>
      <c r="X564" s="68">
        <f t="shared" si="143"/>
        <v>333.18981481481484</v>
      </c>
      <c r="Z564" s="63"/>
      <c r="AA564" s="63"/>
    </row>
    <row r="565" spans="1:27" hidden="1" x14ac:dyDescent="0.25">
      <c r="A565" t="str">
        <f t="shared" si="131"/>
        <v>10620010C27/05/2026M</v>
      </c>
      <c r="B565" s="169" t="s">
        <v>827</v>
      </c>
      <c r="C565" s="61" t="s">
        <v>396</v>
      </c>
      <c r="D565" s="61" t="s">
        <v>591</v>
      </c>
      <c r="E565" s="61" t="s">
        <v>595</v>
      </c>
      <c r="F565" s="1" t="s">
        <v>812</v>
      </c>
      <c r="G565" s="62" t="str">
        <f t="shared" si="132"/>
        <v>64508</v>
      </c>
      <c r="H565" s="1">
        <v>10620010</v>
      </c>
      <c r="I565" s="1" t="s">
        <v>388</v>
      </c>
      <c r="J565" s="61">
        <v>28</v>
      </c>
      <c r="K565" s="61">
        <v>4.3</v>
      </c>
      <c r="L565" s="61">
        <v>8.5</v>
      </c>
      <c r="M565" s="69">
        <f t="shared" si="133"/>
        <v>1.204</v>
      </c>
      <c r="N565" s="69">
        <f t="shared" si="134"/>
        <v>2.38</v>
      </c>
      <c r="O565" s="56">
        <f>INDEX(Rate_Chart!$A$1:$AK$127,MATCH(Data!K565,Rate_Chart!$A$1:$A$127,0),MATCH(Data!L565,Rate_Chart!$A$1:$AK$1,0))</f>
        <v>41.562181500000001</v>
      </c>
      <c r="P565" s="57">
        <f t="shared" si="135"/>
        <v>1163.741082</v>
      </c>
      <c r="Q565" s="58">
        <f t="shared" si="136"/>
        <v>417.01185451505017</v>
      </c>
      <c r="R565" s="58">
        <f t="shared" si="137"/>
        <v>278.00790301003343</v>
      </c>
      <c r="S565" s="66">
        <f t="shared" si="138"/>
        <v>20.365468935000003</v>
      </c>
      <c r="T565" s="64">
        <f t="shared" si="139"/>
        <v>105</v>
      </c>
      <c r="U565" s="66">
        <f t="shared" si="140"/>
        <v>1289.1065509350001</v>
      </c>
      <c r="V565" s="68">
        <f t="shared" si="141"/>
        <v>46.039519676250002</v>
      </c>
      <c r="W565" s="68">
        <f t="shared" si="142"/>
        <v>461.93498002926424</v>
      </c>
      <c r="X565" s="68">
        <f t="shared" si="143"/>
        <v>307.95665335284281</v>
      </c>
      <c r="Z565" s="63"/>
      <c r="AA565" s="63"/>
    </row>
    <row r="566" spans="1:27" hidden="1" x14ac:dyDescent="0.25">
      <c r="A566" t="str">
        <f t="shared" si="131"/>
        <v>10620010B27/05/2026E</v>
      </c>
      <c r="B566" s="169" t="s">
        <v>827</v>
      </c>
      <c r="C566" s="61" t="s">
        <v>397</v>
      </c>
      <c r="D566" s="61" t="s">
        <v>591</v>
      </c>
      <c r="E566" s="61" t="s">
        <v>595</v>
      </c>
      <c r="F566" s="1" t="s">
        <v>812</v>
      </c>
      <c r="G566" s="62" t="str">
        <f t="shared" si="132"/>
        <v>64508</v>
      </c>
      <c r="H566" s="1">
        <v>10620010</v>
      </c>
      <c r="I566" s="1" t="s">
        <v>387</v>
      </c>
      <c r="J566" s="61">
        <v>26</v>
      </c>
      <c r="K566" s="61">
        <v>7</v>
      </c>
      <c r="L566" s="61">
        <v>9</v>
      </c>
      <c r="M566" s="69">
        <f t="shared" si="133"/>
        <v>1.82</v>
      </c>
      <c r="N566" s="69">
        <f t="shared" si="134"/>
        <v>2.34</v>
      </c>
      <c r="O566" s="56">
        <f>INDEX(Rate_Chart!$A$1:$AK$127,MATCH(Data!K566,Rate_Chart!$A$1:$A$127,0),MATCH(Data!L566,Rate_Chart!$A$1:$AK$1,0))</f>
        <v>58.45</v>
      </c>
      <c r="P566" s="57">
        <f t="shared" si="135"/>
        <v>1519.7</v>
      </c>
      <c r="Q566" s="58">
        <f t="shared" si="136"/>
        <v>449.61538461538464</v>
      </c>
      <c r="R566" s="58">
        <f t="shared" si="137"/>
        <v>299.74358974358978</v>
      </c>
      <c r="S566" s="66">
        <f t="shared" si="138"/>
        <v>26.594750000000005</v>
      </c>
      <c r="T566" s="64">
        <f t="shared" si="139"/>
        <v>97.5</v>
      </c>
      <c r="U566" s="66">
        <f t="shared" si="140"/>
        <v>1643.79475</v>
      </c>
      <c r="V566" s="68">
        <f t="shared" si="141"/>
        <v>63.222875000000002</v>
      </c>
      <c r="W566" s="68">
        <f t="shared" si="142"/>
        <v>486.32980769230767</v>
      </c>
      <c r="X566" s="68">
        <f t="shared" si="143"/>
        <v>324.21987179487178</v>
      </c>
      <c r="Z566" s="63"/>
      <c r="AA566" s="63"/>
    </row>
    <row r="567" spans="1:27" hidden="1" x14ac:dyDescent="0.25">
      <c r="A567" t="str">
        <f t="shared" si="131"/>
        <v>10620010C28/05/2026E</v>
      </c>
      <c r="B567" s="169" t="s">
        <v>827</v>
      </c>
      <c r="C567" s="61" t="s">
        <v>397</v>
      </c>
      <c r="D567" s="61" t="s">
        <v>591</v>
      </c>
      <c r="E567" s="61" t="s">
        <v>595</v>
      </c>
      <c r="F567" s="1" t="s">
        <v>812</v>
      </c>
      <c r="G567" s="62" t="str">
        <f t="shared" si="132"/>
        <v>64508</v>
      </c>
      <c r="H567" s="1">
        <v>10620010</v>
      </c>
      <c r="I567" s="1" t="s">
        <v>388</v>
      </c>
      <c r="J567" s="61">
        <v>11</v>
      </c>
      <c r="K567" s="61">
        <v>3.8</v>
      </c>
      <c r="L567" s="61">
        <v>8.5</v>
      </c>
      <c r="M567" s="69">
        <f t="shared" si="133"/>
        <v>0.41799999999999998</v>
      </c>
      <c r="N567" s="69">
        <f t="shared" si="134"/>
        <v>0.93500000000000005</v>
      </c>
      <c r="O567" s="56">
        <f>INDEX(Rate_Chart!$A$1:$AK$127,MATCH(Data!K567,Rate_Chart!$A$1:$A$127,0),MATCH(Data!L567,Rate_Chart!$A$1:$AK$1,0))</f>
        <v>39.4771815</v>
      </c>
      <c r="P567" s="57">
        <f t="shared" si="135"/>
        <v>434.24899649999998</v>
      </c>
      <c r="Q567" s="58">
        <f t="shared" si="136"/>
        <v>417.0124806338028</v>
      </c>
      <c r="R567" s="58">
        <f t="shared" si="137"/>
        <v>278.00832042253518</v>
      </c>
      <c r="S567" s="66">
        <f t="shared" si="138"/>
        <v>7.5993574387500002</v>
      </c>
      <c r="T567" s="64">
        <f t="shared" si="139"/>
        <v>41.25</v>
      </c>
      <c r="U567" s="66">
        <f t="shared" si="140"/>
        <v>483.09835393874999</v>
      </c>
      <c r="V567" s="68">
        <f t="shared" si="141"/>
        <v>43.918032176250001</v>
      </c>
      <c r="W567" s="68">
        <f t="shared" si="142"/>
        <v>463.92287510123236</v>
      </c>
      <c r="X567" s="68">
        <f t="shared" si="143"/>
        <v>309.28191673415489</v>
      </c>
      <c r="Z567" s="63"/>
      <c r="AA567" s="63"/>
    </row>
    <row r="568" spans="1:27" hidden="1" x14ac:dyDescent="0.25">
      <c r="A568" t="str">
        <f t="shared" si="131"/>
        <v>10620010B28/05/2026M</v>
      </c>
      <c r="B568" s="169" t="s">
        <v>828</v>
      </c>
      <c r="C568" s="61" t="s">
        <v>396</v>
      </c>
      <c r="D568" s="61" t="s">
        <v>591</v>
      </c>
      <c r="E568" s="61" t="s">
        <v>595</v>
      </c>
      <c r="F568" s="1" t="s">
        <v>812</v>
      </c>
      <c r="G568" s="62" t="str">
        <f t="shared" si="132"/>
        <v>64508</v>
      </c>
      <c r="H568" s="1">
        <v>10620010</v>
      </c>
      <c r="I568" s="1" t="s">
        <v>387</v>
      </c>
      <c r="J568" s="61">
        <v>35</v>
      </c>
      <c r="K568" s="61">
        <v>7.3</v>
      </c>
      <c r="L568" s="61">
        <v>9</v>
      </c>
      <c r="M568" s="69">
        <f t="shared" si="133"/>
        <v>2.5550000000000002</v>
      </c>
      <c r="N568" s="69">
        <f t="shared" si="134"/>
        <v>3.15</v>
      </c>
      <c r="O568" s="56">
        <f>INDEX(Rate_Chart!$A$1:$AK$127,MATCH(Data!K568,Rate_Chart!$A$1:$A$127,0),MATCH(Data!L568,Rate_Chart!$A$1:$AK$1,0))</f>
        <v>60.954999999999998</v>
      </c>
      <c r="P568" s="57">
        <f t="shared" si="135"/>
        <v>2133.4249999999997</v>
      </c>
      <c r="Q568" s="58">
        <f t="shared" si="136"/>
        <v>458.30827067669168</v>
      </c>
      <c r="R568" s="58">
        <f t="shared" si="137"/>
        <v>305.53884711779443</v>
      </c>
      <c r="S568" s="66">
        <f t="shared" si="138"/>
        <v>37.334937499999995</v>
      </c>
      <c r="T568" s="64">
        <f t="shared" si="139"/>
        <v>131.25</v>
      </c>
      <c r="U568" s="66">
        <f t="shared" si="140"/>
        <v>2302.0099374999995</v>
      </c>
      <c r="V568" s="68">
        <f t="shared" si="141"/>
        <v>65.771712499999992</v>
      </c>
      <c r="W568" s="68">
        <f t="shared" si="142"/>
        <v>494.52415413533828</v>
      </c>
      <c r="X568" s="68">
        <f t="shared" si="143"/>
        <v>329.68276942355885</v>
      </c>
      <c r="Z568" s="63"/>
      <c r="AA568" s="63"/>
    </row>
    <row r="569" spans="1:27" hidden="1" x14ac:dyDescent="0.25">
      <c r="A569" t="str">
        <f t="shared" si="131"/>
        <v>10620010C28/05/2026M</v>
      </c>
      <c r="B569" s="169" t="s">
        <v>828</v>
      </c>
      <c r="C569" s="61" t="s">
        <v>396</v>
      </c>
      <c r="D569" s="61" t="s">
        <v>591</v>
      </c>
      <c r="E569" s="61" t="s">
        <v>595</v>
      </c>
      <c r="F569" s="1" t="s">
        <v>812</v>
      </c>
      <c r="G569" s="62" t="str">
        <f t="shared" si="132"/>
        <v>64508</v>
      </c>
      <c r="H569" s="1">
        <v>10620010</v>
      </c>
      <c r="I569" s="1" t="s">
        <v>388</v>
      </c>
      <c r="J569" s="61">
        <v>29</v>
      </c>
      <c r="K569" s="61">
        <v>4.2</v>
      </c>
      <c r="L569" s="61">
        <v>8.4</v>
      </c>
      <c r="M569" s="69">
        <f t="shared" si="133"/>
        <v>1.2180000000000002</v>
      </c>
      <c r="N569" s="69">
        <f t="shared" si="134"/>
        <v>2.4360000000000004</v>
      </c>
      <c r="O569" s="56">
        <f>INDEX(Rate_Chart!$A$1:$AK$127,MATCH(Data!K569,Rate_Chart!$A$1:$A$127,0),MATCH(Data!L569,Rate_Chart!$A$1:$AK$1,0))</f>
        <v>40.867167600000002</v>
      </c>
      <c r="P569" s="57">
        <f t="shared" si="135"/>
        <v>1185.1478604000001</v>
      </c>
      <c r="Q569" s="58">
        <f t="shared" si="136"/>
        <v>417.01191428571428</v>
      </c>
      <c r="R569" s="58">
        <f t="shared" si="137"/>
        <v>278.00794285714284</v>
      </c>
      <c r="S569" s="66">
        <f t="shared" si="138"/>
        <v>20.740087557000003</v>
      </c>
      <c r="T569" s="64">
        <f t="shared" si="139"/>
        <v>108.75</v>
      </c>
      <c r="U569" s="66">
        <f t="shared" si="140"/>
        <v>1314.6379479570001</v>
      </c>
      <c r="V569" s="68">
        <f t="shared" si="141"/>
        <v>45.332343033000001</v>
      </c>
      <c r="W569" s="68">
        <f t="shared" si="142"/>
        <v>462.57492890816326</v>
      </c>
      <c r="X569" s="68">
        <f t="shared" si="143"/>
        <v>308.38328593877549</v>
      </c>
      <c r="Z569" s="63"/>
      <c r="AA569" s="63"/>
    </row>
    <row r="570" spans="1:27" hidden="1" x14ac:dyDescent="0.25">
      <c r="A570" t="str">
        <f t="shared" si="131"/>
        <v>10620010B28/05/2026E</v>
      </c>
      <c r="B570" s="169" t="s">
        <v>828</v>
      </c>
      <c r="C570" s="61" t="s">
        <v>397</v>
      </c>
      <c r="D570" s="61" t="s">
        <v>591</v>
      </c>
      <c r="E570" s="61" t="s">
        <v>595</v>
      </c>
      <c r="F570" s="1" t="s">
        <v>812</v>
      </c>
      <c r="G570" s="62" t="str">
        <f t="shared" si="132"/>
        <v>64508</v>
      </c>
      <c r="H570" s="1">
        <v>10620010</v>
      </c>
      <c r="I570" s="1" t="s">
        <v>387</v>
      </c>
      <c r="J570" s="61">
        <v>32</v>
      </c>
      <c r="K570" s="61">
        <v>7</v>
      </c>
      <c r="L570" s="61">
        <v>9</v>
      </c>
      <c r="M570" s="69">
        <f t="shared" si="133"/>
        <v>2.2400000000000002</v>
      </c>
      <c r="N570" s="69">
        <f t="shared" si="134"/>
        <v>2.88</v>
      </c>
      <c r="O570" s="56">
        <f>INDEX(Rate_Chart!$A$1:$AK$127,MATCH(Data!K570,Rate_Chart!$A$1:$A$127,0),MATCH(Data!L570,Rate_Chart!$A$1:$AK$1,0))</f>
        <v>58.45</v>
      </c>
      <c r="P570" s="57">
        <f t="shared" si="135"/>
        <v>1870.4</v>
      </c>
      <c r="Q570" s="58">
        <f t="shared" si="136"/>
        <v>449.61538461538464</v>
      </c>
      <c r="R570" s="58">
        <f t="shared" si="137"/>
        <v>299.74358974358978</v>
      </c>
      <c r="S570" s="66">
        <f t="shared" si="138"/>
        <v>32.732000000000006</v>
      </c>
      <c r="T570" s="64">
        <f t="shared" si="139"/>
        <v>120</v>
      </c>
      <c r="U570" s="66">
        <f t="shared" si="140"/>
        <v>2023.1320000000001</v>
      </c>
      <c r="V570" s="68">
        <f t="shared" si="141"/>
        <v>63.222875000000002</v>
      </c>
      <c r="W570" s="68">
        <f t="shared" si="142"/>
        <v>486.32980769230767</v>
      </c>
      <c r="X570" s="68">
        <f t="shared" si="143"/>
        <v>324.21987179487178</v>
      </c>
      <c r="Z570" s="63"/>
      <c r="AA570" s="63"/>
    </row>
    <row r="571" spans="1:27" hidden="1" x14ac:dyDescent="0.25">
      <c r="A571" t="str">
        <f t="shared" si="131"/>
        <v>10620010C22/05/2026E</v>
      </c>
      <c r="B571" s="169" t="s">
        <v>828</v>
      </c>
      <c r="C571" s="61" t="s">
        <v>397</v>
      </c>
      <c r="D571" s="61" t="s">
        <v>591</v>
      </c>
      <c r="E571" s="61" t="s">
        <v>595</v>
      </c>
      <c r="F571" s="1" t="s">
        <v>812</v>
      </c>
      <c r="G571" s="62" t="str">
        <f t="shared" si="132"/>
        <v>64508</v>
      </c>
      <c r="H571" s="1">
        <v>10620010</v>
      </c>
      <c r="I571" s="1" t="s">
        <v>388</v>
      </c>
      <c r="J571" s="61">
        <v>10</v>
      </c>
      <c r="K571" s="61">
        <v>3.7</v>
      </c>
      <c r="L571" s="61">
        <v>8.1999999999999993</v>
      </c>
      <c r="M571" s="69">
        <f t="shared" si="133"/>
        <v>0.37</v>
      </c>
      <c r="N571" s="69">
        <f t="shared" si="134"/>
        <v>0.82</v>
      </c>
      <c r="O571" s="56">
        <f>INDEX(Rate_Chart!$A$1:$AK$127,MATCH(Data!K571,Rate_Chart!$A$1:$A$127,0),MATCH(Data!L571,Rate_Chart!$A$1:$AK$1,0))</f>
        <v>38.226139799999999</v>
      </c>
      <c r="P571" s="57">
        <f t="shared" si="135"/>
        <v>382.26139799999999</v>
      </c>
      <c r="Q571" s="58">
        <f t="shared" si="136"/>
        <v>417.01243418181815</v>
      </c>
      <c r="R571" s="58">
        <f t="shared" si="137"/>
        <v>278.00828945454543</v>
      </c>
      <c r="S571" s="66">
        <f t="shared" si="138"/>
        <v>6.6895744650000006</v>
      </c>
      <c r="T571" s="64">
        <f t="shared" si="139"/>
        <v>37.5</v>
      </c>
      <c r="U571" s="66">
        <f t="shared" si="140"/>
        <v>426.45097246500001</v>
      </c>
      <c r="V571" s="68">
        <f t="shared" si="141"/>
        <v>42.645097246500001</v>
      </c>
      <c r="W571" s="68">
        <f t="shared" si="142"/>
        <v>465.21924268909089</v>
      </c>
      <c r="X571" s="68">
        <f t="shared" si="143"/>
        <v>310.14616179272724</v>
      </c>
      <c r="Z571" s="63"/>
      <c r="AA571" s="63"/>
    </row>
    <row r="572" spans="1:27" hidden="1" x14ac:dyDescent="0.25">
      <c r="A572" t="str">
        <f t="shared" si="131"/>
        <v>10620034B22/05/2026M</v>
      </c>
      <c r="B572" s="169" t="s">
        <v>822</v>
      </c>
      <c r="C572" s="61" t="s">
        <v>396</v>
      </c>
      <c r="D572" s="61" t="s">
        <v>591</v>
      </c>
      <c r="E572" s="61" t="s">
        <v>593</v>
      </c>
      <c r="F572" s="1" t="s">
        <v>359</v>
      </c>
      <c r="G572" s="62" t="str">
        <f t="shared" si="132"/>
        <v>64509</v>
      </c>
      <c r="H572" s="1">
        <v>10620034</v>
      </c>
      <c r="I572" s="1" t="s">
        <v>387</v>
      </c>
      <c r="J572" s="61">
        <v>17</v>
      </c>
      <c r="K572" s="61">
        <v>6.1</v>
      </c>
      <c r="L572" s="61">
        <v>8.8000000000000007</v>
      </c>
      <c r="M572" s="69">
        <f t="shared" si="133"/>
        <v>1.0369999999999999</v>
      </c>
      <c r="N572" s="69">
        <f t="shared" si="134"/>
        <v>1.4960000000000002</v>
      </c>
      <c r="O572" s="56">
        <v>50.425650000000005</v>
      </c>
      <c r="P572" s="57">
        <f t="shared" si="135"/>
        <v>857.23605000000009</v>
      </c>
      <c r="Q572" s="58">
        <f t="shared" si="136"/>
        <v>421.38426183844012</v>
      </c>
      <c r="R572" s="58">
        <f t="shared" si="137"/>
        <v>280.92284122562677</v>
      </c>
      <c r="S572" s="66">
        <f t="shared" si="138"/>
        <v>15.001630875000004</v>
      </c>
      <c r="T572" s="64">
        <f t="shared" si="139"/>
        <v>63.75</v>
      </c>
      <c r="U572" s="66">
        <f t="shared" si="140"/>
        <v>935.98768087500014</v>
      </c>
      <c r="V572" s="68">
        <f t="shared" si="141"/>
        <v>55.058098875000006</v>
      </c>
      <c r="W572" s="68">
        <f t="shared" si="142"/>
        <v>460.09553377437328</v>
      </c>
      <c r="X572" s="68">
        <f t="shared" si="143"/>
        <v>306.73035584958217</v>
      </c>
      <c r="Z572" s="63"/>
      <c r="AA572" s="63"/>
    </row>
    <row r="573" spans="1:27" hidden="1" x14ac:dyDescent="0.25">
      <c r="A573" t="str">
        <f t="shared" si="131"/>
        <v>10620034C22/05/2026M</v>
      </c>
      <c r="B573" s="169" t="s">
        <v>822</v>
      </c>
      <c r="C573" s="61" t="s">
        <v>396</v>
      </c>
      <c r="D573" s="61" t="s">
        <v>591</v>
      </c>
      <c r="E573" s="61" t="s">
        <v>593</v>
      </c>
      <c r="F573" s="1" t="s">
        <v>359</v>
      </c>
      <c r="G573" s="62" t="str">
        <f t="shared" si="132"/>
        <v>64509</v>
      </c>
      <c r="H573" s="1">
        <v>10620034</v>
      </c>
      <c r="I573" s="1" t="s">
        <v>388</v>
      </c>
      <c r="J573" s="61">
        <v>36</v>
      </c>
      <c r="K573" s="61">
        <v>3.5</v>
      </c>
      <c r="L573" s="61">
        <v>8</v>
      </c>
      <c r="M573" s="69">
        <f t="shared" si="133"/>
        <v>1.26</v>
      </c>
      <c r="N573" s="69">
        <f t="shared" si="134"/>
        <v>2.88</v>
      </c>
      <c r="O573" s="56">
        <v>34.981056000000002</v>
      </c>
      <c r="P573" s="57">
        <f t="shared" si="135"/>
        <v>1259.3180160000002</v>
      </c>
      <c r="Q573" s="58">
        <f t="shared" si="136"/>
        <v>396.01195471698111</v>
      </c>
      <c r="R573" s="58">
        <f t="shared" si="137"/>
        <v>264.00796981132072</v>
      </c>
      <c r="S573" s="66">
        <f t="shared" si="138"/>
        <v>22.038065280000005</v>
      </c>
      <c r="T573" s="64">
        <f t="shared" si="139"/>
        <v>135</v>
      </c>
      <c r="U573" s="66">
        <f t="shared" si="140"/>
        <v>1416.3560812800001</v>
      </c>
      <c r="V573" s="68">
        <f t="shared" si="141"/>
        <v>39.343224480000003</v>
      </c>
      <c r="W573" s="68">
        <f t="shared" si="142"/>
        <v>445.39499411320753</v>
      </c>
      <c r="X573" s="68">
        <f t="shared" si="143"/>
        <v>296.92999607547171</v>
      </c>
      <c r="Z573" s="63"/>
      <c r="AA573" s="63"/>
    </row>
    <row r="574" spans="1:27" hidden="1" x14ac:dyDescent="0.25">
      <c r="A574" t="str">
        <f t="shared" si="131"/>
        <v>10620034C23/05/2026E</v>
      </c>
      <c r="B574" s="169" t="s">
        <v>822</v>
      </c>
      <c r="C574" s="61" t="s">
        <v>397</v>
      </c>
      <c r="D574" s="61" t="s">
        <v>591</v>
      </c>
      <c r="E574" s="61" t="s">
        <v>593</v>
      </c>
      <c r="F574" s="1" t="s">
        <v>359</v>
      </c>
      <c r="G574" s="62" t="str">
        <f t="shared" si="132"/>
        <v>64509</v>
      </c>
      <c r="H574" s="1">
        <v>10620034</v>
      </c>
      <c r="I574" s="1" t="s">
        <v>388</v>
      </c>
      <c r="J574" s="61">
        <v>50</v>
      </c>
      <c r="K574" s="61">
        <v>3.3</v>
      </c>
      <c r="L574" s="61">
        <v>8</v>
      </c>
      <c r="M574" s="69">
        <f t="shared" si="133"/>
        <v>1.65</v>
      </c>
      <c r="N574" s="69">
        <f t="shared" si="134"/>
        <v>4</v>
      </c>
      <c r="O574" s="56">
        <v>34.189056000000008</v>
      </c>
      <c r="P574" s="57">
        <f t="shared" si="135"/>
        <v>1709.4528000000005</v>
      </c>
      <c r="Q574" s="58">
        <f t="shared" si="136"/>
        <v>396.01223166023169</v>
      </c>
      <c r="R574" s="58">
        <f t="shared" si="137"/>
        <v>264.00815444015444</v>
      </c>
      <c r="S574" s="66">
        <f t="shared" si="138"/>
        <v>29.915424000000012</v>
      </c>
      <c r="T574" s="64">
        <f t="shared" si="139"/>
        <v>187.5</v>
      </c>
      <c r="U574" s="66">
        <f t="shared" si="140"/>
        <v>1926.8682240000005</v>
      </c>
      <c r="V574" s="68">
        <f t="shared" si="141"/>
        <v>38.537364480000008</v>
      </c>
      <c r="W574" s="68">
        <f t="shared" si="142"/>
        <v>446.37873915057918</v>
      </c>
      <c r="X574" s="68">
        <f t="shared" si="143"/>
        <v>297.5858261003861</v>
      </c>
      <c r="Z574" s="63"/>
      <c r="AA574" s="63"/>
    </row>
    <row r="575" spans="1:27" hidden="1" x14ac:dyDescent="0.25">
      <c r="A575" t="str">
        <f t="shared" si="131"/>
        <v>10620034B23/05/2026M</v>
      </c>
      <c r="B575" s="169" t="s">
        <v>823</v>
      </c>
      <c r="C575" s="61" t="s">
        <v>396</v>
      </c>
      <c r="D575" s="61" t="s">
        <v>591</v>
      </c>
      <c r="E575" s="61" t="s">
        <v>593</v>
      </c>
      <c r="F575" s="1" t="s">
        <v>359</v>
      </c>
      <c r="G575" s="62" t="str">
        <f t="shared" si="132"/>
        <v>64509</v>
      </c>
      <c r="H575" s="1">
        <v>10620034</v>
      </c>
      <c r="I575" s="1" t="s">
        <v>387</v>
      </c>
      <c r="J575" s="61">
        <v>15</v>
      </c>
      <c r="K575" s="61">
        <v>6</v>
      </c>
      <c r="L575" s="61">
        <v>8.6</v>
      </c>
      <c r="M575" s="69">
        <f t="shared" si="133"/>
        <v>0.9</v>
      </c>
      <c r="N575" s="69">
        <f t="shared" si="134"/>
        <v>1.29</v>
      </c>
      <c r="O575" s="56">
        <v>49.097999999999999</v>
      </c>
      <c r="P575" s="57">
        <f t="shared" si="135"/>
        <v>736.47</v>
      </c>
      <c r="Q575" s="58">
        <f t="shared" si="136"/>
        <v>418.44886363636368</v>
      </c>
      <c r="R575" s="58">
        <f t="shared" si="137"/>
        <v>278.96590909090912</v>
      </c>
      <c r="S575" s="66">
        <f t="shared" si="138"/>
        <v>12.888225000000002</v>
      </c>
      <c r="T575" s="64">
        <f t="shared" si="139"/>
        <v>56.25</v>
      </c>
      <c r="U575" s="66">
        <f t="shared" si="140"/>
        <v>805.60822500000006</v>
      </c>
      <c r="V575" s="68">
        <f t="shared" si="141"/>
        <v>53.707215000000005</v>
      </c>
      <c r="W575" s="68">
        <f t="shared" si="142"/>
        <v>457.73194602272736</v>
      </c>
      <c r="X575" s="68">
        <f t="shared" si="143"/>
        <v>305.15463068181822</v>
      </c>
      <c r="Z575" s="63"/>
      <c r="AA575" s="63"/>
    </row>
    <row r="576" spans="1:27" hidden="1" x14ac:dyDescent="0.25">
      <c r="A576" t="str">
        <f t="shared" si="131"/>
        <v>10620034C23/05/2026M</v>
      </c>
      <c r="B576" s="169" t="s">
        <v>823</v>
      </c>
      <c r="C576" s="61" t="s">
        <v>396</v>
      </c>
      <c r="D576" s="61" t="s">
        <v>591</v>
      </c>
      <c r="E576" s="61" t="s">
        <v>593</v>
      </c>
      <c r="F576" s="1" t="s">
        <v>359</v>
      </c>
      <c r="G576" s="62" t="str">
        <f t="shared" si="132"/>
        <v>64509</v>
      </c>
      <c r="H576" s="1">
        <v>10620034</v>
      </c>
      <c r="I576" s="1" t="s">
        <v>388</v>
      </c>
      <c r="J576" s="61">
        <v>35</v>
      </c>
      <c r="K576" s="61">
        <v>3</v>
      </c>
      <c r="L576" s="61">
        <v>8</v>
      </c>
      <c r="M576" s="69">
        <f t="shared" si="133"/>
        <v>1.05</v>
      </c>
      <c r="N576" s="69">
        <f t="shared" si="134"/>
        <v>2.8</v>
      </c>
      <c r="O576" s="56">
        <v>33.001056000000005</v>
      </c>
      <c r="P576" s="57">
        <f t="shared" si="135"/>
        <v>1155.0369600000001</v>
      </c>
      <c r="Q576" s="58">
        <f t="shared" si="136"/>
        <v>396.01267200000001</v>
      </c>
      <c r="R576" s="58">
        <f t="shared" si="137"/>
        <v>264.00844799999999</v>
      </c>
      <c r="S576" s="66">
        <f t="shared" si="138"/>
        <v>20.213146800000004</v>
      </c>
      <c r="T576" s="64">
        <f t="shared" si="139"/>
        <v>131.25</v>
      </c>
      <c r="U576" s="66">
        <f t="shared" si="140"/>
        <v>1306.5001068000001</v>
      </c>
      <c r="V576" s="68">
        <f t="shared" si="141"/>
        <v>37.328574480000007</v>
      </c>
      <c r="W576" s="68">
        <f t="shared" si="142"/>
        <v>447.94289376000006</v>
      </c>
      <c r="X576" s="68">
        <f t="shared" si="143"/>
        <v>298.62859584000006</v>
      </c>
      <c r="Z576" s="63"/>
      <c r="AA576" s="63"/>
    </row>
    <row r="577" spans="1:27" hidden="1" x14ac:dyDescent="0.25">
      <c r="A577" t="str">
        <f t="shared" si="131"/>
        <v>10620034B23/05/2026E</v>
      </c>
      <c r="B577" s="169" t="s">
        <v>823</v>
      </c>
      <c r="C577" s="61" t="s">
        <v>397</v>
      </c>
      <c r="D577" s="61" t="s">
        <v>591</v>
      </c>
      <c r="E577" s="61" t="s">
        <v>593</v>
      </c>
      <c r="F577" s="1" t="s">
        <v>359</v>
      </c>
      <c r="G577" s="62" t="str">
        <f t="shared" si="132"/>
        <v>64509</v>
      </c>
      <c r="H577" s="1">
        <v>10620034</v>
      </c>
      <c r="I577" s="1" t="s">
        <v>387</v>
      </c>
      <c r="J577" s="61">
        <v>6</v>
      </c>
      <c r="K577" s="61">
        <v>5.8</v>
      </c>
      <c r="L577" s="61">
        <v>8.4</v>
      </c>
      <c r="M577" s="69">
        <f t="shared" si="133"/>
        <v>0.34799999999999998</v>
      </c>
      <c r="N577" s="69">
        <f t="shared" si="134"/>
        <v>0.504</v>
      </c>
      <c r="O577" s="56">
        <v>46.9771</v>
      </c>
      <c r="P577" s="57">
        <f t="shared" si="135"/>
        <v>281.86259999999999</v>
      </c>
      <c r="Q577" s="58">
        <f t="shared" si="136"/>
        <v>412.07982456140354</v>
      </c>
      <c r="R577" s="58">
        <f t="shared" si="137"/>
        <v>274.71988304093571</v>
      </c>
      <c r="S577" s="66">
        <f t="shared" si="138"/>
        <v>4.9325955000000006</v>
      </c>
      <c r="T577" s="64">
        <f t="shared" si="139"/>
        <v>22.5</v>
      </c>
      <c r="U577" s="66">
        <f t="shared" si="140"/>
        <v>309.29519549999998</v>
      </c>
      <c r="V577" s="68">
        <f t="shared" si="141"/>
        <v>51.549199249999994</v>
      </c>
      <c r="W577" s="68">
        <f t="shared" si="142"/>
        <v>452.1859583333333</v>
      </c>
      <c r="X577" s="68">
        <f t="shared" si="143"/>
        <v>301.45730555555554</v>
      </c>
      <c r="Z577" s="63"/>
      <c r="AA577" s="63"/>
    </row>
    <row r="578" spans="1:27" hidden="1" x14ac:dyDescent="0.25">
      <c r="A578" t="str">
        <f t="shared" si="131"/>
        <v>10620034C24/05/2026E</v>
      </c>
      <c r="B578" s="169" t="s">
        <v>823</v>
      </c>
      <c r="C578" s="61" t="s">
        <v>397</v>
      </c>
      <c r="D578" s="61" t="s">
        <v>591</v>
      </c>
      <c r="E578" s="61" t="s">
        <v>593</v>
      </c>
      <c r="F578" s="1" t="s">
        <v>359</v>
      </c>
      <c r="G578" s="62" t="str">
        <f t="shared" si="132"/>
        <v>64509</v>
      </c>
      <c r="H578" s="1">
        <v>10620034</v>
      </c>
      <c r="I578" s="1" t="s">
        <v>388</v>
      </c>
      <c r="J578" s="61">
        <v>41</v>
      </c>
      <c r="K578" s="61">
        <v>3</v>
      </c>
      <c r="L578" s="61">
        <v>8</v>
      </c>
      <c r="M578" s="69">
        <f t="shared" si="133"/>
        <v>1.23</v>
      </c>
      <c r="N578" s="69">
        <f t="shared" si="134"/>
        <v>3.28</v>
      </c>
      <c r="O578" s="56">
        <v>33.001056000000005</v>
      </c>
      <c r="P578" s="57">
        <f t="shared" si="135"/>
        <v>1353.0432960000003</v>
      </c>
      <c r="Q578" s="58">
        <f t="shared" si="136"/>
        <v>396.01267200000001</v>
      </c>
      <c r="R578" s="58">
        <f t="shared" si="137"/>
        <v>264.00844799999999</v>
      </c>
      <c r="S578" s="66">
        <f t="shared" si="138"/>
        <v>23.678257680000009</v>
      </c>
      <c r="T578" s="64">
        <f t="shared" si="139"/>
        <v>153.75</v>
      </c>
      <c r="U578" s="66">
        <f t="shared" si="140"/>
        <v>1530.4715536800004</v>
      </c>
      <c r="V578" s="68">
        <f t="shared" si="141"/>
        <v>37.328574480000007</v>
      </c>
      <c r="W578" s="68">
        <f t="shared" si="142"/>
        <v>447.94289376000006</v>
      </c>
      <c r="X578" s="68">
        <f t="shared" si="143"/>
        <v>298.62859584000006</v>
      </c>
      <c r="Z578" s="63"/>
      <c r="AA578" s="63"/>
    </row>
    <row r="579" spans="1:27" hidden="1" x14ac:dyDescent="0.25">
      <c r="A579" t="str">
        <f t="shared" si="131"/>
        <v>10620034B24/05/2026M</v>
      </c>
      <c r="B579" s="169" t="s">
        <v>824</v>
      </c>
      <c r="C579" s="61" t="s">
        <v>396</v>
      </c>
      <c r="D579" s="61" t="s">
        <v>591</v>
      </c>
      <c r="E579" s="61" t="s">
        <v>593</v>
      </c>
      <c r="F579" s="1" t="s">
        <v>359</v>
      </c>
      <c r="G579" s="62" t="str">
        <f t="shared" si="132"/>
        <v>64509</v>
      </c>
      <c r="H579" s="1">
        <v>10620034</v>
      </c>
      <c r="I579" s="1" t="s">
        <v>387</v>
      </c>
      <c r="J579" s="61">
        <v>12</v>
      </c>
      <c r="K579" s="61">
        <v>6.1</v>
      </c>
      <c r="L579" s="61">
        <v>8.6</v>
      </c>
      <c r="M579" s="69">
        <f t="shared" si="133"/>
        <v>0.73199999999999987</v>
      </c>
      <c r="N579" s="69">
        <f t="shared" si="134"/>
        <v>1.0319999999999998</v>
      </c>
      <c r="O579" s="56">
        <v>49.9163</v>
      </c>
      <c r="P579" s="57">
        <f t="shared" si="135"/>
        <v>598.99559999999997</v>
      </c>
      <c r="Q579" s="58">
        <f t="shared" si="136"/>
        <v>421.82788732394374</v>
      </c>
      <c r="R579" s="58">
        <f t="shared" si="137"/>
        <v>281.21859154929581</v>
      </c>
      <c r="S579" s="66">
        <f t="shared" si="138"/>
        <v>10.482423000000001</v>
      </c>
      <c r="T579" s="64">
        <f t="shared" si="139"/>
        <v>45</v>
      </c>
      <c r="U579" s="66">
        <f t="shared" si="140"/>
        <v>654.47802300000001</v>
      </c>
      <c r="V579" s="68">
        <f t="shared" si="141"/>
        <v>54.539835250000003</v>
      </c>
      <c r="W579" s="68">
        <f t="shared" si="142"/>
        <v>460.90001619718316</v>
      </c>
      <c r="X579" s="68">
        <f t="shared" si="143"/>
        <v>307.26667746478876</v>
      </c>
      <c r="Z579" s="63"/>
      <c r="AA579" s="63"/>
    </row>
    <row r="580" spans="1:27" hidden="1" x14ac:dyDescent="0.25">
      <c r="A580" t="str">
        <f t="shared" si="131"/>
        <v>10620034C24/05/2026M</v>
      </c>
      <c r="B580" s="169" t="s">
        <v>824</v>
      </c>
      <c r="C580" s="61" t="s">
        <v>396</v>
      </c>
      <c r="D580" s="61" t="s">
        <v>591</v>
      </c>
      <c r="E580" s="61" t="s">
        <v>593</v>
      </c>
      <c r="F580" s="1" t="s">
        <v>359</v>
      </c>
      <c r="G580" s="62" t="str">
        <f t="shared" si="132"/>
        <v>64509</v>
      </c>
      <c r="H580" s="1">
        <v>10620034</v>
      </c>
      <c r="I580" s="1" t="s">
        <v>388</v>
      </c>
      <c r="J580" s="61">
        <v>32</v>
      </c>
      <c r="K580" s="61">
        <v>3</v>
      </c>
      <c r="L580" s="61">
        <v>8</v>
      </c>
      <c r="M580" s="69">
        <f t="shared" si="133"/>
        <v>0.96</v>
      </c>
      <c r="N580" s="69">
        <f t="shared" si="134"/>
        <v>2.56</v>
      </c>
      <c r="O580" s="56">
        <v>33.001056000000005</v>
      </c>
      <c r="P580" s="57">
        <f t="shared" si="135"/>
        <v>1056.0337920000002</v>
      </c>
      <c r="Q580" s="58">
        <f t="shared" si="136"/>
        <v>396.01267200000001</v>
      </c>
      <c r="R580" s="58">
        <f t="shared" si="137"/>
        <v>264.00844799999999</v>
      </c>
      <c r="S580" s="66">
        <f t="shared" si="138"/>
        <v>18.480591360000005</v>
      </c>
      <c r="T580" s="64">
        <f t="shared" si="139"/>
        <v>120</v>
      </c>
      <c r="U580" s="66">
        <f t="shared" si="140"/>
        <v>1194.5143833600002</v>
      </c>
      <c r="V580" s="68">
        <f t="shared" si="141"/>
        <v>37.328574480000007</v>
      </c>
      <c r="W580" s="68">
        <f t="shared" si="142"/>
        <v>447.94289376000006</v>
      </c>
      <c r="X580" s="68">
        <f t="shared" si="143"/>
        <v>298.62859584000006</v>
      </c>
      <c r="Z580" s="63"/>
      <c r="AA580" s="63"/>
    </row>
    <row r="581" spans="1:27" hidden="1" x14ac:dyDescent="0.25">
      <c r="A581" t="str">
        <f t="shared" ref="A581:A644" si="144">CONCATENATE(H581,I581,B582,C581)</f>
        <v>10620034B24/05/2026E</v>
      </c>
      <c r="B581" s="169" t="s">
        <v>824</v>
      </c>
      <c r="C581" s="61" t="s">
        <v>397</v>
      </c>
      <c r="D581" s="61" t="s">
        <v>591</v>
      </c>
      <c r="E581" s="61" t="s">
        <v>593</v>
      </c>
      <c r="F581" s="1" t="s">
        <v>359</v>
      </c>
      <c r="G581" s="62" t="str">
        <f t="shared" si="132"/>
        <v>64509</v>
      </c>
      <c r="H581" s="1">
        <v>10620034</v>
      </c>
      <c r="I581" s="1" t="s">
        <v>387</v>
      </c>
      <c r="J581" s="61">
        <v>8</v>
      </c>
      <c r="K581" s="61">
        <v>5.8</v>
      </c>
      <c r="L581" s="61">
        <v>8.4</v>
      </c>
      <c r="M581" s="69">
        <f t="shared" si="133"/>
        <v>0.46399999999999997</v>
      </c>
      <c r="N581" s="69">
        <f t="shared" si="134"/>
        <v>0.67200000000000004</v>
      </c>
      <c r="O581" s="56">
        <v>46.9771</v>
      </c>
      <c r="P581" s="57">
        <f t="shared" si="135"/>
        <v>375.8168</v>
      </c>
      <c r="Q581" s="58">
        <f t="shared" si="136"/>
        <v>412.07982456140354</v>
      </c>
      <c r="R581" s="58">
        <f t="shared" si="137"/>
        <v>274.71988304093571</v>
      </c>
      <c r="S581" s="66">
        <f t="shared" si="138"/>
        <v>6.5767940000000005</v>
      </c>
      <c r="T581" s="64">
        <f t="shared" si="139"/>
        <v>30</v>
      </c>
      <c r="U581" s="66">
        <f t="shared" si="140"/>
        <v>412.39359400000001</v>
      </c>
      <c r="V581" s="68">
        <f t="shared" si="141"/>
        <v>51.549199250000001</v>
      </c>
      <c r="W581" s="68">
        <f t="shared" si="142"/>
        <v>452.18595833333336</v>
      </c>
      <c r="X581" s="68">
        <f t="shared" si="143"/>
        <v>301.45730555555559</v>
      </c>
      <c r="Z581" s="63"/>
      <c r="AA581" s="63"/>
    </row>
    <row r="582" spans="1:27" hidden="1" x14ac:dyDescent="0.25">
      <c r="A582" t="str">
        <f t="shared" si="144"/>
        <v>10620034C25/05/2026E</v>
      </c>
      <c r="B582" s="169" t="s">
        <v>824</v>
      </c>
      <c r="C582" s="61" t="s">
        <v>397</v>
      </c>
      <c r="D582" s="61" t="s">
        <v>591</v>
      </c>
      <c r="E582" s="61" t="s">
        <v>593</v>
      </c>
      <c r="F582" s="1" t="s">
        <v>359</v>
      </c>
      <c r="G582" s="62" t="str">
        <f t="shared" ref="G582:G645" si="145">MID(F582,2,5)</f>
        <v>64509</v>
      </c>
      <c r="H582" s="1">
        <v>10620034</v>
      </c>
      <c r="I582" s="1" t="s">
        <v>388</v>
      </c>
      <c r="J582" s="61">
        <v>35</v>
      </c>
      <c r="K582" s="61">
        <v>3</v>
      </c>
      <c r="L582" s="61">
        <v>8</v>
      </c>
      <c r="M582" s="69">
        <f t="shared" si="133"/>
        <v>1.05</v>
      </c>
      <c r="N582" s="69">
        <f t="shared" si="134"/>
        <v>2.8</v>
      </c>
      <c r="O582" s="56">
        <v>33.001056000000005</v>
      </c>
      <c r="P582" s="57">
        <f t="shared" si="135"/>
        <v>1155.0369600000001</v>
      </c>
      <c r="Q582" s="58">
        <f t="shared" si="136"/>
        <v>396.01267200000001</v>
      </c>
      <c r="R582" s="58">
        <f t="shared" si="137"/>
        <v>264.00844799999999</v>
      </c>
      <c r="S582" s="66">
        <f t="shared" si="138"/>
        <v>20.213146800000004</v>
      </c>
      <c r="T582" s="64">
        <f t="shared" si="139"/>
        <v>131.25</v>
      </c>
      <c r="U582" s="66">
        <f t="shared" si="140"/>
        <v>1306.5001068000001</v>
      </c>
      <c r="V582" s="68">
        <f t="shared" si="141"/>
        <v>37.328574480000007</v>
      </c>
      <c r="W582" s="68">
        <f t="shared" si="142"/>
        <v>447.94289376000006</v>
      </c>
      <c r="X582" s="68">
        <f t="shared" si="143"/>
        <v>298.62859584000006</v>
      </c>
      <c r="Z582" s="63"/>
      <c r="AA582" s="63"/>
    </row>
    <row r="583" spans="1:27" hidden="1" x14ac:dyDescent="0.25">
      <c r="A583" t="str">
        <f t="shared" si="144"/>
        <v>10620034C25/05/2026M</v>
      </c>
      <c r="B583" s="169" t="s">
        <v>825</v>
      </c>
      <c r="C583" s="61" t="s">
        <v>396</v>
      </c>
      <c r="D583" s="61" t="s">
        <v>591</v>
      </c>
      <c r="E583" s="61" t="s">
        <v>593</v>
      </c>
      <c r="F583" s="1" t="s">
        <v>359</v>
      </c>
      <c r="G583" s="62" t="str">
        <f t="shared" si="145"/>
        <v>64509</v>
      </c>
      <c r="H583" s="1">
        <v>10620034</v>
      </c>
      <c r="I583" s="1" t="s">
        <v>388</v>
      </c>
      <c r="J583" s="61">
        <v>16</v>
      </c>
      <c r="K583" s="61">
        <v>3.6</v>
      </c>
      <c r="L583" s="61">
        <v>8</v>
      </c>
      <c r="M583" s="69">
        <f t="shared" si="133"/>
        <v>0.57600000000000007</v>
      </c>
      <c r="N583" s="69">
        <f t="shared" si="134"/>
        <v>1.28</v>
      </c>
      <c r="O583" s="56">
        <v>35.377056000000003</v>
      </c>
      <c r="P583" s="57">
        <f t="shared" si="135"/>
        <v>566.03289600000005</v>
      </c>
      <c r="Q583" s="58">
        <f t="shared" si="136"/>
        <v>396.01182089552236</v>
      </c>
      <c r="R583" s="58">
        <f t="shared" si="137"/>
        <v>264.00788059701489</v>
      </c>
      <c r="S583" s="66">
        <f t="shared" si="138"/>
        <v>9.9055756800000019</v>
      </c>
      <c r="T583" s="64">
        <f t="shared" si="139"/>
        <v>60</v>
      </c>
      <c r="U583" s="66">
        <f t="shared" si="140"/>
        <v>635.93847168000002</v>
      </c>
      <c r="V583" s="68">
        <f t="shared" si="141"/>
        <v>39.746154480000001</v>
      </c>
      <c r="W583" s="68">
        <f t="shared" si="142"/>
        <v>444.91963970149249</v>
      </c>
      <c r="X583" s="68">
        <f t="shared" si="143"/>
        <v>296.61309313432832</v>
      </c>
      <c r="Z583" s="63"/>
      <c r="AA583" s="63"/>
    </row>
    <row r="584" spans="1:27" hidden="1" x14ac:dyDescent="0.25">
      <c r="A584" t="str">
        <f t="shared" si="144"/>
        <v>10620034B25/05/2026E</v>
      </c>
      <c r="B584" s="169" t="s">
        <v>825</v>
      </c>
      <c r="C584" s="61" t="s">
        <v>397</v>
      </c>
      <c r="D584" s="61" t="s">
        <v>591</v>
      </c>
      <c r="E584" s="61" t="s">
        <v>593</v>
      </c>
      <c r="F584" s="1" t="s">
        <v>359</v>
      </c>
      <c r="G584" s="62" t="str">
        <f t="shared" si="145"/>
        <v>64509</v>
      </c>
      <c r="H584" s="1">
        <v>10620034</v>
      </c>
      <c r="I584" s="1" t="s">
        <v>387</v>
      </c>
      <c r="J584" s="61">
        <v>8</v>
      </c>
      <c r="K584" s="61">
        <v>5.6</v>
      </c>
      <c r="L584" s="61">
        <v>8.4</v>
      </c>
      <c r="M584" s="69">
        <f t="shared" si="133"/>
        <v>0.44799999999999995</v>
      </c>
      <c r="N584" s="69">
        <f t="shared" si="134"/>
        <v>0.67200000000000004</v>
      </c>
      <c r="O584" s="56">
        <v>45.357199999999999</v>
      </c>
      <c r="P584" s="57">
        <f t="shared" si="135"/>
        <v>362.85759999999999</v>
      </c>
      <c r="Q584" s="58">
        <f t="shared" si="136"/>
        <v>404.97500000000002</v>
      </c>
      <c r="R584" s="58">
        <f t="shared" si="137"/>
        <v>269.98333333333335</v>
      </c>
      <c r="S584" s="66">
        <f t="shared" si="138"/>
        <v>6.3500080000000008</v>
      </c>
      <c r="T584" s="64">
        <f t="shared" si="139"/>
        <v>30</v>
      </c>
      <c r="U584" s="66">
        <f t="shared" si="140"/>
        <v>399.20760799999999</v>
      </c>
      <c r="V584" s="68">
        <f t="shared" si="141"/>
        <v>49.900950999999999</v>
      </c>
      <c r="W584" s="68">
        <f t="shared" si="142"/>
        <v>445.54420535714291</v>
      </c>
      <c r="X584" s="68">
        <f t="shared" si="143"/>
        <v>297.02947023809526</v>
      </c>
      <c r="Z584" s="63"/>
      <c r="AA584" s="63"/>
    </row>
    <row r="585" spans="1:27" hidden="1" x14ac:dyDescent="0.25">
      <c r="A585" t="str">
        <f t="shared" si="144"/>
        <v>10620034C26/05/2026E</v>
      </c>
      <c r="B585" s="169" t="s">
        <v>825</v>
      </c>
      <c r="C585" s="61" t="s">
        <v>397</v>
      </c>
      <c r="D585" s="61" t="s">
        <v>591</v>
      </c>
      <c r="E585" s="61" t="s">
        <v>593</v>
      </c>
      <c r="F585" s="1" t="s">
        <v>359</v>
      </c>
      <c r="G585" s="62" t="str">
        <f t="shared" si="145"/>
        <v>64509</v>
      </c>
      <c r="H585" s="1">
        <v>10620034</v>
      </c>
      <c r="I585" s="1" t="s">
        <v>388</v>
      </c>
      <c r="J585" s="61">
        <v>36</v>
      </c>
      <c r="K585" s="61">
        <v>3</v>
      </c>
      <c r="L585" s="61">
        <v>8</v>
      </c>
      <c r="M585" s="69">
        <f t="shared" si="133"/>
        <v>1.08</v>
      </c>
      <c r="N585" s="69">
        <f t="shared" si="134"/>
        <v>2.88</v>
      </c>
      <c r="O585" s="56">
        <v>33.001056000000005</v>
      </c>
      <c r="P585" s="57">
        <f t="shared" si="135"/>
        <v>1188.0380160000002</v>
      </c>
      <c r="Q585" s="58">
        <f t="shared" si="136"/>
        <v>396.01267200000001</v>
      </c>
      <c r="R585" s="58">
        <f t="shared" si="137"/>
        <v>264.00844799999999</v>
      </c>
      <c r="S585" s="66">
        <f t="shared" si="138"/>
        <v>20.790665280000006</v>
      </c>
      <c r="T585" s="64">
        <f t="shared" si="139"/>
        <v>135</v>
      </c>
      <c r="U585" s="66">
        <f t="shared" si="140"/>
        <v>1343.8286812800002</v>
      </c>
      <c r="V585" s="68">
        <f t="shared" si="141"/>
        <v>37.328574480000007</v>
      </c>
      <c r="W585" s="68">
        <f t="shared" si="142"/>
        <v>447.94289376000006</v>
      </c>
      <c r="X585" s="68">
        <f t="shared" si="143"/>
        <v>298.62859584000006</v>
      </c>
      <c r="Z585" s="63"/>
      <c r="AA585" s="63"/>
    </row>
    <row r="586" spans="1:27" hidden="1" x14ac:dyDescent="0.25">
      <c r="A586" t="str">
        <f t="shared" si="144"/>
        <v>10620034B26/05/2026M</v>
      </c>
      <c r="B586" s="169" t="s">
        <v>826</v>
      </c>
      <c r="C586" s="61" t="s">
        <v>396</v>
      </c>
      <c r="D586" s="61" t="s">
        <v>591</v>
      </c>
      <c r="E586" s="61" t="s">
        <v>593</v>
      </c>
      <c r="F586" s="1" t="s">
        <v>359</v>
      </c>
      <c r="G586" s="62" t="str">
        <f t="shared" si="145"/>
        <v>64509</v>
      </c>
      <c r="H586" s="1">
        <v>10620034</v>
      </c>
      <c r="I586" s="1" t="s">
        <v>387</v>
      </c>
      <c r="J586" s="61">
        <v>15</v>
      </c>
      <c r="K586" s="61">
        <v>6.2</v>
      </c>
      <c r="L586" s="61">
        <v>8.8000000000000007</v>
      </c>
      <c r="M586" s="69">
        <f t="shared" si="133"/>
        <v>0.93</v>
      </c>
      <c r="N586" s="69">
        <f t="shared" si="134"/>
        <v>1.32</v>
      </c>
      <c r="O586" s="56">
        <f>INDEX(Rate_Chart!$A$1:$AK$127,MATCH(Data!K586,Rate_Chart!$A$1:$A$127,0),MATCH(Data!L586,Rate_Chart!$A$1:$AK$1,0))</f>
        <v>51.252300000000005</v>
      </c>
      <c r="P586" s="57">
        <f t="shared" si="135"/>
        <v>768.78450000000009</v>
      </c>
      <c r="Q586" s="58">
        <f t="shared" si="136"/>
        <v>424.74281767955802</v>
      </c>
      <c r="R586" s="58">
        <f t="shared" si="137"/>
        <v>283.1618784530387</v>
      </c>
      <c r="S586" s="66">
        <f t="shared" si="138"/>
        <v>13.453728750000003</v>
      </c>
      <c r="T586" s="64">
        <f t="shared" si="139"/>
        <v>56.25</v>
      </c>
      <c r="U586" s="66">
        <f t="shared" si="140"/>
        <v>838.48822875000008</v>
      </c>
      <c r="V586" s="68">
        <f t="shared" si="141"/>
        <v>55.899215250000005</v>
      </c>
      <c r="W586" s="68">
        <f t="shared" si="142"/>
        <v>463.25316505524864</v>
      </c>
      <c r="X586" s="68">
        <f t="shared" si="143"/>
        <v>308.83544337016576</v>
      </c>
      <c r="Z586" s="63"/>
      <c r="AA586" s="63"/>
    </row>
    <row r="587" spans="1:27" hidden="1" x14ac:dyDescent="0.25">
      <c r="A587" t="str">
        <f t="shared" si="144"/>
        <v>10620034C26/05/2026M</v>
      </c>
      <c r="B587" s="169" t="s">
        <v>826</v>
      </c>
      <c r="C587" s="61" t="s">
        <v>396</v>
      </c>
      <c r="D587" s="61" t="s">
        <v>591</v>
      </c>
      <c r="E587" s="61" t="s">
        <v>593</v>
      </c>
      <c r="F587" s="1" t="s">
        <v>359</v>
      </c>
      <c r="G587" s="62" t="str">
        <f t="shared" si="145"/>
        <v>64509</v>
      </c>
      <c r="H587" s="1">
        <v>10620034</v>
      </c>
      <c r="I587" s="1" t="s">
        <v>388</v>
      </c>
      <c r="J587" s="61">
        <v>40</v>
      </c>
      <c r="K587" s="61">
        <v>3.2</v>
      </c>
      <c r="L587" s="61">
        <v>8</v>
      </c>
      <c r="M587" s="69">
        <f t="shared" si="133"/>
        <v>1.28</v>
      </c>
      <c r="N587" s="69">
        <f t="shared" si="134"/>
        <v>3.2</v>
      </c>
      <c r="O587" s="56">
        <f>INDEX(Rate_Chart!$A$1:$AK$127,MATCH(Data!K587,Rate_Chart!$A$1:$A$127,0),MATCH(Data!L587,Rate_Chart!$A$1:$AK$1,0))</f>
        <v>35.585112000000002</v>
      </c>
      <c r="P587" s="57">
        <f t="shared" si="135"/>
        <v>1423.4044800000001</v>
      </c>
      <c r="Q587" s="58">
        <f t="shared" si="136"/>
        <v>417.01303124999998</v>
      </c>
      <c r="R587" s="58">
        <f t="shared" si="137"/>
        <v>278.00868750000001</v>
      </c>
      <c r="S587" s="66">
        <f t="shared" si="138"/>
        <v>24.909578400000004</v>
      </c>
      <c r="T587" s="64">
        <f t="shared" si="139"/>
        <v>150</v>
      </c>
      <c r="U587" s="66">
        <f t="shared" si="140"/>
        <v>1598.3140584000002</v>
      </c>
      <c r="V587" s="68">
        <f t="shared" si="141"/>
        <v>39.957851460000008</v>
      </c>
      <c r="W587" s="68">
        <f t="shared" si="142"/>
        <v>468.25607179687501</v>
      </c>
      <c r="X587" s="68">
        <f t="shared" si="143"/>
        <v>312.17071453124998</v>
      </c>
      <c r="Z587" s="63"/>
      <c r="AA587" s="63"/>
    </row>
    <row r="588" spans="1:27" hidden="1" x14ac:dyDescent="0.25">
      <c r="A588" t="str">
        <f t="shared" si="144"/>
        <v>10620034B26/05/2026E</v>
      </c>
      <c r="B588" s="169" t="s">
        <v>826</v>
      </c>
      <c r="C588" s="61" t="s">
        <v>397</v>
      </c>
      <c r="D588" s="61" t="s">
        <v>591</v>
      </c>
      <c r="E588" s="61" t="s">
        <v>593</v>
      </c>
      <c r="F588" s="1" t="s">
        <v>359</v>
      </c>
      <c r="G588" s="62" t="str">
        <f t="shared" si="145"/>
        <v>64509</v>
      </c>
      <c r="H588" s="1">
        <v>10620034</v>
      </c>
      <c r="I588" s="1" t="s">
        <v>387</v>
      </c>
      <c r="J588" s="61">
        <v>6</v>
      </c>
      <c r="K588" s="61">
        <v>6.2</v>
      </c>
      <c r="L588" s="61">
        <v>8.8000000000000007</v>
      </c>
      <c r="M588" s="69">
        <f t="shared" si="133"/>
        <v>0.37200000000000005</v>
      </c>
      <c r="N588" s="69">
        <f t="shared" si="134"/>
        <v>0.52800000000000002</v>
      </c>
      <c r="O588" s="56">
        <f>INDEX(Rate_Chart!$A$1:$AK$127,MATCH(Data!K588,Rate_Chart!$A$1:$A$127,0),MATCH(Data!L588,Rate_Chart!$A$1:$AK$1,0))</f>
        <v>51.252300000000005</v>
      </c>
      <c r="P588" s="57">
        <f t="shared" si="135"/>
        <v>307.51380000000006</v>
      </c>
      <c r="Q588" s="58">
        <f t="shared" si="136"/>
        <v>424.74281767955802</v>
      </c>
      <c r="R588" s="58">
        <f t="shared" si="137"/>
        <v>283.1618784530387</v>
      </c>
      <c r="S588" s="66">
        <f t="shared" si="138"/>
        <v>5.3814915000000019</v>
      </c>
      <c r="T588" s="64">
        <f t="shared" si="139"/>
        <v>22.5</v>
      </c>
      <c r="U588" s="66">
        <f t="shared" si="140"/>
        <v>335.39529150000004</v>
      </c>
      <c r="V588" s="68">
        <f t="shared" si="141"/>
        <v>55.899215250000005</v>
      </c>
      <c r="W588" s="68">
        <f t="shared" si="142"/>
        <v>463.25316505524864</v>
      </c>
      <c r="X588" s="68">
        <f t="shared" si="143"/>
        <v>308.83544337016576</v>
      </c>
      <c r="Z588" s="63"/>
      <c r="AA588" s="63"/>
    </row>
    <row r="589" spans="1:27" hidden="1" x14ac:dyDescent="0.25">
      <c r="A589" t="str">
        <f t="shared" si="144"/>
        <v>10620034C27/05/2026E</v>
      </c>
      <c r="B589" s="169" t="s">
        <v>826</v>
      </c>
      <c r="C589" s="61" t="s">
        <v>397</v>
      </c>
      <c r="D589" s="61" t="s">
        <v>591</v>
      </c>
      <c r="E589" s="61" t="s">
        <v>593</v>
      </c>
      <c r="F589" s="1" t="s">
        <v>359</v>
      </c>
      <c r="G589" s="62" t="str">
        <f t="shared" si="145"/>
        <v>64509</v>
      </c>
      <c r="H589" s="1">
        <v>10620034</v>
      </c>
      <c r="I589" s="1" t="s">
        <v>388</v>
      </c>
      <c r="J589" s="61">
        <v>38</v>
      </c>
      <c r="K589" s="61">
        <v>3.1</v>
      </c>
      <c r="L589" s="61">
        <v>8</v>
      </c>
      <c r="M589" s="69">
        <f t="shared" si="133"/>
        <v>1.1779999999999999</v>
      </c>
      <c r="N589" s="69">
        <f t="shared" si="134"/>
        <v>3.04</v>
      </c>
      <c r="O589" s="56">
        <f>INDEX(Rate_Chart!$A$1:$AK$127,MATCH(Data!K589,Rate_Chart!$A$1:$A$127,0),MATCH(Data!L589,Rate_Chart!$A$1:$AK$1,0))</f>
        <v>35.168112000000008</v>
      </c>
      <c r="P589" s="57">
        <f t="shared" si="135"/>
        <v>1336.3882560000002</v>
      </c>
      <c r="Q589" s="58">
        <f t="shared" si="136"/>
        <v>417.01318577075102</v>
      </c>
      <c r="R589" s="58">
        <f t="shared" si="137"/>
        <v>278.00879051383401</v>
      </c>
      <c r="S589" s="66">
        <f t="shared" si="138"/>
        <v>23.386794480000006</v>
      </c>
      <c r="T589" s="64">
        <f t="shared" si="139"/>
        <v>142.5</v>
      </c>
      <c r="U589" s="66">
        <f t="shared" si="140"/>
        <v>1502.2750504800001</v>
      </c>
      <c r="V589" s="68">
        <f t="shared" si="141"/>
        <v>39.533553960000006</v>
      </c>
      <c r="W589" s="68">
        <f t="shared" si="142"/>
        <v>468.77731968379447</v>
      </c>
      <c r="X589" s="68">
        <f t="shared" si="143"/>
        <v>312.51821312252963</v>
      </c>
      <c r="Z589" s="63"/>
      <c r="AA589" s="63"/>
    </row>
    <row r="590" spans="1:27" hidden="1" x14ac:dyDescent="0.25">
      <c r="A590" t="str">
        <f t="shared" si="144"/>
        <v>10620034B27/05/2026M</v>
      </c>
      <c r="B590" s="169" t="s">
        <v>827</v>
      </c>
      <c r="C590" s="61" t="s">
        <v>396</v>
      </c>
      <c r="D590" s="61" t="s">
        <v>591</v>
      </c>
      <c r="E590" s="61" t="s">
        <v>593</v>
      </c>
      <c r="F590" s="1" t="s">
        <v>359</v>
      </c>
      <c r="G590" s="62" t="str">
        <f t="shared" si="145"/>
        <v>64509</v>
      </c>
      <c r="H590" s="1">
        <v>10620034</v>
      </c>
      <c r="I590" s="1" t="s">
        <v>387</v>
      </c>
      <c r="J590" s="61">
        <v>17</v>
      </c>
      <c r="K590" s="61">
        <v>6.3</v>
      </c>
      <c r="L590" s="61">
        <v>8.8000000000000007</v>
      </c>
      <c r="M590" s="69">
        <f t="shared" si="133"/>
        <v>1.071</v>
      </c>
      <c r="N590" s="69">
        <f t="shared" si="134"/>
        <v>1.4960000000000002</v>
      </c>
      <c r="O590" s="56">
        <f>INDEX(Rate_Chart!$A$1:$AK$127,MATCH(Data!K590,Rate_Chart!$A$1:$A$127,0),MATCH(Data!L590,Rate_Chart!$A$1:$AK$1,0))</f>
        <v>52.078949999999999</v>
      </c>
      <c r="P590" s="57">
        <f t="shared" si="135"/>
        <v>885.34214999999995</v>
      </c>
      <c r="Q590" s="58">
        <f t="shared" si="136"/>
        <v>428.04616438356163</v>
      </c>
      <c r="R590" s="58">
        <f t="shared" si="137"/>
        <v>285.36410958904111</v>
      </c>
      <c r="S590" s="66">
        <f t="shared" si="138"/>
        <v>15.493487625</v>
      </c>
      <c r="T590" s="64">
        <f t="shared" si="139"/>
        <v>63.75</v>
      </c>
      <c r="U590" s="66">
        <f t="shared" si="140"/>
        <v>964.58563762499989</v>
      </c>
      <c r="V590" s="68">
        <f t="shared" si="141"/>
        <v>56.740331624999996</v>
      </c>
      <c r="W590" s="68">
        <f t="shared" si="142"/>
        <v>466.35889006849311</v>
      </c>
      <c r="X590" s="68">
        <f t="shared" si="143"/>
        <v>310.90592671232872</v>
      </c>
      <c r="Z590" s="63"/>
      <c r="AA590" s="63"/>
    </row>
    <row r="591" spans="1:27" hidden="1" x14ac:dyDescent="0.25">
      <c r="A591" t="str">
        <f t="shared" si="144"/>
        <v>10620034C27/05/2026M</v>
      </c>
      <c r="B591" s="169" t="s">
        <v>827</v>
      </c>
      <c r="C591" s="61" t="s">
        <v>396</v>
      </c>
      <c r="D591" s="61" t="s">
        <v>591</v>
      </c>
      <c r="E591" s="61" t="s">
        <v>593</v>
      </c>
      <c r="F591" s="1" t="s">
        <v>359</v>
      </c>
      <c r="G591" s="62" t="str">
        <f t="shared" si="145"/>
        <v>64509</v>
      </c>
      <c r="H591" s="1">
        <v>10620034</v>
      </c>
      <c r="I591" s="1" t="s">
        <v>388</v>
      </c>
      <c r="J591" s="61">
        <v>40</v>
      </c>
      <c r="K591" s="61">
        <v>3.2</v>
      </c>
      <c r="L591" s="61">
        <v>8</v>
      </c>
      <c r="M591" s="69">
        <f t="shared" si="133"/>
        <v>1.28</v>
      </c>
      <c r="N591" s="69">
        <f t="shared" si="134"/>
        <v>3.2</v>
      </c>
      <c r="O591" s="56">
        <f>INDEX(Rate_Chart!$A$1:$AK$127,MATCH(Data!K591,Rate_Chart!$A$1:$A$127,0),MATCH(Data!L591,Rate_Chart!$A$1:$AK$1,0))</f>
        <v>35.585112000000002</v>
      </c>
      <c r="P591" s="57">
        <f t="shared" si="135"/>
        <v>1423.4044800000001</v>
      </c>
      <c r="Q591" s="58">
        <f t="shared" si="136"/>
        <v>417.01303124999998</v>
      </c>
      <c r="R591" s="58">
        <f t="shared" si="137"/>
        <v>278.00868750000001</v>
      </c>
      <c r="S591" s="66">
        <f t="shared" si="138"/>
        <v>24.909578400000004</v>
      </c>
      <c r="T591" s="64">
        <f t="shared" si="139"/>
        <v>150</v>
      </c>
      <c r="U591" s="66">
        <f t="shared" si="140"/>
        <v>1598.3140584000002</v>
      </c>
      <c r="V591" s="68">
        <f t="shared" si="141"/>
        <v>39.957851460000008</v>
      </c>
      <c r="W591" s="68">
        <f t="shared" si="142"/>
        <v>468.25607179687501</v>
      </c>
      <c r="X591" s="68">
        <f t="shared" si="143"/>
        <v>312.17071453124998</v>
      </c>
      <c r="Z591" s="63"/>
      <c r="AA591" s="63"/>
    </row>
    <row r="592" spans="1:27" hidden="1" x14ac:dyDescent="0.25">
      <c r="A592" t="str">
        <f t="shared" si="144"/>
        <v>10620034B27/05/2026E</v>
      </c>
      <c r="B592" s="169" t="s">
        <v>827</v>
      </c>
      <c r="C592" s="61" t="s">
        <v>397</v>
      </c>
      <c r="D592" s="61" t="s">
        <v>591</v>
      </c>
      <c r="E592" s="61" t="s">
        <v>593</v>
      </c>
      <c r="F592" s="1" t="s">
        <v>359</v>
      </c>
      <c r="G592" s="62" t="str">
        <f t="shared" si="145"/>
        <v>64509</v>
      </c>
      <c r="H592" s="1">
        <v>10620034</v>
      </c>
      <c r="I592" s="1" t="s">
        <v>387</v>
      </c>
      <c r="J592" s="61">
        <v>6</v>
      </c>
      <c r="K592" s="61">
        <v>5.8</v>
      </c>
      <c r="L592" s="61">
        <v>9</v>
      </c>
      <c r="M592" s="69">
        <f t="shared" si="133"/>
        <v>0.34799999999999998</v>
      </c>
      <c r="N592" s="69">
        <f t="shared" si="134"/>
        <v>0.54</v>
      </c>
      <c r="O592" s="56">
        <f>INDEX(Rate_Chart!$A$1:$AK$127,MATCH(Data!K592,Rate_Chart!$A$1:$A$127,0),MATCH(Data!L592,Rate_Chart!$A$1:$AK$1,0))</f>
        <v>48.43</v>
      </c>
      <c r="P592" s="57">
        <f t="shared" si="135"/>
        <v>290.58</v>
      </c>
      <c r="Q592" s="58">
        <f t="shared" si="136"/>
        <v>410.42372881355936</v>
      </c>
      <c r="R592" s="58">
        <f t="shared" si="137"/>
        <v>273.61581920903956</v>
      </c>
      <c r="S592" s="66">
        <f t="shared" si="138"/>
        <v>5.0851500000000005</v>
      </c>
      <c r="T592" s="64">
        <f t="shared" si="139"/>
        <v>22.5</v>
      </c>
      <c r="U592" s="66">
        <f t="shared" si="140"/>
        <v>318.16514999999998</v>
      </c>
      <c r="V592" s="68">
        <f t="shared" si="141"/>
        <v>53.027524999999997</v>
      </c>
      <c r="W592" s="68">
        <f t="shared" si="142"/>
        <v>449.38580508474575</v>
      </c>
      <c r="X592" s="68">
        <f t="shared" si="143"/>
        <v>299.59053672316384</v>
      </c>
      <c r="Z592" s="63"/>
      <c r="AA592" s="63"/>
    </row>
    <row r="593" spans="1:27" hidden="1" x14ac:dyDescent="0.25">
      <c r="A593" t="str">
        <f t="shared" si="144"/>
        <v>10620034C28/05/2026E</v>
      </c>
      <c r="B593" s="169" t="s">
        <v>827</v>
      </c>
      <c r="C593" s="61" t="s">
        <v>397</v>
      </c>
      <c r="D593" s="61" t="s">
        <v>591</v>
      </c>
      <c r="E593" s="61" t="s">
        <v>593</v>
      </c>
      <c r="F593" s="1" t="s">
        <v>359</v>
      </c>
      <c r="G593" s="62" t="str">
        <f t="shared" si="145"/>
        <v>64509</v>
      </c>
      <c r="H593" s="1">
        <v>10620034</v>
      </c>
      <c r="I593" s="1" t="s">
        <v>388</v>
      </c>
      <c r="J593" s="61">
        <v>32</v>
      </c>
      <c r="K593" s="61">
        <v>3</v>
      </c>
      <c r="L593" s="61">
        <v>8</v>
      </c>
      <c r="M593" s="69">
        <f t="shared" si="133"/>
        <v>0.96</v>
      </c>
      <c r="N593" s="69">
        <f t="shared" si="134"/>
        <v>2.56</v>
      </c>
      <c r="O593" s="56">
        <f>INDEX(Rate_Chart!$A$1:$AK$127,MATCH(Data!K593,Rate_Chart!$A$1:$A$127,0),MATCH(Data!L593,Rate_Chart!$A$1:$AK$1,0))</f>
        <v>34.751112000000006</v>
      </c>
      <c r="P593" s="57">
        <f t="shared" si="135"/>
        <v>1112.0355840000002</v>
      </c>
      <c r="Q593" s="58">
        <f t="shared" si="136"/>
        <v>417.01334400000002</v>
      </c>
      <c r="R593" s="58">
        <f t="shared" si="137"/>
        <v>278.00889599999999</v>
      </c>
      <c r="S593" s="66">
        <f t="shared" si="138"/>
        <v>19.460622720000007</v>
      </c>
      <c r="T593" s="64">
        <f t="shared" si="139"/>
        <v>120</v>
      </c>
      <c r="U593" s="66">
        <f t="shared" si="140"/>
        <v>1251.4962067200001</v>
      </c>
      <c r="V593" s="68">
        <f t="shared" si="141"/>
        <v>39.109256460000005</v>
      </c>
      <c r="W593" s="68">
        <f t="shared" si="142"/>
        <v>469.31107752000003</v>
      </c>
      <c r="X593" s="68">
        <f t="shared" si="143"/>
        <v>312.87405168000004</v>
      </c>
      <c r="Z593" s="63"/>
      <c r="AA593" s="63"/>
    </row>
    <row r="594" spans="1:27" hidden="1" x14ac:dyDescent="0.25">
      <c r="A594" t="str">
        <f t="shared" si="144"/>
        <v>10620034B28/05/2026M</v>
      </c>
      <c r="B594" s="169" t="s">
        <v>828</v>
      </c>
      <c r="C594" s="61" t="s">
        <v>396</v>
      </c>
      <c r="D594" s="61" t="s">
        <v>591</v>
      </c>
      <c r="E594" s="61" t="s">
        <v>593</v>
      </c>
      <c r="F594" s="1" t="s">
        <v>359</v>
      </c>
      <c r="G594" s="62" t="str">
        <f t="shared" si="145"/>
        <v>64509</v>
      </c>
      <c r="H594" s="1">
        <v>10620034</v>
      </c>
      <c r="I594" s="1" t="s">
        <v>387</v>
      </c>
      <c r="J594" s="61">
        <v>16</v>
      </c>
      <c r="K594" s="61">
        <v>6.2</v>
      </c>
      <c r="L594" s="61">
        <v>8.8000000000000007</v>
      </c>
      <c r="M594" s="69">
        <f t="shared" si="133"/>
        <v>0.99199999999999999</v>
      </c>
      <c r="N594" s="69">
        <f t="shared" si="134"/>
        <v>1.4080000000000001</v>
      </c>
      <c r="O594" s="56">
        <f>INDEX(Rate_Chart!$A$1:$AK$127,MATCH(Data!K594,Rate_Chart!$A$1:$A$127,0),MATCH(Data!L594,Rate_Chart!$A$1:$AK$1,0))</f>
        <v>51.252300000000005</v>
      </c>
      <c r="P594" s="57">
        <f t="shared" si="135"/>
        <v>820.03680000000008</v>
      </c>
      <c r="Q594" s="58">
        <f t="shared" si="136"/>
        <v>424.74281767955802</v>
      </c>
      <c r="R594" s="58">
        <f t="shared" si="137"/>
        <v>283.1618784530387</v>
      </c>
      <c r="S594" s="66">
        <f t="shared" si="138"/>
        <v>14.350644000000003</v>
      </c>
      <c r="T594" s="64">
        <f t="shared" si="139"/>
        <v>60</v>
      </c>
      <c r="U594" s="66">
        <f t="shared" si="140"/>
        <v>894.38744400000007</v>
      </c>
      <c r="V594" s="68">
        <f t="shared" si="141"/>
        <v>55.899215250000005</v>
      </c>
      <c r="W594" s="68">
        <f t="shared" si="142"/>
        <v>463.25316505524864</v>
      </c>
      <c r="X594" s="68">
        <f t="shared" si="143"/>
        <v>308.83544337016576</v>
      </c>
      <c r="Z594" s="63"/>
      <c r="AA594" s="63"/>
    </row>
    <row r="595" spans="1:27" hidden="1" x14ac:dyDescent="0.25">
      <c r="A595" t="str">
        <f t="shared" si="144"/>
        <v>10620034C28/05/2026M</v>
      </c>
      <c r="B595" s="169" t="s">
        <v>828</v>
      </c>
      <c r="C595" s="61" t="s">
        <v>396</v>
      </c>
      <c r="D595" s="61" t="s">
        <v>591</v>
      </c>
      <c r="E595" s="61" t="s">
        <v>593</v>
      </c>
      <c r="F595" s="1" t="s">
        <v>359</v>
      </c>
      <c r="G595" s="62" t="str">
        <f t="shared" si="145"/>
        <v>64509</v>
      </c>
      <c r="H595" s="1">
        <v>10620034</v>
      </c>
      <c r="I595" s="1" t="s">
        <v>388</v>
      </c>
      <c r="J595" s="61">
        <v>33</v>
      </c>
      <c r="K595" s="61">
        <v>3.2</v>
      </c>
      <c r="L595" s="61">
        <v>8</v>
      </c>
      <c r="M595" s="69">
        <f t="shared" si="133"/>
        <v>1.056</v>
      </c>
      <c r="N595" s="69">
        <f t="shared" si="134"/>
        <v>2.64</v>
      </c>
      <c r="O595" s="56">
        <f>INDEX(Rate_Chart!$A$1:$AK$127,MATCH(Data!K595,Rate_Chart!$A$1:$A$127,0),MATCH(Data!L595,Rate_Chart!$A$1:$AK$1,0))</f>
        <v>35.585112000000002</v>
      </c>
      <c r="P595" s="57">
        <f t="shared" si="135"/>
        <v>1174.3086960000001</v>
      </c>
      <c r="Q595" s="58">
        <f t="shared" si="136"/>
        <v>417.01303124999998</v>
      </c>
      <c r="R595" s="58">
        <f t="shared" si="137"/>
        <v>278.00868750000001</v>
      </c>
      <c r="S595" s="66">
        <f t="shared" si="138"/>
        <v>20.550402180000003</v>
      </c>
      <c r="T595" s="64">
        <f t="shared" si="139"/>
        <v>123.75</v>
      </c>
      <c r="U595" s="66">
        <f t="shared" si="140"/>
        <v>1318.60909818</v>
      </c>
      <c r="V595" s="68">
        <f t="shared" si="141"/>
        <v>39.957851460000001</v>
      </c>
      <c r="W595" s="68">
        <f t="shared" si="142"/>
        <v>468.25607179687495</v>
      </c>
      <c r="X595" s="68">
        <f t="shared" si="143"/>
        <v>312.17071453124998</v>
      </c>
      <c r="Z595" s="63"/>
      <c r="AA595" s="63"/>
    </row>
    <row r="596" spans="1:27" hidden="1" x14ac:dyDescent="0.25">
      <c r="A596" t="str">
        <f t="shared" si="144"/>
        <v>10620034C22/05/2026E</v>
      </c>
      <c r="B596" s="169" t="s">
        <v>828</v>
      </c>
      <c r="C596" s="61" t="s">
        <v>397</v>
      </c>
      <c r="D596" s="61" t="s">
        <v>591</v>
      </c>
      <c r="E596" s="61" t="s">
        <v>593</v>
      </c>
      <c r="F596" s="1" t="s">
        <v>359</v>
      </c>
      <c r="G596" s="62" t="str">
        <f t="shared" si="145"/>
        <v>64509</v>
      </c>
      <c r="H596" s="1">
        <v>10620034</v>
      </c>
      <c r="I596" s="1" t="s">
        <v>388</v>
      </c>
      <c r="J596" s="61">
        <v>51</v>
      </c>
      <c r="K596" s="61">
        <v>3.4</v>
      </c>
      <c r="L596" s="61">
        <v>8</v>
      </c>
      <c r="M596" s="69">
        <f t="shared" si="133"/>
        <v>1.734</v>
      </c>
      <c r="N596" s="69">
        <f t="shared" si="134"/>
        <v>4.08</v>
      </c>
      <c r="O596" s="56">
        <f>INDEX(Rate_Chart!$A$1:$AK$127,MATCH(Data!K596,Rate_Chart!$A$1:$A$127,0),MATCH(Data!L596,Rate_Chart!$A$1:$AK$1,0))</f>
        <v>36.419112000000005</v>
      </c>
      <c r="P596" s="57">
        <f t="shared" si="135"/>
        <v>1857.3747120000003</v>
      </c>
      <c r="Q596" s="58">
        <f t="shared" si="136"/>
        <v>417.01273282442747</v>
      </c>
      <c r="R596" s="58">
        <f t="shared" si="137"/>
        <v>278.00848854961833</v>
      </c>
      <c r="S596" s="66">
        <f t="shared" si="138"/>
        <v>32.504057460000006</v>
      </c>
      <c r="T596" s="64">
        <f t="shared" si="139"/>
        <v>191.25</v>
      </c>
      <c r="U596" s="66">
        <f t="shared" si="140"/>
        <v>2081.1287694600005</v>
      </c>
      <c r="V596" s="68">
        <f t="shared" si="141"/>
        <v>40.806446460000011</v>
      </c>
      <c r="W596" s="68">
        <f t="shared" si="142"/>
        <v>467.24938694656493</v>
      </c>
      <c r="X596" s="68">
        <f t="shared" si="143"/>
        <v>311.49959129770997</v>
      </c>
      <c r="Z596" s="63"/>
      <c r="AA596" s="63"/>
    </row>
    <row r="597" spans="1:27" hidden="1" x14ac:dyDescent="0.25">
      <c r="A597" t="str">
        <f t="shared" si="144"/>
        <v>10620043B22/05/2026M</v>
      </c>
      <c r="B597" s="169" t="s">
        <v>822</v>
      </c>
      <c r="C597" s="61" t="s">
        <v>396</v>
      </c>
      <c r="D597" s="61" t="s">
        <v>591</v>
      </c>
      <c r="E597" s="61" t="s">
        <v>593</v>
      </c>
      <c r="F597" s="1" t="s">
        <v>360</v>
      </c>
      <c r="G597" s="62" t="str">
        <f t="shared" si="145"/>
        <v>64510</v>
      </c>
      <c r="H597" s="1">
        <v>10620043</v>
      </c>
      <c r="I597" s="1" t="s">
        <v>387</v>
      </c>
      <c r="J597" s="61">
        <v>17</v>
      </c>
      <c r="K597" s="61">
        <v>6.6</v>
      </c>
      <c r="L597" s="61">
        <v>8.8000000000000007</v>
      </c>
      <c r="M597" s="69">
        <f t="shared" si="133"/>
        <v>1.1219999999999999</v>
      </c>
      <c r="N597" s="69">
        <f t="shared" si="134"/>
        <v>1.4960000000000002</v>
      </c>
      <c r="O597" s="56">
        <v>54.558900000000001</v>
      </c>
      <c r="P597" s="57">
        <f t="shared" si="135"/>
        <v>927.50130000000001</v>
      </c>
      <c r="Q597" s="58">
        <f t="shared" si="136"/>
        <v>437.63823529411764</v>
      </c>
      <c r="R597" s="58">
        <f t="shared" si="137"/>
        <v>291.75882352941176</v>
      </c>
      <c r="S597" s="66">
        <f t="shared" si="138"/>
        <v>16.231272750000002</v>
      </c>
      <c r="T597" s="64">
        <f t="shared" si="139"/>
        <v>63.75</v>
      </c>
      <c r="U597" s="66">
        <f t="shared" si="140"/>
        <v>1007.48257275</v>
      </c>
      <c r="V597" s="68">
        <f t="shared" si="141"/>
        <v>59.263680749999999</v>
      </c>
      <c r="W597" s="68">
        <f t="shared" si="142"/>
        <v>475.37711831550797</v>
      </c>
      <c r="X597" s="68">
        <f t="shared" si="143"/>
        <v>316.91807887700531</v>
      </c>
      <c r="Z597" s="63"/>
      <c r="AA597" s="63"/>
    </row>
    <row r="598" spans="1:27" hidden="1" x14ac:dyDescent="0.25">
      <c r="A598" t="str">
        <f t="shared" si="144"/>
        <v>10620043C22/05/2026M</v>
      </c>
      <c r="B598" s="169" t="s">
        <v>822</v>
      </c>
      <c r="C598" s="61" t="s">
        <v>396</v>
      </c>
      <c r="D598" s="61" t="s">
        <v>591</v>
      </c>
      <c r="E598" s="61" t="s">
        <v>593</v>
      </c>
      <c r="F598" s="1" t="s">
        <v>360</v>
      </c>
      <c r="G598" s="62" t="str">
        <f t="shared" si="145"/>
        <v>64510</v>
      </c>
      <c r="H598" s="1">
        <v>10620043</v>
      </c>
      <c r="I598" s="1" t="s">
        <v>388</v>
      </c>
      <c r="J598" s="61">
        <v>47</v>
      </c>
      <c r="K598" s="61">
        <v>4</v>
      </c>
      <c r="L598" s="61">
        <v>8.1</v>
      </c>
      <c r="M598" s="69">
        <f t="shared" si="133"/>
        <v>1.88</v>
      </c>
      <c r="N598" s="69">
        <f t="shared" si="134"/>
        <v>3.8069999999999999</v>
      </c>
      <c r="O598" s="56">
        <v>37.225069200000007</v>
      </c>
      <c r="P598" s="57">
        <f t="shared" si="135"/>
        <v>1749.5782524000003</v>
      </c>
      <c r="Q598" s="58">
        <f t="shared" si="136"/>
        <v>396.01137446808519</v>
      </c>
      <c r="R598" s="58">
        <f t="shared" si="137"/>
        <v>264.00758297872346</v>
      </c>
      <c r="S598" s="66">
        <f t="shared" si="138"/>
        <v>30.617619417000007</v>
      </c>
      <c r="T598" s="64">
        <f t="shared" si="139"/>
        <v>176.25</v>
      </c>
      <c r="U598" s="66">
        <f t="shared" si="140"/>
        <v>1956.4458718170004</v>
      </c>
      <c r="V598" s="68">
        <f t="shared" si="141"/>
        <v>41.626507911000004</v>
      </c>
      <c r="W598" s="68">
        <f t="shared" si="142"/>
        <v>442.83519054255322</v>
      </c>
      <c r="X598" s="68">
        <f t="shared" si="143"/>
        <v>295.22346036170217</v>
      </c>
      <c r="Z598" s="63"/>
      <c r="AA598" s="63"/>
    </row>
    <row r="599" spans="1:27" hidden="1" x14ac:dyDescent="0.25">
      <c r="A599" t="str">
        <f t="shared" si="144"/>
        <v>10620043B22/05/2026E</v>
      </c>
      <c r="B599" s="169" t="s">
        <v>822</v>
      </c>
      <c r="C599" s="61" t="s">
        <v>397</v>
      </c>
      <c r="D599" s="61" t="s">
        <v>591</v>
      </c>
      <c r="E599" s="61" t="s">
        <v>593</v>
      </c>
      <c r="F599" s="1" t="s">
        <v>360</v>
      </c>
      <c r="G599" s="62" t="str">
        <f t="shared" si="145"/>
        <v>64510</v>
      </c>
      <c r="H599" s="1">
        <v>10620043</v>
      </c>
      <c r="I599" s="1" t="s">
        <v>387</v>
      </c>
      <c r="J599" s="61">
        <v>25</v>
      </c>
      <c r="K599" s="61">
        <v>6.4</v>
      </c>
      <c r="L599" s="61">
        <v>8.8000000000000007</v>
      </c>
      <c r="M599" s="69">
        <f t="shared" si="133"/>
        <v>1.6</v>
      </c>
      <c r="N599" s="69">
        <f t="shared" si="134"/>
        <v>2.2000000000000002</v>
      </c>
      <c r="O599" s="56">
        <v>52.9056</v>
      </c>
      <c r="P599" s="57">
        <f t="shared" si="135"/>
        <v>1322.64</v>
      </c>
      <c r="Q599" s="58">
        <f t="shared" si="136"/>
        <v>431.29565217391303</v>
      </c>
      <c r="R599" s="58">
        <f t="shared" si="137"/>
        <v>287.53043478260867</v>
      </c>
      <c r="S599" s="66">
        <f t="shared" si="138"/>
        <v>23.146200000000004</v>
      </c>
      <c r="T599" s="64">
        <f t="shared" si="139"/>
        <v>93.75</v>
      </c>
      <c r="U599" s="66">
        <f t="shared" si="140"/>
        <v>1439.5362</v>
      </c>
      <c r="V599" s="68">
        <f t="shared" si="141"/>
        <v>57.581448000000002</v>
      </c>
      <c r="W599" s="68">
        <f t="shared" si="142"/>
        <v>469.41397826086956</v>
      </c>
      <c r="X599" s="68">
        <f t="shared" si="143"/>
        <v>312.94265217391302</v>
      </c>
      <c r="Z599" s="63"/>
      <c r="AA599" s="63"/>
    </row>
    <row r="600" spans="1:27" hidden="1" x14ac:dyDescent="0.25">
      <c r="A600" t="str">
        <f t="shared" si="144"/>
        <v>10620043C23/05/2026E</v>
      </c>
      <c r="B600" s="169" t="s">
        <v>822</v>
      </c>
      <c r="C600" s="61" t="s">
        <v>397</v>
      </c>
      <c r="D600" s="61" t="s">
        <v>591</v>
      </c>
      <c r="E600" s="61" t="s">
        <v>593</v>
      </c>
      <c r="F600" s="1" t="s">
        <v>360</v>
      </c>
      <c r="G600" s="62" t="str">
        <f t="shared" si="145"/>
        <v>64510</v>
      </c>
      <c r="H600" s="1">
        <v>10620043</v>
      </c>
      <c r="I600" s="1" t="s">
        <v>388</v>
      </c>
      <c r="J600" s="61">
        <v>41</v>
      </c>
      <c r="K600" s="61">
        <v>3.6</v>
      </c>
      <c r="L600" s="61">
        <v>8.1</v>
      </c>
      <c r="M600" s="69">
        <f t="shared" si="133"/>
        <v>1.476</v>
      </c>
      <c r="N600" s="69">
        <f t="shared" si="134"/>
        <v>3.3209999999999997</v>
      </c>
      <c r="O600" s="56">
        <v>35.641069200000004</v>
      </c>
      <c r="P600" s="57">
        <f t="shared" si="135"/>
        <v>1461.2838372000001</v>
      </c>
      <c r="Q600" s="58">
        <f t="shared" si="136"/>
        <v>396.01188000000008</v>
      </c>
      <c r="R600" s="58">
        <f t="shared" si="137"/>
        <v>264.00792000000007</v>
      </c>
      <c r="S600" s="66">
        <f t="shared" si="138"/>
        <v>25.572467151000005</v>
      </c>
      <c r="T600" s="64">
        <f t="shared" si="139"/>
        <v>153.75</v>
      </c>
      <c r="U600" s="66">
        <f t="shared" si="140"/>
        <v>1640.6063043510001</v>
      </c>
      <c r="V600" s="68">
        <f t="shared" si="141"/>
        <v>40.014787910999999</v>
      </c>
      <c r="W600" s="68">
        <f t="shared" si="142"/>
        <v>444.60875456666668</v>
      </c>
      <c r="X600" s="68">
        <f t="shared" si="143"/>
        <v>296.4058363777778</v>
      </c>
      <c r="Z600" s="63"/>
      <c r="AA600" s="63"/>
    </row>
    <row r="601" spans="1:27" hidden="1" x14ac:dyDescent="0.25">
      <c r="A601" t="str">
        <f t="shared" si="144"/>
        <v>10620043B23/05/2026M</v>
      </c>
      <c r="B601" s="169" t="s">
        <v>823</v>
      </c>
      <c r="C601" s="61" t="s">
        <v>396</v>
      </c>
      <c r="D601" s="61" t="s">
        <v>591</v>
      </c>
      <c r="E601" s="61" t="s">
        <v>593</v>
      </c>
      <c r="F601" s="1" t="s">
        <v>360</v>
      </c>
      <c r="G601" s="62" t="str">
        <f t="shared" si="145"/>
        <v>64510</v>
      </c>
      <c r="H601" s="1">
        <v>10620043</v>
      </c>
      <c r="I601" s="1" t="s">
        <v>387</v>
      </c>
      <c r="J601" s="61">
        <v>21</v>
      </c>
      <c r="K601" s="61">
        <v>6</v>
      </c>
      <c r="L601" s="61">
        <v>8.4</v>
      </c>
      <c r="M601" s="69">
        <f t="shared" si="133"/>
        <v>1.26</v>
      </c>
      <c r="N601" s="69">
        <f t="shared" si="134"/>
        <v>1.764</v>
      </c>
      <c r="O601" s="56">
        <v>48.597000000000001</v>
      </c>
      <c r="P601" s="57">
        <f t="shared" si="135"/>
        <v>1020.537</v>
      </c>
      <c r="Q601" s="58">
        <f t="shared" si="136"/>
        <v>418.93965517241384</v>
      </c>
      <c r="R601" s="58">
        <f t="shared" si="137"/>
        <v>279.29310344827587</v>
      </c>
      <c r="S601" s="66">
        <f t="shared" si="138"/>
        <v>17.859397500000004</v>
      </c>
      <c r="T601" s="64">
        <f t="shared" si="139"/>
        <v>78.75</v>
      </c>
      <c r="U601" s="66">
        <f t="shared" si="140"/>
        <v>1117.1463975000001</v>
      </c>
      <c r="V601" s="68">
        <f t="shared" si="141"/>
        <v>53.19744750000001</v>
      </c>
      <c r="W601" s="68">
        <f t="shared" si="142"/>
        <v>458.59868534482769</v>
      </c>
      <c r="X601" s="68">
        <f t="shared" si="143"/>
        <v>305.73245689655181</v>
      </c>
      <c r="Z601" s="63"/>
      <c r="AA601" s="63"/>
    </row>
    <row r="602" spans="1:27" hidden="1" x14ac:dyDescent="0.25">
      <c r="A602" t="str">
        <f t="shared" si="144"/>
        <v>10620043C23/05/2026M</v>
      </c>
      <c r="B602" s="169" t="s">
        <v>823</v>
      </c>
      <c r="C602" s="61" t="s">
        <v>396</v>
      </c>
      <c r="D602" s="61" t="s">
        <v>591</v>
      </c>
      <c r="E602" s="61" t="s">
        <v>593</v>
      </c>
      <c r="F602" s="1" t="s">
        <v>360</v>
      </c>
      <c r="G602" s="62" t="str">
        <f t="shared" si="145"/>
        <v>64510</v>
      </c>
      <c r="H602" s="1">
        <v>10620043</v>
      </c>
      <c r="I602" s="1" t="s">
        <v>388</v>
      </c>
      <c r="J602" s="61">
        <v>35</v>
      </c>
      <c r="K602" s="61">
        <v>3.9</v>
      </c>
      <c r="L602" s="61">
        <v>8.1</v>
      </c>
      <c r="M602" s="69">
        <f t="shared" si="133"/>
        <v>1.365</v>
      </c>
      <c r="N602" s="69">
        <f t="shared" si="134"/>
        <v>2.835</v>
      </c>
      <c r="O602" s="56">
        <v>36.829069200000006</v>
      </c>
      <c r="P602" s="57">
        <f t="shared" si="135"/>
        <v>1289.0174220000001</v>
      </c>
      <c r="Q602" s="58">
        <f t="shared" si="136"/>
        <v>396.01149677419363</v>
      </c>
      <c r="R602" s="58">
        <f t="shared" si="137"/>
        <v>264.00766451612907</v>
      </c>
      <c r="S602" s="66">
        <f t="shared" si="138"/>
        <v>22.557804885000003</v>
      </c>
      <c r="T602" s="64">
        <f t="shared" si="139"/>
        <v>131.25</v>
      </c>
      <c r="U602" s="66">
        <f t="shared" si="140"/>
        <v>1442.8252268850001</v>
      </c>
      <c r="V602" s="68">
        <f t="shared" si="141"/>
        <v>41.223577911000007</v>
      </c>
      <c r="W602" s="68">
        <f t="shared" si="142"/>
        <v>443.2642786129033</v>
      </c>
      <c r="X602" s="68">
        <f t="shared" si="143"/>
        <v>295.50951907526888</v>
      </c>
      <c r="Z602" s="63"/>
      <c r="AA602" s="63"/>
    </row>
    <row r="603" spans="1:27" hidden="1" x14ac:dyDescent="0.25">
      <c r="A603" t="str">
        <f t="shared" si="144"/>
        <v>10620043B23/05/2026E</v>
      </c>
      <c r="B603" s="169" t="s">
        <v>823</v>
      </c>
      <c r="C603" s="61" t="s">
        <v>397</v>
      </c>
      <c r="D603" s="61" t="s">
        <v>591</v>
      </c>
      <c r="E603" s="61" t="s">
        <v>593</v>
      </c>
      <c r="F603" s="1" t="s">
        <v>360</v>
      </c>
      <c r="G603" s="62" t="str">
        <f t="shared" si="145"/>
        <v>64510</v>
      </c>
      <c r="H603" s="1">
        <v>10620043</v>
      </c>
      <c r="I603" s="1" t="s">
        <v>387</v>
      </c>
      <c r="J603" s="61">
        <v>20</v>
      </c>
      <c r="K603" s="61">
        <v>7</v>
      </c>
      <c r="L603" s="61">
        <v>8.8000000000000007</v>
      </c>
      <c r="M603" s="69">
        <f t="shared" si="133"/>
        <v>1.4</v>
      </c>
      <c r="N603" s="69">
        <f t="shared" si="134"/>
        <v>1.76</v>
      </c>
      <c r="O603" s="56">
        <v>57.865500000000004</v>
      </c>
      <c r="P603" s="57">
        <f t="shared" si="135"/>
        <v>1157.3100000000002</v>
      </c>
      <c r="Q603" s="58">
        <f t="shared" si="136"/>
        <v>449.73186528497411</v>
      </c>
      <c r="R603" s="58">
        <f t="shared" si="137"/>
        <v>299.82124352331607</v>
      </c>
      <c r="S603" s="66">
        <f t="shared" si="138"/>
        <v>20.252925000000005</v>
      </c>
      <c r="T603" s="64">
        <f t="shared" si="139"/>
        <v>75</v>
      </c>
      <c r="U603" s="66">
        <f t="shared" si="140"/>
        <v>1252.5629250000002</v>
      </c>
      <c r="V603" s="68">
        <f t="shared" si="141"/>
        <v>62.628146250000007</v>
      </c>
      <c r="W603" s="68">
        <f t="shared" si="142"/>
        <v>486.74725064766841</v>
      </c>
      <c r="X603" s="68">
        <f t="shared" si="143"/>
        <v>324.49816709844561</v>
      </c>
      <c r="Z603" s="63"/>
      <c r="AA603" s="63"/>
    </row>
    <row r="604" spans="1:27" hidden="1" x14ac:dyDescent="0.25">
      <c r="A604" t="str">
        <f t="shared" si="144"/>
        <v>10620043C24/05/2026E</v>
      </c>
      <c r="B604" s="169" t="s">
        <v>823</v>
      </c>
      <c r="C604" s="61" t="s">
        <v>397</v>
      </c>
      <c r="D604" s="61" t="s">
        <v>591</v>
      </c>
      <c r="E604" s="61" t="s">
        <v>593</v>
      </c>
      <c r="F604" s="1" t="s">
        <v>360</v>
      </c>
      <c r="G604" s="62" t="str">
        <f t="shared" si="145"/>
        <v>64510</v>
      </c>
      <c r="H604" s="1">
        <v>10620043</v>
      </c>
      <c r="I604" s="1" t="s">
        <v>388</v>
      </c>
      <c r="J604" s="61">
        <v>36</v>
      </c>
      <c r="K604" s="61">
        <v>3.6</v>
      </c>
      <c r="L604" s="61">
        <v>8.1</v>
      </c>
      <c r="M604" s="69">
        <f t="shared" si="133"/>
        <v>1.296</v>
      </c>
      <c r="N604" s="69">
        <f t="shared" si="134"/>
        <v>2.9159999999999995</v>
      </c>
      <c r="O604" s="56">
        <v>35.641069200000004</v>
      </c>
      <c r="P604" s="57">
        <f t="shared" si="135"/>
        <v>1283.0784912000001</v>
      </c>
      <c r="Q604" s="58">
        <f t="shared" si="136"/>
        <v>396.01188000000008</v>
      </c>
      <c r="R604" s="58">
        <f t="shared" si="137"/>
        <v>264.00792000000007</v>
      </c>
      <c r="S604" s="66">
        <f t="shared" si="138"/>
        <v>22.453873596000005</v>
      </c>
      <c r="T604" s="64">
        <f t="shared" si="139"/>
        <v>135</v>
      </c>
      <c r="U604" s="66">
        <f t="shared" si="140"/>
        <v>1440.5323647960001</v>
      </c>
      <c r="V604" s="68">
        <f t="shared" si="141"/>
        <v>40.014787911000006</v>
      </c>
      <c r="W604" s="68">
        <f t="shared" si="142"/>
        <v>444.60875456666673</v>
      </c>
      <c r="X604" s="68">
        <f t="shared" si="143"/>
        <v>296.4058363777778</v>
      </c>
      <c r="Z604" s="63"/>
      <c r="AA604" s="63"/>
    </row>
    <row r="605" spans="1:27" hidden="1" x14ac:dyDescent="0.25">
      <c r="A605" t="str">
        <f t="shared" si="144"/>
        <v>10620043B24/05/2026M</v>
      </c>
      <c r="B605" s="169" t="s">
        <v>824</v>
      </c>
      <c r="C605" s="61" t="s">
        <v>396</v>
      </c>
      <c r="D605" s="61" t="s">
        <v>591</v>
      </c>
      <c r="E605" s="61" t="s">
        <v>593</v>
      </c>
      <c r="F605" s="1" t="s">
        <v>360</v>
      </c>
      <c r="G605" s="62" t="str">
        <f t="shared" si="145"/>
        <v>64510</v>
      </c>
      <c r="H605" s="1">
        <v>10620043</v>
      </c>
      <c r="I605" s="1" t="s">
        <v>387</v>
      </c>
      <c r="J605" s="61">
        <v>21</v>
      </c>
      <c r="K605" s="61">
        <v>6.1</v>
      </c>
      <c r="L605" s="61">
        <v>8.4</v>
      </c>
      <c r="M605" s="69">
        <f t="shared" si="133"/>
        <v>1.2809999999999999</v>
      </c>
      <c r="N605" s="69">
        <f t="shared" si="134"/>
        <v>1.764</v>
      </c>
      <c r="O605" s="56">
        <v>49.406950000000002</v>
      </c>
      <c r="P605" s="57">
        <f t="shared" si="135"/>
        <v>1037.5459499999999</v>
      </c>
      <c r="Q605" s="58">
        <f t="shared" si="136"/>
        <v>422.28162393162398</v>
      </c>
      <c r="R605" s="58">
        <f t="shared" si="137"/>
        <v>281.52108262108266</v>
      </c>
      <c r="S605" s="66">
        <f t="shared" si="138"/>
        <v>18.157054125000002</v>
      </c>
      <c r="T605" s="64">
        <f t="shared" si="139"/>
        <v>78.75</v>
      </c>
      <c r="U605" s="66">
        <f t="shared" si="140"/>
        <v>1134.453004125</v>
      </c>
      <c r="V605" s="68">
        <f t="shared" si="141"/>
        <v>54.021571625</v>
      </c>
      <c r="W605" s="68">
        <f t="shared" si="142"/>
        <v>461.72283440170941</v>
      </c>
      <c r="X605" s="68">
        <f t="shared" si="143"/>
        <v>307.81522293447296</v>
      </c>
      <c r="Z605" s="63"/>
      <c r="AA605" s="63"/>
    </row>
    <row r="606" spans="1:27" hidden="1" x14ac:dyDescent="0.25">
      <c r="A606" t="str">
        <f t="shared" si="144"/>
        <v>10620043C24/05/2026M</v>
      </c>
      <c r="B606" s="169" t="s">
        <v>824</v>
      </c>
      <c r="C606" s="61" t="s">
        <v>396</v>
      </c>
      <c r="D606" s="61" t="s">
        <v>591</v>
      </c>
      <c r="E606" s="61" t="s">
        <v>593</v>
      </c>
      <c r="F606" s="1" t="s">
        <v>360</v>
      </c>
      <c r="G606" s="62" t="str">
        <f t="shared" si="145"/>
        <v>64510</v>
      </c>
      <c r="H606" s="1">
        <v>10620043</v>
      </c>
      <c r="I606" s="1" t="s">
        <v>388</v>
      </c>
      <c r="J606" s="61">
        <v>41</v>
      </c>
      <c r="K606" s="61">
        <v>3.8</v>
      </c>
      <c r="L606" s="61">
        <v>8</v>
      </c>
      <c r="M606" s="69">
        <f t="shared" ref="M606:M669" si="146">K606*J606/100</f>
        <v>1.5579999999999998</v>
      </c>
      <c r="N606" s="69">
        <f t="shared" ref="N606:N669" si="147">L606*J606/100</f>
        <v>3.28</v>
      </c>
      <c r="O606" s="56">
        <v>36.169056000000005</v>
      </c>
      <c r="P606" s="57">
        <f t="shared" ref="P606:P669" si="148">O606*J606</f>
        <v>1482.9312960000002</v>
      </c>
      <c r="Q606" s="58">
        <f t="shared" ref="Q606:Q669" si="149">O606/(K606%+L606%*2/3)</f>
        <v>396.01156204379566</v>
      </c>
      <c r="R606" s="58">
        <f t="shared" ref="R606:R669" si="150">Q606*2/3</f>
        <v>264.00770802919709</v>
      </c>
      <c r="S606" s="66">
        <f t="shared" ref="S606:S669" si="151">P606*1.75%</f>
        <v>25.951297680000007</v>
      </c>
      <c r="T606" s="64">
        <f t="shared" ref="T606:T669" si="152">J606*3.75</f>
        <v>153.75</v>
      </c>
      <c r="U606" s="66">
        <f t="shared" ref="U606:U669" si="153">S606+T606+P606</f>
        <v>1662.6325936800001</v>
      </c>
      <c r="V606" s="68">
        <f t="shared" ref="V606:V669" si="154">U606/J606</f>
        <v>40.552014480000004</v>
      </c>
      <c r="W606" s="68">
        <f t="shared" ref="W606:W669" si="155">V606/(K606%+L606%*2/3)</f>
        <v>444.000158540146</v>
      </c>
      <c r="X606" s="68">
        <f t="shared" ref="X606:X669" si="156">W606*2/3</f>
        <v>296.00010569343067</v>
      </c>
      <c r="Z606" s="63"/>
      <c r="AA606" s="63"/>
    </row>
    <row r="607" spans="1:27" hidden="1" x14ac:dyDescent="0.25">
      <c r="A607" t="str">
        <f t="shared" si="144"/>
        <v>10620043B24/05/2026E</v>
      </c>
      <c r="B607" s="169" t="s">
        <v>824</v>
      </c>
      <c r="C607" s="61" t="s">
        <v>397</v>
      </c>
      <c r="D607" s="61" t="s">
        <v>591</v>
      </c>
      <c r="E607" s="61" t="s">
        <v>593</v>
      </c>
      <c r="F607" s="1" t="s">
        <v>360</v>
      </c>
      <c r="G607" s="62" t="str">
        <f t="shared" si="145"/>
        <v>64510</v>
      </c>
      <c r="H607" s="1">
        <v>10620043</v>
      </c>
      <c r="I607" s="1" t="s">
        <v>387</v>
      </c>
      <c r="J607" s="61">
        <v>23</v>
      </c>
      <c r="K607" s="61">
        <v>6.3</v>
      </c>
      <c r="L607" s="61">
        <v>8.6</v>
      </c>
      <c r="M607" s="69">
        <f t="shared" si="146"/>
        <v>1.4490000000000001</v>
      </c>
      <c r="N607" s="69">
        <f t="shared" si="147"/>
        <v>1.9779999999999998</v>
      </c>
      <c r="O607" s="56">
        <v>51.552899999999994</v>
      </c>
      <c r="P607" s="57">
        <f t="shared" si="148"/>
        <v>1185.7166999999999</v>
      </c>
      <c r="Q607" s="58">
        <f t="shared" si="149"/>
        <v>428.41745152354571</v>
      </c>
      <c r="R607" s="58">
        <f t="shared" si="150"/>
        <v>285.61163434903045</v>
      </c>
      <c r="S607" s="66">
        <f t="shared" si="151"/>
        <v>20.75004225</v>
      </c>
      <c r="T607" s="64">
        <f t="shared" si="152"/>
        <v>86.25</v>
      </c>
      <c r="U607" s="66">
        <f t="shared" si="153"/>
        <v>1292.7167422499999</v>
      </c>
      <c r="V607" s="68">
        <f t="shared" si="154"/>
        <v>56.205075749999999</v>
      </c>
      <c r="W607" s="68">
        <f t="shared" si="155"/>
        <v>467.07819182825489</v>
      </c>
      <c r="X607" s="68">
        <f t="shared" si="156"/>
        <v>311.38546121883661</v>
      </c>
      <c r="Z607" s="63"/>
      <c r="AA607" s="63"/>
    </row>
    <row r="608" spans="1:27" hidden="1" x14ac:dyDescent="0.25">
      <c r="A608" t="str">
        <f t="shared" si="144"/>
        <v>10620043C25/05/2026E</v>
      </c>
      <c r="B608" s="169" t="s">
        <v>824</v>
      </c>
      <c r="C608" s="61" t="s">
        <v>397</v>
      </c>
      <c r="D608" s="61" t="s">
        <v>591</v>
      </c>
      <c r="E608" s="61" t="s">
        <v>593</v>
      </c>
      <c r="F608" s="1" t="s">
        <v>360</v>
      </c>
      <c r="G608" s="62" t="str">
        <f t="shared" si="145"/>
        <v>64510</v>
      </c>
      <c r="H608" s="1">
        <v>10620043</v>
      </c>
      <c r="I608" s="1" t="s">
        <v>388</v>
      </c>
      <c r="J608" s="61">
        <v>40</v>
      </c>
      <c r="K608" s="61">
        <v>3</v>
      </c>
      <c r="L608" s="61">
        <v>8</v>
      </c>
      <c r="M608" s="69">
        <f t="shared" si="146"/>
        <v>1.2</v>
      </c>
      <c r="N608" s="69">
        <f t="shared" si="147"/>
        <v>3.2</v>
      </c>
      <c r="O608" s="56">
        <v>33.001056000000005</v>
      </c>
      <c r="P608" s="57">
        <f t="shared" si="148"/>
        <v>1320.0422400000002</v>
      </c>
      <c r="Q608" s="58">
        <f t="shared" si="149"/>
        <v>396.01267200000001</v>
      </c>
      <c r="R608" s="58">
        <f t="shared" si="150"/>
        <v>264.00844799999999</v>
      </c>
      <c r="S608" s="66">
        <f t="shared" si="151"/>
        <v>23.100739200000007</v>
      </c>
      <c r="T608" s="64">
        <f t="shared" si="152"/>
        <v>150</v>
      </c>
      <c r="U608" s="66">
        <f t="shared" si="153"/>
        <v>1493.1429792000004</v>
      </c>
      <c r="V608" s="68">
        <f t="shared" si="154"/>
        <v>37.328574480000007</v>
      </c>
      <c r="W608" s="68">
        <f t="shared" si="155"/>
        <v>447.94289376000006</v>
      </c>
      <c r="X608" s="68">
        <f t="shared" si="156"/>
        <v>298.62859584000006</v>
      </c>
      <c r="Z608" s="63"/>
      <c r="AA608" s="63"/>
    </row>
    <row r="609" spans="1:27" hidden="1" x14ac:dyDescent="0.25">
      <c r="A609" t="str">
        <f t="shared" si="144"/>
        <v>10620043B25/05/2026M</v>
      </c>
      <c r="B609" s="169" t="s">
        <v>825</v>
      </c>
      <c r="C609" s="61" t="s">
        <v>396</v>
      </c>
      <c r="D609" s="61" t="s">
        <v>591</v>
      </c>
      <c r="E609" s="61" t="s">
        <v>593</v>
      </c>
      <c r="F609" s="1" t="s">
        <v>360</v>
      </c>
      <c r="G609" s="62" t="str">
        <f t="shared" si="145"/>
        <v>64510</v>
      </c>
      <c r="H609" s="1">
        <v>10620043</v>
      </c>
      <c r="I609" s="1" t="s">
        <v>387</v>
      </c>
      <c r="J609" s="61">
        <v>23</v>
      </c>
      <c r="K609" s="61">
        <v>5.8</v>
      </c>
      <c r="L609" s="61">
        <v>8.4</v>
      </c>
      <c r="M609" s="69">
        <f t="shared" si="146"/>
        <v>1.3340000000000001</v>
      </c>
      <c r="N609" s="69">
        <f t="shared" si="147"/>
        <v>1.9320000000000002</v>
      </c>
      <c r="O609" s="56">
        <v>46.9771</v>
      </c>
      <c r="P609" s="57">
        <f t="shared" si="148"/>
        <v>1080.4733000000001</v>
      </c>
      <c r="Q609" s="58">
        <f t="shared" si="149"/>
        <v>412.07982456140354</v>
      </c>
      <c r="R609" s="58">
        <f t="shared" si="150"/>
        <v>274.71988304093571</v>
      </c>
      <c r="S609" s="66">
        <f t="shared" si="151"/>
        <v>18.908282750000005</v>
      </c>
      <c r="T609" s="64">
        <f t="shared" si="152"/>
        <v>86.25</v>
      </c>
      <c r="U609" s="66">
        <f t="shared" si="153"/>
        <v>1185.6315827500002</v>
      </c>
      <c r="V609" s="68">
        <f t="shared" si="154"/>
        <v>51.549199250000008</v>
      </c>
      <c r="W609" s="68">
        <f t="shared" si="155"/>
        <v>452.18595833333342</v>
      </c>
      <c r="X609" s="68">
        <f t="shared" si="156"/>
        <v>301.45730555555559</v>
      </c>
      <c r="Z609" s="63"/>
      <c r="AA609" s="63"/>
    </row>
    <row r="610" spans="1:27" hidden="1" x14ac:dyDescent="0.25">
      <c r="A610" t="str">
        <f t="shared" si="144"/>
        <v>10620043C25/05/2026M</v>
      </c>
      <c r="B610" s="169" t="s">
        <v>825</v>
      </c>
      <c r="C610" s="61" t="s">
        <v>396</v>
      </c>
      <c r="D610" s="61" t="s">
        <v>591</v>
      </c>
      <c r="E610" s="61" t="s">
        <v>593</v>
      </c>
      <c r="F610" s="1" t="s">
        <v>360</v>
      </c>
      <c r="G610" s="62" t="str">
        <f t="shared" si="145"/>
        <v>64510</v>
      </c>
      <c r="H610" s="1">
        <v>10620043</v>
      </c>
      <c r="I610" s="1" t="s">
        <v>388</v>
      </c>
      <c r="J610" s="61">
        <v>41</v>
      </c>
      <c r="K610" s="61">
        <v>3.7</v>
      </c>
      <c r="L610" s="61">
        <v>8</v>
      </c>
      <c r="M610" s="69">
        <f t="shared" si="146"/>
        <v>1.5170000000000001</v>
      </c>
      <c r="N610" s="69">
        <f t="shared" si="147"/>
        <v>3.28</v>
      </c>
      <c r="O610" s="56">
        <v>35.773056000000004</v>
      </c>
      <c r="P610" s="57">
        <f t="shared" si="148"/>
        <v>1466.6952960000001</v>
      </c>
      <c r="Q610" s="58">
        <f t="shared" si="149"/>
        <v>396.01169003690035</v>
      </c>
      <c r="R610" s="58">
        <f t="shared" si="150"/>
        <v>264.00779335793356</v>
      </c>
      <c r="S610" s="66">
        <f t="shared" si="151"/>
        <v>25.667167680000006</v>
      </c>
      <c r="T610" s="64">
        <f t="shared" si="152"/>
        <v>153.75</v>
      </c>
      <c r="U610" s="66">
        <f t="shared" si="153"/>
        <v>1646.11246368</v>
      </c>
      <c r="V610" s="68">
        <f t="shared" si="154"/>
        <v>40.149084479999999</v>
      </c>
      <c r="W610" s="68">
        <f t="shared" si="155"/>
        <v>444.45480974169732</v>
      </c>
      <c r="X610" s="68">
        <f t="shared" si="156"/>
        <v>296.30320649446486</v>
      </c>
      <c r="Z610" s="63"/>
      <c r="AA610" s="63"/>
    </row>
    <row r="611" spans="1:27" hidden="1" x14ac:dyDescent="0.25">
      <c r="A611" t="str">
        <f t="shared" si="144"/>
        <v>10620043B25/05/2026E</v>
      </c>
      <c r="B611" s="169" t="s">
        <v>825</v>
      </c>
      <c r="C611" s="61" t="s">
        <v>397</v>
      </c>
      <c r="D611" s="61" t="s">
        <v>591</v>
      </c>
      <c r="E611" s="61" t="s">
        <v>593</v>
      </c>
      <c r="F611" s="1" t="s">
        <v>360</v>
      </c>
      <c r="G611" s="62" t="str">
        <f t="shared" si="145"/>
        <v>64510</v>
      </c>
      <c r="H611" s="1">
        <v>10620043</v>
      </c>
      <c r="I611" s="1" t="s">
        <v>387</v>
      </c>
      <c r="J611" s="61">
        <v>25</v>
      </c>
      <c r="K611" s="61">
        <v>6.2</v>
      </c>
      <c r="L611" s="61">
        <v>8.8000000000000007</v>
      </c>
      <c r="M611" s="69">
        <f t="shared" si="146"/>
        <v>1.55</v>
      </c>
      <c r="N611" s="69">
        <f t="shared" si="147"/>
        <v>2.2000000000000002</v>
      </c>
      <c r="O611" s="56">
        <v>51.252300000000005</v>
      </c>
      <c r="P611" s="57">
        <f t="shared" si="148"/>
        <v>1281.3075000000001</v>
      </c>
      <c r="Q611" s="58">
        <f t="shared" si="149"/>
        <v>424.74281767955802</v>
      </c>
      <c r="R611" s="58">
        <f t="shared" si="150"/>
        <v>283.1618784530387</v>
      </c>
      <c r="S611" s="66">
        <f t="shared" si="151"/>
        <v>22.422881250000003</v>
      </c>
      <c r="T611" s="64">
        <f t="shared" si="152"/>
        <v>93.75</v>
      </c>
      <c r="U611" s="66">
        <f t="shared" si="153"/>
        <v>1397.4803812500002</v>
      </c>
      <c r="V611" s="68">
        <f t="shared" si="154"/>
        <v>55.899215250000005</v>
      </c>
      <c r="W611" s="68">
        <f t="shared" si="155"/>
        <v>463.25316505524864</v>
      </c>
      <c r="X611" s="68">
        <f t="shared" si="156"/>
        <v>308.83544337016576</v>
      </c>
      <c r="Z611" s="63"/>
      <c r="AA611" s="63"/>
    </row>
    <row r="612" spans="1:27" hidden="1" x14ac:dyDescent="0.25">
      <c r="A612" t="str">
        <f t="shared" si="144"/>
        <v>10620043C26/05/2026E</v>
      </c>
      <c r="B612" s="169" t="s">
        <v>825</v>
      </c>
      <c r="C612" s="61" t="s">
        <v>397</v>
      </c>
      <c r="D612" s="61" t="s">
        <v>591</v>
      </c>
      <c r="E612" s="61" t="s">
        <v>593</v>
      </c>
      <c r="F612" s="1" t="s">
        <v>360</v>
      </c>
      <c r="G612" s="62" t="str">
        <f t="shared" si="145"/>
        <v>64510</v>
      </c>
      <c r="H612" s="1">
        <v>10620043</v>
      </c>
      <c r="I612" s="1" t="s">
        <v>388</v>
      </c>
      <c r="J612" s="61">
        <v>37</v>
      </c>
      <c r="K612" s="61">
        <v>3.3</v>
      </c>
      <c r="L612" s="61">
        <v>8.1999999999999993</v>
      </c>
      <c r="M612" s="69">
        <f t="shared" si="146"/>
        <v>1.2209999999999999</v>
      </c>
      <c r="N612" s="69">
        <f t="shared" si="147"/>
        <v>3.0339999999999998</v>
      </c>
      <c r="O612" s="56">
        <v>34.717082400000002</v>
      </c>
      <c r="P612" s="57">
        <f t="shared" si="148"/>
        <v>1284.5320488</v>
      </c>
      <c r="Q612" s="58">
        <f t="shared" si="149"/>
        <v>396.01234676806087</v>
      </c>
      <c r="R612" s="58">
        <f t="shared" si="150"/>
        <v>264.00823117870726</v>
      </c>
      <c r="S612" s="66">
        <f t="shared" si="151"/>
        <v>22.479310854000001</v>
      </c>
      <c r="T612" s="64">
        <f t="shared" si="152"/>
        <v>138.75</v>
      </c>
      <c r="U612" s="66">
        <f t="shared" si="153"/>
        <v>1445.761359654</v>
      </c>
      <c r="V612" s="68">
        <f t="shared" si="154"/>
        <v>39.074631341999996</v>
      </c>
      <c r="W612" s="68">
        <f t="shared" si="155"/>
        <v>445.71822823574138</v>
      </c>
      <c r="X612" s="68">
        <f t="shared" si="156"/>
        <v>297.14548549049425</v>
      </c>
      <c r="Z612" s="63"/>
      <c r="AA612" s="63"/>
    </row>
    <row r="613" spans="1:27" hidden="1" x14ac:dyDescent="0.25">
      <c r="A613" t="str">
        <f t="shared" si="144"/>
        <v>10620043B26/05/2026M</v>
      </c>
      <c r="B613" s="169" t="s">
        <v>826</v>
      </c>
      <c r="C613" s="61" t="s">
        <v>396</v>
      </c>
      <c r="D613" s="61" t="s">
        <v>591</v>
      </c>
      <c r="E613" s="61" t="s">
        <v>593</v>
      </c>
      <c r="F613" s="1" t="s">
        <v>360</v>
      </c>
      <c r="G613" s="62" t="str">
        <f t="shared" si="145"/>
        <v>64510</v>
      </c>
      <c r="H613" s="1">
        <v>10620043</v>
      </c>
      <c r="I613" s="1" t="s">
        <v>387</v>
      </c>
      <c r="J613" s="61">
        <v>23</v>
      </c>
      <c r="K613" s="61">
        <v>5.7</v>
      </c>
      <c r="L613" s="61">
        <v>8.8000000000000007</v>
      </c>
      <c r="M613" s="69">
        <f t="shared" si="146"/>
        <v>1.3109999999999999</v>
      </c>
      <c r="N613" s="69">
        <f t="shared" si="147"/>
        <v>2.024</v>
      </c>
      <c r="O613" s="56">
        <f>INDEX(Rate_Chart!$A$1:$AK$127,MATCH(Data!K613,Rate_Chart!$A$1:$A$127,0),MATCH(Data!L613,Rate_Chart!$A$1:$AK$1,0))</f>
        <v>47.119050000000001</v>
      </c>
      <c r="P613" s="57">
        <f t="shared" si="148"/>
        <v>1083.7381500000001</v>
      </c>
      <c r="Q613" s="58">
        <f t="shared" si="149"/>
        <v>407.3693083573487</v>
      </c>
      <c r="R613" s="58">
        <f t="shared" si="150"/>
        <v>271.57953890489915</v>
      </c>
      <c r="S613" s="66">
        <f t="shared" si="151"/>
        <v>18.965417625000004</v>
      </c>
      <c r="T613" s="64">
        <f t="shared" si="152"/>
        <v>86.25</v>
      </c>
      <c r="U613" s="66">
        <f t="shared" si="153"/>
        <v>1188.9535676250002</v>
      </c>
      <c r="V613" s="68">
        <f t="shared" si="154"/>
        <v>51.693633375000012</v>
      </c>
      <c r="W613" s="68">
        <f t="shared" si="155"/>
        <v>446.91902053314129</v>
      </c>
      <c r="X613" s="68">
        <f t="shared" si="156"/>
        <v>297.94601368876084</v>
      </c>
      <c r="Z613" s="63"/>
      <c r="AA613" s="63"/>
    </row>
    <row r="614" spans="1:27" hidden="1" x14ac:dyDescent="0.25">
      <c r="A614" t="str">
        <f t="shared" si="144"/>
        <v>10620043C26/05/2026M</v>
      </c>
      <c r="B614" s="169" t="s">
        <v>826</v>
      </c>
      <c r="C614" s="61" t="s">
        <v>396</v>
      </c>
      <c r="D614" s="61" t="s">
        <v>591</v>
      </c>
      <c r="E614" s="61" t="s">
        <v>593</v>
      </c>
      <c r="F614" s="1" t="s">
        <v>360</v>
      </c>
      <c r="G614" s="62" t="str">
        <f t="shared" si="145"/>
        <v>64510</v>
      </c>
      <c r="H614" s="1">
        <v>10620043</v>
      </c>
      <c r="I614" s="1" t="s">
        <v>388</v>
      </c>
      <c r="J614" s="61">
        <v>39</v>
      </c>
      <c r="K614" s="61">
        <v>3.9</v>
      </c>
      <c r="L614" s="61">
        <v>8.3000000000000007</v>
      </c>
      <c r="M614" s="69">
        <f t="shared" si="146"/>
        <v>1.5209999999999999</v>
      </c>
      <c r="N614" s="69">
        <f t="shared" si="147"/>
        <v>3.2370000000000005</v>
      </c>
      <c r="O614" s="56">
        <f>INDEX(Rate_Chart!$A$1:$AK$127,MATCH(Data!K614,Rate_Chart!$A$1:$A$127,0),MATCH(Data!L614,Rate_Chart!$A$1:$AK$1,0))</f>
        <v>39.338153700000007</v>
      </c>
      <c r="P614" s="57">
        <f t="shared" si="148"/>
        <v>1534.1879943000004</v>
      </c>
      <c r="Q614" s="58">
        <f t="shared" si="149"/>
        <v>417.01223003533573</v>
      </c>
      <c r="R614" s="58">
        <f t="shared" si="150"/>
        <v>278.00815335689049</v>
      </c>
      <c r="S614" s="66">
        <f t="shared" si="151"/>
        <v>26.848289900250009</v>
      </c>
      <c r="T614" s="64">
        <f t="shared" si="152"/>
        <v>146.25</v>
      </c>
      <c r="U614" s="66">
        <f t="shared" si="153"/>
        <v>1707.2862842002503</v>
      </c>
      <c r="V614" s="68">
        <f t="shared" si="154"/>
        <v>43.776571389750011</v>
      </c>
      <c r="W614" s="68">
        <f t="shared" si="155"/>
        <v>464.0625942376326</v>
      </c>
      <c r="X614" s="68">
        <f t="shared" si="156"/>
        <v>309.37506282508838</v>
      </c>
      <c r="Z614" s="63"/>
      <c r="AA614" s="63"/>
    </row>
    <row r="615" spans="1:27" hidden="1" x14ac:dyDescent="0.25">
      <c r="A615" t="str">
        <f t="shared" si="144"/>
        <v>10620043B26/05/2026E</v>
      </c>
      <c r="B615" s="169" t="s">
        <v>826</v>
      </c>
      <c r="C615" s="61" t="s">
        <v>397</v>
      </c>
      <c r="D615" s="61" t="s">
        <v>591</v>
      </c>
      <c r="E615" s="61" t="s">
        <v>593</v>
      </c>
      <c r="F615" s="1" t="s">
        <v>360</v>
      </c>
      <c r="G615" s="62" t="str">
        <f t="shared" si="145"/>
        <v>64510</v>
      </c>
      <c r="H615" s="1">
        <v>10620043</v>
      </c>
      <c r="I615" s="1" t="s">
        <v>387</v>
      </c>
      <c r="J615" s="61">
        <v>17</v>
      </c>
      <c r="K615" s="61">
        <v>7.2</v>
      </c>
      <c r="L615" s="61">
        <v>9</v>
      </c>
      <c r="M615" s="69">
        <f t="shared" si="146"/>
        <v>1.224</v>
      </c>
      <c r="N615" s="69">
        <f t="shared" si="147"/>
        <v>1.53</v>
      </c>
      <c r="O615" s="56">
        <f>INDEX(Rate_Chart!$A$1:$AK$127,MATCH(Data!K615,Rate_Chart!$A$1:$A$127,0),MATCH(Data!L615,Rate_Chart!$A$1:$AK$1,0))</f>
        <v>60.120000000000005</v>
      </c>
      <c r="P615" s="57">
        <f t="shared" si="148"/>
        <v>1022.0400000000001</v>
      </c>
      <c r="Q615" s="58">
        <f t="shared" si="149"/>
        <v>455.4545454545455</v>
      </c>
      <c r="R615" s="58">
        <f t="shared" si="150"/>
        <v>303.63636363636368</v>
      </c>
      <c r="S615" s="66">
        <f t="shared" si="151"/>
        <v>17.885700000000003</v>
      </c>
      <c r="T615" s="64">
        <f t="shared" si="152"/>
        <v>63.75</v>
      </c>
      <c r="U615" s="66">
        <f t="shared" si="153"/>
        <v>1103.6757</v>
      </c>
      <c r="V615" s="68">
        <f t="shared" si="154"/>
        <v>64.9221</v>
      </c>
      <c r="W615" s="68">
        <f t="shared" si="155"/>
        <v>491.83409090909089</v>
      </c>
      <c r="X615" s="68">
        <f t="shared" si="156"/>
        <v>327.88939393939393</v>
      </c>
      <c r="Z615" s="63"/>
      <c r="AA615" s="63"/>
    </row>
    <row r="616" spans="1:27" hidden="1" x14ac:dyDescent="0.25">
      <c r="A616" t="str">
        <f t="shared" si="144"/>
        <v>10620043C27/05/2026E</v>
      </c>
      <c r="B616" s="169" t="s">
        <v>826</v>
      </c>
      <c r="C616" s="61" t="s">
        <v>397</v>
      </c>
      <c r="D616" s="61" t="s">
        <v>591</v>
      </c>
      <c r="E616" s="61" t="s">
        <v>593</v>
      </c>
      <c r="F616" s="1" t="s">
        <v>360</v>
      </c>
      <c r="G616" s="62" t="str">
        <f t="shared" si="145"/>
        <v>64510</v>
      </c>
      <c r="H616" s="1">
        <v>10620043</v>
      </c>
      <c r="I616" s="1" t="s">
        <v>388</v>
      </c>
      <c r="J616" s="61">
        <v>41</v>
      </c>
      <c r="K616" s="61">
        <v>3.7</v>
      </c>
      <c r="L616" s="61">
        <v>8.5</v>
      </c>
      <c r="M616" s="69">
        <f t="shared" si="146"/>
        <v>1.5170000000000001</v>
      </c>
      <c r="N616" s="69">
        <f t="shared" si="147"/>
        <v>3.4849999999999999</v>
      </c>
      <c r="O616" s="56">
        <f>INDEX(Rate_Chart!$A$1:$AK$127,MATCH(Data!K616,Rate_Chart!$A$1:$A$127,0),MATCH(Data!L616,Rate_Chart!$A$1:$AK$1,0))</f>
        <v>39.060181500000006</v>
      </c>
      <c r="P616" s="57">
        <f t="shared" si="148"/>
        <v>1601.4674415000002</v>
      </c>
      <c r="Q616" s="58">
        <f t="shared" si="149"/>
        <v>417.0126138790036</v>
      </c>
      <c r="R616" s="58">
        <f t="shared" si="150"/>
        <v>278.00840925266908</v>
      </c>
      <c r="S616" s="66">
        <f t="shared" si="151"/>
        <v>28.025680226250007</v>
      </c>
      <c r="T616" s="64">
        <f t="shared" si="152"/>
        <v>153.75</v>
      </c>
      <c r="U616" s="66">
        <f t="shared" si="153"/>
        <v>1783.2431217262501</v>
      </c>
      <c r="V616" s="68">
        <f t="shared" si="154"/>
        <v>43.49373467625</v>
      </c>
      <c r="W616" s="68">
        <f t="shared" si="155"/>
        <v>464.34592181049817</v>
      </c>
      <c r="X616" s="68">
        <f t="shared" si="156"/>
        <v>309.56394787366543</v>
      </c>
      <c r="Z616" s="63"/>
      <c r="AA616" s="63"/>
    </row>
    <row r="617" spans="1:27" hidden="1" x14ac:dyDescent="0.25">
      <c r="A617" t="str">
        <f t="shared" si="144"/>
        <v>10620043B27/05/2026M</v>
      </c>
      <c r="B617" s="169" t="s">
        <v>827</v>
      </c>
      <c r="C617" s="61" t="s">
        <v>396</v>
      </c>
      <c r="D617" s="61" t="s">
        <v>591</v>
      </c>
      <c r="E617" s="61" t="s">
        <v>593</v>
      </c>
      <c r="F617" s="1" t="s">
        <v>360</v>
      </c>
      <c r="G617" s="62" t="str">
        <f t="shared" si="145"/>
        <v>64510</v>
      </c>
      <c r="H617" s="1">
        <v>10620043</v>
      </c>
      <c r="I617" s="1" t="s">
        <v>387</v>
      </c>
      <c r="J617" s="61">
        <v>14</v>
      </c>
      <c r="K617" s="61">
        <v>5.5</v>
      </c>
      <c r="L617" s="61">
        <v>8.8000000000000007</v>
      </c>
      <c r="M617" s="69">
        <f t="shared" si="146"/>
        <v>0.77</v>
      </c>
      <c r="N617" s="69">
        <f t="shared" si="147"/>
        <v>1.2320000000000002</v>
      </c>
      <c r="O617" s="56">
        <f>INDEX(Rate_Chart!$A$1:$AK$127,MATCH(Data!K617,Rate_Chart!$A$1:$A$127,0),MATCH(Data!L617,Rate_Chart!$A$1:$AK$1,0))</f>
        <v>46.566181499999999</v>
      </c>
      <c r="P617" s="57">
        <f t="shared" si="148"/>
        <v>651.92654100000004</v>
      </c>
      <c r="Q617" s="58">
        <f t="shared" si="149"/>
        <v>409.67315102639293</v>
      </c>
      <c r="R617" s="58">
        <f t="shared" si="150"/>
        <v>273.11543401759531</v>
      </c>
      <c r="S617" s="66">
        <f t="shared" si="151"/>
        <v>11.408714467500001</v>
      </c>
      <c r="T617" s="64">
        <f t="shared" si="152"/>
        <v>52.5</v>
      </c>
      <c r="U617" s="66">
        <f t="shared" si="153"/>
        <v>715.83525546750002</v>
      </c>
      <c r="V617" s="68">
        <f t="shared" si="154"/>
        <v>51.131089676249999</v>
      </c>
      <c r="W617" s="68">
        <f t="shared" si="155"/>
        <v>449.83363351539589</v>
      </c>
      <c r="X617" s="68">
        <f t="shared" si="156"/>
        <v>299.88908901026394</v>
      </c>
      <c r="Z617" s="63"/>
      <c r="AA617" s="63"/>
    </row>
    <row r="618" spans="1:27" hidden="1" x14ac:dyDescent="0.25">
      <c r="A618" t="str">
        <f t="shared" si="144"/>
        <v>10620043C27/05/2026M</v>
      </c>
      <c r="B618" s="169" t="s">
        <v>827</v>
      </c>
      <c r="C618" s="61" t="s">
        <v>396</v>
      </c>
      <c r="D618" s="61" t="s">
        <v>591</v>
      </c>
      <c r="E618" s="61" t="s">
        <v>593</v>
      </c>
      <c r="F618" s="1" t="s">
        <v>360</v>
      </c>
      <c r="G618" s="62" t="str">
        <f t="shared" si="145"/>
        <v>64510</v>
      </c>
      <c r="H618" s="1">
        <v>10620043</v>
      </c>
      <c r="I618" s="1" t="s">
        <v>388</v>
      </c>
      <c r="J618" s="61">
        <v>40</v>
      </c>
      <c r="K618" s="61">
        <v>4</v>
      </c>
      <c r="L618" s="61">
        <v>8.5</v>
      </c>
      <c r="M618" s="69">
        <f t="shared" si="146"/>
        <v>1.6</v>
      </c>
      <c r="N618" s="69">
        <f t="shared" si="147"/>
        <v>3.4</v>
      </c>
      <c r="O618" s="56">
        <f>INDEX(Rate_Chart!$A$1:$AK$127,MATCH(Data!K618,Rate_Chart!$A$1:$A$127,0),MATCH(Data!L618,Rate_Chart!$A$1:$AK$1,0))</f>
        <v>40.311181500000004</v>
      </c>
      <c r="P618" s="57">
        <f t="shared" si="148"/>
        <v>1612.4472600000001</v>
      </c>
      <c r="Q618" s="58">
        <f t="shared" si="149"/>
        <v>417.0122224137931</v>
      </c>
      <c r="R618" s="58">
        <f t="shared" si="150"/>
        <v>278.00814827586208</v>
      </c>
      <c r="S618" s="66">
        <f t="shared" si="151"/>
        <v>28.217827050000004</v>
      </c>
      <c r="T618" s="64">
        <f t="shared" si="152"/>
        <v>150</v>
      </c>
      <c r="U618" s="66">
        <f t="shared" si="153"/>
        <v>1790.6650870500002</v>
      </c>
      <c r="V618" s="68">
        <f t="shared" si="154"/>
        <v>44.766627176250005</v>
      </c>
      <c r="W618" s="68">
        <f t="shared" si="155"/>
        <v>463.10303975431032</v>
      </c>
      <c r="X618" s="68">
        <f t="shared" si="156"/>
        <v>308.7353598362069</v>
      </c>
      <c r="Z618" s="63"/>
      <c r="AA618" s="63"/>
    </row>
    <row r="619" spans="1:27" hidden="1" x14ac:dyDescent="0.25">
      <c r="A619" t="str">
        <f t="shared" si="144"/>
        <v>10620043B27/05/2026E</v>
      </c>
      <c r="B619" s="169" t="s">
        <v>827</v>
      </c>
      <c r="C619" s="61" t="s">
        <v>397</v>
      </c>
      <c r="D619" s="61" t="s">
        <v>591</v>
      </c>
      <c r="E619" s="61" t="s">
        <v>593</v>
      </c>
      <c r="F619" s="1" t="s">
        <v>360</v>
      </c>
      <c r="G619" s="62" t="str">
        <f t="shared" si="145"/>
        <v>64510</v>
      </c>
      <c r="H619" s="1">
        <v>10620043</v>
      </c>
      <c r="I619" s="1" t="s">
        <v>387</v>
      </c>
      <c r="J619" s="61">
        <v>20</v>
      </c>
      <c r="K619" s="61">
        <v>5.6</v>
      </c>
      <c r="L619" s="61">
        <v>8.8000000000000007</v>
      </c>
      <c r="M619" s="69">
        <f t="shared" si="146"/>
        <v>1.1200000000000001</v>
      </c>
      <c r="N619" s="69">
        <f t="shared" si="147"/>
        <v>1.76</v>
      </c>
      <c r="O619" s="56">
        <f>INDEX(Rate_Chart!$A$1:$AK$127,MATCH(Data!K619,Rate_Chart!$A$1:$A$127,0),MATCH(Data!L619,Rate_Chart!$A$1:$AK$1,0))</f>
        <v>46.292400000000001</v>
      </c>
      <c r="P619" s="57">
        <f t="shared" si="148"/>
        <v>925.84799999999996</v>
      </c>
      <c r="Q619" s="58">
        <f t="shared" si="149"/>
        <v>403.71279069767445</v>
      </c>
      <c r="R619" s="58">
        <f t="shared" si="150"/>
        <v>269.14186046511628</v>
      </c>
      <c r="S619" s="66">
        <f t="shared" si="151"/>
        <v>16.20234</v>
      </c>
      <c r="T619" s="64">
        <f t="shared" si="152"/>
        <v>75</v>
      </c>
      <c r="U619" s="66">
        <f t="shared" si="153"/>
        <v>1017.05034</v>
      </c>
      <c r="V619" s="68">
        <f t="shared" si="154"/>
        <v>50.852516999999999</v>
      </c>
      <c r="W619" s="68">
        <f t="shared" si="155"/>
        <v>443.48125290697675</v>
      </c>
      <c r="X619" s="68">
        <f t="shared" si="156"/>
        <v>295.65416860465115</v>
      </c>
      <c r="Z619" s="63"/>
      <c r="AA619" s="63"/>
    </row>
    <row r="620" spans="1:27" hidden="1" x14ac:dyDescent="0.25">
      <c r="A620" t="str">
        <f t="shared" si="144"/>
        <v>10620043C28/05/2026E</v>
      </c>
      <c r="B620" s="169" t="s">
        <v>827</v>
      </c>
      <c r="C620" s="61" t="s">
        <v>397</v>
      </c>
      <c r="D620" s="61" t="s">
        <v>591</v>
      </c>
      <c r="E620" s="61" t="s">
        <v>593</v>
      </c>
      <c r="F620" s="1" t="s">
        <v>360</v>
      </c>
      <c r="G620" s="62" t="str">
        <f t="shared" si="145"/>
        <v>64510</v>
      </c>
      <c r="H620" s="1">
        <v>10620043</v>
      </c>
      <c r="I620" s="1" t="s">
        <v>388</v>
      </c>
      <c r="J620" s="61">
        <v>38</v>
      </c>
      <c r="K620" s="61">
        <v>3.4</v>
      </c>
      <c r="L620" s="61">
        <v>8.4</v>
      </c>
      <c r="M620" s="69">
        <f t="shared" si="146"/>
        <v>1.2919999999999998</v>
      </c>
      <c r="N620" s="69">
        <f t="shared" si="147"/>
        <v>3.1919999999999997</v>
      </c>
      <c r="O620" s="56">
        <f>INDEX(Rate_Chart!$A$1:$AK$127,MATCH(Data!K620,Rate_Chart!$A$1:$A$127,0),MATCH(Data!L620,Rate_Chart!$A$1:$AK$1,0))</f>
        <v>37.531167600000003</v>
      </c>
      <c r="P620" s="57">
        <f t="shared" si="148"/>
        <v>1426.1843688000001</v>
      </c>
      <c r="Q620" s="58">
        <f t="shared" si="149"/>
        <v>417.01297333333338</v>
      </c>
      <c r="R620" s="58">
        <f t="shared" si="150"/>
        <v>278.0086488888889</v>
      </c>
      <c r="S620" s="66">
        <f t="shared" si="151"/>
        <v>24.958226454000005</v>
      </c>
      <c r="T620" s="64">
        <f t="shared" si="152"/>
        <v>142.5</v>
      </c>
      <c r="U620" s="66">
        <f t="shared" si="153"/>
        <v>1593.6425952540001</v>
      </c>
      <c r="V620" s="68">
        <f t="shared" si="154"/>
        <v>41.937963033000003</v>
      </c>
      <c r="W620" s="68">
        <f t="shared" si="155"/>
        <v>465.97736703333339</v>
      </c>
      <c r="X620" s="68">
        <f t="shared" si="156"/>
        <v>310.65157802222228</v>
      </c>
      <c r="Z620" s="63"/>
      <c r="AA620" s="63"/>
    </row>
    <row r="621" spans="1:27" hidden="1" x14ac:dyDescent="0.25">
      <c r="A621" t="str">
        <f t="shared" si="144"/>
        <v>10620043B28/05/2026M</v>
      </c>
      <c r="B621" s="169" t="s">
        <v>828</v>
      </c>
      <c r="C621" s="61" t="s">
        <v>396</v>
      </c>
      <c r="D621" s="61" t="s">
        <v>591</v>
      </c>
      <c r="E621" s="61" t="s">
        <v>593</v>
      </c>
      <c r="F621" s="1" t="s">
        <v>360</v>
      </c>
      <c r="G621" s="62" t="str">
        <f t="shared" si="145"/>
        <v>64510</v>
      </c>
      <c r="H621" s="1">
        <v>10620043</v>
      </c>
      <c r="I621" s="1" t="s">
        <v>387</v>
      </c>
      <c r="J621" s="61">
        <v>15</v>
      </c>
      <c r="K621" s="61">
        <v>6.3</v>
      </c>
      <c r="L621" s="61">
        <v>8.4</v>
      </c>
      <c r="M621" s="69">
        <f t="shared" si="146"/>
        <v>0.94499999999999995</v>
      </c>
      <c r="N621" s="69">
        <f t="shared" si="147"/>
        <v>1.26</v>
      </c>
      <c r="O621" s="56">
        <f>INDEX(Rate_Chart!$A$1:$AK$127,MATCH(Data!K621,Rate_Chart!$A$1:$A$127,0),MATCH(Data!L621,Rate_Chart!$A$1:$AK$1,0))</f>
        <v>51.026849999999996</v>
      </c>
      <c r="P621" s="57">
        <f t="shared" si="148"/>
        <v>765.40274999999997</v>
      </c>
      <c r="Q621" s="58">
        <f t="shared" si="149"/>
        <v>428.79705882352943</v>
      </c>
      <c r="R621" s="58">
        <f t="shared" si="150"/>
        <v>285.86470588235295</v>
      </c>
      <c r="S621" s="66">
        <f t="shared" si="151"/>
        <v>13.394548125</v>
      </c>
      <c r="T621" s="64">
        <f t="shared" si="152"/>
        <v>56.25</v>
      </c>
      <c r="U621" s="66">
        <f t="shared" si="153"/>
        <v>835.047298125</v>
      </c>
      <c r="V621" s="68">
        <f t="shared" si="154"/>
        <v>55.669819875000002</v>
      </c>
      <c r="W621" s="68">
        <f t="shared" si="155"/>
        <v>467.813612394958</v>
      </c>
      <c r="X621" s="68">
        <f t="shared" si="156"/>
        <v>311.87574159663865</v>
      </c>
      <c r="Z621" s="63"/>
      <c r="AA621" s="63"/>
    </row>
    <row r="622" spans="1:27" hidden="1" x14ac:dyDescent="0.25">
      <c r="A622" t="str">
        <f t="shared" si="144"/>
        <v>10620043C28/05/2026M</v>
      </c>
      <c r="B622" s="169" t="s">
        <v>828</v>
      </c>
      <c r="C622" s="61" t="s">
        <v>396</v>
      </c>
      <c r="D622" s="61" t="s">
        <v>591</v>
      </c>
      <c r="E622" s="61" t="s">
        <v>593</v>
      </c>
      <c r="F622" s="1" t="s">
        <v>360</v>
      </c>
      <c r="G622" s="62" t="str">
        <f t="shared" si="145"/>
        <v>64510</v>
      </c>
      <c r="H622" s="1">
        <v>10620043</v>
      </c>
      <c r="I622" s="1" t="s">
        <v>388</v>
      </c>
      <c r="J622" s="61">
        <v>38</v>
      </c>
      <c r="K622" s="61">
        <v>3.4</v>
      </c>
      <c r="L622" s="61">
        <v>8.1</v>
      </c>
      <c r="M622" s="69">
        <f t="shared" si="146"/>
        <v>1.2919999999999998</v>
      </c>
      <c r="N622" s="69">
        <f t="shared" si="147"/>
        <v>3.0780000000000003</v>
      </c>
      <c r="O622" s="56">
        <f>INDEX(Rate_Chart!$A$1:$AK$127,MATCH(Data!K622,Rate_Chart!$A$1:$A$127,0),MATCH(Data!L622,Rate_Chart!$A$1:$AK$1,0))</f>
        <v>36.697125900000003</v>
      </c>
      <c r="P622" s="57">
        <f t="shared" si="148"/>
        <v>1394.4907842000002</v>
      </c>
      <c r="Q622" s="58">
        <f t="shared" si="149"/>
        <v>417.01279431818188</v>
      </c>
      <c r="R622" s="58">
        <f t="shared" si="150"/>
        <v>278.00852954545456</v>
      </c>
      <c r="S622" s="66">
        <f t="shared" si="151"/>
        <v>24.403588723500008</v>
      </c>
      <c r="T622" s="64">
        <f t="shared" si="152"/>
        <v>142.5</v>
      </c>
      <c r="U622" s="66">
        <f t="shared" si="153"/>
        <v>1561.3943729235002</v>
      </c>
      <c r="V622" s="68">
        <f t="shared" si="154"/>
        <v>41.089325603250003</v>
      </c>
      <c r="W622" s="68">
        <f t="shared" si="155"/>
        <v>466.92415458238645</v>
      </c>
      <c r="X622" s="68">
        <f t="shared" si="156"/>
        <v>311.28276972159097</v>
      </c>
      <c r="Z622" s="63"/>
      <c r="AA622" s="63"/>
    </row>
    <row r="623" spans="1:27" hidden="1" x14ac:dyDescent="0.25">
      <c r="A623" t="str">
        <f t="shared" si="144"/>
        <v>10620043B28/05/2026E</v>
      </c>
      <c r="B623" s="169" t="s">
        <v>828</v>
      </c>
      <c r="C623" s="61" t="s">
        <v>397</v>
      </c>
      <c r="D623" s="61" t="s">
        <v>591</v>
      </c>
      <c r="E623" s="61" t="s">
        <v>593</v>
      </c>
      <c r="F623" s="1" t="s">
        <v>360</v>
      </c>
      <c r="G623" s="62" t="str">
        <f t="shared" si="145"/>
        <v>64510</v>
      </c>
      <c r="H623" s="1">
        <v>10620043</v>
      </c>
      <c r="I623" s="1" t="s">
        <v>387</v>
      </c>
      <c r="J623" s="61">
        <v>21</v>
      </c>
      <c r="K623" s="61">
        <v>6.3</v>
      </c>
      <c r="L623" s="61">
        <v>8.8000000000000007</v>
      </c>
      <c r="M623" s="69">
        <f t="shared" si="146"/>
        <v>1.3229999999999997</v>
      </c>
      <c r="N623" s="69">
        <f t="shared" si="147"/>
        <v>1.8480000000000001</v>
      </c>
      <c r="O623" s="56">
        <f>INDEX(Rate_Chart!$A$1:$AK$127,MATCH(Data!K623,Rate_Chart!$A$1:$A$127,0),MATCH(Data!L623,Rate_Chart!$A$1:$AK$1,0))</f>
        <v>52.078949999999999</v>
      </c>
      <c r="P623" s="57">
        <f t="shared" si="148"/>
        <v>1093.65795</v>
      </c>
      <c r="Q623" s="58">
        <f t="shared" si="149"/>
        <v>428.04616438356163</v>
      </c>
      <c r="R623" s="58">
        <f t="shared" si="150"/>
        <v>285.36410958904111</v>
      </c>
      <c r="S623" s="66">
        <f t="shared" si="151"/>
        <v>19.139014125000003</v>
      </c>
      <c r="T623" s="64">
        <f t="shared" si="152"/>
        <v>78.75</v>
      </c>
      <c r="U623" s="66">
        <f t="shared" si="153"/>
        <v>1191.5469641249999</v>
      </c>
      <c r="V623" s="68">
        <f t="shared" si="154"/>
        <v>56.740331624999996</v>
      </c>
      <c r="W623" s="68">
        <f t="shared" si="155"/>
        <v>466.35889006849311</v>
      </c>
      <c r="X623" s="68">
        <f t="shared" si="156"/>
        <v>310.90592671232872</v>
      </c>
      <c r="Z623" s="63"/>
      <c r="AA623" s="63"/>
    </row>
    <row r="624" spans="1:27" hidden="1" x14ac:dyDescent="0.25">
      <c r="A624" t="str">
        <f t="shared" si="144"/>
        <v>10620043C22/05/2026E</v>
      </c>
      <c r="B624" s="169" t="s">
        <v>828</v>
      </c>
      <c r="C624" s="61" t="s">
        <v>397</v>
      </c>
      <c r="D624" s="61" t="s">
        <v>591</v>
      </c>
      <c r="E624" s="61" t="s">
        <v>593</v>
      </c>
      <c r="F624" s="1" t="s">
        <v>360</v>
      </c>
      <c r="G624" s="62" t="str">
        <f t="shared" si="145"/>
        <v>64510</v>
      </c>
      <c r="H624" s="1">
        <v>10620043</v>
      </c>
      <c r="I624" s="1" t="s">
        <v>388</v>
      </c>
      <c r="J624" s="61">
        <v>38</v>
      </c>
      <c r="K624" s="61">
        <v>3.1</v>
      </c>
      <c r="L624" s="61">
        <v>8.1</v>
      </c>
      <c r="M624" s="69">
        <f t="shared" si="146"/>
        <v>1.1779999999999999</v>
      </c>
      <c r="N624" s="69">
        <f t="shared" si="147"/>
        <v>3.0780000000000003</v>
      </c>
      <c r="O624" s="56">
        <f>INDEX(Rate_Chart!$A$1:$AK$127,MATCH(Data!K624,Rate_Chart!$A$1:$A$127,0),MATCH(Data!L624,Rate_Chart!$A$1:$AK$1,0))</f>
        <v>35.446125899999998</v>
      </c>
      <c r="P624" s="57">
        <f t="shared" si="148"/>
        <v>1346.9527842</v>
      </c>
      <c r="Q624" s="58">
        <f t="shared" si="149"/>
        <v>417.01324588235298</v>
      </c>
      <c r="R624" s="58">
        <f t="shared" si="150"/>
        <v>278.0088305882353</v>
      </c>
      <c r="S624" s="66">
        <f t="shared" si="151"/>
        <v>23.571673723500002</v>
      </c>
      <c r="T624" s="64">
        <f t="shared" si="152"/>
        <v>142.5</v>
      </c>
      <c r="U624" s="66">
        <f t="shared" si="153"/>
        <v>1513.0244579235</v>
      </c>
      <c r="V624" s="68">
        <f t="shared" si="154"/>
        <v>39.816433103249999</v>
      </c>
      <c r="W624" s="68">
        <f t="shared" si="155"/>
        <v>468.42862474411766</v>
      </c>
      <c r="X624" s="68">
        <f t="shared" si="156"/>
        <v>312.28574982941177</v>
      </c>
      <c r="Z624" s="63"/>
      <c r="AA624" s="63"/>
    </row>
    <row r="625" spans="1:27" hidden="1" x14ac:dyDescent="0.25">
      <c r="A625" t="str">
        <f t="shared" si="144"/>
        <v>10620057B22/05/2026M</v>
      </c>
      <c r="B625" s="169" t="s">
        <v>822</v>
      </c>
      <c r="C625" s="61" t="s">
        <v>396</v>
      </c>
      <c r="D625" s="61" t="s">
        <v>591</v>
      </c>
      <c r="E625" s="61" t="s">
        <v>592</v>
      </c>
      <c r="F625" s="1" t="s">
        <v>361</v>
      </c>
      <c r="G625" s="62" t="str">
        <f t="shared" si="145"/>
        <v>64511</v>
      </c>
      <c r="H625" s="1">
        <v>10620057</v>
      </c>
      <c r="I625" s="1" t="s">
        <v>387</v>
      </c>
      <c r="J625" s="61">
        <v>34</v>
      </c>
      <c r="K625" s="61">
        <v>6.9</v>
      </c>
      <c r="L625" s="61">
        <v>8.8000000000000007</v>
      </c>
      <c r="M625" s="69">
        <f t="shared" si="146"/>
        <v>2.3460000000000001</v>
      </c>
      <c r="N625" s="69">
        <f t="shared" si="147"/>
        <v>2.9920000000000004</v>
      </c>
      <c r="O625" s="56">
        <v>57.038850000000004</v>
      </c>
      <c r="P625" s="57">
        <f t="shared" si="148"/>
        <v>1939.3209000000002</v>
      </c>
      <c r="Q625" s="58">
        <f t="shared" si="149"/>
        <v>446.77950391644907</v>
      </c>
      <c r="R625" s="58">
        <f t="shared" si="150"/>
        <v>297.85300261096603</v>
      </c>
      <c r="S625" s="66">
        <f t="shared" si="151"/>
        <v>33.938115750000009</v>
      </c>
      <c r="T625" s="64">
        <f t="shared" si="152"/>
        <v>127.5</v>
      </c>
      <c r="U625" s="66">
        <f t="shared" si="153"/>
        <v>2100.7590157500003</v>
      </c>
      <c r="V625" s="68">
        <f t="shared" si="154"/>
        <v>61.787029875000009</v>
      </c>
      <c r="W625" s="68">
        <f t="shared" si="155"/>
        <v>483.97151338120108</v>
      </c>
      <c r="X625" s="68">
        <f t="shared" si="156"/>
        <v>322.6476755874674</v>
      </c>
      <c r="Z625" s="63"/>
      <c r="AA625" s="63"/>
    </row>
    <row r="626" spans="1:27" hidden="1" x14ac:dyDescent="0.25">
      <c r="A626" t="str">
        <f t="shared" si="144"/>
        <v>10620057C22/05/2026M</v>
      </c>
      <c r="B626" s="169" t="s">
        <v>822</v>
      </c>
      <c r="C626" s="61" t="s">
        <v>396</v>
      </c>
      <c r="D626" s="61" t="s">
        <v>591</v>
      </c>
      <c r="E626" s="61" t="s">
        <v>592</v>
      </c>
      <c r="F626" s="1" t="s">
        <v>361</v>
      </c>
      <c r="G626" s="62" t="str">
        <f t="shared" si="145"/>
        <v>64511</v>
      </c>
      <c r="H626" s="1">
        <v>10620057</v>
      </c>
      <c r="I626" s="1" t="s">
        <v>388</v>
      </c>
      <c r="J626" s="61">
        <v>36</v>
      </c>
      <c r="K626" s="61">
        <v>3.8</v>
      </c>
      <c r="L626" s="61">
        <v>8.1</v>
      </c>
      <c r="M626" s="69">
        <f t="shared" si="146"/>
        <v>1.3679999999999999</v>
      </c>
      <c r="N626" s="69">
        <f t="shared" si="147"/>
        <v>2.9159999999999995</v>
      </c>
      <c r="O626" s="56">
        <v>36.433069200000006</v>
      </c>
      <c r="P626" s="57">
        <f t="shared" si="148"/>
        <v>1311.5904912000001</v>
      </c>
      <c r="Q626" s="58">
        <f t="shared" si="149"/>
        <v>396.01162173913048</v>
      </c>
      <c r="R626" s="58">
        <f t="shared" si="150"/>
        <v>264.00774782608698</v>
      </c>
      <c r="S626" s="66">
        <f t="shared" si="151"/>
        <v>22.952833596000005</v>
      </c>
      <c r="T626" s="64">
        <f t="shared" si="152"/>
        <v>135</v>
      </c>
      <c r="U626" s="66">
        <f t="shared" si="153"/>
        <v>1469.543324796</v>
      </c>
      <c r="V626" s="68">
        <f t="shared" si="154"/>
        <v>40.820647911000002</v>
      </c>
      <c r="W626" s="68">
        <f t="shared" si="155"/>
        <v>443.70269468478261</v>
      </c>
      <c r="X626" s="68">
        <f t="shared" si="156"/>
        <v>295.80179645652174</v>
      </c>
      <c r="Z626" s="63"/>
      <c r="AA626" s="63"/>
    </row>
    <row r="627" spans="1:27" hidden="1" x14ac:dyDescent="0.25">
      <c r="A627" t="str">
        <f t="shared" si="144"/>
        <v>10620057B22/05/2026E</v>
      </c>
      <c r="B627" s="169" t="s">
        <v>822</v>
      </c>
      <c r="C627" s="61" t="s">
        <v>397</v>
      </c>
      <c r="D627" s="61" t="s">
        <v>591</v>
      </c>
      <c r="E627" s="61" t="s">
        <v>592</v>
      </c>
      <c r="F627" s="1" t="s">
        <v>361</v>
      </c>
      <c r="G627" s="62" t="str">
        <f t="shared" si="145"/>
        <v>64511</v>
      </c>
      <c r="H627" s="1">
        <v>10620057</v>
      </c>
      <c r="I627" s="1" t="s">
        <v>387</v>
      </c>
      <c r="J627" s="61">
        <v>12</v>
      </c>
      <c r="K627" s="61">
        <v>7.2</v>
      </c>
      <c r="L627" s="61">
        <v>8.8000000000000007</v>
      </c>
      <c r="M627" s="69">
        <f t="shared" si="146"/>
        <v>0.8640000000000001</v>
      </c>
      <c r="N627" s="69">
        <f t="shared" si="147"/>
        <v>1.056</v>
      </c>
      <c r="O627" s="56">
        <v>59.518800000000006</v>
      </c>
      <c r="P627" s="57">
        <f t="shared" si="148"/>
        <v>714.2256000000001</v>
      </c>
      <c r="Q627" s="58">
        <f t="shared" si="149"/>
        <v>455.50102040816324</v>
      </c>
      <c r="R627" s="58">
        <f t="shared" si="150"/>
        <v>303.66734693877549</v>
      </c>
      <c r="S627" s="66">
        <f t="shared" si="151"/>
        <v>12.498948000000002</v>
      </c>
      <c r="T627" s="64">
        <f t="shared" si="152"/>
        <v>45</v>
      </c>
      <c r="U627" s="66">
        <f t="shared" si="153"/>
        <v>771.72454800000014</v>
      </c>
      <c r="V627" s="68">
        <f t="shared" si="154"/>
        <v>64.310379000000012</v>
      </c>
      <c r="W627" s="68">
        <f t="shared" si="155"/>
        <v>492.17126785714288</v>
      </c>
      <c r="X627" s="68">
        <f t="shared" si="156"/>
        <v>328.11417857142857</v>
      </c>
      <c r="Z627" s="63"/>
      <c r="AA627" s="63"/>
    </row>
    <row r="628" spans="1:27" hidden="1" x14ac:dyDescent="0.25">
      <c r="A628" t="str">
        <f t="shared" si="144"/>
        <v>10620057C23/05/2026E</v>
      </c>
      <c r="B628" s="169" t="s">
        <v>822</v>
      </c>
      <c r="C628" s="61" t="s">
        <v>397</v>
      </c>
      <c r="D628" s="61" t="s">
        <v>591</v>
      </c>
      <c r="E628" s="61" t="s">
        <v>592</v>
      </c>
      <c r="F628" s="1" t="s">
        <v>361</v>
      </c>
      <c r="G628" s="62" t="str">
        <f t="shared" si="145"/>
        <v>64511</v>
      </c>
      <c r="H628" s="1">
        <v>10620057</v>
      </c>
      <c r="I628" s="1" t="s">
        <v>388</v>
      </c>
      <c r="J628" s="61">
        <v>39</v>
      </c>
      <c r="K628" s="61">
        <v>3.7</v>
      </c>
      <c r="L628" s="61">
        <v>8.1</v>
      </c>
      <c r="M628" s="69">
        <f t="shared" si="146"/>
        <v>1.4430000000000001</v>
      </c>
      <c r="N628" s="69">
        <f t="shared" si="147"/>
        <v>3.1589999999999998</v>
      </c>
      <c r="O628" s="56">
        <v>36.037069200000005</v>
      </c>
      <c r="P628" s="57">
        <f t="shared" si="148"/>
        <v>1405.4456988000002</v>
      </c>
      <c r="Q628" s="58">
        <f t="shared" si="149"/>
        <v>396.01174945054953</v>
      </c>
      <c r="R628" s="58">
        <f t="shared" si="150"/>
        <v>264.00783296703304</v>
      </c>
      <c r="S628" s="66">
        <f t="shared" si="151"/>
        <v>24.595299729000004</v>
      </c>
      <c r="T628" s="64">
        <f t="shared" si="152"/>
        <v>146.25</v>
      </c>
      <c r="U628" s="66">
        <f t="shared" si="153"/>
        <v>1576.2909985290003</v>
      </c>
      <c r="V628" s="68">
        <f t="shared" si="154"/>
        <v>40.417717911000004</v>
      </c>
      <c r="W628" s="68">
        <f t="shared" si="155"/>
        <v>444.15074627472535</v>
      </c>
      <c r="X628" s="68">
        <f t="shared" si="156"/>
        <v>296.10049751648359</v>
      </c>
      <c r="Z628" s="63"/>
      <c r="AA628" s="63"/>
    </row>
    <row r="629" spans="1:27" hidden="1" x14ac:dyDescent="0.25">
      <c r="A629" t="str">
        <f t="shared" si="144"/>
        <v>10620057B23/05/2026M</v>
      </c>
      <c r="B629" s="169" t="s">
        <v>823</v>
      </c>
      <c r="C629" s="61" t="s">
        <v>396</v>
      </c>
      <c r="D629" s="61" t="s">
        <v>591</v>
      </c>
      <c r="E629" s="61" t="s">
        <v>592</v>
      </c>
      <c r="F629" s="1" t="s">
        <v>361</v>
      </c>
      <c r="G629" s="62" t="str">
        <f t="shared" si="145"/>
        <v>64511</v>
      </c>
      <c r="H629" s="1">
        <v>10620057</v>
      </c>
      <c r="I629" s="1" t="s">
        <v>387</v>
      </c>
      <c r="J629" s="61">
        <v>29</v>
      </c>
      <c r="K629" s="61">
        <v>7.4</v>
      </c>
      <c r="L629" s="61">
        <v>9</v>
      </c>
      <c r="M629" s="69">
        <f t="shared" si="146"/>
        <v>2.1460000000000004</v>
      </c>
      <c r="N629" s="69">
        <f t="shared" si="147"/>
        <v>2.61</v>
      </c>
      <c r="O629" s="56">
        <v>61.790000000000006</v>
      </c>
      <c r="P629" s="57">
        <f t="shared" si="148"/>
        <v>1791.91</v>
      </c>
      <c r="Q629" s="58">
        <f t="shared" si="149"/>
        <v>461.11940298507466</v>
      </c>
      <c r="R629" s="58">
        <f t="shared" si="150"/>
        <v>307.41293532338312</v>
      </c>
      <c r="S629" s="66">
        <f t="shared" si="151"/>
        <v>31.358425000000004</v>
      </c>
      <c r="T629" s="64">
        <f t="shared" si="152"/>
        <v>108.75</v>
      </c>
      <c r="U629" s="66">
        <f t="shared" si="153"/>
        <v>1932.0184250000002</v>
      </c>
      <c r="V629" s="68">
        <f t="shared" si="154"/>
        <v>66.621325000000013</v>
      </c>
      <c r="W629" s="68">
        <f t="shared" si="155"/>
        <v>497.17406716417918</v>
      </c>
      <c r="X629" s="68">
        <f t="shared" si="156"/>
        <v>331.44937810945277</v>
      </c>
      <c r="Z629" s="63"/>
      <c r="AA629" s="63"/>
    </row>
    <row r="630" spans="1:27" hidden="1" x14ac:dyDescent="0.25">
      <c r="A630" t="str">
        <f t="shared" si="144"/>
        <v>10620057C23/05/2026M</v>
      </c>
      <c r="B630" s="169" t="s">
        <v>823</v>
      </c>
      <c r="C630" s="61" t="s">
        <v>396</v>
      </c>
      <c r="D630" s="61" t="s">
        <v>591</v>
      </c>
      <c r="E630" s="61" t="s">
        <v>592</v>
      </c>
      <c r="F630" s="1" t="s">
        <v>361</v>
      </c>
      <c r="G630" s="62" t="str">
        <f t="shared" si="145"/>
        <v>64511</v>
      </c>
      <c r="H630" s="1">
        <v>10620057</v>
      </c>
      <c r="I630" s="1" t="s">
        <v>388</v>
      </c>
      <c r="J630" s="61">
        <v>52</v>
      </c>
      <c r="K630" s="61">
        <v>4</v>
      </c>
      <c r="L630" s="61">
        <v>8.4</v>
      </c>
      <c r="M630" s="69">
        <f t="shared" si="146"/>
        <v>2.08</v>
      </c>
      <c r="N630" s="69">
        <f t="shared" si="147"/>
        <v>4.3680000000000003</v>
      </c>
      <c r="O630" s="56">
        <v>38.017108800000003</v>
      </c>
      <c r="P630" s="57">
        <f t="shared" si="148"/>
        <v>1976.8896576000002</v>
      </c>
      <c r="Q630" s="58">
        <f t="shared" si="149"/>
        <v>396.01155</v>
      </c>
      <c r="R630" s="58">
        <f t="shared" si="150"/>
        <v>264.0077</v>
      </c>
      <c r="S630" s="66">
        <f t="shared" si="151"/>
        <v>34.595569008000005</v>
      </c>
      <c r="T630" s="64">
        <f t="shared" si="152"/>
        <v>195</v>
      </c>
      <c r="U630" s="66">
        <f t="shared" si="153"/>
        <v>2206.4852266080002</v>
      </c>
      <c r="V630" s="68">
        <f t="shared" si="154"/>
        <v>42.432408204000005</v>
      </c>
      <c r="W630" s="68">
        <f t="shared" si="155"/>
        <v>442.00425212500005</v>
      </c>
      <c r="X630" s="68">
        <f t="shared" si="156"/>
        <v>294.66950141666672</v>
      </c>
      <c r="Z630" s="63"/>
      <c r="AA630" s="63"/>
    </row>
    <row r="631" spans="1:27" hidden="1" x14ac:dyDescent="0.25">
      <c r="A631" t="str">
        <f t="shared" si="144"/>
        <v>10620057B23/05/2026E</v>
      </c>
      <c r="B631" s="169" t="s">
        <v>823</v>
      </c>
      <c r="C631" s="61" t="s">
        <v>397</v>
      </c>
      <c r="D631" s="61" t="s">
        <v>591</v>
      </c>
      <c r="E631" s="61" t="s">
        <v>592</v>
      </c>
      <c r="F631" s="1" t="s">
        <v>361</v>
      </c>
      <c r="G631" s="62" t="str">
        <f t="shared" si="145"/>
        <v>64511</v>
      </c>
      <c r="H631" s="1">
        <v>10620057</v>
      </c>
      <c r="I631" s="1" t="s">
        <v>387</v>
      </c>
      <c r="J631" s="61">
        <v>17</v>
      </c>
      <c r="K631" s="61">
        <v>7.5</v>
      </c>
      <c r="L631" s="61">
        <v>9</v>
      </c>
      <c r="M631" s="69">
        <f t="shared" si="146"/>
        <v>1.2749999999999999</v>
      </c>
      <c r="N631" s="69">
        <f t="shared" si="147"/>
        <v>1.53</v>
      </c>
      <c r="O631" s="56">
        <v>62.625</v>
      </c>
      <c r="P631" s="57">
        <f t="shared" si="148"/>
        <v>1064.625</v>
      </c>
      <c r="Q631" s="58">
        <f t="shared" si="149"/>
        <v>463.88888888888886</v>
      </c>
      <c r="R631" s="58">
        <f t="shared" si="150"/>
        <v>309.25925925925924</v>
      </c>
      <c r="S631" s="66">
        <f t="shared" si="151"/>
        <v>18.630937500000002</v>
      </c>
      <c r="T631" s="64">
        <f t="shared" si="152"/>
        <v>63.75</v>
      </c>
      <c r="U631" s="66">
        <f t="shared" si="153"/>
        <v>1147.0059375000001</v>
      </c>
      <c r="V631" s="68">
        <f t="shared" si="154"/>
        <v>67.470937500000005</v>
      </c>
      <c r="W631" s="68">
        <f t="shared" si="155"/>
        <v>499.78472222222223</v>
      </c>
      <c r="X631" s="68">
        <f t="shared" si="156"/>
        <v>333.18981481481484</v>
      </c>
      <c r="Z631" s="63"/>
      <c r="AA631" s="63"/>
    </row>
    <row r="632" spans="1:27" hidden="1" x14ac:dyDescent="0.25">
      <c r="A632" t="str">
        <f t="shared" si="144"/>
        <v>10620057C24/05/2026E</v>
      </c>
      <c r="B632" s="169" t="s">
        <v>823</v>
      </c>
      <c r="C632" s="61" t="s">
        <v>397</v>
      </c>
      <c r="D632" s="61" t="s">
        <v>591</v>
      </c>
      <c r="E632" s="61" t="s">
        <v>592</v>
      </c>
      <c r="F632" s="1" t="s">
        <v>361</v>
      </c>
      <c r="G632" s="62" t="str">
        <f t="shared" si="145"/>
        <v>64511</v>
      </c>
      <c r="H632" s="1">
        <v>10620057</v>
      </c>
      <c r="I632" s="1" t="s">
        <v>388</v>
      </c>
      <c r="J632" s="61">
        <v>28</v>
      </c>
      <c r="K632" s="61">
        <v>3.8</v>
      </c>
      <c r="L632" s="61">
        <v>8.1999999999999993</v>
      </c>
      <c r="M632" s="69">
        <f t="shared" si="146"/>
        <v>1.0639999999999998</v>
      </c>
      <c r="N632" s="69">
        <f t="shared" si="147"/>
        <v>2.2959999999999998</v>
      </c>
      <c r="O632" s="56">
        <v>36.697082399999999</v>
      </c>
      <c r="P632" s="57">
        <f t="shared" si="148"/>
        <v>1027.5183072</v>
      </c>
      <c r="Q632" s="58">
        <f t="shared" si="149"/>
        <v>396.01168057553957</v>
      </c>
      <c r="R632" s="58">
        <f t="shared" si="150"/>
        <v>264.0077870503597</v>
      </c>
      <c r="S632" s="66">
        <f t="shared" si="151"/>
        <v>17.981570376000001</v>
      </c>
      <c r="T632" s="64">
        <f t="shared" si="152"/>
        <v>105</v>
      </c>
      <c r="U632" s="66">
        <f t="shared" si="153"/>
        <v>1150.499877576</v>
      </c>
      <c r="V632" s="68">
        <f t="shared" si="154"/>
        <v>41.089281342</v>
      </c>
      <c r="W632" s="68">
        <f t="shared" si="155"/>
        <v>443.40951088489209</v>
      </c>
      <c r="X632" s="68">
        <f t="shared" si="156"/>
        <v>295.60634058992804</v>
      </c>
      <c r="Z632" s="63"/>
      <c r="AA632" s="63"/>
    </row>
    <row r="633" spans="1:27" hidden="1" x14ac:dyDescent="0.25">
      <c r="A633" t="str">
        <f t="shared" si="144"/>
        <v>10620057B24/05/2026M</v>
      </c>
      <c r="B633" s="169" t="s">
        <v>824</v>
      </c>
      <c r="C633" s="61" t="s">
        <v>396</v>
      </c>
      <c r="D633" s="61" t="s">
        <v>591</v>
      </c>
      <c r="E633" s="61" t="s">
        <v>592</v>
      </c>
      <c r="F633" s="1" t="s">
        <v>361</v>
      </c>
      <c r="G633" s="62" t="str">
        <f t="shared" si="145"/>
        <v>64511</v>
      </c>
      <c r="H633" s="1">
        <v>10620057</v>
      </c>
      <c r="I633" s="1" t="s">
        <v>387</v>
      </c>
      <c r="J633" s="61">
        <v>29</v>
      </c>
      <c r="K633" s="61">
        <v>7.2</v>
      </c>
      <c r="L633" s="61">
        <v>9</v>
      </c>
      <c r="M633" s="69">
        <f t="shared" si="146"/>
        <v>2.0880000000000001</v>
      </c>
      <c r="N633" s="69">
        <f t="shared" si="147"/>
        <v>2.61</v>
      </c>
      <c r="O633" s="56">
        <v>60.120000000000005</v>
      </c>
      <c r="P633" s="57">
        <f t="shared" si="148"/>
        <v>1743.48</v>
      </c>
      <c r="Q633" s="58">
        <f t="shared" si="149"/>
        <v>455.4545454545455</v>
      </c>
      <c r="R633" s="58">
        <f t="shared" si="150"/>
        <v>303.63636363636368</v>
      </c>
      <c r="S633" s="66">
        <f t="shared" si="151"/>
        <v>30.510900000000003</v>
      </c>
      <c r="T633" s="64">
        <f t="shared" si="152"/>
        <v>108.75</v>
      </c>
      <c r="U633" s="66">
        <f t="shared" si="153"/>
        <v>1882.7409</v>
      </c>
      <c r="V633" s="68">
        <f t="shared" si="154"/>
        <v>64.9221</v>
      </c>
      <c r="W633" s="68">
        <f t="shared" si="155"/>
        <v>491.83409090909089</v>
      </c>
      <c r="X633" s="68">
        <f t="shared" si="156"/>
        <v>327.88939393939393</v>
      </c>
      <c r="Z633" s="63"/>
      <c r="AA633" s="63"/>
    </row>
    <row r="634" spans="1:27" hidden="1" x14ac:dyDescent="0.25">
      <c r="A634" t="str">
        <f t="shared" si="144"/>
        <v>10620057C24/05/2026M</v>
      </c>
      <c r="B634" s="169" t="s">
        <v>824</v>
      </c>
      <c r="C634" s="61" t="s">
        <v>396</v>
      </c>
      <c r="D634" s="61" t="s">
        <v>591</v>
      </c>
      <c r="E634" s="61" t="s">
        <v>592</v>
      </c>
      <c r="F634" s="1" t="s">
        <v>361</v>
      </c>
      <c r="G634" s="62" t="str">
        <f t="shared" si="145"/>
        <v>64511</v>
      </c>
      <c r="H634" s="1">
        <v>10620057</v>
      </c>
      <c r="I634" s="1" t="s">
        <v>388</v>
      </c>
      <c r="J634" s="61">
        <v>36</v>
      </c>
      <c r="K634" s="61">
        <v>4.3</v>
      </c>
      <c r="L634" s="61">
        <v>8</v>
      </c>
      <c r="M634" s="69">
        <f t="shared" si="146"/>
        <v>1.5479999999999998</v>
      </c>
      <c r="N634" s="69">
        <f t="shared" si="147"/>
        <v>2.88</v>
      </c>
      <c r="O634" s="56">
        <v>38.149056000000002</v>
      </c>
      <c r="P634" s="57">
        <f t="shared" si="148"/>
        <v>1373.3660159999999</v>
      </c>
      <c r="Q634" s="58">
        <f t="shared" si="149"/>
        <v>396.01096193771633</v>
      </c>
      <c r="R634" s="58">
        <f t="shared" si="150"/>
        <v>264.00730795847755</v>
      </c>
      <c r="S634" s="66">
        <f t="shared" si="151"/>
        <v>24.033905280000003</v>
      </c>
      <c r="T634" s="64">
        <f t="shared" si="152"/>
        <v>135</v>
      </c>
      <c r="U634" s="66">
        <f t="shared" si="153"/>
        <v>1532.3999212799999</v>
      </c>
      <c r="V634" s="68">
        <f t="shared" si="154"/>
        <v>42.56666448</v>
      </c>
      <c r="W634" s="68">
        <f t="shared" si="155"/>
        <v>441.86848941176476</v>
      </c>
      <c r="X634" s="68">
        <f t="shared" si="156"/>
        <v>294.57899294117652</v>
      </c>
      <c r="Z634" s="63"/>
      <c r="AA634" s="63"/>
    </row>
    <row r="635" spans="1:27" hidden="1" x14ac:dyDescent="0.25">
      <c r="A635" t="str">
        <f t="shared" si="144"/>
        <v>10620057B24/05/2026E</v>
      </c>
      <c r="B635" s="169" t="s">
        <v>824</v>
      </c>
      <c r="C635" s="61" t="s">
        <v>397</v>
      </c>
      <c r="D635" s="61" t="s">
        <v>591</v>
      </c>
      <c r="E635" s="61" t="s">
        <v>592</v>
      </c>
      <c r="F635" s="1" t="s">
        <v>361</v>
      </c>
      <c r="G635" s="62" t="str">
        <f t="shared" si="145"/>
        <v>64511</v>
      </c>
      <c r="H635" s="1">
        <v>10620057</v>
      </c>
      <c r="I635" s="1" t="s">
        <v>387</v>
      </c>
      <c r="J635" s="61">
        <v>11</v>
      </c>
      <c r="K635" s="61">
        <v>7.6</v>
      </c>
      <c r="L635" s="61">
        <v>9</v>
      </c>
      <c r="M635" s="69">
        <f t="shared" si="146"/>
        <v>0.83599999999999997</v>
      </c>
      <c r="N635" s="69">
        <f t="shared" si="147"/>
        <v>0.99</v>
      </c>
      <c r="O635" s="56">
        <v>63.46</v>
      </c>
      <c r="P635" s="57">
        <f t="shared" si="148"/>
        <v>698.06000000000006</v>
      </c>
      <c r="Q635" s="58">
        <f t="shared" si="149"/>
        <v>466.61764705882348</v>
      </c>
      <c r="R635" s="58">
        <f t="shared" si="150"/>
        <v>311.07843137254901</v>
      </c>
      <c r="S635" s="66">
        <f t="shared" si="151"/>
        <v>12.216050000000003</v>
      </c>
      <c r="T635" s="64">
        <f t="shared" si="152"/>
        <v>41.25</v>
      </c>
      <c r="U635" s="66">
        <f t="shared" si="153"/>
        <v>751.52605000000005</v>
      </c>
      <c r="V635" s="68">
        <f t="shared" si="154"/>
        <v>68.320550000000011</v>
      </c>
      <c r="W635" s="68">
        <f t="shared" si="155"/>
        <v>502.35698529411769</v>
      </c>
      <c r="X635" s="68">
        <f t="shared" si="156"/>
        <v>334.90465686274513</v>
      </c>
      <c r="Z635" s="63"/>
      <c r="AA635" s="63"/>
    </row>
    <row r="636" spans="1:27" hidden="1" x14ac:dyDescent="0.25">
      <c r="A636" t="str">
        <f t="shared" si="144"/>
        <v>10620057C25/05/2026E</v>
      </c>
      <c r="B636" s="169" t="s">
        <v>824</v>
      </c>
      <c r="C636" s="61" t="s">
        <v>397</v>
      </c>
      <c r="D636" s="61" t="s">
        <v>591</v>
      </c>
      <c r="E636" s="61" t="s">
        <v>592</v>
      </c>
      <c r="F636" s="1" t="s">
        <v>361</v>
      </c>
      <c r="G636" s="62" t="str">
        <f t="shared" si="145"/>
        <v>64511</v>
      </c>
      <c r="H636" s="1">
        <v>10620057</v>
      </c>
      <c r="I636" s="1" t="s">
        <v>388</v>
      </c>
      <c r="J636" s="61">
        <v>32</v>
      </c>
      <c r="K636" s="61">
        <v>3.9</v>
      </c>
      <c r="L636" s="61">
        <v>8.3000000000000007</v>
      </c>
      <c r="M636" s="69">
        <f t="shared" si="146"/>
        <v>1.248</v>
      </c>
      <c r="N636" s="69">
        <f t="shared" si="147"/>
        <v>2.6560000000000001</v>
      </c>
      <c r="O636" s="56">
        <v>37.357095600000008</v>
      </c>
      <c r="P636" s="57">
        <f t="shared" si="148"/>
        <v>1195.4270592000003</v>
      </c>
      <c r="Q636" s="58">
        <f t="shared" si="149"/>
        <v>396.0116141342757</v>
      </c>
      <c r="R636" s="58">
        <f t="shared" si="150"/>
        <v>264.0077427561838</v>
      </c>
      <c r="S636" s="66">
        <f t="shared" si="151"/>
        <v>20.919973536000008</v>
      </c>
      <c r="T636" s="64">
        <f t="shared" si="152"/>
        <v>120</v>
      </c>
      <c r="U636" s="66">
        <f t="shared" si="153"/>
        <v>1336.3470327360003</v>
      </c>
      <c r="V636" s="68">
        <f t="shared" si="154"/>
        <v>41.760844773000009</v>
      </c>
      <c r="W636" s="68">
        <f t="shared" si="155"/>
        <v>442.69446755830398</v>
      </c>
      <c r="X636" s="68">
        <f t="shared" si="156"/>
        <v>295.12964503886934</v>
      </c>
      <c r="Z636" s="63"/>
      <c r="AA636" s="63"/>
    </row>
    <row r="637" spans="1:27" hidden="1" x14ac:dyDescent="0.25">
      <c r="A637" t="str">
        <f t="shared" si="144"/>
        <v>10620057B25/05/2026M</v>
      </c>
      <c r="B637" s="169" t="s">
        <v>825</v>
      </c>
      <c r="C637" s="61" t="s">
        <v>396</v>
      </c>
      <c r="D637" s="61" t="s">
        <v>591</v>
      </c>
      <c r="E637" s="61" t="s">
        <v>592</v>
      </c>
      <c r="F637" s="1" t="s">
        <v>361</v>
      </c>
      <c r="G637" s="62" t="str">
        <f t="shared" si="145"/>
        <v>64511</v>
      </c>
      <c r="H637" s="1">
        <v>10620057</v>
      </c>
      <c r="I637" s="1" t="s">
        <v>387</v>
      </c>
      <c r="J637" s="61">
        <v>23</v>
      </c>
      <c r="K637" s="61">
        <v>7.5</v>
      </c>
      <c r="L637" s="61">
        <v>9</v>
      </c>
      <c r="M637" s="69">
        <f t="shared" si="146"/>
        <v>1.7250000000000001</v>
      </c>
      <c r="N637" s="69">
        <f t="shared" si="147"/>
        <v>2.0699999999999998</v>
      </c>
      <c r="O637" s="56">
        <v>62.625</v>
      </c>
      <c r="P637" s="57">
        <f t="shared" si="148"/>
        <v>1440.375</v>
      </c>
      <c r="Q637" s="58">
        <f t="shared" si="149"/>
        <v>463.88888888888886</v>
      </c>
      <c r="R637" s="58">
        <f t="shared" si="150"/>
        <v>309.25925925925924</v>
      </c>
      <c r="S637" s="66">
        <f t="shared" si="151"/>
        <v>25.206562500000004</v>
      </c>
      <c r="T637" s="64">
        <f t="shared" si="152"/>
        <v>86.25</v>
      </c>
      <c r="U637" s="66">
        <f t="shared" si="153"/>
        <v>1551.8315625</v>
      </c>
      <c r="V637" s="68">
        <f t="shared" si="154"/>
        <v>67.470937500000005</v>
      </c>
      <c r="W637" s="68">
        <f t="shared" si="155"/>
        <v>499.78472222222223</v>
      </c>
      <c r="X637" s="68">
        <f t="shared" si="156"/>
        <v>333.18981481481484</v>
      </c>
      <c r="Z637" s="63"/>
      <c r="AA637" s="63"/>
    </row>
    <row r="638" spans="1:27" hidden="1" x14ac:dyDescent="0.25">
      <c r="A638" t="str">
        <f t="shared" si="144"/>
        <v>10620057B25/05/2026E</v>
      </c>
      <c r="B638" s="169" t="s">
        <v>825</v>
      </c>
      <c r="C638" s="61" t="s">
        <v>397</v>
      </c>
      <c r="D638" s="61" t="s">
        <v>591</v>
      </c>
      <c r="E638" s="61" t="s">
        <v>592</v>
      </c>
      <c r="F638" s="1" t="s">
        <v>361</v>
      </c>
      <c r="G638" s="62" t="str">
        <f t="shared" si="145"/>
        <v>64511</v>
      </c>
      <c r="H638" s="1">
        <v>10620057</v>
      </c>
      <c r="I638" s="1" t="s">
        <v>387</v>
      </c>
      <c r="J638" s="61">
        <v>13</v>
      </c>
      <c r="K638" s="61">
        <v>7.4</v>
      </c>
      <c r="L638" s="61">
        <v>9</v>
      </c>
      <c r="M638" s="69">
        <f t="shared" si="146"/>
        <v>0.96200000000000008</v>
      </c>
      <c r="N638" s="69">
        <f t="shared" si="147"/>
        <v>1.17</v>
      </c>
      <c r="O638" s="56">
        <v>61.790000000000006</v>
      </c>
      <c r="P638" s="57">
        <f t="shared" si="148"/>
        <v>803.2700000000001</v>
      </c>
      <c r="Q638" s="58">
        <f t="shared" si="149"/>
        <v>461.11940298507466</v>
      </c>
      <c r="R638" s="58">
        <f t="shared" si="150"/>
        <v>307.41293532338312</v>
      </c>
      <c r="S638" s="66">
        <f t="shared" si="151"/>
        <v>14.057225000000003</v>
      </c>
      <c r="T638" s="64">
        <f t="shared" si="152"/>
        <v>48.75</v>
      </c>
      <c r="U638" s="66">
        <f t="shared" si="153"/>
        <v>866.07722500000011</v>
      </c>
      <c r="V638" s="68">
        <f t="shared" si="154"/>
        <v>66.621325000000013</v>
      </c>
      <c r="W638" s="68">
        <f t="shared" si="155"/>
        <v>497.17406716417918</v>
      </c>
      <c r="X638" s="68">
        <f t="shared" si="156"/>
        <v>331.44937810945277</v>
      </c>
      <c r="Z638" s="63"/>
      <c r="AA638" s="63"/>
    </row>
    <row r="639" spans="1:27" hidden="1" x14ac:dyDescent="0.25">
      <c r="A639" t="str">
        <f t="shared" si="144"/>
        <v>10620057C26/05/2026E</v>
      </c>
      <c r="B639" s="169" t="s">
        <v>825</v>
      </c>
      <c r="C639" s="61" t="s">
        <v>397</v>
      </c>
      <c r="D639" s="61" t="s">
        <v>591</v>
      </c>
      <c r="E639" s="61" t="s">
        <v>592</v>
      </c>
      <c r="F639" s="1" t="s">
        <v>361</v>
      </c>
      <c r="G639" s="62" t="str">
        <f t="shared" si="145"/>
        <v>64511</v>
      </c>
      <c r="H639" s="1">
        <v>10620057</v>
      </c>
      <c r="I639" s="1" t="s">
        <v>388</v>
      </c>
      <c r="J639" s="61">
        <v>28</v>
      </c>
      <c r="K639" s="61">
        <v>4</v>
      </c>
      <c r="L639" s="61">
        <v>8.4</v>
      </c>
      <c r="M639" s="69">
        <f t="shared" si="146"/>
        <v>1.1200000000000001</v>
      </c>
      <c r="N639" s="69">
        <f t="shared" si="147"/>
        <v>2.3520000000000003</v>
      </c>
      <c r="O639" s="56">
        <v>38.017108800000003</v>
      </c>
      <c r="P639" s="57">
        <f t="shared" si="148"/>
        <v>1064.4790464</v>
      </c>
      <c r="Q639" s="58">
        <f t="shared" si="149"/>
        <v>396.01155</v>
      </c>
      <c r="R639" s="58">
        <f t="shared" si="150"/>
        <v>264.0077</v>
      </c>
      <c r="S639" s="66">
        <f t="shared" si="151"/>
        <v>18.628383312</v>
      </c>
      <c r="T639" s="64">
        <f t="shared" si="152"/>
        <v>105</v>
      </c>
      <c r="U639" s="66">
        <f t="shared" si="153"/>
        <v>1188.1074297120001</v>
      </c>
      <c r="V639" s="68">
        <f t="shared" si="154"/>
        <v>42.432408204000005</v>
      </c>
      <c r="W639" s="68">
        <f t="shared" si="155"/>
        <v>442.00425212500005</v>
      </c>
      <c r="X639" s="68">
        <f t="shared" si="156"/>
        <v>294.66950141666672</v>
      </c>
      <c r="Z639" s="63"/>
      <c r="AA639" s="63"/>
    </row>
    <row r="640" spans="1:27" hidden="1" x14ac:dyDescent="0.25">
      <c r="A640" t="str">
        <f t="shared" si="144"/>
        <v>10620057B26/05/2026M</v>
      </c>
      <c r="B640" s="169" t="s">
        <v>826</v>
      </c>
      <c r="C640" s="61" t="s">
        <v>396</v>
      </c>
      <c r="D640" s="61" t="s">
        <v>591</v>
      </c>
      <c r="E640" s="61" t="s">
        <v>592</v>
      </c>
      <c r="F640" s="1" t="s">
        <v>361</v>
      </c>
      <c r="G640" s="62" t="str">
        <f t="shared" si="145"/>
        <v>64511</v>
      </c>
      <c r="H640" s="1">
        <v>10620057</v>
      </c>
      <c r="I640" s="1" t="s">
        <v>387</v>
      </c>
      <c r="J640" s="61">
        <v>38</v>
      </c>
      <c r="K640" s="61">
        <v>6.4</v>
      </c>
      <c r="L640" s="61">
        <v>9</v>
      </c>
      <c r="M640" s="69">
        <f t="shared" si="146"/>
        <v>2.4320000000000004</v>
      </c>
      <c r="N640" s="69">
        <f t="shared" si="147"/>
        <v>3.42</v>
      </c>
      <c r="O640" s="56">
        <f>INDEX(Rate_Chart!$A$1:$AK$127,MATCH(Data!K640,Rate_Chart!$A$1:$A$127,0),MATCH(Data!L640,Rate_Chart!$A$1:$AK$1,0))</f>
        <v>53.44</v>
      </c>
      <c r="P640" s="57">
        <f t="shared" si="148"/>
        <v>2030.7199999999998</v>
      </c>
      <c r="Q640" s="58">
        <f t="shared" si="149"/>
        <v>430.96774193548384</v>
      </c>
      <c r="R640" s="58">
        <f t="shared" si="150"/>
        <v>287.31182795698925</v>
      </c>
      <c r="S640" s="66">
        <f t="shared" si="151"/>
        <v>35.537599999999998</v>
      </c>
      <c r="T640" s="64">
        <f t="shared" si="152"/>
        <v>142.5</v>
      </c>
      <c r="U640" s="66">
        <f t="shared" si="153"/>
        <v>2208.7575999999999</v>
      </c>
      <c r="V640" s="68">
        <f t="shared" si="154"/>
        <v>58.1252</v>
      </c>
      <c r="W640" s="68">
        <f t="shared" si="155"/>
        <v>468.7516129032258</v>
      </c>
      <c r="X640" s="68">
        <f t="shared" si="156"/>
        <v>312.5010752688172</v>
      </c>
      <c r="Z640" s="63"/>
      <c r="AA640" s="63"/>
    </row>
    <row r="641" spans="1:27" hidden="1" x14ac:dyDescent="0.25">
      <c r="A641" t="str">
        <f t="shared" si="144"/>
        <v>10620057B26/05/2026E</v>
      </c>
      <c r="B641" s="169" t="s">
        <v>826</v>
      </c>
      <c r="C641" s="61" t="s">
        <v>397</v>
      </c>
      <c r="D641" s="61" t="s">
        <v>591</v>
      </c>
      <c r="E641" s="61" t="s">
        <v>592</v>
      </c>
      <c r="F641" s="1" t="s">
        <v>361</v>
      </c>
      <c r="G641" s="62" t="str">
        <f t="shared" si="145"/>
        <v>64511</v>
      </c>
      <c r="H641" s="1">
        <v>10620057</v>
      </c>
      <c r="I641" s="1" t="s">
        <v>387</v>
      </c>
      <c r="J641" s="61">
        <v>14</v>
      </c>
      <c r="K641" s="61">
        <v>7.2</v>
      </c>
      <c r="L641" s="61">
        <v>9</v>
      </c>
      <c r="M641" s="69">
        <f t="shared" si="146"/>
        <v>1.008</v>
      </c>
      <c r="N641" s="69">
        <f t="shared" si="147"/>
        <v>1.26</v>
      </c>
      <c r="O641" s="56">
        <f>INDEX(Rate_Chart!$A$1:$AK$127,MATCH(Data!K641,Rate_Chart!$A$1:$A$127,0),MATCH(Data!L641,Rate_Chart!$A$1:$AK$1,0))</f>
        <v>60.120000000000005</v>
      </c>
      <c r="P641" s="57">
        <f t="shared" si="148"/>
        <v>841.68000000000006</v>
      </c>
      <c r="Q641" s="58">
        <f t="shared" si="149"/>
        <v>455.4545454545455</v>
      </c>
      <c r="R641" s="58">
        <f t="shared" si="150"/>
        <v>303.63636363636368</v>
      </c>
      <c r="S641" s="66">
        <f t="shared" si="151"/>
        <v>14.729400000000002</v>
      </c>
      <c r="T641" s="64">
        <f t="shared" si="152"/>
        <v>52.5</v>
      </c>
      <c r="U641" s="66">
        <f t="shared" si="153"/>
        <v>908.90940000000001</v>
      </c>
      <c r="V641" s="68">
        <f t="shared" si="154"/>
        <v>64.9221</v>
      </c>
      <c r="W641" s="68">
        <f t="shared" si="155"/>
        <v>491.83409090909089</v>
      </c>
      <c r="X641" s="68">
        <f t="shared" si="156"/>
        <v>327.88939393939393</v>
      </c>
      <c r="Z641" s="63"/>
      <c r="AA641" s="63"/>
    </row>
    <row r="642" spans="1:27" hidden="1" x14ac:dyDescent="0.25">
      <c r="A642" t="str">
        <f t="shared" si="144"/>
        <v>10620057C27/05/2026E</v>
      </c>
      <c r="B642" s="169" t="s">
        <v>826</v>
      </c>
      <c r="C642" s="61" t="s">
        <v>397</v>
      </c>
      <c r="D642" s="61" t="s">
        <v>591</v>
      </c>
      <c r="E642" s="61" t="s">
        <v>592</v>
      </c>
      <c r="F642" s="1" t="s">
        <v>361</v>
      </c>
      <c r="G642" s="62" t="str">
        <f t="shared" si="145"/>
        <v>64511</v>
      </c>
      <c r="H642" s="1">
        <v>10620057</v>
      </c>
      <c r="I642" s="1" t="s">
        <v>388</v>
      </c>
      <c r="J642" s="61">
        <v>36</v>
      </c>
      <c r="K642" s="61">
        <v>4</v>
      </c>
      <c r="L642" s="61">
        <v>8.5</v>
      </c>
      <c r="M642" s="69">
        <f t="shared" si="146"/>
        <v>1.44</v>
      </c>
      <c r="N642" s="69">
        <f t="shared" si="147"/>
        <v>3.06</v>
      </c>
      <c r="O642" s="56">
        <f>INDEX(Rate_Chart!$A$1:$AK$127,MATCH(Data!K642,Rate_Chart!$A$1:$A$127,0),MATCH(Data!L642,Rate_Chart!$A$1:$AK$1,0))</f>
        <v>40.311181500000004</v>
      </c>
      <c r="P642" s="57">
        <f t="shared" si="148"/>
        <v>1451.202534</v>
      </c>
      <c r="Q642" s="58">
        <f t="shared" si="149"/>
        <v>417.0122224137931</v>
      </c>
      <c r="R642" s="58">
        <f t="shared" si="150"/>
        <v>278.00814827586208</v>
      </c>
      <c r="S642" s="66">
        <f t="shared" si="151"/>
        <v>25.396044345000004</v>
      </c>
      <c r="T642" s="64">
        <f t="shared" si="152"/>
        <v>135</v>
      </c>
      <c r="U642" s="66">
        <f t="shared" si="153"/>
        <v>1611.5985783450001</v>
      </c>
      <c r="V642" s="68">
        <f t="shared" si="154"/>
        <v>44.766627176250005</v>
      </c>
      <c r="W642" s="68">
        <f t="shared" si="155"/>
        <v>463.10303975431032</v>
      </c>
      <c r="X642" s="68">
        <f t="shared" si="156"/>
        <v>308.7353598362069</v>
      </c>
      <c r="Z642" s="63"/>
      <c r="AA642" s="63"/>
    </row>
    <row r="643" spans="1:27" hidden="1" x14ac:dyDescent="0.25">
      <c r="A643" t="str">
        <f t="shared" si="144"/>
        <v>10620057B27/05/2026M</v>
      </c>
      <c r="B643" s="169" t="s">
        <v>827</v>
      </c>
      <c r="C643" s="61" t="s">
        <v>396</v>
      </c>
      <c r="D643" s="61" t="s">
        <v>591</v>
      </c>
      <c r="E643" s="61" t="s">
        <v>592</v>
      </c>
      <c r="F643" s="1" t="s">
        <v>361</v>
      </c>
      <c r="G643" s="62" t="str">
        <f t="shared" si="145"/>
        <v>64511</v>
      </c>
      <c r="H643" s="1">
        <v>10620057</v>
      </c>
      <c r="I643" s="1" t="s">
        <v>387</v>
      </c>
      <c r="J643" s="61">
        <v>29</v>
      </c>
      <c r="K643" s="61">
        <v>7.3</v>
      </c>
      <c r="L643" s="61">
        <v>9</v>
      </c>
      <c r="M643" s="69">
        <f t="shared" si="146"/>
        <v>2.117</v>
      </c>
      <c r="N643" s="69">
        <f t="shared" si="147"/>
        <v>2.61</v>
      </c>
      <c r="O643" s="56">
        <f>INDEX(Rate_Chart!$A$1:$AK$127,MATCH(Data!K643,Rate_Chart!$A$1:$A$127,0),MATCH(Data!L643,Rate_Chart!$A$1:$AK$1,0))</f>
        <v>60.954999999999998</v>
      </c>
      <c r="P643" s="57">
        <f t="shared" si="148"/>
        <v>1767.6949999999999</v>
      </c>
      <c r="Q643" s="58">
        <f t="shared" si="149"/>
        <v>458.30827067669168</v>
      </c>
      <c r="R643" s="58">
        <f t="shared" si="150"/>
        <v>305.53884711779443</v>
      </c>
      <c r="S643" s="66">
        <f t="shared" si="151"/>
        <v>30.934662500000002</v>
      </c>
      <c r="T643" s="64">
        <f t="shared" si="152"/>
        <v>108.75</v>
      </c>
      <c r="U643" s="66">
        <f t="shared" si="153"/>
        <v>1907.3796625</v>
      </c>
      <c r="V643" s="68">
        <f t="shared" si="154"/>
        <v>65.771712500000007</v>
      </c>
      <c r="W643" s="68">
        <f t="shared" si="155"/>
        <v>494.52415413533839</v>
      </c>
      <c r="X643" s="68">
        <f t="shared" si="156"/>
        <v>329.68276942355891</v>
      </c>
      <c r="Z643" s="63"/>
      <c r="AA643" s="63"/>
    </row>
    <row r="644" spans="1:27" hidden="1" x14ac:dyDescent="0.25">
      <c r="A644" t="str">
        <f t="shared" si="144"/>
        <v>10620057B27/05/2026E</v>
      </c>
      <c r="B644" s="169" t="s">
        <v>827</v>
      </c>
      <c r="C644" s="61" t="s">
        <v>397</v>
      </c>
      <c r="D644" s="61" t="s">
        <v>591</v>
      </c>
      <c r="E644" s="61" t="s">
        <v>592</v>
      </c>
      <c r="F644" s="1" t="s">
        <v>361</v>
      </c>
      <c r="G644" s="62" t="str">
        <f t="shared" si="145"/>
        <v>64511</v>
      </c>
      <c r="H644" s="1">
        <v>10620057</v>
      </c>
      <c r="I644" s="1" t="s">
        <v>387</v>
      </c>
      <c r="J644" s="61">
        <v>7</v>
      </c>
      <c r="K644" s="61">
        <v>8</v>
      </c>
      <c r="L644" s="61">
        <v>9</v>
      </c>
      <c r="M644" s="69">
        <f t="shared" si="146"/>
        <v>0.56000000000000005</v>
      </c>
      <c r="N644" s="69">
        <f t="shared" si="147"/>
        <v>0.63</v>
      </c>
      <c r="O644" s="56">
        <f>INDEX(Rate_Chart!$A$1:$AK$127,MATCH(Data!K644,Rate_Chart!$A$1:$A$127,0),MATCH(Data!L644,Rate_Chart!$A$1:$AK$1,0))</f>
        <v>66.8</v>
      </c>
      <c r="P644" s="57">
        <f t="shared" si="148"/>
        <v>467.59999999999997</v>
      </c>
      <c r="Q644" s="58">
        <f t="shared" si="149"/>
        <v>477.14285714285705</v>
      </c>
      <c r="R644" s="58">
        <f t="shared" si="150"/>
        <v>318.09523809523802</v>
      </c>
      <c r="S644" s="66">
        <f t="shared" si="151"/>
        <v>8.1829999999999998</v>
      </c>
      <c r="T644" s="64">
        <f t="shared" si="152"/>
        <v>26.25</v>
      </c>
      <c r="U644" s="66">
        <f t="shared" si="153"/>
        <v>502.03299999999996</v>
      </c>
      <c r="V644" s="68">
        <f t="shared" si="154"/>
        <v>71.718999999999994</v>
      </c>
      <c r="W644" s="68">
        <f t="shared" si="155"/>
        <v>512.27857142857135</v>
      </c>
      <c r="X644" s="68">
        <f t="shared" si="156"/>
        <v>341.51904761904757</v>
      </c>
      <c r="Z644" s="63"/>
      <c r="AA644" s="63"/>
    </row>
    <row r="645" spans="1:27" hidden="1" x14ac:dyDescent="0.25">
      <c r="A645" t="str">
        <f t="shared" ref="A645:A708" si="157">CONCATENATE(H645,I645,B646,C645)</f>
        <v>10620057C28/05/2026E</v>
      </c>
      <c r="B645" s="169" t="s">
        <v>827</v>
      </c>
      <c r="C645" s="61" t="s">
        <v>397</v>
      </c>
      <c r="D645" s="61" t="s">
        <v>591</v>
      </c>
      <c r="E645" s="61" t="s">
        <v>592</v>
      </c>
      <c r="F645" s="1" t="s">
        <v>361</v>
      </c>
      <c r="G645" s="62" t="str">
        <f t="shared" si="145"/>
        <v>64511</v>
      </c>
      <c r="H645" s="1">
        <v>10620057</v>
      </c>
      <c r="I645" s="1" t="s">
        <v>388</v>
      </c>
      <c r="J645" s="61">
        <v>29</v>
      </c>
      <c r="K645" s="61">
        <v>4.3</v>
      </c>
      <c r="L645" s="61">
        <v>8.5</v>
      </c>
      <c r="M645" s="69">
        <f t="shared" si="146"/>
        <v>1.2469999999999999</v>
      </c>
      <c r="N645" s="69">
        <f t="shared" si="147"/>
        <v>2.4649999999999999</v>
      </c>
      <c r="O645" s="56">
        <f>INDEX(Rate_Chart!$A$1:$AK$127,MATCH(Data!K645,Rate_Chart!$A$1:$A$127,0),MATCH(Data!L645,Rate_Chart!$A$1:$AK$1,0))</f>
        <v>41.562181500000001</v>
      </c>
      <c r="P645" s="57">
        <f t="shared" si="148"/>
        <v>1205.3032635</v>
      </c>
      <c r="Q645" s="58">
        <f t="shared" si="149"/>
        <v>417.01185451505017</v>
      </c>
      <c r="R645" s="58">
        <f t="shared" si="150"/>
        <v>278.00790301003343</v>
      </c>
      <c r="S645" s="66">
        <f t="shared" si="151"/>
        <v>21.09280711125</v>
      </c>
      <c r="T645" s="64">
        <f t="shared" si="152"/>
        <v>108.75</v>
      </c>
      <c r="U645" s="66">
        <f t="shared" si="153"/>
        <v>1335.14607061125</v>
      </c>
      <c r="V645" s="68">
        <f t="shared" si="154"/>
        <v>46.039519676250002</v>
      </c>
      <c r="W645" s="68">
        <f t="shared" si="155"/>
        <v>461.93498002926424</v>
      </c>
      <c r="X645" s="68">
        <f t="shared" si="156"/>
        <v>307.95665335284281</v>
      </c>
      <c r="Z645" s="63"/>
      <c r="AA645" s="63"/>
    </row>
    <row r="646" spans="1:27" hidden="1" x14ac:dyDescent="0.25">
      <c r="A646" t="str">
        <f t="shared" si="157"/>
        <v>10620057B28/05/2026M</v>
      </c>
      <c r="B646" s="169" t="s">
        <v>828</v>
      </c>
      <c r="C646" s="61" t="s">
        <v>396</v>
      </c>
      <c r="D646" s="61" t="s">
        <v>591</v>
      </c>
      <c r="E646" s="61" t="s">
        <v>592</v>
      </c>
      <c r="F646" s="1" t="s">
        <v>361</v>
      </c>
      <c r="G646" s="62" t="str">
        <f t="shared" ref="G646:G709" si="158">MID(F646,2,5)</f>
        <v>64511</v>
      </c>
      <c r="H646" s="1">
        <v>10620057</v>
      </c>
      <c r="I646" s="1" t="s">
        <v>387</v>
      </c>
      <c r="J646" s="61">
        <v>17</v>
      </c>
      <c r="K646" s="61">
        <v>6.9</v>
      </c>
      <c r="L646" s="61">
        <v>8.8000000000000007</v>
      </c>
      <c r="M646" s="69">
        <f t="shared" si="146"/>
        <v>1.173</v>
      </c>
      <c r="N646" s="69">
        <f t="shared" si="147"/>
        <v>1.4960000000000002</v>
      </c>
      <c r="O646" s="56">
        <f>INDEX(Rate_Chart!$A$1:$AK$127,MATCH(Data!K646,Rate_Chart!$A$1:$A$127,0),MATCH(Data!L646,Rate_Chart!$A$1:$AK$1,0))</f>
        <v>57.038850000000004</v>
      </c>
      <c r="P646" s="57">
        <f t="shared" si="148"/>
        <v>969.66045000000008</v>
      </c>
      <c r="Q646" s="58">
        <f t="shared" si="149"/>
        <v>446.77950391644907</v>
      </c>
      <c r="R646" s="58">
        <f t="shared" si="150"/>
        <v>297.85300261096603</v>
      </c>
      <c r="S646" s="66">
        <f t="shared" si="151"/>
        <v>16.969057875000004</v>
      </c>
      <c r="T646" s="64">
        <f t="shared" si="152"/>
        <v>63.75</v>
      </c>
      <c r="U646" s="66">
        <f t="shared" si="153"/>
        <v>1050.3795078750002</v>
      </c>
      <c r="V646" s="68">
        <f t="shared" si="154"/>
        <v>61.787029875000009</v>
      </c>
      <c r="W646" s="68">
        <f t="shared" si="155"/>
        <v>483.97151338120108</v>
      </c>
      <c r="X646" s="68">
        <f t="shared" si="156"/>
        <v>322.6476755874674</v>
      </c>
      <c r="Z646" s="63"/>
      <c r="AA646" s="63"/>
    </row>
    <row r="647" spans="1:27" hidden="1" x14ac:dyDescent="0.25">
      <c r="A647" t="str">
        <f t="shared" si="157"/>
        <v>10620057B22/05/2026E</v>
      </c>
      <c r="B647" s="169" t="s">
        <v>828</v>
      </c>
      <c r="C647" s="61" t="s">
        <v>397</v>
      </c>
      <c r="D647" s="61" t="s">
        <v>591</v>
      </c>
      <c r="E647" s="61" t="s">
        <v>592</v>
      </c>
      <c r="F647" s="1" t="s">
        <v>361</v>
      </c>
      <c r="G647" s="62" t="str">
        <f t="shared" si="158"/>
        <v>64511</v>
      </c>
      <c r="H647" s="1">
        <v>10620057</v>
      </c>
      <c r="I647" s="1" t="s">
        <v>387</v>
      </c>
      <c r="J647" s="61">
        <v>13</v>
      </c>
      <c r="K647" s="61">
        <v>7.5</v>
      </c>
      <c r="L647" s="61">
        <v>9</v>
      </c>
      <c r="M647" s="69">
        <f t="shared" si="146"/>
        <v>0.97499999999999998</v>
      </c>
      <c r="N647" s="69">
        <f t="shared" si="147"/>
        <v>1.17</v>
      </c>
      <c r="O647" s="56">
        <f>INDEX(Rate_Chart!$A$1:$AK$127,MATCH(Data!K647,Rate_Chart!$A$1:$A$127,0),MATCH(Data!L647,Rate_Chart!$A$1:$AK$1,0))</f>
        <v>62.625</v>
      </c>
      <c r="P647" s="57">
        <f t="shared" si="148"/>
        <v>814.125</v>
      </c>
      <c r="Q647" s="58">
        <f t="shared" si="149"/>
        <v>463.88888888888886</v>
      </c>
      <c r="R647" s="58">
        <f t="shared" si="150"/>
        <v>309.25925925925924</v>
      </c>
      <c r="S647" s="66">
        <f t="shared" si="151"/>
        <v>14.247187500000001</v>
      </c>
      <c r="T647" s="64">
        <f t="shared" si="152"/>
        <v>48.75</v>
      </c>
      <c r="U647" s="66">
        <f t="shared" si="153"/>
        <v>877.1221875</v>
      </c>
      <c r="V647" s="68">
        <f t="shared" si="154"/>
        <v>67.470937500000005</v>
      </c>
      <c r="W647" s="68">
        <f t="shared" si="155"/>
        <v>499.78472222222223</v>
      </c>
      <c r="X647" s="68">
        <f t="shared" si="156"/>
        <v>333.18981481481484</v>
      </c>
      <c r="Z647" s="63"/>
      <c r="AA647" s="63"/>
    </row>
    <row r="648" spans="1:27" hidden="1" x14ac:dyDescent="0.25">
      <c r="A648" t="str">
        <f t="shared" si="157"/>
        <v>10620044B22/05/2026M</v>
      </c>
      <c r="B648" s="169" t="s">
        <v>822</v>
      </c>
      <c r="C648" s="61" t="s">
        <v>396</v>
      </c>
      <c r="D648" s="61" t="s">
        <v>591</v>
      </c>
      <c r="E648" s="61" t="s">
        <v>593</v>
      </c>
      <c r="F648" s="1" t="s">
        <v>362</v>
      </c>
      <c r="G648" s="62" t="str">
        <f t="shared" si="158"/>
        <v>64513</v>
      </c>
      <c r="H648" s="1">
        <v>10620044</v>
      </c>
      <c r="I648" s="1" t="s">
        <v>387</v>
      </c>
      <c r="J648" s="61">
        <v>38</v>
      </c>
      <c r="K648" s="61">
        <v>6.1</v>
      </c>
      <c r="L648" s="61">
        <v>8.8000000000000007</v>
      </c>
      <c r="M648" s="69">
        <f t="shared" si="146"/>
        <v>2.3179999999999996</v>
      </c>
      <c r="N648" s="69">
        <f t="shared" si="147"/>
        <v>3.3440000000000003</v>
      </c>
      <c r="O648" s="56">
        <v>50.425650000000005</v>
      </c>
      <c r="P648" s="57">
        <f t="shared" si="148"/>
        <v>1916.1747000000003</v>
      </c>
      <c r="Q648" s="58">
        <f t="shared" si="149"/>
        <v>421.38426183844012</v>
      </c>
      <c r="R648" s="58">
        <f t="shared" si="150"/>
        <v>280.92284122562677</v>
      </c>
      <c r="S648" s="66">
        <f t="shared" si="151"/>
        <v>33.533057250000006</v>
      </c>
      <c r="T648" s="64">
        <f t="shared" si="152"/>
        <v>142.5</v>
      </c>
      <c r="U648" s="66">
        <f t="shared" si="153"/>
        <v>2092.2077572500002</v>
      </c>
      <c r="V648" s="68">
        <f t="shared" si="154"/>
        <v>55.058098875000006</v>
      </c>
      <c r="W648" s="68">
        <f t="shared" si="155"/>
        <v>460.09553377437328</v>
      </c>
      <c r="X648" s="68">
        <f t="shared" si="156"/>
        <v>306.73035584958217</v>
      </c>
      <c r="Z648" s="63"/>
      <c r="AA648" s="63"/>
    </row>
    <row r="649" spans="1:27" hidden="1" x14ac:dyDescent="0.25">
      <c r="A649" t="str">
        <f t="shared" si="157"/>
        <v>10620044C22/05/2026M</v>
      </c>
      <c r="B649" s="169" t="s">
        <v>822</v>
      </c>
      <c r="C649" s="61" t="s">
        <v>396</v>
      </c>
      <c r="D649" s="61" t="s">
        <v>591</v>
      </c>
      <c r="E649" s="61" t="s">
        <v>593</v>
      </c>
      <c r="F649" s="1" t="s">
        <v>362</v>
      </c>
      <c r="G649" s="62" t="str">
        <f t="shared" si="158"/>
        <v>64513</v>
      </c>
      <c r="H649" s="1">
        <v>10620044</v>
      </c>
      <c r="I649" s="1" t="s">
        <v>388</v>
      </c>
      <c r="J649" s="61">
        <v>40</v>
      </c>
      <c r="K649" s="61">
        <v>3.5</v>
      </c>
      <c r="L649" s="61">
        <v>8</v>
      </c>
      <c r="M649" s="69">
        <f t="shared" si="146"/>
        <v>1.4</v>
      </c>
      <c r="N649" s="69">
        <f t="shared" si="147"/>
        <v>3.2</v>
      </c>
      <c r="O649" s="56">
        <v>34.981056000000002</v>
      </c>
      <c r="P649" s="57">
        <f t="shared" si="148"/>
        <v>1399.24224</v>
      </c>
      <c r="Q649" s="58">
        <f t="shared" si="149"/>
        <v>396.01195471698111</v>
      </c>
      <c r="R649" s="58">
        <f t="shared" si="150"/>
        <v>264.00796981132072</v>
      </c>
      <c r="S649" s="66">
        <f t="shared" si="151"/>
        <v>24.486739200000002</v>
      </c>
      <c r="T649" s="64">
        <f t="shared" si="152"/>
        <v>150</v>
      </c>
      <c r="U649" s="66">
        <f t="shared" si="153"/>
        <v>1573.7289792000001</v>
      </c>
      <c r="V649" s="68">
        <f t="shared" si="154"/>
        <v>39.343224480000003</v>
      </c>
      <c r="W649" s="68">
        <f t="shared" si="155"/>
        <v>445.39499411320753</v>
      </c>
      <c r="X649" s="68">
        <f t="shared" si="156"/>
        <v>296.92999607547171</v>
      </c>
      <c r="Z649" s="63"/>
      <c r="AA649" s="63"/>
    </row>
    <row r="650" spans="1:27" hidden="1" x14ac:dyDescent="0.25">
      <c r="A650" t="str">
        <f t="shared" si="157"/>
        <v>10620044B22/05/2026E</v>
      </c>
      <c r="B650" s="169" t="s">
        <v>822</v>
      </c>
      <c r="C650" s="61" t="s">
        <v>397</v>
      </c>
      <c r="D650" s="61" t="s">
        <v>591</v>
      </c>
      <c r="E650" s="61" t="s">
        <v>593</v>
      </c>
      <c r="F650" s="1" t="s">
        <v>362</v>
      </c>
      <c r="G650" s="62" t="str">
        <f t="shared" si="158"/>
        <v>64513</v>
      </c>
      <c r="H650" s="1">
        <v>10620044</v>
      </c>
      <c r="I650" s="1" t="s">
        <v>387</v>
      </c>
      <c r="J650" s="61">
        <v>35</v>
      </c>
      <c r="K650" s="61">
        <v>5.9</v>
      </c>
      <c r="L650" s="61">
        <v>8.8000000000000007</v>
      </c>
      <c r="M650" s="69">
        <f t="shared" si="146"/>
        <v>2.0649999999999999</v>
      </c>
      <c r="N650" s="69">
        <f t="shared" si="147"/>
        <v>3.08</v>
      </c>
      <c r="O650" s="56">
        <v>48.772350000000003</v>
      </c>
      <c r="P650" s="57">
        <f t="shared" si="148"/>
        <v>1707.0322500000002</v>
      </c>
      <c r="Q650" s="58">
        <f t="shared" si="149"/>
        <v>414.49589235127479</v>
      </c>
      <c r="R650" s="58">
        <f t="shared" si="150"/>
        <v>276.33059490084986</v>
      </c>
      <c r="S650" s="66">
        <f t="shared" si="151"/>
        <v>29.873064375000006</v>
      </c>
      <c r="T650" s="64">
        <f t="shared" si="152"/>
        <v>131.25</v>
      </c>
      <c r="U650" s="66">
        <f t="shared" si="153"/>
        <v>1868.1553143750002</v>
      </c>
      <c r="V650" s="68">
        <f t="shared" si="154"/>
        <v>53.375866125000009</v>
      </c>
      <c r="W650" s="68">
        <f t="shared" si="155"/>
        <v>453.6192588526913</v>
      </c>
      <c r="X650" s="68">
        <f t="shared" si="156"/>
        <v>302.41283923512754</v>
      </c>
      <c r="Z650" s="63"/>
      <c r="AA650" s="63"/>
    </row>
    <row r="651" spans="1:27" hidden="1" x14ac:dyDescent="0.25">
      <c r="A651" t="str">
        <f t="shared" si="157"/>
        <v>10620044C23/05/2026E</v>
      </c>
      <c r="B651" s="169" t="s">
        <v>822</v>
      </c>
      <c r="C651" s="61" t="s">
        <v>397</v>
      </c>
      <c r="D651" s="61" t="s">
        <v>591</v>
      </c>
      <c r="E651" s="61" t="s">
        <v>593</v>
      </c>
      <c r="F651" s="1" t="s">
        <v>362</v>
      </c>
      <c r="G651" s="62" t="str">
        <f t="shared" si="158"/>
        <v>64513</v>
      </c>
      <c r="H651" s="1">
        <v>10620044</v>
      </c>
      <c r="I651" s="1" t="s">
        <v>388</v>
      </c>
      <c r="J651" s="61">
        <v>35</v>
      </c>
      <c r="K651" s="61">
        <v>3</v>
      </c>
      <c r="L651" s="61">
        <v>8</v>
      </c>
      <c r="M651" s="69">
        <f t="shared" si="146"/>
        <v>1.05</v>
      </c>
      <c r="N651" s="69">
        <f t="shared" si="147"/>
        <v>2.8</v>
      </c>
      <c r="O651" s="56">
        <v>33.001056000000005</v>
      </c>
      <c r="P651" s="57">
        <f t="shared" si="148"/>
        <v>1155.0369600000001</v>
      </c>
      <c r="Q651" s="58">
        <f t="shared" si="149"/>
        <v>396.01267200000001</v>
      </c>
      <c r="R651" s="58">
        <f t="shared" si="150"/>
        <v>264.00844799999999</v>
      </c>
      <c r="S651" s="66">
        <f t="shared" si="151"/>
        <v>20.213146800000004</v>
      </c>
      <c r="T651" s="64">
        <f t="shared" si="152"/>
        <v>131.25</v>
      </c>
      <c r="U651" s="66">
        <f t="shared" si="153"/>
        <v>1306.5001068000001</v>
      </c>
      <c r="V651" s="68">
        <f t="shared" si="154"/>
        <v>37.328574480000007</v>
      </c>
      <c r="W651" s="68">
        <f t="shared" si="155"/>
        <v>447.94289376000006</v>
      </c>
      <c r="X651" s="68">
        <f t="shared" si="156"/>
        <v>298.62859584000006</v>
      </c>
      <c r="Z651" s="63"/>
      <c r="AA651" s="63"/>
    </row>
    <row r="652" spans="1:27" hidden="1" x14ac:dyDescent="0.25">
      <c r="A652" t="str">
        <f t="shared" si="157"/>
        <v>10620044B23/05/2026M</v>
      </c>
      <c r="B652" s="169" t="s">
        <v>823</v>
      </c>
      <c r="C652" s="61" t="s">
        <v>396</v>
      </c>
      <c r="D652" s="61" t="s">
        <v>591</v>
      </c>
      <c r="E652" s="61" t="s">
        <v>593</v>
      </c>
      <c r="F652" s="1" t="s">
        <v>362</v>
      </c>
      <c r="G652" s="62" t="str">
        <f t="shared" si="158"/>
        <v>64513</v>
      </c>
      <c r="H652" s="1">
        <v>10620044</v>
      </c>
      <c r="I652" s="1" t="s">
        <v>387</v>
      </c>
      <c r="J652" s="61">
        <v>38</v>
      </c>
      <c r="K652" s="61">
        <v>6.4</v>
      </c>
      <c r="L652" s="61">
        <v>8.6</v>
      </c>
      <c r="M652" s="69">
        <f t="shared" si="146"/>
        <v>2.4320000000000004</v>
      </c>
      <c r="N652" s="69">
        <f t="shared" si="147"/>
        <v>3.2680000000000002</v>
      </c>
      <c r="O652" s="56">
        <v>52.371199999999995</v>
      </c>
      <c r="P652" s="57">
        <f t="shared" si="148"/>
        <v>1990.1055999999999</v>
      </c>
      <c r="Q652" s="58">
        <f t="shared" si="149"/>
        <v>431.6307692307692</v>
      </c>
      <c r="R652" s="58">
        <f t="shared" si="150"/>
        <v>287.75384615384615</v>
      </c>
      <c r="S652" s="66">
        <f t="shared" si="151"/>
        <v>34.826847999999998</v>
      </c>
      <c r="T652" s="64">
        <f t="shared" si="152"/>
        <v>142.5</v>
      </c>
      <c r="U652" s="66">
        <f t="shared" si="153"/>
        <v>2167.432448</v>
      </c>
      <c r="V652" s="68">
        <f t="shared" si="154"/>
        <v>57.037696000000004</v>
      </c>
      <c r="W652" s="68">
        <f t="shared" si="155"/>
        <v>470.09090109890116</v>
      </c>
      <c r="X652" s="68">
        <f t="shared" si="156"/>
        <v>313.3939340659341</v>
      </c>
      <c r="Z652" s="63"/>
      <c r="AA652" s="63"/>
    </row>
    <row r="653" spans="1:27" hidden="1" x14ac:dyDescent="0.25">
      <c r="A653" t="str">
        <f t="shared" si="157"/>
        <v>10620044C23/05/2026M</v>
      </c>
      <c r="B653" s="169" t="s">
        <v>823</v>
      </c>
      <c r="C653" s="61" t="s">
        <v>396</v>
      </c>
      <c r="D653" s="61" t="s">
        <v>591</v>
      </c>
      <c r="E653" s="61" t="s">
        <v>593</v>
      </c>
      <c r="F653" s="1" t="s">
        <v>362</v>
      </c>
      <c r="G653" s="62" t="str">
        <f t="shared" si="158"/>
        <v>64513</v>
      </c>
      <c r="H653" s="1">
        <v>10620044</v>
      </c>
      <c r="I653" s="1" t="s">
        <v>388</v>
      </c>
      <c r="J653" s="61">
        <v>37</v>
      </c>
      <c r="K653" s="61">
        <v>3.3</v>
      </c>
      <c r="L653" s="61">
        <v>8</v>
      </c>
      <c r="M653" s="69">
        <f t="shared" si="146"/>
        <v>1.2209999999999999</v>
      </c>
      <c r="N653" s="69">
        <f t="shared" si="147"/>
        <v>2.96</v>
      </c>
      <c r="O653" s="56">
        <v>34.189056000000008</v>
      </c>
      <c r="P653" s="57">
        <f t="shared" si="148"/>
        <v>1264.9950720000004</v>
      </c>
      <c r="Q653" s="58">
        <f t="shared" si="149"/>
        <v>396.01223166023169</v>
      </c>
      <c r="R653" s="58">
        <f t="shared" si="150"/>
        <v>264.00815444015444</v>
      </c>
      <c r="S653" s="66">
        <f t="shared" si="151"/>
        <v>22.137413760000008</v>
      </c>
      <c r="T653" s="64">
        <f t="shared" si="152"/>
        <v>138.75</v>
      </c>
      <c r="U653" s="66">
        <f t="shared" si="153"/>
        <v>1425.8824857600005</v>
      </c>
      <c r="V653" s="68">
        <f t="shared" si="154"/>
        <v>38.537364480000015</v>
      </c>
      <c r="W653" s="68">
        <f t="shared" si="155"/>
        <v>446.37873915057924</v>
      </c>
      <c r="X653" s="68">
        <f t="shared" si="156"/>
        <v>297.58582610038616</v>
      </c>
      <c r="Z653" s="63"/>
      <c r="AA653" s="63"/>
    </row>
    <row r="654" spans="1:27" hidden="1" x14ac:dyDescent="0.25">
      <c r="A654" t="str">
        <f t="shared" si="157"/>
        <v>10620044B23/05/2026E</v>
      </c>
      <c r="B654" s="169" t="s">
        <v>823</v>
      </c>
      <c r="C654" s="61" t="s">
        <v>397</v>
      </c>
      <c r="D654" s="61" t="s">
        <v>591</v>
      </c>
      <c r="E654" s="61" t="s">
        <v>593</v>
      </c>
      <c r="F654" s="1" t="s">
        <v>362</v>
      </c>
      <c r="G654" s="62" t="str">
        <f t="shared" si="158"/>
        <v>64513</v>
      </c>
      <c r="H654" s="1">
        <v>10620044</v>
      </c>
      <c r="I654" s="1" t="s">
        <v>387</v>
      </c>
      <c r="J654" s="61">
        <v>26</v>
      </c>
      <c r="K654" s="61">
        <v>6</v>
      </c>
      <c r="L654" s="61">
        <v>8.8000000000000007</v>
      </c>
      <c r="M654" s="69">
        <f t="shared" si="146"/>
        <v>1.56</v>
      </c>
      <c r="N654" s="69">
        <f t="shared" si="147"/>
        <v>2.2880000000000003</v>
      </c>
      <c r="O654" s="56">
        <v>49.599000000000004</v>
      </c>
      <c r="P654" s="57">
        <f t="shared" si="148"/>
        <v>1289.5740000000001</v>
      </c>
      <c r="Q654" s="58">
        <f t="shared" si="149"/>
        <v>417.96910112359552</v>
      </c>
      <c r="R654" s="58">
        <f t="shared" si="150"/>
        <v>278.64606741573033</v>
      </c>
      <c r="S654" s="66">
        <f t="shared" si="151"/>
        <v>22.567545000000003</v>
      </c>
      <c r="T654" s="64">
        <f t="shared" si="152"/>
        <v>97.5</v>
      </c>
      <c r="U654" s="66">
        <f t="shared" si="153"/>
        <v>1409.641545</v>
      </c>
      <c r="V654" s="68">
        <f t="shared" si="154"/>
        <v>54.2169825</v>
      </c>
      <c r="W654" s="68">
        <f t="shared" si="155"/>
        <v>456.88468398876404</v>
      </c>
      <c r="X654" s="68">
        <f t="shared" si="156"/>
        <v>304.58978932584267</v>
      </c>
      <c r="Z654" s="63"/>
      <c r="AA654" s="63"/>
    </row>
    <row r="655" spans="1:27" hidden="1" x14ac:dyDescent="0.25">
      <c r="A655" t="str">
        <f t="shared" si="157"/>
        <v>10620044C24/05/2026E</v>
      </c>
      <c r="B655" s="169" t="s">
        <v>823</v>
      </c>
      <c r="C655" s="61" t="s">
        <v>397</v>
      </c>
      <c r="D655" s="61" t="s">
        <v>591</v>
      </c>
      <c r="E655" s="61" t="s">
        <v>593</v>
      </c>
      <c r="F655" s="1" t="s">
        <v>362</v>
      </c>
      <c r="G655" s="62" t="str">
        <f t="shared" si="158"/>
        <v>64513</v>
      </c>
      <c r="H655" s="1">
        <v>10620044</v>
      </c>
      <c r="I655" s="1" t="s">
        <v>388</v>
      </c>
      <c r="J655" s="61">
        <v>38</v>
      </c>
      <c r="K655" s="61">
        <v>3.2</v>
      </c>
      <c r="L655" s="61">
        <v>8</v>
      </c>
      <c r="M655" s="69">
        <f t="shared" si="146"/>
        <v>1.2160000000000002</v>
      </c>
      <c r="N655" s="69">
        <f t="shared" si="147"/>
        <v>3.04</v>
      </c>
      <c r="O655" s="56">
        <v>33.793056000000007</v>
      </c>
      <c r="P655" s="57">
        <f t="shared" si="148"/>
        <v>1284.1361280000003</v>
      </c>
      <c r="Q655" s="58">
        <f t="shared" si="149"/>
        <v>396.01237500000002</v>
      </c>
      <c r="R655" s="58">
        <f t="shared" si="150"/>
        <v>264.00825000000003</v>
      </c>
      <c r="S655" s="66">
        <f t="shared" si="151"/>
        <v>22.472382240000009</v>
      </c>
      <c r="T655" s="64">
        <f t="shared" si="152"/>
        <v>142.5</v>
      </c>
      <c r="U655" s="66">
        <f t="shared" si="153"/>
        <v>1449.1085102400002</v>
      </c>
      <c r="V655" s="68">
        <f t="shared" si="154"/>
        <v>38.134434480000003</v>
      </c>
      <c r="W655" s="68">
        <f t="shared" si="155"/>
        <v>446.88790406249996</v>
      </c>
      <c r="X655" s="68">
        <f t="shared" si="156"/>
        <v>297.92526937499997</v>
      </c>
      <c r="Z655" s="63"/>
      <c r="AA655" s="63"/>
    </row>
    <row r="656" spans="1:27" hidden="1" x14ac:dyDescent="0.25">
      <c r="A656" t="str">
        <f t="shared" si="157"/>
        <v>10620044B24/05/2026M</v>
      </c>
      <c r="B656" s="169" t="s">
        <v>824</v>
      </c>
      <c r="C656" s="61" t="s">
        <v>396</v>
      </c>
      <c r="D656" s="61" t="s">
        <v>591</v>
      </c>
      <c r="E656" s="61" t="s">
        <v>593</v>
      </c>
      <c r="F656" s="1" t="s">
        <v>362</v>
      </c>
      <c r="G656" s="62" t="str">
        <f t="shared" si="158"/>
        <v>64513</v>
      </c>
      <c r="H656" s="1">
        <v>10620044</v>
      </c>
      <c r="I656" s="1" t="s">
        <v>387</v>
      </c>
      <c r="J656" s="61">
        <v>38</v>
      </c>
      <c r="K656" s="61">
        <v>6.6</v>
      </c>
      <c r="L656" s="61">
        <v>8.8000000000000007</v>
      </c>
      <c r="M656" s="69">
        <f t="shared" si="146"/>
        <v>2.508</v>
      </c>
      <c r="N656" s="69">
        <f t="shared" si="147"/>
        <v>3.3440000000000003</v>
      </c>
      <c r="O656" s="56">
        <v>54.558900000000001</v>
      </c>
      <c r="P656" s="57">
        <f t="shared" si="148"/>
        <v>2073.2382000000002</v>
      </c>
      <c r="Q656" s="58">
        <f t="shared" si="149"/>
        <v>437.63823529411764</v>
      </c>
      <c r="R656" s="58">
        <f t="shared" si="150"/>
        <v>291.75882352941176</v>
      </c>
      <c r="S656" s="66">
        <f t="shared" si="151"/>
        <v>36.281668500000009</v>
      </c>
      <c r="T656" s="64">
        <f t="shared" si="152"/>
        <v>142.5</v>
      </c>
      <c r="U656" s="66">
        <f t="shared" si="153"/>
        <v>2252.0198685000005</v>
      </c>
      <c r="V656" s="68">
        <f t="shared" si="154"/>
        <v>59.263680750000013</v>
      </c>
      <c r="W656" s="68">
        <f t="shared" si="155"/>
        <v>475.37711831550808</v>
      </c>
      <c r="X656" s="68">
        <f t="shared" si="156"/>
        <v>316.91807887700537</v>
      </c>
      <c r="Z656" s="63"/>
      <c r="AA656" s="63"/>
    </row>
    <row r="657" spans="1:27" hidden="1" x14ac:dyDescent="0.25">
      <c r="A657" t="str">
        <f t="shared" si="157"/>
        <v>10620044C24/05/2026M</v>
      </c>
      <c r="B657" s="169" t="s">
        <v>824</v>
      </c>
      <c r="C657" s="61" t="s">
        <v>396</v>
      </c>
      <c r="D657" s="61" t="s">
        <v>591</v>
      </c>
      <c r="E657" s="61" t="s">
        <v>593</v>
      </c>
      <c r="F657" s="1" t="s">
        <v>362</v>
      </c>
      <c r="G657" s="62" t="str">
        <f t="shared" si="158"/>
        <v>64513</v>
      </c>
      <c r="H657" s="1">
        <v>10620044</v>
      </c>
      <c r="I657" s="1" t="s">
        <v>388</v>
      </c>
      <c r="J657" s="61">
        <v>35</v>
      </c>
      <c r="K657" s="61">
        <v>3</v>
      </c>
      <c r="L657" s="61">
        <v>8</v>
      </c>
      <c r="M657" s="69">
        <f t="shared" si="146"/>
        <v>1.05</v>
      </c>
      <c r="N657" s="69">
        <f t="shared" si="147"/>
        <v>2.8</v>
      </c>
      <c r="O657" s="56">
        <v>33.001056000000005</v>
      </c>
      <c r="P657" s="57">
        <f t="shared" si="148"/>
        <v>1155.0369600000001</v>
      </c>
      <c r="Q657" s="58">
        <f t="shared" si="149"/>
        <v>396.01267200000001</v>
      </c>
      <c r="R657" s="58">
        <f t="shared" si="150"/>
        <v>264.00844799999999</v>
      </c>
      <c r="S657" s="66">
        <f t="shared" si="151"/>
        <v>20.213146800000004</v>
      </c>
      <c r="T657" s="64">
        <f t="shared" si="152"/>
        <v>131.25</v>
      </c>
      <c r="U657" s="66">
        <f t="shared" si="153"/>
        <v>1306.5001068000001</v>
      </c>
      <c r="V657" s="68">
        <f t="shared" si="154"/>
        <v>37.328574480000007</v>
      </c>
      <c r="W657" s="68">
        <f t="shared" si="155"/>
        <v>447.94289376000006</v>
      </c>
      <c r="X657" s="68">
        <f t="shared" si="156"/>
        <v>298.62859584000006</v>
      </c>
      <c r="Z657" s="63"/>
      <c r="AA657" s="63"/>
    </row>
    <row r="658" spans="1:27" hidden="1" x14ac:dyDescent="0.25">
      <c r="A658" t="str">
        <f t="shared" si="157"/>
        <v>10620044B24/05/2026E</v>
      </c>
      <c r="B658" s="169" t="s">
        <v>824</v>
      </c>
      <c r="C658" s="61" t="s">
        <v>397</v>
      </c>
      <c r="D658" s="61" t="s">
        <v>591</v>
      </c>
      <c r="E658" s="61" t="s">
        <v>593</v>
      </c>
      <c r="F658" s="1" t="s">
        <v>362</v>
      </c>
      <c r="G658" s="62" t="str">
        <f t="shared" si="158"/>
        <v>64513</v>
      </c>
      <c r="H658" s="1">
        <v>10620044</v>
      </c>
      <c r="I658" s="1" t="s">
        <v>387</v>
      </c>
      <c r="J658" s="61">
        <v>31</v>
      </c>
      <c r="K658" s="61">
        <v>6.1</v>
      </c>
      <c r="L658" s="61">
        <v>8.8000000000000007</v>
      </c>
      <c r="M658" s="69">
        <f t="shared" si="146"/>
        <v>1.891</v>
      </c>
      <c r="N658" s="69">
        <f t="shared" si="147"/>
        <v>2.7280000000000002</v>
      </c>
      <c r="O658" s="56">
        <v>50.425650000000005</v>
      </c>
      <c r="P658" s="57">
        <f t="shared" si="148"/>
        <v>1563.1951500000002</v>
      </c>
      <c r="Q658" s="58">
        <f t="shared" si="149"/>
        <v>421.38426183844012</v>
      </c>
      <c r="R658" s="58">
        <f t="shared" si="150"/>
        <v>280.92284122562677</v>
      </c>
      <c r="S658" s="66">
        <f t="shared" si="151"/>
        <v>27.355915125000006</v>
      </c>
      <c r="T658" s="64">
        <f t="shared" si="152"/>
        <v>116.25</v>
      </c>
      <c r="U658" s="66">
        <f t="shared" si="153"/>
        <v>1706.8010651250002</v>
      </c>
      <c r="V658" s="68">
        <f t="shared" si="154"/>
        <v>55.058098875000006</v>
      </c>
      <c r="W658" s="68">
        <f t="shared" si="155"/>
        <v>460.09553377437328</v>
      </c>
      <c r="X658" s="68">
        <f t="shared" si="156"/>
        <v>306.73035584958217</v>
      </c>
      <c r="Z658" s="63"/>
      <c r="AA658" s="63"/>
    </row>
    <row r="659" spans="1:27" hidden="1" x14ac:dyDescent="0.25">
      <c r="A659" t="str">
        <f t="shared" si="157"/>
        <v>10620044C25/05/2026E</v>
      </c>
      <c r="B659" s="169" t="s">
        <v>824</v>
      </c>
      <c r="C659" s="61" t="s">
        <v>397</v>
      </c>
      <c r="D659" s="61" t="s">
        <v>591</v>
      </c>
      <c r="E659" s="61" t="s">
        <v>593</v>
      </c>
      <c r="F659" s="1" t="s">
        <v>362</v>
      </c>
      <c r="G659" s="62" t="str">
        <f t="shared" si="158"/>
        <v>64513</v>
      </c>
      <c r="H659" s="1">
        <v>10620044</v>
      </c>
      <c r="I659" s="1" t="s">
        <v>388</v>
      </c>
      <c r="J659" s="61">
        <v>30</v>
      </c>
      <c r="K659" s="61">
        <v>3</v>
      </c>
      <c r="L659" s="61">
        <v>8</v>
      </c>
      <c r="M659" s="69">
        <f t="shared" si="146"/>
        <v>0.9</v>
      </c>
      <c r="N659" s="69">
        <f t="shared" si="147"/>
        <v>2.4</v>
      </c>
      <c r="O659" s="56">
        <v>33.001056000000005</v>
      </c>
      <c r="P659" s="57">
        <f t="shared" si="148"/>
        <v>990.03168000000016</v>
      </c>
      <c r="Q659" s="58">
        <f t="shared" si="149"/>
        <v>396.01267200000001</v>
      </c>
      <c r="R659" s="58">
        <f t="shared" si="150"/>
        <v>264.00844799999999</v>
      </c>
      <c r="S659" s="66">
        <f t="shared" si="151"/>
        <v>17.325554400000005</v>
      </c>
      <c r="T659" s="64">
        <f t="shared" si="152"/>
        <v>112.5</v>
      </c>
      <c r="U659" s="66">
        <f t="shared" si="153"/>
        <v>1119.8572344000002</v>
      </c>
      <c r="V659" s="68">
        <f t="shared" si="154"/>
        <v>37.328574480000007</v>
      </c>
      <c r="W659" s="68">
        <f t="shared" si="155"/>
        <v>447.94289376000006</v>
      </c>
      <c r="X659" s="68">
        <f t="shared" si="156"/>
        <v>298.62859584000006</v>
      </c>
      <c r="Z659" s="63"/>
      <c r="AA659" s="63"/>
    </row>
    <row r="660" spans="1:27" hidden="1" x14ac:dyDescent="0.25">
      <c r="A660" t="str">
        <f t="shared" si="157"/>
        <v>10620044B25/05/2026M</v>
      </c>
      <c r="B660" s="169" t="s">
        <v>825</v>
      </c>
      <c r="C660" s="61" t="s">
        <v>396</v>
      </c>
      <c r="D660" s="61" t="s">
        <v>591</v>
      </c>
      <c r="E660" s="61" t="s">
        <v>593</v>
      </c>
      <c r="F660" s="1" t="s">
        <v>362</v>
      </c>
      <c r="G660" s="62" t="str">
        <f t="shared" si="158"/>
        <v>64513</v>
      </c>
      <c r="H660" s="1">
        <v>10620044</v>
      </c>
      <c r="I660" s="1" t="s">
        <v>387</v>
      </c>
      <c r="J660" s="61">
        <v>36</v>
      </c>
      <c r="K660" s="61">
        <v>6.1</v>
      </c>
      <c r="L660" s="61">
        <v>8.6</v>
      </c>
      <c r="M660" s="69">
        <f t="shared" si="146"/>
        <v>2.1959999999999997</v>
      </c>
      <c r="N660" s="69">
        <f t="shared" si="147"/>
        <v>3.0959999999999996</v>
      </c>
      <c r="O660" s="56">
        <v>49.9163</v>
      </c>
      <c r="P660" s="57">
        <f t="shared" si="148"/>
        <v>1796.9867999999999</v>
      </c>
      <c r="Q660" s="58">
        <f t="shared" si="149"/>
        <v>421.82788732394374</v>
      </c>
      <c r="R660" s="58">
        <f t="shared" si="150"/>
        <v>281.21859154929581</v>
      </c>
      <c r="S660" s="66">
        <f t="shared" si="151"/>
        <v>31.447269000000002</v>
      </c>
      <c r="T660" s="64">
        <f t="shared" si="152"/>
        <v>135</v>
      </c>
      <c r="U660" s="66">
        <f t="shared" si="153"/>
        <v>1963.4340689999999</v>
      </c>
      <c r="V660" s="68">
        <f t="shared" si="154"/>
        <v>54.539835249999996</v>
      </c>
      <c r="W660" s="68">
        <f t="shared" si="155"/>
        <v>460.90001619718311</v>
      </c>
      <c r="X660" s="68">
        <f t="shared" si="156"/>
        <v>307.26667746478876</v>
      </c>
      <c r="Z660" s="63"/>
      <c r="AA660" s="63"/>
    </row>
    <row r="661" spans="1:27" hidden="1" x14ac:dyDescent="0.25">
      <c r="A661" t="str">
        <f t="shared" si="157"/>
        <v>10620044C25/05/2026M</v>
      </c>
      <c r="B661" s="169" t="s">
        <v>825</v>
      </c>
      <c r="C661" s="61" t="s">
        <v>396</v>
      </c>
      <c r="D661" s="61" t="s">
        <v>591</v>
      </c>
      <c r="E661" s="61" t="s">
        <v>593</v>
      </c>
      <c r="F661" s="1" t="s">
        <v>362</v>
      </c>
      <c r="G661" s="62" t="str">
        <f t="shared" si="158"/>
        <v>64513</v>
      </c>
      <c r="H661" s="1">
        <v>10620044</v>
      </c>
      <c r="I661" s="1" t="s">
        <v>388</v>
      </c>
      <c r="J661" s="61">
        <v>38</v>
      </c>
      <c r="K661" s="61">
        <v>3.2</v>
      </c>
      <c r="L661" s="61">
        <v>8</v>
      </c>
      <c r="M661" s="69">
        <f t="shared" si="146"/>
        <v>1.2160000000000002</v>
      </c>
      <c r="N661" s="69">
        <f t="shared" si="147"/>
        <v>3.04</v>
      </c>
      <c r="O661" s="56">
        <v>33.793056000000007</v>
      </c>
      <c r="P661" s="57">
        <f t="shared" si="148"/>
        <v>1284.1361280000003</v>
      </c>
      <c r="Q661" s="58">
        <f t="shared" si="149"/>
        <v>396.01237500000002</v>
      </c>
      <c r="R661" s="58">
        <f t="shared" si="150"/>
        <v>264.00825000000003</v>
      </c>
      <c r="S661" s="66">
        <f t="shared" si="151"/>
        <v>22.472382240000009</v>
      </c>
      <c r="T661" s="64">
        <f t="shared" si="152"/>
        <v>142.5</v>
      </c>
      <c r="U661" s="66">
        <f t="shared" si="153"/>
        <v>1449.1085102400002</v>
      </c>
      <c r="V661" s="68">
        <f t="shared" si="154"/>
        <v>38.134434480000003</v>
      </c>
      <c r="W661" s="68">
        <f t="shared" si="155"/>
        <v>446.88790406249996</v>
      </c>
      <c r="X661" s="68">
        <f t="shared" si="156"/>
        <v>297.92526937499997</v>
      </c>
      <c r="Z661" s="63"/>
      <c r="AA661" s="63"/>
    </row>
    <row r="662" spans="1:27" hidden="1" x14ac:dyDescent="0.25">
      <c r="A662" t="str">
        <f t="shared" si="157"/>
        <v>10620044B25/05/2026E</v>
      </c>
      <c r="B662" s="169" t="s">
        <v>825</v>
      </c>
      <c r="C662" s="61" t="s">
        <v>397</v>
      </c>
      <c r="D662" s="61" t="s">
        <v>591</v>
      </c>
      <c r="E662" s="61" t="s">
        <v>593</v>
      </c>
      <c r="F662" s="1" t="s">
        <v>362</v>
      </c>
      <c r="G662" s="62" t="str">
        <f t="shared" si="158"/>
        <v>64513</v>
      </c>
      <c r="H662" s="1">
        <v>10620044</v>
      </c>
      <c r="I662" s="1" t="s">
        <v>387</v>
      </c>
      <c r="J662" s="61">
        <v>26</v>
      </c>
      <c r="K662" s="61">
        <v>6.1</v>
      </c>
      <c r="L662" s="61">
        <v>9</v>
      </c>
      <c r="M662" s="69">
        <f t="shared" si="146"/>
        <v>1.5859999999999999</v>
      </c>
      <c r="N662" s="69">
        <f t="shared" si="147"/>
        <v>2.34</v>
      </c>
      <c r="O662" s="56">
        <v>50.935000000000002</v>
      </c>
      <c r="P662" s="57">
        <f t="shared" si="148"/>
        <v>1324.31</v>
      </c>
      <c r="Q662" s="58">
        <f t="shared" si="149"/>
        <v>420.95041322314052</v>
      </c>
      <c r="R662" s="58">
        <f t="shared" si="150"/>
        <v>280.63360881542701</v>
      </c>
      <c r="S662" s="66">
        <f t="shared" si="151"/>
        <v>23.175425000000001</v>
      </c>
      <c r="T662" s="64">
        <f t="shared" si="152"/>
        <v>97.5</v>
      </c>
      <c r="U662" s="66">
        <f t="shared" si="153"/>
        <v>1444.9854249999999</v>
      </c>
      <c r="V662" s="68">
        <f t="shared" si="154"/>
        <v>55.576362499999995</v>
      </c>
      <c r="W662" s="68">
        <f t="shared" si="155"/>
        <v>459.30878099173549</v>
      </c>
      <c r="X662" s="68">
        <f t="shared" si="156"/>
        <v>306.20585399449033</v>
      </c>
      <c r="Z662" s="63"/>
      <c r="AA662" s="63"/>
    </row>
    <row r="663" spans="1:27" hidden="1" x14ac:dyDescent="0.25">
      <c r="A663" t="str">
        <f t="shared" si="157"/>
        <v>10620044C26/05/2026E</v>
      </c>
      <c r="B663" s="169" t="s">
        <v>825</v>
      </c>
      <c r="C663" s="61" t="s">
        <v>397</v>
      </c>
      <c r="D663" s="61" t="s">
        <v>591</v>
      </c>
      <c r="E663" s="61" t="s">
        <v>593</v>
      </c>
      <c r="F663" s="1" t="s">
        <v>362</v>
      </c>
      <c r="G663" s="62" t="str">
        <f t="shared" si="158"/>
        <v>64513</v>
      </c>
      <c r="H663" s="1">
        <v>10620044</v>
      </c>
      <c r="I663" s="1" t="s">
        <v>388</v>
      </c>
      <c r="J663" s="61">
        <v>34</v>
      </c>
      <c r="K663" s="61">
        <v>3.1</v>
      </c>
      <c r="L663" s="61">
        <v>8.1999999999999993</v>
      </c>
      <c r="M663" s="69">
        <f t="shared" si="146"/>
        <v>1.054</v>
      </c>
      <c r="N663" s="69">
        <f t="shared" si="147"/>
        <v>2.7879999999999994</v>
      </c>
      <c r="O663" s="56">
        <v>33.925082400000001</v>
      </c>
      <c r="P663" s="57">
        <f t="shared" si="148"/>
        <v>1153.4528015999999</v>
      </c>
      <c r="Q663" s="58">
        <f t="shared" si="149"/>
        <v>396.01263501945527</v>
      </c>
      <c r="R663" s="58">
        <f t="shared" si="150"/>
        <v>264.00842334630352</v>
      </c>
      <c r="S663" s="66">
        <f t="shared" si="151"/>
        <v>20.185424028</v>
      </c>
      <c r="T663" s="64">
        <f t="shared" si="152"/>
        <v>127.5</v>
      </c>
      <c r="U663" s="66">
        <f t="shared" si="153"/>
        <v>1301.1382256279999</v>
      </c>
      <c r="V663" s="68">
        <f t="shared" si="154"/>
        <v>38.268771341999994</v>
      </c>
      <c r="W663" s="68">
        <f t="shared" si="155"/>
        <v>446.7171751984435</v>
      </c>
      <c r="X663" s="68">
        <f t="shared" si="156"/>
        <v>297.81145013229565</v>
      </c>
      <c r="Z663" s="63"/>
      <c r="AA663" s="63"/>
    </row>
    <row r="664" spans="1:27" hidden="1" x14ac:dyDescent="0.25">
      <c r="A664" t="str">
        <f t="shared" si="157"/>
        <v>10620044B26/05/2026M</v>
      </c>
      <c r="B664" s="169" t="s">
        <v>826</v>
      </c>
      <c r="C664" s="61" t="s">
        <v>396</v>
      </c>
      <c r="D664" s="61" t="s">
        <v>591</v>
      </c>
      <c r="E664" s="61" t="s">
        <v>593</v>
      </c>
      <c r="F664" s="1" t="s">
        <v>362</v>
      </c>
      <c r="G664" s="62" t="str">
        <f t="shared" si="158"/>
        <v>64513</v>
      </c>
      <c r="H664" s="1">
        <v>10620044</v>
      </c>
      <c r="I664" s="1" t="s">
        <v>387</v>
      </c>
      <c r="J664" s="61">
        <v>41</v>
      </c>
      <c r="K664" s="61">
        <v>6.3</v>
      </c>
      <c r="L664" s="61">
        <v>9</v>
      </c>
      <c r="M664" s="69">
        <f t="shared" si="146"/>
        <v>2.5830000000000002</v>
      </c>
      <c r="N664" s="69">
        <f t="shared" si="147"/>
        <v>3.69</v>
      </c>
      <c r="O664" s="56">
        <f>INDEX(Rate_Chart!$A$1:$AK$127,MATCH(Data!K664,Rate_Chart!$A$1:$A$127,0),MATCH(Data!L664,Rate_Chart!$A$1:$AK$1,0))</f>
        <v>52.604999999999997</v>
      </c>
      <c r="P664" s="57">
        <f t="shared" si="148"/>
        <v>2156.8049999999998</v>
      </c>
      <c r="Q664" s="58">
        <f t="shared" si="149"/>
        <v>427.6829268292683</v>
      </c>
      <c r="R664" s="58">
        <f t="shared" si="150"/>
        <v>285.1219512195122</v>
      </c>
      <c r="S664" s="66">
        <f t="shared" si="151"/>
        <v>37.744087499999999</v>
      </c>
      <c r="T664" s="64">
        <f t="shared" si="152"/>
        <v>153.75</v>
      </c>
      <c r="U664" s="66">
        <f t="shared" si="153"/>
        <v>2348.2990875</v>
      </c>
      <c r="V664" s="68">
        <f t="shared" si="154"/>
        <v>57.2755875</v>
      </c>
      <c r="W664" s="68">
        <f t="shared" si="155"/>
        <v>465.6551829268293</v>
      </c>
      <c r="X664" s="68">
        <f t="shared" si="156"/>
        <v>310.43678861788618</v>
      </c>
      <c r="Z664" s="63"/>
      <c r="AA664" s="63"/>
    </row>
    <row r="665" spans="1:27" hidden="1" x14ac:dyDescent="0.25">
      <c r="A665" t="str">
        <f t="shared" si="157"/>
        <v>10620044C26/05/2026M</v>
      </c>
      <c r="B665" s="169" t="s">
        <v>826</v>
      </c>
      <c r="C665" s="61" t="s">
        <v>396</v>
      </c>
      <c r="D665" s="61" t="s">
        <v>591</v>
      </c>
      <c r="E665" s="61" t="s">
        <v>593</v>
      </c>
      <c r="F665" s="1" t="s">
        <v>362</v>
      </c>
      <c r="G665" s="62" t="str">
        <f t="shared" si="158"/>
        <v>64513</v>
      </c>
      <c r="H665" s="1">
        <v>10620044</v>
      </c>
      <c r="I665" s="1" t="s">
        <v>388</v>
      </c>
      <c r="J665" s="61">
        <v>40</v>
      </c>
      <c r="K665" s="61">
        <v>3.3</v>
      </c>
      <c r="L665" s="61">
        <v>8.1</v>
      </c>
      <c r="M665" s="69">
        <f t="shared" si="146"/>
        <v>1.32</v>
      </c>
      <c r="N665" s="69">
        <f t="shared" si="147"/>
        <v>3.24</v>
      </c>
      <c r="O665" s="56">
        <f>INDEX(Rate_Chart!$A$1:$AK$127,MATCH(Data!K665,Rate_Chart!$A$1:$A$127,0),MATCH(Data!L665,Rate_Chart!$A$1:$AK$1,0))</f>
        <v>36.280125900000002</v>
      </c>
      <c r="P665" s="57">
        <f t="shared" si="148"/>
        <v>1451.2050360000001</v>
      </c>
      <c r="Q665" s="58">
        <f t="shared" si="149"/>
        <v>417.0129413793104</v>
      </c>
      <c r="R665" s="58">
        <f t="shared" si="150"/>
        <v>278.00862758620696</v>
      </c>
      <c r="S665" s="66">
        <f t="shared" si="151"/>
        <v>25.396088130000003</v>
      </c>
      <c r="T665" s="64">
        <f t="shared" si="152"/>
        <v>150</v>
      </c>
      <c r="U665" s="66">
        <f t="shared" si="153"/>
        <v>1626.60112413</v>
      </c>
      <c r="V665" s="68">
        <f t="shared" si="154"/>
        <v>40.665028103250002</v>
      </c>
      <c r="W665" s="68">
        <f t="shared" si="155"/>
        <v>467.4141161293104</v>
      </c>
      <c r="X665" s="68">
        <f t="shared" si="156"/>
        <v>311.6094107528736</v>
      </c>
      <c r="Z665" s="63"/>
      <c r="AA665" s="63"/>
    </row>
    <row r="666" spans="1:27" hidden="1" x14ac:dyDescent="0.25">
      <c r="A666" t="str">
        <f t="shared" si="157"/>
        <v>10620044B26/05/2026E</v>
      </c>
      <c r="B666" s="169" t="s">
        <v>826</v>
      </c>
      <c r="C666" s="61" t="s">
        <v>397</v>
      </c>
      <c r="D666" s="61" t="s">
        <v>591</v>
      </c>
      <c r="E666" s="61" t="s">
        <v>593</v>
      </c>
      <c r="F666" s="1" t="s">
        <v>362</v>
      </c>
      <c r="G666" s="62" t="str">
        <f t="shared" si="158"/>
        <v>64513</v>
      </c>
      <c r="H666" s="1">
        <v>10620044</v>
      </c>
      <c r="I666" s="1" t="s">
        <v>387</v>
      </c>
      <c r="J666" s="61">
        <v>24</v>
      </c>
      <c r="K666" s="61">
        <v>6.4</v>
      </c>
      <c r="L666" s="61">
        <v>9</v>
      </c>
      <c r="M666" s="69">
        <f t="shared" si="146"/>
        <v>1.5360000000000003</v>
      </c>
      <c r="N666" s="69">
        <f t="shared" si="147"/>
        <v>2.16</v>
      </c>
      <c r="O666" s="56">
        <f>INDEX(Rate_Chart!$A$1:$AK$127,MATCH(Data!K666,Rate_Chart!$A$1:$A$127,0),MATCH(Data!L666,Rate_Chart!$A$1:$AK$1,0))</f>
        <v>53.44</v>
      </c>
      <c r="P666" s="57">
        <f t="shared" si="148"/>
        <v>1282.56</v>
      </c>
      <c r="Q666" s="58">
        <f t="shared" si="149"/>
        <v>430.96774193548384</v>
      </c>
      <c r="R666" s="58">
        <f t="shared" si="150"/>
        <v>287.31182795698925</v>
      </c>
      <c r="S666" s="66">
        <f t="shared" si="151"/>
        <v>22.444800000000001</v>
      </c>
      <c r="T666" s="64">
        <f t="shared" si="152"/>
        <v>90</v>
      </c>
      <c r="U666" s="66">
        <f t="shared" si="153"/>
        <v>1395.0047999999999</v>
      </c>
      <c r="V666" s="68">
        <f t="shared" si="154"/>
        <v>58.1252</v>
      </c>
      <c r="W666" s="68">
        <f t="shared" si="155"/>
        <v>468.7516129032258</v>
      </c>
      <c r="X666" s="68">
        <f t="shared" si="156"/>
        <v>312.5010752688172</v>
      </c>
      <c r="Z666" s="63"/>
      <c r="AA666" s="63"/>
    </row>
    <row r="667" spans="1:27" hidden="1" x14ac:dyDescent="0.25">
      <c r="A667" t="str">
        <f t="shared" si="157"/>
        <v>10620044C27/05/2026E</v>
      </c>
      <c r="B667" s="169" t="s">
        <v>826</v>
      </c>
      <c r="C667" s="61" t="s">
        <v>397</v>
      </c>
      <c r="D667" s="61" t="s">
        <v>591</v>
      </c>
      <c r="E667" s="61" t="s">
        <v>593</v>
      </c>
      <c r="F667" s="1" t="s">
        <v>362</v>
      </c>
      <c r="G667" s="62" t="str">
        <f t="shared" si="158"/>
        <v>64513</v>
      </c>
      <c r="H667" s="1">
        <v>10620044</v>
      </c>
      <c r="I667" s="1" t="s">
        <v>388</v>
      </c>
      <c r="J667" s="61">
        <v>35</v>
      </c>
      <c r="K667" s="61">
        <v>3.1</v>
      </c>
      <c r="L667" s="61">
        <v>8.3000000000000007</v>
      </c>
      <c r="M667" s="69">
        <f t="shared" si="146"/>
        <v>1.085</v>
      </c>
      <c r="N667" s="69">
        <f t="shared" si="147"/>
        <v>2.9049999999999998</v>
      </c>
      <c r="O667" s="56">
        <f>INDEX(Rate_Chart!$A$1:$AK$127,MATCH(Data!K667,Rate_Chart!$A$1:$A$127,0),MATCH(Data!L667,Rate_Chart!$A$1:$AK$1,0))</f>
        <v>36.002153700000008</v>
      </c>
      <c r="P667" s="57">
        <f t="shared" si="148"/>
        <v>1260.0753795000003</v>
      </c>
      <c r="Q667" s="58">
        <f t="shared" si="149"/>
        <v>417.01336332046338</v>
      </c>
      <c r="R667" s="58">
        <f t="shared" si="150"/>
        <v>278.00890888030892</v>
      </c>
      <c r="S667" s="66">
        <f t="shared" si="151"/>
        <v>22.051319141250008</v>
      </c>
      <c r="T667" s="64">
        <f t="shared" si="152"/>
        <v>131.25</v>
      </c>
      <c r="U667" s="66">
        <f t="shared" si="153"/>
        <v>1413.3766986412502</v>
      </c>
      <c r="V667" s="68">
        <f t="shared" si="154"/>
        <v>40.382191389750005</v>
      </c>
      <c r="W667" s="68">
        <f t="shared" si="155"/>
        <v>467.74739061486486</v>
      </c>
      <c r="X667" s="68">
        <f t="shared" si="156"/>
        <v>311.83159374324322</v>
      </c>
      <c r="Z667" s="63"/>
      <c r="AA667" s="63"/>
    </row>
    <row r="668" spans="1:27" hidden="1" x14ac:dyDescent="0.25">
      <c r="A668" t="str">
        <f t="shared" si="157"/>
        <v>10620044B27/05/2026M</v>
      </c>
      <c r="B668" s="169" t="s">
        <v>827</v>
      </c>
      <c r="C668" s="61" t="s">
        <v>396</v>
      </c>
      <c r="D668" s="61" t="s">
        <v>591</v>
      </c>
      <c r="E668" s="61" t="s">
        <v>593</v>
      </c>
      <c r="F668" s="1" t="s">
        <v>362</v>
      </c>
      <c r="G668" s="62" t="str">
        <f t="shared" si="158"/>
        <v>64513</v>
      </c>
      <c r="H668" s="1">
        <v>10620044</v>
      </c>
      <c r="I668" s="1" t="s">
        <v>387</v>
      </c>
      <c r="J668" s="61">
        <v>5</v>
      </c>
      <c r="K668" s="61">
        <v>6.4</v>
      </c>
      <c r="L668" s="61">
        <v>9</v>
      </c>
      <c r="M668" s="69">
        <f t="shared" si="146"/>
        <v>0.32</v>
      </c>
      <c r="N668" s="69">
        <f t="shared" si="147"/>
        <v>0.45</v>
      </c>
      <c r="O668" s="56">
        <f>INDEX(Rate_Chart!$A$1:$AK$127,MATCH(Data!K668,Rate_Chart!$A$1:$A$127,0),MATCH(Data!L668,Rate_Chart!$A$1:$AK$1,0))</f>
        <v>53.44</v>
      </c>
      <c r="P668" s="57">
        <f t="shared" si="148"/>
        <v>267.2</v>
      </c>
      <c r="Q668" s="58">
        <f t="shared" si="149"/>
        <v>430.96774193548384</v>
      </c>
      <c r="R668" s="58">
        <f t="shared" si="150"/>
        <v>287.31182795698925</v>
      </c>
      <c r="S668" s="66">
        <f t="shared" si="151"/>
        <v>4.6760000000000002</v>
      </c>
      <c r="T668" s="64">
        <f t="shared" si="152"/>
        <v>18.75</v>
      </c>
      <c r="U668" s="66">
        <f t="shared" si="153"/>
        <v>290.62599999999998</v>
      </c>
      <c r="V668" s="68">
        <f t="shared" si="154"/>
        <v>58.125199999999992</v>
      </c>
      <c r="W668" s="68">
        <f t="shared" si="155"/>
        <v>468.75161290322575</v>
      </c>
      <c r="X668" s="68">
        <f t="shared" si="156"/>
        <v>312.50107526881715</v>
      </c>
      <c r="Z668" s="63"/>
      <c r="AA668" s="63"/>
    </row>
    <row r="669" spans="1:27" hidden="1" x14ac:dyDescent="0.25">
      <c r="A669" t="str">
        <f t="shared" si="157"/>
        <v>10620044B27/05/2026E</v>
      </c>
      <c r="B669" s="169" t="s">
        <v>827</v>
      </c>
      <c r="C669" s="61" t="s">
        <v>397</v>
      </c>
      <c r="D669" s="61" t="s">
        <v>591</v>
      </c>
      <c r="E669" s="61" t="s">
        <v>593</v>
      </c>
      <c r="F669" s="1" t="s">
        <v>362</v>
      </c>
      <c r="G669" s="62" t="str">
        <f t="shared" si="158"/>
        <v>64513</v>
      </c>
      <c r="H669" s="1">
        <v>10620044</v>
      </c>
      <c r="I669" s="1" t="s">
        <v>387</v>
      </c>
      <c r="J669" s="61">
        <v>30</v>
      </c>
      <c r="K669" s="61">
        <v>6</v>
      </c>
      <c r="L669" s="61">
        <v>9</v>
      </c>
      <c r="M669" s="69">
        <f t="shared" si="146"/>
        <v>1.8</v>
      </c>
      <c r="N669" s="69">
        <f t="shared" si="147"/>
        <v>2.7</v>
      </c>
      <c r="O669" s="56">
        <f>INDEX(Rate_Chart!$A$1:$AK$127,MATCH(Data!K669,Rate_Chart!$A$1:$A$127,0),MATCH(Data!L669,Rate_Chart!$A$1:$AK$1,0))</f>
        <v>50.1</v>
      </c>
      <c r="P669" s="57">
        <f t="shared" si="148"/>
        <v>1503</v>
      </c>
      <c r="Q669" s="58">
        <f t="shared" si="149"/>
        <v>417.5</v>
      </c>
      <c r="R669" s="58">
        <f t="shared" si="150"/>
        <v>278.33333333333331</v>
      </c>
      <c r="S669" s="66">
        <f t="shared" si="151"/>
        <v>26.302500000000002</v>
      </c>
      <c r="T669" s="64">
        <f t="shared" si="152"/>
        <v>112.5</v>
      </c>
      <c r="U669" s="66">
        <f t="shared" si="153"/>
        <v>1641.8025</v>
      </c>
      <c r="V669" s="68">
        <f t="shared" si="154"/>
        <v>54.726750000000003</v>
      </c>
      <c r="W669" s="68">
        <f t="shared" si="155"/>
        <v>456.05625000000003</v>
      </c>
      <c r="X669" s="68">
        <f t="shared" si="156"/>
        <v>304.03750000000002</v>
      </c>
      <c r="Z669" s="63"/>
      <c r="AA669" s="63"/>
    </row>
    <row r="670" spans="1:27" hidden="1" x14ac:dyDescent="0.25">
      <c r="A670" t="str">
        <f t="shared" si="157"/>
        <v>10620044C28/05/2026E</v>
      </c>
      <c r="B670" s="169" t="s">
        <v>827</v>
      </c>
      <c r="C670" s="61" t="s">
        <v>397</v>
      </c>
      <c r="D670" s="61" t="s">
        <v>591</v>
      </c>
      <c r="E670" s="61" t="s">
        <v>593</v>
      </c>
      <c r="F670" s="1" t="s">
        <v>362</v>
      </c>
      <c r="G670" s="62" t="str">
        <f t="shared" si="158"/>
        <v>64513</v>
      </c>
      <c r="H670" s="1">
        <v>10620044</v>
      </c>
      <c r="I670" s="1" t="s">
        <v>388</v>
      </c>
      <c r="J670" s="61">
        <v>35</v>
      </c>
      <c r="K670" s="61">
        <v>3.2</v>
      </c>
      <c r="L670" s="61">
        <v>8.1999999999999993</v>
      </c>
      <c r="M670" s="69">
        <f t="shared" ref="M670:M733" si="159">K670*J670/100</f>
        <v>1.1200000000000001</v>
      </c>
      <c r="N670" s="69">
        <f t="shared" ref="N670:N733" si="160">L670*J670/100</f>
        <v>2.87</v>
      </c>
      <c r="O670" s="56">
        <f>INDEX(Rate_Chart!$A$1:$AK$127,MATCH(Data!K670,Rate_Chart!$A$1:$A$127,0),MATCH(Data!L670,Rate_Chart!$A$1:$AK$1,0))</f>
        <v>36.141139799999998</v>
      </c>
      <c r="P670" s="57">
        <f t="shared" ref="P670:P733" si="161">O670*J670</f>
        <v>1264.939893</v>
      </c>
      <c r="Q670" s="58">
        <f t="shared" ref="Q670:Q733" si="162">O670/(K670%+L670%*2/3)</f>
        <v>417.0131515384615</v>
      </c>
      <c r="R670" s="58">
        <f t="shared" ref="R670:R733" si="163">Q670*2/3</f>
        <v>278.00876769230769</v>
      </c>
      <c r="S670" s="66">
        <f t="shared" ref="S670:S733" si="164">P670*1.75%</f>
        <v>22.136448127500003</v>
      </c>
      <c r="T670" s="64">
        <f t="shared" ref="T670:T733" si="165">J670*3.75</f>
        <v>131.25</v>
      </c>
      <c r="U670" s="66">
        <f t="shared" ref="U670:U733" si="166">S670+T670+P670</f>
        <v>1418.3263411275</v>
      </c>
      <c r="V670" s="68">
        <f t="shared" ref="V670:V733" si="167">U670/J670</f>
        <v>40.5236097465</v>
      </c>
      <c r="W670" s="68">
        <f t="shared" ref="W670:W733" si="168">V670/(K670%+L670%*2/3)</f>
        <v>467.58011245961535</v>
      </c>
      <c r="X670" s="68">
        <f t="shared" ref="X670:X733" si="169">W670*2/3</f>
        <v>311.72007497307692</v>
      </c>
      <c r="Z670" s="63"/>
      <c r="AA670" s="63"/>
    </row>
    <row r="671" spans="1:27" hidden="1" x14ac:dyDescent="0.25">
      <c r="A671" t="str">
        <f t="shared" si="157"/>
        <v>10620044B28/05/2026M</v>
      </c>
      <c r="B671" s="169" t="s">
        <v>828</v>
      </c>
      <c r="C671" s="61" t="s">
        <v>396</v>
      </c>
      <c r="D671" s="61" t="s">
        <v>591</v>
      </c>
      <c r="E671" s="61" t="s">
        <v>593</v>
      </c>
      <c r="F671" s="1" t="s">
        <v>362</v>
      </c>
      <c r="G671" s="62" t="str">
        <f t="shared" si="158"/>
        <v>64513</v>
      </c>
      <c r="H671" s="1">
        <v>10620044</v>
      </c>
      <c r="I671" s="1" t="s">
        <v>387</v>
      </c>
      <c r="J671" s="61">
        <v>28</v>
      </c>
      <c r="K671" s="61">
        <v>6.2</v>
      </c>
      <c r="L671" s="61">
        <v>9</v>
      </c>
      <c r="M671" s="69">
        <f t="shared" si="159"/>
        <v>1.736</v>
      </c>
      <c r="N671" s="69">
        <f t="shared" si="160"/>
        <v>2.52</v>
      </c>
      <c r="O671" s="56">
        <f>INDEX(Rate_Chart!$A$1:$AK$127,MATCH(Data!K671,Rate_Chart!$A$1:$A$127,0),MATCH(Data!L671,Rate_Chart!$A$1:$AK$1,0))</f>
        <v>51.77</v>
      </c>
      <c r="P671" s="57">
        <f t="shared" si="161"/>
        <v>1449.5600000000002</v>
      </c>
      <c r="Q671" s="58">
        <f t="shared" si="162"/>
        <v>424.34426229508199</v>
      </c>
      <c r="R671" s="58">
        <f t="shared" si="163"/>
        <v>282.89617486338801</v>
      </c>
      <c r="S671" s="66">
        <f t="shared" si="164"/>
        <v>25.367300000000004</v>
      </c>
      <c r="T671" s="64">
        <f t="shared" si="165"/>
        <v>105</v>
      </c>
      <c r="U671" s="66">
        <f t="shared" si="166"/>
        <v>1579.9273000000003</v>
      </c>
      <c r="V671" s="68">
        <f t="shared" si="167"/>
        <v>56.425975000000008</v>
      </c>
      <c r="W671" s="68">
        <f t="shared" si="168"/>
        <v>462.50799180327874</v>
      </c>
      <c r="X671" s="68">
        <f t="shared" si="169"/>
        <v>308.33866120218585</v>
      </c>
      <c r="Z671" s="63"/>
      <c r="AA671" s="63"/>
    </row>
    <row r="672" spans="1:27" hidden="1" x14ac:dyDescent="0.25">
      <c r="A672" t="str">
        <f t="shared" si="157"/>
        <v>10620044C28/05/2026M</v>
      </c>
      <c r="B672" s="169" t="s">
        <v>828</v>
      </c>
      <c r="C672" s="61" t="s">
        <v>396</v>
      </c>
      <c r="D672" s="61" t="s">
        <v>591</v>
      </c>
      <c r="E672" s="61" t="s">
        <v>593</v>
      </c>
      <c r="F672" s="1" t="s">
        <v>362</v>
      </c>
      <c r="G672" s="62" t="str">
        <f t="shared" si="158"/>
        <v>64513</v>
      </c>
      <c r="H672" s="1">
        <v>10620044</v>
      </c>
      <c r="I672" s="1" t="s">
        <v>388</v>
      </c>
      <c r="J672" s="61">
        <v>35</v>
      </c>
      <c r="K672" s="61">
        <v>3.4</v>
      </c>
      <c r="L672" s="61">
        <v>8</v>
      </c>
      <c r="M672" s="69">
        <f t="shared" si="159"/>
        <v>1.19</v>
      </c>
      <c r="N672" s="69">
        <f t="shared" si="160"/>
        <v>2.8</v>
      </c>
      <c r="O672" s="56">
        <f>INDEX(Rate_Chart!$A$1:$AK$127,MATCH(Data!K672,Rate_Chart!$A$1:$A$127,0),MATCH(Data!L672,Rate_Chart!$A$1:$AK$1,0))</f>
        <v>36.419112000000005</v>
      </c>
      <c r="P672" s="57">
        <f t="shared" si="161"/>
        <v>1274.6689200000003</v>
      </c>
      <c r="Q672" s="58">
        <f t="shared" si="162"/>
        <v>417.01273282442747</v>
      </c>
      <c r="R672" s="58">
        <f t="shared" si="163"/>
        <v>278.00848854961833</v>
      </c>
      <c r="S672" s="66">
        <f t="shared" si="164"/>
        <v>22.306706100000007</v>
      </c>
      <c r="T672" s="64">
        <f t="shared" si="165"/>
        <v>131.25</v>
      </c>
      <c r="U672" s="66">
        <f t="shared" si="166"/>
        <v>1428.2256261000002</v>
      </c>
      <c r="V672" s="68">
        <f t="shared" si="167"/>
        <v>40.806446460000004</v>
      </c>
      <c r="W672" s="68">
        <f t="shared" si="168"/>
        <v>467.24938694656487</v>
      </c>
      <c r="X672" s="68">
        <f t="shared" si="169"/>
        <v>311.49959129770991</v>
      </c>
      <c r="Z672" s="63"/>
      <c r="AA672" s="63"/>
    </row>
    <row r="673" spans="1:27" hidden="1" x14ac:dyDescent="0.25">
      <c r="A673" t="str">
        <f t="shared" si="157"/>
        <v>10620044B28/05/2026E</v>
      </c>
      <c r="B673" s="169" t="s">
        <v>828</v>
      </c>
      <c r="C673" s="61" t="s">
        <v>397</v>
      </c>
      <c r="D673" s="61" t="s">
        <v>591</v>
      </c>
      <c r="E673" s="61" t="s">
        <v>593</v>
      </c>
      <c r="F673" s="1" t="s">
        <v>362</v>
      </c>
      <c r="G673" s="62" t="str">
        <f t="shared" si="158"/>
        <v>64513</v>
      </c>
      <c r="H673" s="1">
        <v>10620044</v>
      </c>
      <c r="I673" s="1" t="s">
        <v>387</v>
      </c>
      <c r="J673" s="61">
        <v>24</v>
      </c>
      <c r="K673" s="61">
        <v>6.2</v>
      </c>
      <c r="L673" s="61">
        <v>9</v>
      </c>
      <c r="M673" s="69">
        <f t="shared" si="159"/>
        <v>1.4880000000000002</v>
      </c>
      <c r="N673" s="69">
        <f t="shared" si="160"/>
        <v>2.16</v>
      </c>
      <c r="O673" s="56">
        <f>INDEX(Rate_Chart!$A$1:$AK$127,MATCH(Data!K673,Rate_Chart!$A$1:$A$127,0),MATCH(Data!L673,Rate_Chart!$A$1:$AK$1,0))</f>
        <v>51.77</v>
      </c>
      <c r="P673" s="57">
        <f t="shared" si="161"/>
        <v>1242.48</v>
      </c>
      <c r="Q673" s="58">
        <f t="shared" si="162"/>
        <v>424.34426229508199</v>
      </c>
      <c r="R673" s="58">
        <f t="shared" si="163"/>
        <v>282.89617486338801</v>
      </c>
      <c r="S673" s="66">
        <f t="shared" si="164"/>
        <v>21.743400000000001</v>
      </c>
      <c r="T673" s="64">
        <f t="shared" si="165"/>
        <v>90</v>
      </c>
      <c r="U673" s="66">
        <f t="shared" si="166"/>
        <v>1354.2234000000001</v>
      </c>
      <c r="V673" s="68">
        <f t="shared" si="167"/>
        <v>56.425975000000001</v>
      </c>
      <c r="W673" s="68">
        <f t="shared" si="168"/>
        <v>462.50799180327868</v>
      </c>
      <c r="X673" s="68">
        <f t="shared" si="169"/>
        <v>308.33866120218579</v>
      </c>
      <c r="Z673" s="63"/>
      <c r="AA673" s="63"/>
    </row>
    <row r="674" spans="1:27" hidden="1" x14ac:dyDescent="0.25">
      <c r="A674" t="str">
        <f t="shared" si="157"/>
        <v>10620044C22/05/2026E</v>
      </c>
      <c r="B674" s="169" t="s">
        <v>828</v>
      </c>
      <c r="C674" s="61" t="s">
        <v>397</v>
      </c>
      <c r="D674" s="61" t="s">
        <v>591</v>
      </c>
      <c r="E674" s="61" t="s">
        <v>593</v>
      </c>
      <c r="F674" s="1" t="s">
        <v>362</v>
      </c>
      <c r="G674" s="62" t="str">
        <f t="shared" si="158"/>
        <v>64513</v>
      </c>
      <c r="H674" s="1">
        <v>10620044</v>
      </c>
      <c r="I674" s="1" t="s">
        <v>388</v>
      </c>
      <c r="J674" s="61">
        <v>35</v>
      </c>
      <c r="K674" s="61">
        <v>3</v>
      </c>
      <c r="L674" s="61">
        <v>8</v>
      </c>
      <c r="M674" s="69">
        <f t="shared" si="159"/>
        <v>1.05</v>
      </c>
      <c r="N674" s="69">
        <f t="shared" si="160"/>
        <v>2.8</v>
      </c>
      <c r="O674" s="56">
        <f>INDEX(Rate_Chart!$A$1:$AK$127,MATCH(Data!K674,Rate_Chart!$A$1:$A$127,0),MATCH(Data!L674,Rate_Chart!$A$1:$AK$1,0))</f>
        <v>34.751112000000006</v>
      </c>
      <c r="P674" s="57">
        <f t="shared" si="161"/>
        <v>1216.2889200000002</v>
      </c>
      <c r="Q674" s="58">
        <f t="shared" si="162"/>
        <v>417.01334400000002</v>
      </c>
      <c r="R674" s="58">
        <f t="shared" si="163"/>
        <v>278.00889599999999</v>
      </c>
      <c r="S674" s="66">
        <f t="shared" si="164"/>
        <v>21.285056100000006</v>
      </c>
      <c r="T674" s="64">
        <f t="shared" si="165"/>
        <v>131.25</v>
      </c>
      <c r="U674" s="66">
        <f t="shared" si="166"/>
        <v>1368.8239761000002</v>
      </c>
      <c r="V674" s="68">
        <f t="shared" si="167"/>
        <v>39.109256460000005</v>
      </c>
      <c r="W674" s="68">
        <f t="shared" si="168"/>
        <v>469.31107752000003</v>
      </c>
      <c r="X674" s="68">
        <f t="shared" si="169"/>
        <v>312.87405168000004</v>
      </c>
      <c r="Z674" s="63"/>
      <c r="AA674" s="63"/>
    </row>
    <row r="675" spans="1:27" hidden="1" x14ac:dyDescent="0.25">
      <c r="A675" t="str">
        <f t="shared" si="157"/>
        <v>10620030B23/05/2026M</v>
      </c>
      <c r="B675" s="169" t="s">
        <v>822</v>
      </c>
      <c r="C675" s="61" t="s">
        <v>396</v>
      </c>
      <c r="D675" s="61" t="s">
        <v>591</v>
      </c>
      <c r="E675" s="61" t="s">
        <v>594</v>
      </c>
      <c r="F675" s="1" t="s">
        <v>363</v>
      </c>
      <c r="G675" s="62" t="str">
        <f t="shared" si="158"/>
        <v>64514</v>
      </c>
      <c r="H675" s="1">
        <v>10620030</v>
      </c>
      <c r="I675" s="1" t="s">
        <v>387</v>
      </c>
      <c r="J675" s="61">
        <v>24</v>
      </c>
      <c r="K675" s="61">
        <v>8</v>
      </c>
      <c r="L675" s="61">
        <v>9</v>
      </c>
      <c r="M675" s="69">
        <f t="shared" si="159"/>
        <v>1.92</v>
      </c>
      <c r="N675" s="69">
        <f t="shared" si="160"/>
        <v>2.16</v>
      </c>
      <c r="O675" s="56">
        <v>66.8</v>
      </c>
      <c r="P675" s="57">
        <f t="shared" si="161"/>
        <v>1603.1999999999998</v>
      </c>
      <c r="Q675" s="58">
        <f t="shared" si="162"/>
        <v>477.14285714285705</v>
      </c>
      <c r="R675" s="58">
        <f t="shared" si="163"/>
        <v>318.09523809523802</v>
      </c>
      <c r="S675" s="66">
        <f t="shared" si="164"/>
        <v>28.056000000000001</v>
      </c>
      <c r="T675" s="64">
        <f t="shared" si="165"/>
        <v>90</v>
      </c>
      <c r="U675" s="66">
        <f t="shared" si="166"/>
        <v>1721.2559999999999</v>
      </c>
      <c r="V675" s="68">
        <f t="shared" si="167"/>
        <v>71.718999999999994</v>
      </c>
      <c r="W675" s="68">
        <f t="shared" si="168"/>
        <v>512.27857142857135</v>
      </c>
      <c r="X675" s="68">
        <f t="shared" si="169"/>
        <v>341.51904761904757</v>
      </c>
      <c r="Z675" s="63"/>
      <c r="AA675" s="63"/>
    </row>
    <row r="676" spans="1:27" hidden="1" x14ac:dyDescent="0.25">
      <c r="A676" t="str">
        <f t="shared" si="157"/>
        <v>10620030B24/05/2026M</v>
      </c>
      <c r="B676" s="169" t="s">
        <v>823</v>
      </c>
      <c r="C676" s="61" t="s">
        <v>396</v>
      </c>
      <c r="D676" s="61" t="s">
        <v>591</v>
      </c>
      <c r="E676" s="61" t="s">
        <v>594</v>
      </c>
      <c r="F676" s="1" t="s">
        <v>363</v>
      </c>
      <c r="G676" s="62" t="str">
        <f t="shared" si="158"/>
        <v>64514</v>
      </c>
      <c r="H676" s="1">
        <v>10620030</v>
      </c>
      <c r="I676" s="1" t="s">
        <v>387</v>
      </c>
      <c r="J676" s="61">
        <v>17</v>
      </c>
      <c r="K676" s="61">
        <v>7</v>
      </c>
      <c r="L676" s="61">
        <v>8.8000000000000007</v>
      </c>
      <c r="M676" s="69">
        <f t="shared" si="159"/>
        <v>1.19</v>
      </c>
      <c r="N676" s="69">
        <f t="shared" si="160"/>
        <v>1.4960000000000002</v>
      </c>
      <c r="O676" s="56">
        <v>57.865500000000004</v>
      </c>
      <c r="P676" s="57">
        <f t="shared" si="161"/>
        <v>983.71350000000007</v>
      </c>
      <c r="Q676" s="58">
        <f t="shared" si="162"/>
        <v>449.73186528497411</v>
      </c>
      <c r="R676" s="58">
        <f t="shared" si="163"/>
        <v>299.82124352331607</v>
      </c>
      <c r="S676" s="66">
        <f t="shared" si="164"/>
        <v>17.214986250000003</v>
      </c>
      <c r="T676" s="64">
        <f t="shared" si="165"/>
        <v>63.75</v>
      </c>
      <c r="U676" s="66">
        <f t="shared" si="166"/>
        <v>1064.6784862500001</v>
      </c>
      <c r="V676" s="68">
        <f t="shared" si="167"/>
        <v>62.628146250000007</v>
      </c>
      <c r="W676" s="68">
        <f t="shared" si="168"/>
        <v>486.74725064766841</v>
      </c>
      <c r="X676" s="68">
        <f t="shared" si="169"/>
        <v>324.49816709844561</v>
      </c>
      <c r="Z676" s="63"/>
      <c r="AA676" s="63"/>
    </row>
    <row r="677" spans="1:27" hidden="1" x14ac:dyDescent="0.25">
      <c r="A677" t="str">
        <f t="shared" si="157"/>
        <v>10620030B24/05/2026M</v>
      </c>
      <c r="B677" s="169" t="s">
        <v>824</v>
      </c>
      <c r="C677" s="61" t="s">
        <v>396</v>
      </c>
      <c r="D677" s="61" t="s">
        <v>591</v>
      </c>
      <c r="E677" s="61" t="s">
        <v>594</v>
      </c>
      <c r="F677" s="1" t="s">
        <v>363</v>
      </c>
      <c r="G677" s="62" t="str">
        <f t="shared" si="158"/>
        <v>64514</v>
      </c>
      <c r="H677" s="1">
        <v>10620030</v>
      </c>
      <c r="I677" s="1" t="s">
        <v>387</v>
      </c>
      <c r="J677" s="61">
        <v>14</v>
      </c>
      <c r="K677" s="61">
        <v>7.2</v>
      </c>
      <c r="L677" s="61">
        <v>8.8000000000000007</v>
      </c>
      <c r="M677" s="69">
        <f t="shared" si="159"/>
        <v>1.008</v>
      </c>
      <c r="N677" s="69">
        <f t="shared" si="160"/>
        <v>1.2320000000000002</v>
      </c>
      <c r="O677" s="56">
        <v>59.518800000000006</v>
      </c>
      <c r="P677" s="57">
        <f t="shared" si="161"/>
        <v>833.2632000000001</v>
      </c>
      <c r="Q677" s="58">
        <f t="shared" si="162"/>
        <v>455.50102040816324</v>
      </c>
      <c r="R677" s="58">
        <f t="shared" si="163"/>
        <v>303.66734693877549</v>
      </c>
      <c r="S677" s="66">
        <f t="shared" si="164"/>
        <v>14.582106000000003</v>
      </c>
      <c r="T677" s="64">
        <f t="shared" si="165"/>
        <v>52.5</v>
      </c>
      <c r="U677" s="66">
        <f t="shared" si="166"/>
        <v>900.34530600000016</v>
      </c>
      <c r="V677" s="68">
        <f t="shared" si="167"/>
        <v>64.310379000000012</v>
      </c>
      <c r="W677" s="68">
        <f t="shared" si="168"/>
        <v>492.17126785714288</v>
      </c>
      <c r="X677" s="68">
        <f t="shared" si="169"/>
        <v>328.11417857142857</v>
      </c>
      <c r="Z677" s="63"/>
      <c r="AA677" s="63"/>
    </row>
    <row r="678" spans="1:27" hidden="1" x14ac:dyDescent="0.25">
      <c r="A678" t="str">
        <f t="shared" si="157"/>
        <v>10620030B25/05/2026E</v>
      </c>
      <c r="B678" s="169" t="s">
        <v>824</v>
      </c>
      <c r="C678" s="61" t="s">
        <v>397</v>
      </c>
      <c r="D678" s="61" t="s">
        <v>591</v>
      </c>
      <c r="E678" s="61" t="s">
        <v>594</v>
      </c>
      <c r="F678" s="1" t="s">
        <v>363</v>
      </c>
      <c r="G678" s="62" t="str">
        <f t="shared" si="158"/>
        <v>64514</v>
      </c>
      <c r="H678" s="1">
        <v>10620030</v>
      </c>
      <c r="I678" s="1" t="s">
        <v>387</v>
      </c>
      <c r="J678" s="61">
        <v>12</v>
      </c>
      <c r="K678" s="61">
        <v>6.8</v>
      </c>
      <c r="L678" s="61">
        <v>8.8000000000000007</v>
      </c>
      <c r="M678" s="69">
        <f t="shared" si="159"/>
        <v>0.81599999999999995</v>
      </c>
      <c r="N678" s="69">
        <f t="shared" si="160"/>
        <v>1.056</v>
      </c>
      <c r="O678" s="56">
        <v>56.212200000000003</v>
      </c>
      <c r="P678" s="57">
        <f t="shared" si="161"/>
        <v>674.54640000000006</v>
      </c>
      <c r="Q678" s="58">
        <f t="shared" si="162"/>
        <v>443.78052631578947</v>
      </c>
      <c r="R678" s="58">
        <f t="shared" si="163"/>
        <v>295.8536842105263</v>
      </c>
      <c r="S678" s="66">
        <f t="shared" si="164"/>
        <v>11.804562000000002</v>
      </c>
      <c r="T678" s="64">
        <f t="shared" si="165"/>
        <v>45</v>
      </c>
      <c r="U678" s="66">
        <f t="shared" si="166"/>
        <v>731.3509620000001</v>
      </c>
      <c r="V678" s="68">
        <f t="shared" si="167"/>
        <v>60.94591350000001</v>
      </c>
      <c r="W678" s="68">
        <f t="shared" si="168"/>
        <v>481.15194868421059</v>
      </c>
      <c r="X678" s="68">
        <f t="shared" si="169"/>
        <v>320.76796578947375</v>
      </c>
      <c r="Z678" s="63"/>
      <c r="AA678" s="63"/>
    </row>
    <row r="679" spans="1:27" hidden="1" x14ac:dyDescent="0.25">
      <c r="A679" t="str">
        <f t="shared" si="157"/>
        <v>10620030B25/05/2026M</v>
      </c>
      <c r="B679" s="169" t="s">
        <v>825</v>
      </c>
      <c r="C679" s="61" t="s">
        <v>396</v>
      </c>
      <c r="D679" s="61" t="s">
        <v>591</v>
      </c>
      <c r="E679" s="61" t="s">
        <v>594</v>
      </c>
      <c r="F679" s="1" t="s">
        <v>363</v>
      </c>
      <c r="G679" s="62" t="str">
        <f t="shared" si="158"/>
        <v>64514</v>
      </c>
      <c r="H679" s="1">
        <v>10620030</v>
      </c>
      <c r="I679" s="1" t="s">
        <v>387</v>
      </c>
      <c r="J679" s="61">
        <v>18</v>
      </c>
      <c r="K679" s="61">
        <v>7.3</v>
      </c>
      <c r="L679" s="61">
        <v>8.8000000000000007</v>
      </c>
      <c r="M679" s="69">
        <f t="shared" si="159"/>
        <v>1.3140000000000001</v>
      </c>
      <c r="N679" s="69">
        <f t="shared" si="160"/>
        <v>1.5840000000000001</v>
      </c>
      <c r="O679" s="56">
        <v>60.34545</v>
      </c>
      <c r="P679" s="57">
        <f t="shared" si="161"/>
        <v>1086.2181</v>
      </c>
      <c r="Q679" s="58">
        <f t="shared" si="162"/>
        <v>458.31987341772157</v>
      </c>
      <c r="R679" s="58">
        <f t="shared" si="163"/>
        <v>305.54658227848103</v>
      </c>
      <c r="S679" s="66">
        <f t="shared" si="164"/>
        <v>19.008816750000001</v>
      </c>
      <c r="T679" s="64">
        <f t="shared" si="165"/>
        <v>67.5</v>
      </c>
      <c r="U679" s="66">
        <f t="shared" si="166"/>
        <v>1172.7269167500001</v>
      </c>
      <c r="V679" s="68">
        <f t="shared" si="167"/>
        <v>65.15149537500001</v>
      </c>
      <c r="W679" s="68">
        <f t="shared" si="168"/>
        <v>494.8214838607596</v>
      </c>
      <c r="X679" s="68">
        <f t="shared" si="169"/>
        <v>329.88098924050638</v>
      </c>
      <c r="Z679" s="63"/>
      <c r="AA679" s="63"/>
    </row>
    <row r="680" spans="1:27" hidden="1" x14ac:dyDescent="0.25">
      <c r="A680" t="str">
        <f t="shared" si="157"/>
        <v>10620030B26/05/2026E</v>
      </c>
      <c r="B680" s="169" t="s">
        <v>825</v>
      </c>
      <c r="C680" s="61" t="s">
        <v>397</v>
      </c>
      <c r="D680" s="61" t="s">
        <v>591</v>
      </c>
      <c r="E680" s="61" t="s">
        <v>594</v>
      </c>
      <c r="F680" s="1" t="s">
        <v>363</v>
      </c>
      <c r="G680" s="62" t="str">
        <f t="shared" si="158"/>
        <v>64514</v>
      </c>
      <c r="H680" s="1">
        <v>10620030</v>
      </c>
      <c r="I680" s="1" t="s">
        <v>387</v>
      </c>
      <c r="J680" s="61">
        <v>15</v>
      </c>
      <c r="K680" s="61">
        <v>7.1</v>
      </c>
      <c r="L680" s="61">
        <v>8.8000000000000007</v>
      </c>
      <c r="M680" s="69">
        <f t="shared" si="159"/>
        <v>1.0649999999999999</v>
      </c>
      <c r="N680" s="69">
        <f t="shared" si="160"/>
        <v>1.32</v>
      </c>
      <c r="O680" s="56">
        <v>58.692149999999998</v>
      </c>
      <c r="P680" s="57">
        <f t="shared" si="161"/>
        <v>880.38225</v>
      </c>
      <c r="Q680" s="58">
        <f t="shared" si="162"/>
        <v>452.63868894601546</v>
      </c>
      <c r="R680" s="58">
        <f t="shared" si="163"/>
        <v>301.75912596401031</v>
      </c>
      <c r="S680" s="66">
        <f t="shared" si="164"/>
        <v>15.406689375000001</v>
      </c>
      <c r="T680" s="64">
        <f t="shared" si="165"/>
        <v>56.25</v>
      </c>
      <c r="U680" s="66">
        <f t="shared" si="166"/>
        <v>952.03893937500004</v>
      </c>
      <c r="V680" s="68">
        <f t="shared" si="167"/>
        <v>63.469262625000006</v>
      </c>
      <c r="W680" s="68">
        <f t="shared" si="168"/>
        <v>489.48017448586126</v>
      </c>
      <c r="X680" s="68">
        <f t="shared" si="169"/>
        <v>326.32011632390748</v>
      </c>
      <c r="Z680" s="63"/>
      <c r="AA680" s="63"/>
    </row>
    <row r="681" spans="1:27" hidden="1" x14ac:dyDescent="0.25">
      <c r="A681" t="str">
        <f t="shared" si="157"/>
        <v>10620030B27/05/2026M</v>
      </c>
      <c r="B681" s="169" t="s">
        <v>826</v>
      </c>
      <c r="C681" s="61" t="s">
        <v>396</v>
      </c>
      <c r="D681" s="61" t="s">
        <v>591</v>
      </c>
      <c r="E681" s="61" t="s">
        <v>594</v>
      </c>
      <c r="F681" s="1" t="s">
        <v>363</v>
      </c>
      <c r="G681" s="62" t="str">
        <f t="shared" si="158"/>
        <v>64514</v>
      </c>
      <c r="H681" s="1">
        <v>10620030</v>
      </c>
      <c r="I681" s="1" t="s">
        <v>387</v>
      </c>
      <c r="J681" s="61">
        <v>13</v>
      </c>
      <c r="K681" s="61">
        <v>7.5</v>
      </c>
      <c r="L681" s="61">
        <v>8.8000000000000007</v>
      </c>
      <c r="M681" s="69">
        <f t="shared" si="159"/>
        <v>0.97499999999999998</v>
      </c>
      <c r="N681" s="69">
        <f t="shared" si="160"/>
        <v>1.1440000000000001</v>
      </c>
      <c r="O681" s="56">
        <f>INDEX(Rate_Chart!$A$1:$AK$127,MATCH(Data!K681,Rate_Chart!$A$1:$A$127,0),MATCH(Data!L681,Rate_Chart!$A$1:$AK$1,0))</f>
        <v>61.998750000000001</v>
      </c>
      <c r="P681" s="57">
        <f t="shared" si="161"/>
        <v>805.98374999999999</v>
      </c>
      <c r="Q681" s="58">
        <f t="shared" si="162"/>
        <v>463.83104738154617</v>
      </c>
      <c r="R681" s="58">
        <f t="shared" si="163"/>
        <v>309.22069825436409</v>
      </c>
      <c r="S681" s="66">
        <f t="shared" si="164"/>
        <v>14.104715625000001</v>
      </c>
      <c r="T681" s="64">
        <f t="shared" si="165"/>
        <v>48.75</v>
      </c>
      <c r="U681" s="66">
        <f t="shared" si="166"/>
        <v>868.83846562500003</v>
      </c>
      <c r="V681" s="68">
        <f t="shared" si="167"/>
        <v>66.833728125000007</v>
      </c>
      <c r="W681" s="68">
        <f t="shared" si="168"/>
        <v>500.00295355361607</v>
      </c>
      <c r="X681" s="68">
        <f t="shared" si="169"/>
        <v>333.3353023690774</v>
      </c>
      <c r="Z681" s="63"/>
      <c r="AA681" s="63"/>
    </row>
    <row r="682" spans="1:27" hidden="1" x14ac:dyDescent="0.25">
      <c r="A682" t="str">
        <f t="shared" si="157"/>
        <v>10620030B27/05/2026M</v>
      </c>
      <c r="B682" s="169" t="s">
        <v>827</v>
      </c>
      <c r="C682" s="61" t="s">
        <v>396</v>
      </c>
      <c r="D682" s="61" t="s">
        <v>591</v>
      </c>
      <c r="E682" s="61" t="s">
        <v>594</v>
      </c>
      <c r="F682" s="1" t="s">
        <v>363</v>
      </c>
      <c r="G682" s="62" t="str">
        <f t="shared" si="158"/>
        <v>64514</v>
      </c>
      <c r="H682" s="1">
        <v>10620030</v>
      </c>
      <c r="I682" s="1" t="s">
        <v>387</v>
      </c>
      <c r="J682" s="61">
        <v>20</v>
      </c>
      <c r="K682" s="61">
        <v>7.4</v>
      </c>
      <c r="L682" s="61">
        <v>9</v>
      </c>
      <c r="M682" s="69">
        <f t="shared" si="159"/>
        <v>1.48</v>
      </c>
      <c r="N682" s="69">
        <f t="shared" si="160"/>
        <v>1.8</v>
      </c>
      <c r="O682" s="56">
        <f>INDEX(Rate_Chart!$A$1:$AK$127,MATCH(Data!K682,Rate_Chart!$A$1:$A$127,0),MATCH(Data!L682,Rate_Chart!$A$1:$AK$1,0))</f>
        <v>61.790000000000006</v>
      </c>
      <c r="P682" s="57">
        <f t="shared" si="161"/>
        <v>1235.8000000000002</v>
      </c>
      <c r="Q682" s="58">
        <f t="shared" si="162"/>
        <v>461.11940298507466</v>
      </c>
      <c r="R682" s="58">
        <f t="shared" si="163"/>
        <v>307.41293532338312</v>
      </c>
      <c r="S682" s="66">
        <f t="shared" si="164"/>
        <v>21.626500000000004</v>
      </c>
      <c r="T682" s="64">
        <f t="shared" si="165"/>
        <v>75</v>
      </c>
      <c r="U682" s="66">
        <f t="shared" si="166"/>
        <v>1332.4265000000003</v>
      </c>
      <c r="V682" s="68">
        <f t="shared" si="167"/>
        <v>66.621325000000013</v>
      </c>
      <c r="W682" s="68">
        <f t="shared" si="168"/>
        <v>497.17406716417918</v>
      </c>
      <c r="X682" s="68">
        <f t="shared" si="169"/>
        <v>331.44937810945277</v>
      </c>
      <c r="Z682" s="63"/>
      <c r="AA682" s="63"/>
    </row>
    <row r="683" spans="1:27" hidden="1" x14ac:dyDescent="0.25">
      <c r="A683" t="str">
        <f t="shared" si="157"/>
        <v>10620030B28/05/2026E</v>
      </c>
      <c r="B683" s="169" t="s">
        <v>827</v>
      </c>
      <c r="C683" s="61" t="s">
        <v>397</v>
      </c>
      <c r="D683" s="61" t="s">
        <v>591</v>
      </c>
      <c r="E683" s="61" t="s">
        <v>594</v>
      </c>
      <c r="F683" s="1" t="s">
        <v>363</v>
      </c>
      <c r="G683" s="62" t="str">
        <f t="shared" si="158"/>
        <v>64514</v>
      </c>
      <c r="H683" s="1">
        <v>10620030</v>
      </c>
      <c r="I683" s="1" t="s">
        <v>387</v>
      </c>
      <c r="J683" s="61">
        <v>10</v>
      </c>
      <c r="K683" s="61">
        <v>6.9</v>
      </c>
      <c r="L683" s="61">
        <v>9</v>
      </c>
      <c r="M683" s="69">
        <f t="shared" si="159"/>
        <v>0.69</v>
      </c>
      <c r="N683" s="69">
        <f t="shared" si="160"/>
        <v>0.9</v>
      </c>
      <c r="O683" s="56">
        <f>INDEX(Rate_Chart!$A$1:$AK$127,MATCH(Data!K683,Rate_Chart!$A$1:$A$127,0),MATCH(Data!L683,Rate_Chart!$A$1:$AK$1,0))</f>
        <v>57.615000000000002</v>
      </c>
      <c r="P683" s="57">
        <f t="shared" si="161"/>
        <v>576.15</v>
      </c>
      <c r="Q683" s="58">
        <f t="shared" si="162"/>
        <v>446.62790697674421</v>
      </c>
      <c r="R683" s="58">
        <f t="shared" si="163"/>
        <v>297.75193798449612</v>
      </c>
      <c r="S683" s="66">
        <f t="shared" si="164"/>
        <v>10.082625</v>
      </c>
      <c r="T683" s="64">
        <f t="shared" si="165"/>
        <v>37.5</v>
      </c>
      <c r="U683" s="66">
        <f t="shared" si="166"/>
        <v>623.73262499999998</v>
      </c>
      <c r="V683" s="68">
        <f t="shared" si="167"/>
        <v>62.373262499999996</v>
      </c>
      <c r="W683" s="68">
        <f t="shared" si="168"/>
        <v>483.51366279069765</v>
      </c>
      <c r="X683" s="68">
        <f t="shared" si="169"/>
        <v>322.3424418604651</v>
      </c>
      <c r="Z683" s="63"/>
      <c r="AA683" s="63"/>
    </row>
    <row r="684" spans="1:27" hidden="1" x14ac:dyDescent="0.25">
      <c r="A684" t="str">
        <f t="shared" si="157"/>
        <v>10620030B28/05/2026M</v>
      </c>
      <c r="B684" s="169" t="s">
        <v>828</v>
      </c>
      <c r="C684" s="61" t="s">
        <v>396</v>
      </c>
      <c r="D684" s="61" t="s">
        <v>591</v>
      </c>
      <c r="E684" s="61" t="s">
        <v>594</v>
      </c>
      <c r="F684" s="1" t="s">
        <v>363</v>
      </c>
      <c r="G684" s="62" t="str">
        <f t="shared" si="158"/>
        <v>64514</v>
      </c>
      <c r="H684" s="1">
        <v>10620030</v>
      </c>
      <c r="I684" s="1" t="s">
        <v>387</v>
      </c>
      <c r="J684" s="61">
        <v>9</v>
      </c>
      <c r="K684" s="61">
        <v>7.3</v>
      </c>
      <c r="L684" s="61">
        <v>8.8000000000000007</v>
      </c>
      <c r="M684" s="69">
        <f t="shared" si="159"/>
        <v>0.65700000000000003</v>
      </c>
      <c r="N684" s="69">
        <f t="shared" si="160"/>
        <v>0.79200000000000004</v>
      </c>
      <c r="O684" s="56">
        <f>INDEX(Rate_Chart!$A$1:$AK$127,MATCH(Data!K684,Rate_Chart!$A$1:$A$127,0),MATCH(Data!L684,Rate_Chart!$A$1:$AK$1,0))</f>
        <v>60.34545</v>
      </c>
      <c r="P684" s="57">
        <f t="shared" si="161"/>
        <v>543.10905000000002</v>
      </c>
      <c r="Q684" s="58">
        <f t="shared" si="162"/>
        <v>458.31987341772157</v>
      </c>
      <c r="R684" s="58">
        <f t="shared" si="163"/>
        <v>305.54658227848103</v>
      </c>
      <c r="S684" s="66">
        <f t="shared" si="164"/>
        <v>9.5044083750000006</v>
      </c>
      <c r="T684" s="64">
        <f t="shared" si="165"/>
        <v>33.75</v>
      </c>
      <c r="U684" s="66">
        <f t="shared" si="166"/>
        <v>586.36345837500005</v>
      </c>
      <c r="V684" s="68">
        <f t="shared" si="167"/>
        <v>65.15149537500001</v>
      </c>
      <c r="W684" s="68">
        <f t="shared" si="168"/>
        <v>494.8214838607596</v>
      </c>
      <c r="X684" s="68">
        <f t="shared" si="169"/>
        <v>329.88098924050638</v>
      </c>
      <c r="Z684" s="63"/>
      <c r="AA684" s="63"/>
    </row>
    <row r="685" spans="1:27" hidden="1" x14ac:dyDescent="0.25">
      <c r="A685" t="str">
        <f t="shared" si="157"/>
        <v>10620030B22/05/2026E</v>
      </c>
      <c r="B685" s="169" t="s">
        <v>828</v>
      </c>
      <c r="C685" s="61" t="s">
        <v>397</v>
      </c>
      <c r="D685" s="61" t="s">
        <v>591</v>
      </c>
      <c r="E685" s="61" t="s">
        <v>594</v>
      </c>
      <c r="F685" s="1" t="s">
        <v>363</v>
      </c>
      <c r="G685" s="62" t="str">
        <f t="shared" si="158"/>
        <v>64514</v>
      </c>
      <c r="H685" s="1">
        <v>10620030</v>
      </c>
      <c r="I685" s="1" t="s">
        <v>387</v>
      </c>
      <c r="J685" s="61">
        <v>10</v>
      </c>
      <c r="K685" s="61">
        <v>6.3</v>
      </c>
      <c r="L685" s="61">
        <v>8.8000000000000007</v>
      </c>
      <c r="M685" s="69">
        <f t="shared" si="159"/>
        <v>0.63</v>
      </c>
      <c r="N685" s="69">
        <f t="shared" si="160"/>
        <v>0.88</v>
      </c>
      <c r="O685" s="56">
        <f>INDEX(Rate_Chart!$A$1:$AK$127,MATCH(Data!K685,Rate_Chart!$A$1:$A$127,0),MATCH(Data!L685,Rate_Chart!$A$1:$AK$1,0))</f>
        <v>52.078949999999999</v>
      </c>
      <c r="P685" s="57">
        <f t="shared" si="161"/>
        <v>520.78949999999998</v>
      </c>
      <c r="Q685" s="58">
        <f t="shared" si="162"/>
        <v>428.04616438356163</v>
      </c>
      <c r="R685" s="58">
        <f t="shared" si="163"/>
        <v>285.36410958904111</v>
      </c>
      <c r="S685" s="66">
        <f t="shared" si="164"/>
        <v>9.1138162500000011</v>
      </c>
      <c r="T685" s="64">
        <f t="shared" si="165"/>
        <v>37.5</v>
      </c>
      <c r="U685" s="66">
        <f t="shared" si="166"/>
        <v>567.40331624999999</v>
      </c>
      <c r="V685" s="68">
        <f t="shared" si="167"/>
        <v>56.740331624999996</v>
      </c>
      <c r="W685" s="68">
        <f t="shared" si="168"/>
        <v>466.35889006849311</v>
      </c>
      <c r="X685" s="68">
        <f t="shared" si="169"/>
        <v>310.90592671232872</v>
      </c>
      <c r="Z685" s="63"/>
      <c r="AA685" s="63"/>
    </row>
    <row r="686" spans="1:27" hidden="1" x14ac:dyDescent="0.25">
      <c r="A686" t="str">
        <f t="shared" si="157"/>
        <v>10620012B22/05/2026M</v>
      </c>
      <c r="B686" s="169" t="s">
        <v>822</v>
      </c>
      <c r="C686" s="61" t="s">
        <v>396</v>
      </c>
      <c r="D686" s="61" t="s">
        <v>591</v>
      </c>
      <c r="E686" s="61" t="s">
        <v>595</v>
      </c>
      <c r="F686" s="1" t="s">
        <v>364</v>
      </c>
      <c r="G686" s="62" t="str">
        <f t="shared" si="158"/>
        <v>64515</v>
      </c>
      <c r="H686" s="1">
        <v>10620012</v>
      </c>
      <c r="I686" s="1" t="s">
        <v>387</v>
      </c>
      <c r="J686" s="61">
        <v>64</v>
      </c>
      <c r="K686" s="61">
        <v>7.4</v>
      </c>
      <c r="L686" s="61">
        <v>8.9</v>
      </c>
      <c r="M686" s="69">
        <f t="shared" si="159"/>
        <v>4.7360000000000007</v>
      </c>
      <c r="N686" s="69">
        <f t="shared" si="160"/>
        <v>5.6960000000000006</v>
      </c>
      <c r="O686" s="56">
        <v>61.172100000000007</v>
      </c>
      <c r="P686" s="57">
        <f t="shared" si="161"/>
        <v>3915.0144000000005</v>
      </c>
      <c r="Q686" s="58">
        <f t="shared" si="162"/>
        <v>458.79074999999995</v>
      </c>
      <c r="R686" s="58">
        <f t="shared" si="163"/>
        <v>305.86049999999994</v>
      </c>
      <c r="S686" s="66">
        <f t="shared" si="164"/>
        <v>68.51275200000002</v>
      </c>
      <c r="T686" s="64">
        <f t="shared" si="165"/>
        <v>240</v>
      </c>
      <c r="U686" s="66">
        <f t="shared" si="166"/>
        <v>4223.5271520000006</v>
      </c>
      <c r="V686" s="68">
        <f t="shared" si="167"/>
        <v>65.992611750000009</v>
      </c>
      <c r="W686" s="68">
        <f t="shared" si="168"/>
        <v>494.944588125</v>
      </c>
      <c r="X686" s="68">
        <f t="shared" si="169"/>
        <v>329.96305875000002</v>
      </c>
      <c r="Z686" s="63"/>
      <c r="AA686" s="63"/>
    </row>
    <row r="687" spans="1:27" hidden="1" x14ac:dyDescent="0.25">
      <c r="A687" t="str">
        <f t="shared" si="157"/>
        <v>10620012C22/05/2026M</v>
      </c>
      <c r="B687" s="169" t="s">
        <v>822</v>
      </c>
      <c r="C687" s="61" t="s">
        <v>396</v>
      </c>
      <c r="D687" s="61" t="s">
        <v>591</v>
      </c>
      <c r="E687" s="61" t="s">
        <v>595</v>
      </c>
      <c r="F687" s="1" t="s">
        <v>364</v>
      </c>
      <c r="G687" s="62" t="str">
        <f t="shared" si="158"/>
        <v>64515</v>
      </c>
      <c r="H687" s="1">
        <v>10620012</v>
      </c>
      <c r="I687" s="1" t="s">
        <v>388</v>
      </c>
      <c r="J687" s="61">
        <v>26</v>
      </c>
      <c r="K687" s="61">
        <v>3.7</v>
      </c>
      <c r="L687" s="61">
        <v>8.1</v>
      </c>
      <c r="M687" s="69">
        <f t="shared" si="159"/>
        <v>0.96200000000000008</v>
      </c>
      <c r="N687" s="69">
        <f t="shared" si="160"/>
        <v>2.1059999999999999</v>
      </c>
      <c r="O687" s="56">
        <v>36.037069200000005</v>
      </c>
      <c r="P687" s="57">
        <f t="shared" si="161"/>
        <v>936.96379920000015</v>
      </c>
      <c r="Q687" s="58">
        <f t="shared" si="162"/>
        <v>396.01174945054953</v>
      </c>
      <c r="R687" s="58">
        <f t="shared" si="163"/>
        <v>264.00783296703304</v>
      </c>
      <c r="S687" s="66">
        <f t="shared" si="164"/>
        <v>16.396866486000004</v>
      </c>
      <c r="T687" s="64">
        <f t="shared" si="165"/>
        <v>97.5</v>
      </c>
      <c r="U687" s="66">
        <f t="shared" si="166"/>
        <v>1050.8606656860002</v>
      </c>
      <c r="V687" s="68">
        <f t="shared" si="167"/>
        <v>40.417717911000004</v>
      </c>
      <c r="W687" s="68">
        <f t="shared" si="168"/>
        <v>444.15074627472535</v>
      </c>
      <c r="X687" s="68">
        <f t="shared" si="169"/>
        <v>296.10049751648359</v>
      </c>
      <c r="Z687" s="63"/>
      <c r="AA687" s="63"/>
    </row>
    <row r="688" spans="1:27" hidden="1" x14ac:dyDescent="0.25">
      <c r="A688" t="str">
        <f t="shared" si="157"/>
        <v>10620012B22/05/2026E</v>
      </c>
      <c r="B688" s="169" t="s">
        <v>822</v>
      </c>
      <c r="C688" s="61" t="s">
        <v>397</v>
      </c>
      <c r="D688" s="61" t="s">
        <v>591</v>
      </c>
      <c r="E688" s="61" t="s">
        <v>595</v>
      </c>
      <c r="F688" s="1" t="s">
        <v>364</v>
      </c>
      <c r="G688" s="62" t="str">
        <f t="shared" si="158"/>
        <v>64515</v>
      </c>
      <c r="H688" s="1">
        <v>10620012</v>
      </c>
      <c r="I688" s="1" t="s">
        <v>387</v>
      </c>
      <c r="J688" s="61">
        <v>40</v>
      </c>
      <c r="K688" s="61">
        <v>6.2</v>
      </c>
      <c r="L688" s="61">
        <v>8.6</v>
      </c>
      <c r="M688" s="69">
        <f t="shared" si="159"/>
        <v>2.48</v>
      </c>
      <c r="N688" s="69">
        <f t="shared" si="160"/>
        <v>3.44</v>
      </c>
      <c r="O688" s="56">
        <v>50.7346</v>
      </c>
      <c r="P688" s="57">
        <f t="shared" si="161"/>
        <v>2029.384</v>
      </c>
      <c r="Q688" s="58">
        <f t="shared" si="162"/>
        <v>425.15027932960902</v>
      </c>
      <c r="R688" s="58">
        <f t="shared" si="163"/>
        <v>283.4335195530727</v>
      </c>
      <c r="S688" s="66">
        <f t="shared" si="164"/>
        <v>35.514220000000002</v>
      </c>
      <c r="T688" s="64">
        <f t="shared" si="165"/>
        <v>150</v>
      </c>
      <c r="U688" s="66">
        <f t="shared" si="166"/>
        <v>2214.89822</v>
      </c>
      <c r="V688" s="68">
        <f t="shared" si="167"/>
        <v>55.372455500000001</v>
      </c>
      <c r="W688" s="68">
        <f t="shared" si="168"/>
        <v>464.01499022346377</v>
      </c>
      <c r="X688" s="68">
        <f t="shared" si="169"/>
        <v>309.34332681564251</v>
      </c>
      <c r="Z688" s="63"/>
      <c r="AA688" s="63"/>
    </row>
    <row r="689" spans="1:27" hidden="1" x14ac:dyDescent="0.25">
      <c r="A689" t="str">
        <f t="shared" si="157"/>
        <v>10620012C23/05/2026E</v>
      </c>
      <c r="B689" s="169" t="s">
        <v>822</v>
      </c>
      <c r="C689" s="61" t="s">
        <v>397</v>
      </c>
      <c r="D689" s="61" t="s">
        <v>591</v>
      </c>
      <c r="E689" s="61" t="s">
        <v>595</v>
      </c>
      <c r="F689" s="1" t="s">
        <v>364</v>
      </c>
      <c r="G689" s="62" t="str">
        <f t="shared" si="158"/>
        <v>64515</v>
      </c>
      <c r="H689" s="1">
        <v>10620012</v>
      </c>
      <c r="I689" s="1" t="s">
        <v>388</v>
      </c>
      <c r="J689" s="61">
        <v>16</v>
      </c>
      <c r="K689" s="61">
        <v>3.8</v>
      </c>
      <c r="L689" s="61">
        <v>8.1999999999999993</v>
      </c>
      <c r="M689" s="69">
        <f t="shared" si="159"/>
        <v>0.60799999999999998</v>
      </c>
      <c r="N689" s="69">
        <f t="shared" si="160"/>
        <v>1.3119999999999998</v>
      </c>
      <c r="O689" s="56">
        <v>36.697082399999999</v>
      </c>
      <c r="P689" s="57">
        <f t="shared" si="161"/>
        <v>587.15331839999999</v>
      </c>
      <c r="Q689" s="58">
        <f t="shared" si="162"/>
        <v>396.01168057553957</v>
      </c>
      <c r="R689" s="58">
        <f t="shared" si="163"/>
        <v>264.0077870503597</v>
      </c>
      <c r="S689" s="66">
        <f t="shared" si="164"/>
        <v>10.275183072000001</v>
      </c>
      <c r="T689" s="64">
        <f t="shared" si="165"/>
        <v>60</v>
      </c>
      <c r="U689" s="66">
        <f t="shared" si="166"/>
        <v>657.42850147199999</v>
      </c>
      <c r="V689" s="68">
        <f t="shared" si="167"/>
        <v>41.089281342</v>
      </c>
      <c r="W689" s="68">
        <f t="shared" si="168"/>
        <v>443.40951088489209</v>
      </c>
      <c r="X689" s="68">
        <f t="shared" si="169"/>
        <v>295.60634058992804</v>
      </c>
      <c r="Z689" s="63"/>
      <c r="AA689" s="63"/>
    </row>
    <row r="690" spans="1:27" hidden="1" x14ac:dyDescent="0.25">
      <c r="A690" t="str">
        <f t="shared" si="157"/>
        <v>10620012B23/05/2026M</v>
      </c>
      <c r="B690" s="169" t="s">
        <v>823</v>
      </c>
      <c r="C690" s="61" t="s">
        <v>396</v>
      </c>
      <c r="D690" s="61" t="s">
        <v>591</v>
      </c>
      <c r="E690" s="61" t="s">
        <v>595</v>
      </c>
      <c r="F690" s="1" t="s">
        <v>364</v>
      </c>
      <c r="G690" s="62" t="str">
        <f t="shared" si="158"/>
        <v>64515</v>
      </c>
      <c r="H690" s="1">
        <v>10620012</v>
      </c>
      <c r="I690" s="1" t="s">
        <v>387</v>
      </c>
      <c r="J690" s="61">
        <v>60</v>
      </c>
      <c r="K690" s="61">
        <v>6.7</v>
      </c>
      <c r="L690" s="61">
        <v>8.8000000000000007</v>
      </c>
      <c r="M690" s="69">
        <f t="shared" si="159"/>
        <v>4.0199999999999996</v>
      </c>
      <c r="N690" s="69">
        <f t="shared" si="160"/>
        <v>5.28</v>
      </c>
      <c r="O690" s="56">
        <v>55.385550000000002</v>
      </c>
      <c r="P690" s="57">
        <f t="shared" si="161"/>
        <v>3323.1330000000003</v>
      </c>
      <c r="Q690" s="58">
        <f t="shared" si="162"/>
        <v>440.73381962864721</v>
      </c>
      <c r="R690" s="58">
        <f t="shared" si="163"/>
        <v>293.82254641909816</v>
      </c>
      <c r="S690" s="66">
        <f t="shared" si="164"/>
        <v>58.15482750000001</v>
      </c>
      <c r="T690" s="64">
        <f t="shared" si="165"/>
        <v>225</v>
      </c>
      <c r="U690" s="66">
        <f t="shared" si="166"/>
        <v>3606.2878275000003</v>
      </c>
      <c r="V690" s="68">
        <f t="shared" si="167"/>
        <v>60.104797125000005</v>
      </c>
      <c r="W690" s="68">
        <f t="shared" si="168"/>
        <v>478.28751027851456</v>
      </c>
      <c r="X690" s="68">
        <f t="shared" si="169"/>
        <v>318.85834018567635</v>
      </c>
      <c r="Z690" s="63"/>
      <c r="AA690" s="63"/>
    </row>
    <row r="691" spans="1:27" hidden="1" x14ac:dyDescent="0.25">
      <c r="A691" t="str">
        <f t="shared" si="157"/>
        <v>10620012C23/05/2026M</v>
      </c>
      <c r="B691" s="169" t="s">
        <v>823</v>
      </c>
      <c r="C691" s="61" t="s">
        <v>396</v>
      </c>
      <c r="D691" s="61" t="s">
        <v>591</v>
      </c>
      <c r="E691" s="61" t="s">
        <v>595</v>
      </c>
      <c r="F691" s="1" t="s">
        <v>364</v>
      </c>
      <c r="G691" s="62" t="str">
        <f t="shared" si="158"/>
        <v>64515</v>
      </c>
      <c r="H691" s="1">
        <v>10620012</v>
      </c>
      <c r="I691" s="1" t="s">
        <v>388</v>
      </c>
      <c r="J691" s="61">
        <v>29</v>
      </c>
      <c r="K691" s="61">
        <v>3.8</v>
      </c>
      <c r="L691" s="61">
        <v>8.1999999999999993</v>
      </c>
      <c r="M691" s="69">
        <f t="shared" si="159"/>
        <v>1.1019999999999999</v>
      </c>
      <c r="N691" s="69">
        <f t="shared" si="160"/>
        <v>2.3779999999999997</v>
      </c>
      <c r="O691" s="56">
        <v>36.697082399999999</v>
      </c>
      <c r="P691" s="57">
        <f t="shared" si="161"/>
        <v>1064.2153896</v>
      </c>
      <c r="Q691" s="58">
        <f t="shared" si="162"/>
        <v>396.01168057553957</v>
      </c>
      <c r="R691" s="58">
        <f t="shared" si="163"/>
        <v>264.0077870503597</v>
      </c>
      <c r="S691" s="66">
        <f t="shared" si="164"/>
        <v>18.623769318000001</v>
      </c>
      <c r="T691" s="64">
        <f t="shared" si="165"/>
        <v>108.75</v>
      </c>
      <c r="U691" s="66">
        <f t="shared" si="166"/>
        <v>1191.5891589180001</v>
      </c>
      <c r="V691" s="68">
        <f t="shared" si="167"/>
        <v>41.089281342</v>
      </c>
      <c r="W691" s="68">
        <f t="shared" si="168"/>
        <v>443.40951088489209</v>
      </c>
      <c r="X691" s="68">
        <f t="shared" si="169"/>
        <v>295.60634058992804</v>
      </c>
      <c r="Z691" s="63"/>
      <c r="AA691" s="63"/>
    </row>
    <row r="692" spans="1:27" hidden="1" x14ac:dyDescent="0.25">
      <c r="A692" t="str">
        <f t="shared" si="157"/>
        <v>10620012B23/05/2026E</v>
      </c>
      <c r="B692" s="169" t="s">
        <v>823</v>
      </c>
      <c r="C692" s="61" t="s">
        <v>397</v>
      </c>
      <c r="D692" s="61" t="s">
        <v>591</v>
      </c>
      <c r="E692" s="61" t="s">
        <v>595</v>
      </c>
      <c r="F692" s="1" t="s">
        <v>364</v>
      </c>
      <c r="G692" s="62" t="str">
        <f t="shared" si="158"/>
        <v>64515</v>
      </c>
      <c r="H692" s="1">
        <v>10620012</v>
      </c>
      <c r="I692" s="1" t="s">
        <v>387</v>
      </c>
      <c r="J692" s="61">
        <v>29</v>
      </c>
      <c r="K692" s="61">
        <v>6.4</v>
      </c>
      <c r="L692" s="61">
        <v>8.8000000000000007</v>
      </c>
      <c r="M692" s="69">
        <f t="shared" si="159"/>
        <v>1.8560000000000003</v>
      </c>
      <c r="N692" s="69">
        <f t="shared" si="160"/>
        <v>2.552</v>
      </c>
      <c r="O692" s="56">
        <v>52.9056</v>
      </c>
      <c r="P692" s="57">
        <f t="shared" si="161"/>
        <v>1534.2624000000001</v>
      </c>
      <c r="Q692" s="58">
        <f t="shared" si="162"/>
        <v>431.29565217391303</v>
      </c>
      <c r="R692" s="58">
        <f t="shared" si="163"/>
        <v>287.53043478260867</v>
      </c>
      <c r="S692" s="66">
        <f t="shared" si="164"/>
        <v>26.849592000000005</v>
      </c>
      <c r="T692" s="64">
        <f t="shared" si="165"/>
        <v>108.75</v>
      </c>
      <c r="U692" s="66">
        <f t="shared" si="166"/>
        <v>1669.8619920000001</v>
      </c>
      <c r="V692" s="68">
        <f t="shared" si="167"/>
        <v>57.581448000000002</v>
      </c>
      <c r="W692" s="68">
        <f t="shared" si="168"/>
        <v>469.41397826086956</v>
      </c>
      <c r="X692" s="68">
        <f t="shared" si="169"/>
        <v>312.94265217391302</v>
      </c>
      <c r="Z692" s="63"/>
      <c r="AA692" s="63"/>
    </row>
    <row r="693" spans="1:27" hidden="1" x14ac:dyDescent="0.25">
      <c r="A693" t="str">
        <f t="shared" si="157"/>
        <v>10620012C24/05/2026E</v>
      </c>
      <c r="B693" s="169" t="s">
        <v>823</v>
      </c>
      <c r="C693" s="61" t="s">
        <v>397</v>
      </c>
      <c r="D693" s="61" t="s">
        <v>591</v>
      </c>
      <c r="E693" s="61" t="s">
        <v>595</v>
      </c>
      <c r="F693" s="1" t="s">
        <v>364</v>
      </c>
      <c r="G693" s="62" t="str">
        <f t="shared" si="158"/>
        <v>64515</v>
      </c>
      <c r="H693" s="1">
        <v>10620012</v>
      </c>
      <c r="I693" s="1" t="s">
        <v>388</v>
      </c>
      <c r="J693" s="61">
        <v>35</v>
      </c>
      <c r="K693" s="61">
        <v>3.6</v>
      </c>
      <c r="L693" s="61">
        <v>8.1999999999999993</v>
      </c>
      <c r="M693" s="69">
        <f t="shared" si="159"/>
        <v>1.26</v>
      </c>
      <c r="N693" s="69">
        <f t="shared" si="160"/>
        <v>2.87</v>
      </c>
      <c r="O693" s="56">
        <v>35.905082400000005</v>
      </c>
      <c r="P693" s="57">
        <f t="shared" si="161"/>
        <v>1256.6778840000002</v>
      </c>
      <c r="Q693" s="58">
        <f t="shared" si="162"/>
        <v>396.01193823529417</v>
      </c>
      <c r="R693" s="58">
        <f t="shared" si="163"/>
        <v>264.00795882352946</v>
      </c>
      <c r="S693" s="66">
        <f t="shared" si="164"/>
        <v>21.991862970000007</v>
      </c>
      <c r="T693" s="64">
        <f t="shared" si="165"/>
        <v>131.25</v>
      </c>
      <c r="U693" s="66">
        <f t="shared" si="166"/>
        <v>1409.9197469700002</v>
      </c>
      <c r="V693" s="68">
        <f t="shared" si="167"/>
        <v>40.283421342000004</v>
      </c>
      <c r="W693" s="68">
        <f t="shared" si="168"/>
        <v>444.30244127205884</v>
      </c>
      <c r="X693" s="68">
        <f t="shared" si="169"/>
        <v>296.20162751470588</v>
      </c>
      <c r="Z693" s="63"/>
      <c r="AA693" s="63"/>
    </row>
    <row r="694" spans="1:27" hidden="1" x14ac:dyDescent="0.25">
      <c r="A694" t="str">
        <f t="shared" si="157"/>
        <v>10620012B24/05/2026M</v>
      </c>
      <c r="B694" s="169" t="s">
        <v>824</v>
      </c>
      <c r="C694" s="61" t="s">
        <v>396</v>
      </c>
      <c r="D694" s="61" t="s">
        <v>591</v>
      </c>
      <c r="E694" s="61" t="s">
        <v>595</v>
      </c>
      <c r="F694" s="1" t="s">
        <v>364</v>
      </c>
      <c r="G694" s="62" t="str">
        <f t="shared" si="158"/>
        <v>64515</v>
      </c>
      <c r="H694" s="1">
        <v>10620012</v>
      </c>
      <c r="I694" s="1" t="s">
        <v>387</v>
      </c>
      <c r="J694" s="61">
        <v>70</v>
      </c>
      <c r="K694" s="61">
        <v>6.2</v>
      </c>
      <c r="L694" s="61">
        <v>8.8000000000000007</v>
      </c>
      <c r="M694" s="69">
        <f t="shared" si="159"/>
        <v>4.34</v>
      </c>
      <c r="N694" s="69">
        <f t="shared" si="160"/>
        <v>6.16</v>
      </c>
      <c r="O694" s="56">
        <v>51.252300000000005</v>
      </c>
      <c r="P694" s="57">
        <f t="shared" si="161"/>
        <v>3587.6610000000005</v>
      </c>
      <c r="Q694" s="58">
        <f t="shared" si="162"/>
        <v>424.74281767955802</v>
      </c>
      <c r="R694" s="58">
        <f t="shared" si="163"/>
        <v>283.1618784530387</v>
      </c>
      <c r="S694" s="66">
        <f t="shared" si="164"/>
        <v>62.784067500000013</v>
      </c>
      <c r="T694" s="64">
        <f t="shared" si="165"/>
        <v>262.5</v>
      </c>
      <c r="U694" s="66">
        <f t="shared" si="166"/>
        <v>3912.9450675000007</v>
      </c>
      <c r="V694" s="68">
        <f t="shared" si="167"/>
        <v>55.899215250000012</v>
      </c>
      <c r="W694" s="68">
        <f t="shared" si="168"/>
        <v>463.2531650552487</v>
      </c>
      <c r="X694" s="68">
        <f t="shared" si="169"/>
        <v>308.83544337016582</v>
      </c>
      <c r="Z694" s="63"/>
      <c r="AA694" s="63"/>
    </row>
    <row r="695" spans="1:27" hidden="1" x14ac:dyDescent="0.25">
      <c r="A695" t="str">
        <f t="shared" si="157"/>
        <v>10620012C24/05/2026M</v>
      </c>
      <c r="B695" s="169" t="s">
        <v>824</v>
      </c>
      <c r="C695" s="61" t="s">
        <v>396</v>
      </c>
      <c r="D695" s="61" t="s">
        <v>591</v>
      </c>
      <c r="E695" s="61" t="s">
        <v>595</v>
      </c>
      <c r="F695" s="1" t="s">
        <v>364</v>
      </c>
      <c r="G695" s="62" t="str">
        <f t="shared" si="158"/>
        <v>64515</v>
      </c>
      <c r="H695" s="1">
        <v>10620012</v>
      </c>
      <c r="I695" s="1" t="s">
        <v>388</v>
      </c>
      <c r="J695" s="61">
        <v>25</v>
      </c>
      <c r="K695" s="61">
        <v>3.2</v>
      </c>
      <c r="L695" s="61">
        <v>8</v>
      </c>
      <c r="M695" s="69">
        <f t="shared" si="159"/>
        <v>0.8</v>
      </c>
      <c r="N695" s="69">
        <f t="shared" si="160"/>
        <v>2</v>
      </c>
      <c r="O695" s="56">
        <v>33.793056000000007</v>
      </c>
      <c r="P695" s="57">
        <f t="shared" si="161"/>
        <v>844.82640000000015</v>
      </c>
      <c r="Q695" s="58">
        <f t="shared" si="162"/>
        <v>396.01237500000002</v>
      </c>
      <c r="R695" s="58">
        <f t="shared" si="163"/>
        <v>264.00825000000003</v>
      </c>
      <c r="S695" s="66">
        <f t="shared" si="164"/>
        <v>14.784462000000005</v>
      </c>
      <c r="T695" s="64">
        <f t="shared" si="165"/>
        <v>93.75</v>
      </c>
      <c r="U695" s="66">
        <f t="shared" si="166"/>
        <v>953.36086200000011</v>
      </c>
      <c r="V695" s="68">
        <f t="shared" si="167"/>
        <v>38.134434480000003</v>
      </c>
      <c r="W695" s="68">
        <f t="shared" si="168"/>
        <v>446.88790406249996</v>
      </c>
      <c r="X695" s="68">
        <f t="shared" si="169"/>
        <v>297.92526937499997</v>
      </c>
      <c r="Z695" s="63"/>
      <c r="AA695" s="63"/>
    </row>
    <row r="696" spans="1:27" hidden="1" x14ac:dyDescent="0.25">
      <c r="A696" t="str">
        <f t="shared" si="157"/>
        <v>10620012B24/05/2026E</v>
      </c>
      <c r="B696" s="169" t="s">
        <v>824</v>
      </c>
      <c r="C696" s="61" t="s">
        <v>397</v>
      </c>
      <c r="D696" s="61" t="s">
        <v>591</v>
      </c>
      <c r="E696" s="61" t="s">
        <v>595</v>
      </c>
      <c r="F696" s="1" t="s">
        <v>364</v>
      </c>
      <c r="G696" s="62" t="str">
        <f t="shared" si="158"/>
        <v>64515</v>
      </c>
      <c r="H696" s="1">
        <v>10620012</v>
      </c>
      <c r="I696" s="1" t="s">
        <v>387</v>
      </c>
      <c r="J696" s="61">
        <v>33</v>
      </c>
      <c r="K696" s="61">
        <v>6.2</v>
      </c>
      <c r="L696" s="61">
        <v>8.8000000000000007</v>
      </c>
      <c r="M696" s="69">
        <f t="shared" si="159"/>
        <v>2.0459999999999998</v>
      </c>
      <c r="N696" s="69">
        <f t="shared" si="160"/>
        <v>2.9040000000000004</v>
      </c>
      <c r="O696" s="56">
        <v>51.252300000000005</v>
      </c>
      <c r="P696" s="57">
        <f t="shared" si="161"/>
        <v>1691.3259000000003</v>
      </c>
      <c r="Q696" s="58">
        <f t="shared" si="162"/>
        <v>424.74281767955802</v>
      </c>
      <c r="R696" s="58">
        <f t="shared" si="163"/>
        <v>283.1618784530387</v>
      </c>
      <c r="S696" s="66">
        <f t="shared" si="164"/>
        <v>29.598203250000008</v>
      </c>
      <c r="T696" s="64">
        <f t="shared" si="165"/>
        <v>123.75</v>
      </c>
      <c r="U696" s="66">
        <f t="shared" si="166"/>
        <v>1844.6741032500004</v>
      </c>
      <c r="V696" s="68">
        <f t="shared" si="167"/>
        <v>55.899215250000012</v>
      </c>
      <c r="W696" s="68">
        <f t="shared" si="168"/>
        <v>463.2531650552487</v>
      </c>
      <c r="X696" s="68">
        <f t="shared" si="169"/>
        <v>308.83544337016582</v>
      </c>
      <c r="Z696" s="63"/>
      <c r="AA696" s="63"/>
    </row>
    <row r="697" spans="1:27" hidden="1" x14ac:dyDescent="0.25">
      <c r="A697" t="str">
        <f t="shared" si="157"/>
        <v>10620012C25/05/2026E</v>
      </c>
      <c r="B697" s="169" t="s">
        <v>824</v>
      </c>
      <c r="C697" s="61" t="s">
        <v>397</v>
      </c>
      <c r="D697" s="61" t="s">
        <v>591</v>
      </c>
      <c r="E697" s="61" t="s">
        <v>595</v>
      </c>
      <c r="F697" s="1" t="s">
        <v>364</v>
      </c>
      <c r="G697" s="62" t="str">
        <f t="shared" si="158"/>
        <v>64515</v>
      </c>
      <c r="H697" s="1">
        <v>10620012</v>
      </c>
      <c r="I697" s="1" t="s">
        <v>388</v>
      </c>
      <c r="J697" s="61">
        <v>14</v>
      </c>
      <c r="K697" s="61">
        <v>3.1</v>
      </c>
      <c r="L697" s="61">
        <v>8.1</v>
      </c>
      <c r="M697" s="69">
        <f t="shared" si="159"/>
        <v>0.434</v>
      </c>
      <c r="N697" s="69">
        <f t="shared" si="160"/>
        <v>1.1339999999999999</v>
      </c>
      <c r="O697" s="56">
        <v>33.6610692</v>
      </c>
      <c r="P697" s="57">
        <f t="shared" si="161"/>
        <v>471.25496880000003</v>
      </c>
      <c r="Q697" s="58">
        <f t="shared" si="162"/>
        <v>396.01257882352945</v>
      </c>
      <c r="R697" s="58">
        <f t="shared" si="163"/>
        <v>264.00838588235297</v>
      </c>
      <c r="S697" s="66">
        <f t="shared" si="164"/>
        <v>8.2469619540000014</v>
      </c>
      <c r="T697" s="64">
        <f t="shared" si="165"/>
        <v>52.5</v>
      </c>
      <c r="U697" s="66">
        <f t="shared" si="166"/>
        <v>532.001930754</v>
      </c>
      <c r="V697" s="68">
        <f t="shared" si="167"/>
        <v>38.000137911000003</v>
      </c>
      <c r="W697" s="68">
        <f t="shared" si="168"/>
        <v>447.06044601176478</v>
      </c>
      <c r="X697" s="68">
        <f t="shared" si="169"/>
        <v>298.04029734117654</v>
      </c>
      <c r="Z697" s="63"/>
      <c r="AA697" s="63"/>
    </row>
    <row r="698" spans="1:27" hidden="1" x14ac:dyDescent="0.25">
      <c r="A698" t="str">
        <f t="shared" si="157"/>
        <v>10620012B25/05/2026M</v>
      </c>
      <c r="B698" s="169" t="s">
        <v>825</v>
      </c>
      <c r="C698" s="61" t="s">
        <v>396</v>
      </c>
      <c r="D698" s="61" t="s">
        <v>591</v>
      </c>
      <c r="E698" s="61" t="s">
        <v>595</v>
      </c>
      <c r="F698" s="1" t="s">
        <v>364</v>
      </c>
      <c r="G698" s="62" t="str">
        <f t="shared" si="158"/>
        <v>64515</v>
      </c>
      <c r="H698" s="1">
        <v>10620012</v>
      </c>
      <c r="I698" s="1" t="s">
        <v>387</v>
      </c>
      <c r="J698" s="61">
        <v>58</v>
      </c>
      <c r="K698" s="61">
        <v>6.7</v>
      </c>
      <c r="L698" s="61">
        <v>8.8000000000000007</v>
      </c>
      <c r="M698" s="69">
        <f t="shared" si="159"/>
        <v>3.8860000000000001</v>
      </c>
      <c r="N698" s="69">
        <f t="shared" si="160"/>
        <v>5.1040000000000001</v>
      </c>
      <c r="O698" s="56">
        <v>55.385550000000002</v>
      </c>
      <c r="P698" s="57">
        <f t="shared" si="161"/>
        <v>3212.3619000000003</v>
      </c>
      <c r="Q698" s="58">
        <f t="shared" si="162"/>
        <v>440.73381962864721</v>
      </c>
      <c r="R698" s="58">
        <f t="shared" si="163"/>
        <v>293.82254641909816</v>
      </c>
      <c r="S698" s="66">
        <f t="shared" si="164"/>
        <v>56.216333250000012</v>
      </c>
      <c r="T698" s="64">
        <f t="shared" si="165"/>
        <v>217.5</v>
      </c>
      <c r="U698" s="66">
        <f t="shared" si="166"/>
        <v>3486.0782332500003</v>
      </c>
      <c r="V698" s="68">
        <f t="shared" si="167"/>
        <v>60.104797125000005</v>
      </c>
      <c r="W698" s="68">
        <f t="shared" si="168"/>
        <v>478.28751027851456</v>
      </c>
      <c r="X698" s="68">
        <f t="shared" si="169"/>
        <v>318.85834018567635</v>
      </c>
      <c r="Z698" s="63"/>
      <c r="AA698" s="63"/>
    </row>
    <row r="699" spans="1:27" hidden="1" x14ac:dyDescent="0.25">
      <c r="A699" t="str">
        <f t="shared" si="157"/>
        <v>10620012C25/05/2026M</v>
      </c>
      <c r="B699" s="169" t="s">
        <v>825</v>
      </c>
      <c r="C699" s="61" t="s">
        <v>396</v>
      </c>
      <c r="D699" s="61" t="s">
        <v>591</v>
      </c>
      <c r="E699" s="61" t="s">
        <v>595</v>
      </c>
      <c r="F699" s="1" t="s">
        <v>364</v>
      </c>
      <c r="G699" s="62" t="str">
        <f t="shared" si="158"/>
        <v>64515</v>
      </c>
      <c r="H699" s="1">
        <v>10620012</v>
      </c>
      <c r="I699" s="1" t="s">
        <v>388</v>
      </c>
      <c r="J699" s="61">
        <v>33</v>
      </c>
      <c r="K699" s="61">
        <v>3.6</v>
      </c>
      <c r="L699" s="61">
        <v>8</v>
      </c>
      <c r="M699" s="69">
        <f t="shared" si="159"/>
        <v>1.1879999999999999</v>
      </c>
      <c r="N699" s="69">
        <f t="shared" si="160"/>
        <v>2.64</v>
      </c>
      <c r="O699" s="56">
        <v>35.377056000000003</v>
      </c>
      <c r="P699" s="57">
        <f t="shared" si="161"/>
        <v>1167.4428480000001</v>
      </c>
      <c r="Q699" s="58">
        <f t="shared" si="162"/>
        <v>396.01182089552236</v>
      </c>
      <c r="R699" s="58">
        <f t="shared" si="163"/>
        <v>264.00788059701489</v>
      </c>
      <c r="S699" s="66">
        <f t="shared" si="164"/>
        <v>20.430249840000005</v>
      </c>
      <c r="T699" s="64">
        <f t="shared" si="165"/>
        <v>123.75</v>
      </c>
      <c r="U699" s="66">
        <f t="shared" si="166"/>
        <v>1311.6230978400001</v>
      </c>
      <c r="V699" s="68">
        <f t="shared" si="167"/>
        <v>39.746154480000001</v>
      </c>
      <c r="W699" s="68">
        <f t="shared" si="168"/>
        <v>444.91963970149249</v>
      </c>
      <c r="X699" s="68">
        <f t="shared" si="169"/>
        <v>296.61309313432832</v>
      </c>
      <c r="Z699" s="63"/>
      <c r="AA699" s="63"/>
    </row>
    <row r="700" spans="1:27" hidden="1" x14ac:dyDescent="0.25">
      <c r="A700" t="str">
        <f t="shared" si="157"/>
        <v>10620012B25/05/2026E</v>
      </c>
      <c r="B700" s="169" t="s">
        <v>825</v>
      </c>
      <c r="C700" s="61" t="s">
        <v>397</v>
      </c>
      <c r="D700" s="61" t="s">
        <v>591</v>
      </c>
      <c r="E700" s="61" t="s">
        <v>595</v>
      </c>
      <c r="F700" s="1" t="s">
        <v>364</v>
      </c>
      <c r="G700" s="62" t="str">
        <f t="shared" si="158"/>
        <v>64515</v>
      </c>
      <c r="H700" s="1">
        <v>10620012</v>
      </c>
      <c r="I700" s="1" t="s">
        <v>387</v>
      </c>
      <c r="J700" s="61">
        <v>27</v>
      </c>
      <c r="K700" s="61">
        <v>5.7</v>
      </c>
      <c r="L700" s="61">
        <v>8.6</v>
      </c>
      <c r="M700" s="69">
        <f t="shared" si="159"/>
        <v>1.5390000000000001</v>
      </c>
      <c r="N700" s="69">
        <f t="shared" si="160"/>
        <v>2.3220000000000001</v>
      </c>
      <c r="O700" s="56">
        <v>46.643099999999997</v>
      </c>
      <c r="P700" s="57">
        <f t="shared" si="161"/>
        <v>1259.3636999999999</v>
      </c>
      <c r="Q700" s="58">
        <f t="shared" si="162"/>
        <v>407.95714285714286</v>
      </c>
      <c r="R700" s="58">
        <f t="shared" si="163"/>
        <v>271.97142857142859</v>
      </c>
      <c r="S700" s="66">
        <f t="shared" si="164"/>
        <v>22.038864749999998</v>
      </c>
      <c r="T700" s="64">
        <f t="shared" si="165"/>
        <v>101.25</v>
      </c>
      <c r="U700" s="66">
        <f t="shared" si="166"/>
        <v>1382.6525647499998</v>
      </c>
      <c r="V700" s="68">
        <f t="shared" si="167"/>
        <v>51.20935424999999</v>
      </c>
      <c r="W700" s="68">
        <f t="shared" si="168"/>
        <v>447.89522667638477</v>
      </c>
      <c r="X700" s="68">
        <f t="shared" si="169"/>
        <v>298.59681778425653</v>
      </c>
      <c r="Z700" s="63"/>
      <c r="AA700" s="63"/>
    </row>
    <row r="701" spans="1:27" hidden="1" x14ac:dyDescent="0.25">
      <c r="A701" t="str">
        <f t="shared" si="157"/>
        <v>10620012C26/05/2026E</v>
      </c>
      <c r="B701" s="169" t="s">
        <v>825</v>
      </c>
      <c r="C701" s="61" t="s">
        <v>397</v>
      </c>
      <c r="D701" s="61" t="s">
        <v>591</v>
      </c>
      <c r="E701" s="61" t="s">
        <v>595</v>
      </c>
      <c r="F701" s="1" t="s">
        <v>364</v>
      </c>
      <c r="G701" s="62" t="str">
        <f t="shared" si="158"/>
        <v>64515</v>
      </c>
      <c r="H701" s="1">
        <v>10620012</v>
      </c>
      <c r="I701" s="1" t="s">
        <v>388</v>
      </c>
      <c r="J701" s="61">
        <v>22</v>
      </c>
      <c r="K701" s="61">
        <v>3.6</v>
      </c>
      <c r="L701" s="61">
        <v>8.1999999999999993</v>
      </c>
      <c r="M701" s="69">
        <f t="shared" si="159"/>
        <v>0.79200000000000004</v>
      </c>
      <c r="N701" s="69">
        <f t="shared" si="160"/>
        <v>1.8039999999999998</v>
      </c>
      <c r="O701" s="56">
        <v>35.905082400000005</v>
      </c>
      <c r="P701" s="57">
        <f t="shared" si="161"/>
        <v>789.91181280000012</v>
      </c>
      <c r="Q701" s="58">
        <f t="shared" si="162"/>
        <v>396.01193823529417</v>
      </c>
      <c r="R701" s="58">
        <f t="shared" si="163"/>
        <v>264.00795882352946</v>
      </c>
      <c r="S701" s="66">
        <f t="shared" si="164"/>
        <v>13.823456724000003</v>
      </c>
      <c r="T701" s="64">
        <f t="shared" si="165"/>
        <v>82.5</v>
      </c>
      <c r="U701" s="66">
        <f t="shared" si="166"/>
        <v>886.23526952400016</v>
      </c>
      <c r="V701" s="68">
        <f t="shared" si="167"/>
        <v>40.283421342000004</v>
      </c>
      <c r="W701" s="68">
        <f t="shared" si="168"/>
        <v>444.30244127205884</v>
      </c>
      <c r="X701" s="68">
        <f t="shared" si="169"/>
        <v>296.20162751470588</v>
      </c>
      <c r="Z701" s="63"/>
      <c r="AA701" s="63"/>
    </row>
    <row r="702" spans="1:27" hidden="1" x14ac:dyDescent="0.25">
      <c r="A702" t="str">
        <f t="shared" si="157"/>
        <v>10620012B26/05/2026M</v>
      </c>
      <c r="B702" s="169" t="s">
        <v>826</v>
      </c>
      <c r="C702" s="61" t="s">
        <v>396</v>
      </c>
      <c r="D702" s="61" t="s">
        <v>591</v>
      </c>
      <c r="E702" s="61" t="s">
        <v>595</v>
      </c>
      <c r="F702" s="1" t="s">
        <v>364</v>
      </c>
      <c r="G702" s="62" t="str">
        <f t="shared" si="158"/>
        <v>64515</v>
      </c>
      <c r="H702" s="1">
        <v>10620012</v>
      </c>
      <c r="I702" s="1" t="s">
        <v>387</v>
      </c>
      <c r="J702" s="61">
        <v>55</v>
      </c>
      <c r="K702" s="61">
        <v>6.5</v>
      </c>
      <c r="L702" s="61">
        <v>8.8000000000000007</v>
      </c>
      <c r="M702" s="69">
        <f t="shared" si="159"/>
        <v>3.5750000000000002</v>
      </c>
      <c r="N702" s="69">
        <f t="shared" si="160"/>
        <v>4.8400000000000007</v>
      </c>
      <c r="O702" s="56">
        <f>INDEX(Rate_Chart!$A$1:$AK$127,MATCH(Data!K702,Rate_Chart!$A$1:$A$127,0),MATCH(Data!L702,Rate_Chart!$A$1:$AK$1,0))</f>
        <v>53.732250000000001</v>
      </c>
      <c r="P702" s="57">
        <f t="shared" si="161"/>
        <v>2955.2737499999998</v>
      </c>
      <c r="Q702" s="58">
        <f t="shared" si="162"/>
        <v>434.49258760107813</v>
      </c>
      <c r="R702" s="58">
        <f t="shared" si="163"/>
        <v>289.66172506738542</v>
      </c>
      <c r="S702" s="66">
        <f t="shared" si="164"/>
        <v>51.717290625000004</v>
      </c>
      <c r="T702" s="64">
        <f t="shared" si="165"/>
        <v>206.25</v>
      </c>
      <c r="U702" s="66">
        <f t="shared" si="166"/>
        <v>3213.2410406250001</v>
      </c>
      <c r="V702" s="68">
        <f t="shared" si="167"/>
        <v>58.422564375</v>
      </c>
      <c r="W702" s="68">
        <f t="shared" si="168"/>
        <v>472.41965801886789</v>
      </c>
      <c r="X702" s="68">
        <f t="shared" si="169"/>
        <v>314.94643867924526</v>
      </c>
      <c r="Z702" s="63"/>
      <c r="AA702" s="63"/>
    </row>
    <row r="703" spans="1:27" hidden="1" x14ac:dyDescent="0.25">
      <c r="A703" t="str">
        <f t="shared" si="157"/>
        <v>10620012C26/05/2026M</v>
      </c>
      <c r="B703" s="169" t="s">
        <v>826</v>
      </c>
      <c r="C703" s="61" t="s">
        <v>396</v>
      </c>
      <c r="D703" s="61" t="s">
        <v>591</v>
      </c>
      <c r="E703" s="61" t="s">
        <v>595</v>
      </c>
      <c r="F703" s="1" t="s">
        <v>364</v>
      </c>
      <c r="G703" s="62" t="str">
        <f t="shared" si="158"/>
        <v>64515</v>
      </c>
      <c r="H703" s="1">
        <v>10620012</v>
      </c>
      <c r="I703" s="1" t="s">
        <v>388</v>
      </c>
      <c r="J703" s="61">
        <v>29</v>
      </c>
      <c r="K703" s="61">
        <v>3.5</v>
      </c>
      <c r="L703" s="61">
        <v>8.1999999999999993</v>
      </c>
      <c r="M703" s="69">
        <f t="shared" si="159"/>
        <v>1.0149999999999999</v>
      </c>
      <c r="N703" s="69">
        <f t="shared" si="160"/>
        <v>2.3779999999999997</v>
      </c>
      <c r="O703" s="56">
        <f>INDEX(Rate_Chart!$A$1:$AK$127,MATCH(Data!K703,Rate_Chart!$A$1:$A$127,0),MATCH(Data!L703,Rate_Chart!$A$1:$AK$1,0))</f>
        <v>37.392139800000002</v>
      </c>
      <c r="P703" s="57">
        <f t="shared" si="161"/>
        <v>1084.3720542000001</v>
      </c>
      <c r="Q703" s="58">
        <f t="shared" si="162"/>
        <v>417.01271152416359</v>
      </c>
      <c r="R703" s="58">
        <f t="shared" si="163"/>
        <v>278.00847434944239</v>
      </c>
      <c r="S703" s="66">
        <f t="shared" si="164"/>
        <v>18.976510948500003</v>
      </c>
      <c r="T703" s="64">
        <f t="shared" si="165"/>
        <v>108.75</v>
      </c>
      <c r="U703" s="66">
        <f t="shared" si="166"/>
        <v>1212.0985651485</v>
      </c>
      <c r="V703" s="68">
        <f t="shared" si="167"/>
        <v>41.796502246499998</v>
      </c>
      <c r="W703" s="68">
        <f t="shared" si="168"/>
        <v>466.13199531412636</v>
      </c>
      <c r="X703" s="68">
        <f t="shared" si="169"/>
        <v>310.7546635427509</v>
      </c>
      <c r="Z703" s="63"/>
      <c r="AA703" s="63"/>
    </row>
    <row r="704" spans="1:27" hidden="1" x14ac:dyDescent="0.25">
      <c r="A704" t="str">
        <f t="shared" si="157"/>
        <v>10620012B26/05/2026E</v>
      </c>
      <c r="B704" s="169" t="s">
        <v>826</v>
      </c>
      <c r="C704" s="61" t="s">
        <v>397</v>
      </c>
      <c r="D704" s="61" t="s">
        <v>591</v>
      </c>
      <c r="E704" s="61" t="s">
        <v>595</v>
      </c>
      <c r="F704" s="1" t="s">
        <v>364</v>
      </c>
      <c r="G704" s="62" t="str">
        <f t="shared" si="158"/>
        <v>64515</v>
      </c>
      <c r="H704" s="1">
        <v>10620012</v>
      </c>
      <c r="I704" s="1" t="s">
        <v>387</v>
      </c>
      <c r="J704" s="61">
        <v>23</v>
      </c>
      <c r="K704" s="61">
        <v>6.4</v>
      </c>
      <c r="L704" s="61">
        <v>9</v>
      </c>
      <c r="M704" s="69">
        <f t="shared" si="159"/>
        <v>1.4720000000000002</v>
      </c>
      <c r="N704" s="69">
        <f t="shared" si="160"/>
        <v>2.0699999999999998</v>
      </c>
      <c r="O704" s="56">
        <f>INDEX(Rate_Chart!$A$1:$AK$127,MATCH(Data!K704,Rate_Chart!$A$1:$A$127,0),MATCH(Data!L704,Rate_Chart!$A$1:$AK$1,0))</f>
        <v>53.44</v>
      </c>
      <c r="P704" s="57">
        <f t="shared" si="161"/>
        <v>1229.1199999999999</v>
      </c>
      <c r="Q704" s="58">
        <f t="shared" si="162"/>
        <v>430.96774193548384</v>
      </c>
      <c r="R704" s="58">
        <f t="shared" si="163"/>
        <v>287.31182795698925</v>
      </c>
      <c r="S704" s="66">
        <f t="shared" si="164"/>
        <v>21.509599999999999</v>
      </c>
      <c r="T704" s="64">
        <f t="shared" si="165"/>
        <v>86.25</v>
      </c>
      <c r="U704" s="66">
        <f t="shared" si="166"/>
        <v>1336.8796</v>
      </c>
      <c r="V704" s="68">
        <f t="shared" si="167"/>
        <v>58.1252</v>
      </c>
      <c r="W704" s="68">
        <f t="shared" si="168"/>
        <v>468.7516129032258</v>
      </c>
      <c r="X704" s="68">
        <f t="shared" si="169"/>
        <v>312.5010752688172</v>
      </c>
      <c r="Z704" s="63"/>
      <c r="AA704" s="63"/>
    </row>
    <row r="705" spans="1:27" hidden="1" x14ac:dyDescent="0.25">
      <c r="A705" t="str">
        <f t="shared" si="157"/>
        <v>10620012C27/05/2026E</v>
      </c>
      <c r="B705" s="169" t="s">
        <v>826</v>
      </c>
      <c r="C705" s="61" t="s">
        <v>397</v>
      </c>
      <c r="D705" s="61" t="s">
        <v>591</v>
      </c>
      <c r="E705" s="61" t="s">
        <v>595</v>
      </c>
      <c r="F705" s="1" t="s">
        <v>364</v>
      </c>
      <c r="G705" s="62" t="str">
        <f t="shared" si="158"/>
        <v>64515</v>
      </c>
      <c r="H705" s="1">
        <v>10620012</v>
      </c>
      <c r="I705" s="1" t="s">
        <v>388</v>
      </c>
      <c r="J705" s="61">
        <v>17</v>
      </c>
      <c r="K705" s="61">
        <v>4.3</v>
      </c>
      <c r="L705" s="61">
        <v>8.5</v>
      </c>
      <c r="M705" s="69">
        <f t="shared" si="159"/>
        <v>0.73099999999999998</v>
      </c>
      <c r="N705" s="69">
        <f t="shared" si="160"/>
        <v>1.4450000000000001</v>
      </c>
      <c r="O705" s="56">
        <f>INDEX(Rate_Chart!$A$1:$AK$127,MATCH(Data!K705,Rate_Chart!$A$1:$A$127,0),MATCH(Data!L705,Rate_Chart!$A$1:$AK$1,0))</f>
        <v>41.562181500000001</v>
      </c>
      <c r="P705" s="57">
        <f t="shared" si="161"/>
        <v>706.55708549999997</v>
      </c>
      <c r="Q705" s="58">
        <f t="shared" si="162"/>
        <v>417.01185451505017</v>
      </c>
      <c r="R705" s="58">
        <f t="shared" si="163"/>
        <v>278.00790301003343</v>
      </c>
      <c r="S705" s="66">
        <f t="shared" si="164"/>
        <v>12.36474899625</v>
      </c>
      <c r="T705" s="64">
        <f t="shared" si="165"/>
        <v>63.75</v>
      </c>
      <c r="U705" s="66">
        <f t="shared" si="166"/>
        <v>782.67183449624997</v>
      </c>
      <c r="V705" s="68">
        <f t="shared" si="167"/>
        <v>46.039519676249995</v>
      </c>
      <c r="W705" s="68">
        <f t="shared" si="168"/>
        <v>461.93498002926418</v>
      </c>
      <c r="X705" s="68">
        <f t="shared" si="169"/>
        <v>307.95665335284281</v>
      </c>
      <c r="Z705" s="63"/>
      <c r="AA705" s="63"/>
    </row>
    <row r="706" spans="1:27" hidden="1" x14ac:dyDescent="0.25">
      <c r="A706" t="str">
        <f t="shared" si="157"/>
        <v>10620012B27/05/2026M</v>
      </c>
      <c r="B706" s="169" t="s">
        <v>827</v>
      </c>
      <c r="C706" s="61" t="s">
        <v>396</v>
      </c>
      <c r="D706" s="61" t="s">
        <v>591</v>
      </c>
      <c r="E706" s="61" t="s">
        <v>595</v>
      </c>
      <c r="F706" s="1" t="s">
        <v>364</v>
      </c>
      <c r="G706" s="62" t="str">
        <f t="shared" si="158"/>
        <v>64515</v>
      </c>
      <c r="H706" s="1">
        <v>10620012</v>
      </c>
      <c r="I706" s="1" t="s">
        <v>387</v>
      </c>
      <c r="J706" s="61">
        <v>46</v>
      </c>
      <c r="K706" s="61">
        <v>7</v>
      </c>
      <c r="L706" s="61">
        <v>9</v>
      </c>
      <c r="M706" s="69">
        <f t="shared" si="159"/>
        <v>3.22</v>
      </c>
      <c r="N706" s="69">
        <f t="shared" si="160"/>
        <v>4.1399999999999997</v>
      </c>
      <c r="O706" s="56">
        <f>INDEX(Rate_Chart!$A$1:$AK$127,MATCH(Data!K706,Rate_Chart!$A$1:$A$127,0),MATCH(Data!L706,Rate_Chart!$A$1:$AK$1,0))</f>
        <v>58.45</v>
      </c>
      <c r="P706" s="57">
        <f t="shared" si="161"/>
        <v>2688.7000000000003</v>
      </c>
      <c r="Q706" s="58">
        <f t="shared" si="162"/>
        <v>449.61538461538464</v>
      </c>
      <c r="R706" s="58">
        <f t="shared" si="163"/>
        <v>299.74358974358978</v>
      </c>
      <c r="S706" s="66">
        <f t="shared" si="164"/>
        <v>47.052250000000008</v>
      </c>
      <c r="T706" s="64">
        <f t="shared" si="165"/>
        <v>172.5</v>
      </c>
      <c r="U706" s="66">
        <f t="shared" si="166"/>
        <v>2908.2522500000005</v>
      </c>
      <c r="V706" s="68">
        <f t="shared" si="167"/>
        <v>63.222875000000009</v>
      </c>
      <c r="W706" s="68">
        <f t="shared" si="168"/>
        <v>486.32980769230772</v>
      </c>
      <c r="X706" s="68">
        <f t="shared" si="169"/>
        <v>324.21987179487184</v>
      </c>
      <c r="Z706" s="63"/>
      <c r="AA706" s="63"/>
    </row>
    <row r="707" spans="1:27" hidden="1" x14ac:dyDescent="0.25">
      <c r="A707" t="str">
        <f t="shared" si="157"/>
        <v>10620012C27/05/2026M</v>
      </c>
      <c r="B707" s="169" t="s">
        <v>827</v>
      </c>
      <c r="C707" s="61" t="s">
        <v>396</v>
      </c>
      <c r="D707" s="61" t="s">
        <v>591</v>
      </c>
      <c r="E707" s="61" t="s">
        <v>595</v>
      </c>
      <c r="F707" s="1" t="s">
        <v>364</v>
      </c>
      <c r="G707" s="62" t="str">
        <f t="shared" si="158"/>
        <v>64515</v>
      </c>
      <c r="H707" s="1">
        <v>10620012</v>
      </c>
      <c r="I707" s="1" t="s">
        <v>388</v>
      </c>
      <c r="J707" s="61">
        <v>26</v>
      </c>
      <c r="K707" s="61">
        <v>4.5</v>
      </c>
      <c r="L707" s="61">
        <v>8.5</v>
      </c>
      <c r="M707" s="69">
        <f t="shared" si="159"/>
        <v>1.17</v>
      </c>
      <c r="N707" s="69">
        <f t="shared" si="160"/>
        <v>2.21</v>
      </c>
      <c r="O707" s="56">
        <f>INDEX(Rate_Chart!$A$1:$AK$127,MATCH(Data!K707,Rate_Chart!$A$1:$A$127,0),MATCH(Data!L707,Rate_Chart!$A$1:$AK$1,0))</f>
        <v>42.396181500000004</v>
      </c>
      <c r="P707" s="57">
        <f t="shared" si="161"/>
        <v>1102.3007190000001</v>
      </c>
      <c r="Q707" s="58">
        <f t="shared" si="162"/>
        <v>417.01162131147544</v>
      </c>
      <c r="R707" s="58">
        <f t="shared" si="163"/>
        <v>278.00774754098364</v>
      </c>
      <c r="S707" s="66">
        <f t="shared" si="164"/>
        <v>19.290262582500002</v>
      </c>
      <c r="T707" s="64">
        <f t="shared" si="165"/>
        <v>97.5</v>
      </c>
      <c r="U707" s="66">
        <f t="shared" si="166"/>
        <v>1219.0909815825</v>
      </c>
      <c r="V707" s="68">
        <f t="shared" si="167"/>
        <v>46.888114676249998</v>
      </c>
      <c r="W707" s="68">
        <f t="shared" si="168"/>
        <v>461.19457058606554</v>
      </c>
      <c r="X707" s="68">
        <f t="shared" si="169"/>
        <v>307.46304705737703</v>
      </c>
      <c r="Z707" s="63"/>
      <c r="AA707" s="63"/>
    </row>
    <row r="708" spans="1:27" hidden="1" x14ac:dyDescent="0.25">
      <c r="A708" t="str">
        <f t="shared" si="157"/>
        <v>10620012B27/05/2026E</v>
      </c>
      <c r="B708" s="169" t="s">
        <v>827</v>
      </c>
      <c r="C708" s="61" t="s">
        <v>397</v>
      </c>
      <c r="D708" s="61" t="s">
        <v>591</v>
      </c>
      <c r="E708" s="61" t="s">
        <v>595</v>
      </c>
      <c r="F708" s="1" t="s">
        <v>364</v>
      </c>
      <c r="G708" s="62" t="str">
        <f t="shared" si="158"/>
        <v>64515</v>
      </c>
      <c r="H708" s="1">
        <v>10620012</v>
      </c>
      <c r="I708" s="1" t="s">
        <v>387</v>
      </c>
      <c r="J708" s="61">
        <v>10</v>
      </c>
      <c r="K708" s="61">
        <v>5.9</v>
      </c>
      <c r="L708" s="61">
        <v>9</v>
      </c>
      <c r="M708" s="69">
        <f t="shared" si="159"/>
        <v>0.59</v>
      </c>
      <c r="N708" s="69">
        <f t="shared" si="160"/>
        <v>0.9</v>
      </c>
      <c r="O708" s="56">
        <f>INDEX(Rate_Chart!$A$1:$AK$127,MATCH(Data!K708,Rate_Chart!$A$1:$A$127,0),MATCH(Data!L708,Rate_Chart!$A$1:$AK$1,0))</f>
        <v>49.265000000000001</v>
      </c>
      <c r="P708" s="57">
        <f t="shared" si="161"/>
        <v>492.65</v>
      </c>
      <c r="Q708" s="58">
        <f t="shared" si="162"/>
        <v>413.99159663865549</v>
      </c>
      <c r="R708" s="58">
        <f t="shared" si="163"/>
        <v>275.99439775910366</v>
      </c>
      <c r="S708" s="66">
        <f t="shared" si="164"/>
        <v>8.6213750000000005</v>
      </c>
      <c r="T708" s="64">
        <f t="shared" si="165"/>
        <v>37.5</v>
      </c>
      <c r="U708" s="66">
        <f t="shared" si="166"/>
        <v>538.77137500000003</v>
      </c>
      <c r="V708" s="68">
        <f t="shared" si="167"/>
        <v>53.877137500000003</v>
      </c>
      <c r="W708" s="68">
        <f t="shared" si="168"/>
        <v>452.74905462184881</v>
      </c>
      <c r="X708" s="68">
        <f t="shared" si="169"/>
        <v>301.83270308123252</v>
      </c>
      <c r="Z708" s="63"/>
      <c r="AA708" s="63"/>
    </row>
    <row r="709" spans="1:27" hidden="1" x14ac:dyDescent="0.25">
      <c r="A709" t="str">
        <f t="shared" ref="A709:A772" si="170">CONCATENATE(H709,I709,B710,C709)</f>
        <v>10620012C28/05/2026E</v>
      </c>
      <c r="B709" s="169" t="s">
        <v>827</v>
      </c>
      <c r="C709" s="61" t="s">
        <v>397</v>
      </c>
      <c r="D709" s="61" t="s">
        <v>591</v>
      </c>
      <c r="E709" s="61" t="s">
        <v>595</v>
      </c>
      <c r="F709" s="1" t="s">
        <v>364</v>
      </c>
      <c r="G709" s="62" t="str">
        <f t="shared" si="158"/>
        <v>64515</v>
      </c>
      <c r="H709" s="1">
        <v>10620012</v>
      </c>
      <c r="I709" s="1" t="s">
        <v>388</v>
      </c>
      <c r="J709" s="61">
        <v>11</v>
      </c>
      <c r="K709" s="61">
        <v>4.2</v>
      </c>
      <c r="L709" s="61">
        <v>8.1999999999999993</v>
      </c>
      <c r="M709" s="69">
        <f t="shared" si="159"/>
        <v>0.46200000000000002</v>
      </c>
      <c r="N709" s="69">
        <f t="shared" si="160"/>
        <v>0.90199999999999991</v>
      </c>
      <c r="O709" s="56">
        <f>INDEX(Rate_Chart!$A$1:$AK$127,MATCH(Data!K709,Rate_Chart!$A$1:$A$127,0),MATCH(Data!L709,Rate_Chart!$A$1:$AK$1,0))</f>
        <v>40.311139799999999</v>
      </c>
      <c r="P709" s="57">
        <f t="shared" si="161"/>
        <v>443.42253779999999</v>
      </c>
      <c r="Q709" s="58">
        <f t="shared" si="162"/>
        <v>417.01179103448277</v>
      </c>
      <c r="R709" s="58">
        <f t="shared" si="163"/>
        <v>278.00786068965516</v>
      </c>
      <c r="S709" s="66">
        <f t="shared" si="164"/>
        <v>7.7598944115000004</v>
      </c>
      <c r="T709" s="64">
        <f t="shared" si="165"/>
        <v>41.25</v>
      </c>
      <c r="U709" s="66">
        <f t="shared" si="166"/>
        <v>492.43243221149999</v>
      </c>
      <c r="V709" s="68">
        <f t="shared" si="167"/>
        <v>44.766584746500001</v>
      </c>
      <c r="W709" s="68">
        <f t="shared" si="168"/>
        <v>463.10260082586211</v>
      </c>
      <c r="X709" s="68">
        <f t="shared" si="169"/>
        <v>308.73506721724141</v>
      </c>
      <c r="Z709" s="63"/>
      <c r="AA709" s="63"/>
    </row>
    <row r="710" spans="1:27" hidden="1" x14ac:dyDescent="0.25">
      <c r="A710" t="str">
        <f t="shared" si="170"/>
        <v>10620012B28/05/2026M</v>
      </c>
      <c r="B710" s="169" t="s">
        <v>828</v>
      </c>
      <c r="C710" s="61" t="s">
        <v>396</v>
      </c>
      <c r="D710" s="61" t="s">
        <v>591</v>
      </c>
      <c r="E710" s="61" t="s">
        <v>595</v>
      </c>
      <c r="F710" s="1" t="s">
        <v>364</v>
      </c>
      <c r="G710" s="62" t="str">
        <f t="shared" ref="G710:G773" si="171">MID(F710,2,5)</f>
        <v>64515</v>
      </c>
      <c r="H710" s="1">
        <v>10620012</v>
      </c>
      <c r="I710" s="1" t="s">
        <v>387</v>
      </c>
      <c r="J710" s="61">
        <v>54</v>
      </c>
      <c r="K710" s="61">
        <v>6.7</v>
      </c>
      <c r="L710" s="61">
        <v>8.8000000000000007</v>
      </c>
      <c r="M710" s="69">
        <f t="shared" si="159"/>
        <v>3.6180000000000003</v>
      </c>
      <c r="N710" s="69">
        <f t="shared" si="160"/>
        <v>4.7520000000000007</v>
      </c>
      <c r="O710" s="56">
        <f>INDEX(Rate_Chart!$A$1:$AK$127,MATCH(Data!K710,Rate_Chart!$A$1:$A$127,0),MATCH(Data!L710,Rate_Chart!$A$1:$AK$1,0))</f>
        <v>55.385550000000002</v>
      </c>
      <c r="P710" s="57">
        <f t="shared" si="161"/>
        <v>2990.8197</v>
      </c>
      <c r="Q710" s="58">
        <f t="shared" si="162"/>
        <v>440.73381962864721</v>
      </c>
      <c r="R710" s="58">
        <f t="shared" si="163"/>
        <v>293.82254641909816</v>
      </c>
      <c r="S710" s="66">
        <f t="shared" si="164"/>
        <v>52.339344750000002</v>
      </c>
      <c r="T710" s="64">
        <f t="shared" si="165"/>
        <v>202.5</v>
      </c>
      <c r="U710" s="66">
        <f t="shared" si="166"/>
        <v>3245.6590447500002</v>
      </c>
      <c r="V710" s="68">
        <f t="shared" si="167"/>
        <v>60.104797125000005</v>
      </c>
      <c r="W710" s="68">
        <f t="shared" si="168"/>
        <v>478.28751027851456</v>
      </c>
      <c r="X710" s="68">
        <f t="shared" si="169"/>
        <v>318.85834018567635</v>
      </c>
      <c r="Z710" s="63"/>
      <c r="AA710" s="63"/>
    </row>
    <row r="711" spans="1:27" hidden="1" x14ac:dyDescent="0.25">
      <c r="A711" t="str">
        <f t="shared" si="170"/>
        <v>10620012C28/05/2026M</v>
      </c>
      <c r="B711" s="169" t="s">
        <v>828</v>
      </c>
      <c r="C711" s="61" t="s">
        <v>396</v>
      </c>
      <c r="D711" s="61" t="s">
        <v>591</v>
      </c>
      <c r="E711" s="61" t="s">
        <v>595</v>
      </c>
      <c r="F711" s="1" t="s">
        <v>364</v>
      </c>
      <c r="G711" s="62" t="str">
        <f t="shared" si="171"/>
        <v>64515</v>
      </c>
      <c r="H711" s="1">
        <v>10620012</v>
      </c>
      <c r="I711" s="1" t="s">
        <v>388</v>
      </c>
      <c r="J711" s="61">
        <v>19</v>
      </c>
      <c r="K711" s="61">
        <v>3.3</v>
      </c>
      <c r="L711" s="61">
        <v>8.1</v>
      </c>
      <c r="M711" s="69">
        <f t="shared" si="159"/>
        <v>0.627</v>
      </c>
      <c r="N711" s="69">
        <f t="shared" si="160"/>
        <v>1.5390000000000001</v>
      </c>
      <c r="O711" s="56">
        <f>INDEX(Rate_Chart!$A$1:$AK$127,MATCH(Data!K711,Rate_Chart!$A$1:$A$127,0),MATCH(Data!L711,Rate_Chart!$A$1:$AK$1,0))</f>
        <v>36.280125900000002</v>
      </c>
      <c r="P711" s="57">
        <f t="shared" si="161"/>
        <v>689.3223921</v>
      </c>
      <c r="Q711" s="58">
        <f t="shared" si="162"/>
        <v>417.0129413793104</v>
      </c>
      <c r="R711" s="58">
        <f t="shared" si="163"/>
        <v>278.00862758620696</v>
      </c>
      <c r="S711" s="66">
        <f t="shared" si="164"/>
        <v>12.063141861750001</v>
      </c>
      <c r="T711" s="64">
        <f t="shared" si="165"/>
        <v>71.25</v>
      </c>
      <c r="U711" s="66">
        <f t="shared" si="166"/>
        <v>772.63553396174996</v>
      </c>
      <c r="V711" s="68">
        <f t="shared" si="167"/>
        <v>40.665028103249995</v>
      </c>
      <c r="W711" s="68">
        <f t="shared" si="168"/>
        <v>467.41411612931034</v>
      </c>
      <c r="X711" s="68">
        <f t="shared" si="169"/>
        <v>311.60941075287354</v>
      </c>
      <c r="Z711" s="63"/>
      <c r="AA711" s="63"/>
    </row>
    <row r="712" spans="1:27" hidden="1" x14ac:dyDescent="0.25">
      <c r="A712" t="str">
        <f t="shared" si="170"/>
        <v>10620012B28/05/2026E</v>
      </c>
      <c r="B712" s="169" t="s">
        <v>828</v>
      </c>
      <c r="C712" s="61" t="s">
        <v>397</v>
      </c>
      <c r="D712" s="61" t="s">
        <v>591</v>
      </c>
      <c r="E712" s="61" t="s">
        <v>595</v>
      </c>
      <c r="F712" s="1" t="s">
        <v>364</v>
      </c>
      <c r="G712" s="62" t="str">
        <f t="shared" si="171"/>
        <v>64515</v>
      </c>
      <c r="H712" s="1">
        <v>10620012</v>
      </c>
      <c r="I712" s="1" t="s">
        <v>387</v>
      </c>
      <c r="J712" s="61">
        <v>31</v>
      </c>
      <c r="K712" s="61">
        <v>6.2</v>
      </c>
      <c r="L712" s="61">
        <v>8.8000000000000007</v>
      </c>
      <c r="M712" s="69">
        <f t="shared" si="159"/>
        <v>1.9220000000000002</v>
      </c>
      <c r="N712" s="69">
        <f t="shared" si="160"/>
        <v>2.7280000000000002</v>
      </c>
      <c r="O712" s="56">
        <f>INDEX(Rate_Chart!$A$1:$AK$127,MATCH(Data!K712,Rate_Chart!$A$1:$A$127,0),MATCH(Data!L712,Rate_Chart!$A$1:$AK$1,0))</f>
        <v>51.252300000000005</v>
      </c>
      <c r="P712" s="57">
        <f t="shared" si="161"/>
        <v>1588.8213000000001</v>
      </c>
      <c r="Q712" s="58">
        <f t="shared" si="162"/>
        <v>424.74281767955802</v>
      </c>
      <c r="R712" s="58">
        <f t="shared" si="163"/>
        <v>283.1618784530387</v>
      </c>
      <c r="S712" s="66">
        <f t="shared" si="164"/>
        <v>27.804372750000002</v>
      </c>
      <c r="T712" s="64">
        <f t="shared" si="165"/>
        <v>116.25</v>
      </c>
      <c r="U712" s="66">
        <f t="shared" si="166"/>
        <v>1732.8756727500001</v>
      </c>
      <c r="V712" s="68">
        <f t="shared" si="167"/>
        <v>55.899215250000005</v>
      </c>
      <c r="W712" s="68">
        <f t="shared" si="168"/>
        <v>463.25316505524864</v>
      </c>
      <c r="X712" s="68">
        <f t="shared" si="169"/>
        <v>308.83544337016576</v>
      </c>
      <c r="Z712" s="63"/>
      <c r="AA712" s="63"/>
    </row>
    <row r="713" spans="1:27" hidden="1" x14ac:dyDescent="0.25">
      <c r="A713" t="str">
        <f t="shared" si="170"/>
        <v>10620012C22/05/2026E</v>
      </c>
      <c r="B713" s="169" t="s">
        <v>828</v>
      </c>
      <c r="C713" s="61" t="s">
        <v>397</v>
      </c>
      <c r="D713" s="61" t="s">
        <v>591</v>
      </c>
      <c r="E713" s="61" t="s">
        <v>595</v>
      </c>
      <c r="F713" s="1" t="s">
        <v>364</v>
      </c>
      <c r="G713" s="62" t="str">
        <f t="shared" si="171"/>
        <v>64515</v>
      </c>
      <c r="H713" s="1">
        <v>10620012</v>
      </c>
      <c r="I713" s="1" t="s">
        <v>388</v>
      </c>
      <c r="J713" s="61">
        <v>17</v>
      </c>
      <c r="K713" s="61">
        <v>3.1</v>
      </c>
      <c r="L713" s="61">
        <v>8.1</v>
      </c>
      <c r="M713" s="69">
        <f t="shared" si="159"/>
        <v>0.52700000000000002</v>
      </c>
      <c r="N713" s="69">
        <f t="shared" si="160"/>
        <v>1.3769999999999998</v>
      </c>
      <c r="O713" s="56">
        <f>INDEX(Rate_Chart!$A$1:$AK$127,MATCH(Data!K713,Rate_Chart!$A$1:$A$127,0),MATCH(Data!L713,Rate_Chart!$A$1:$AK$1,0))</f>
        <v>35.446125899999998</v>
      </c>
      <c r="P713" s="57">
        <f t="shared" si="161"/>
        <v>602.58414029999994</v>
      </c>
      <c r="Q713" s="58">
        <f t="shared" si="162"/>
        <v>417.01324588235298</v>
      </c>
      <c r="R713" s="58">
        <f t="shared" si="163"/>
        <v>278.0088305882353</v>
      </c>
      <c r="S713" s="66">
        <f t="shared" si="164"/>
        <v>10.54522245525</v>
      </c>
      <c r="T713" s="64">
        <f t="shared" si="165"/>
        <v>63.75</v>
      </c>
      <c r="U713" s="66">
        <f t="shared" si="166"/>
        <v>676.87936275524999</v>
      </c>
      <c r="V713" s="68">
        <f t="shared" si="167"/>
        <v>39.816433103249999</v>
      </c>
      <c r="W713" s="68">
        <f t="shared" si="168"/>
        <v>468.42862474411766</v>
      </c>
      <c r="X713" s="68">
        <f t="shared" si="169"/>
        <v>312.28574982941177</v>
      </c>
      <c r="Z713" s="63"/>
      <c r="AA713" s="63"/>
    </row>
    <row r="714" spans="1:27" hidden="1" x14ac:dyDescent="0.25">
      <c r="A714" t="str">
        <f t="shared" si="170"/>
        <v>10620049B22/05/2026M</v>
      </c>
      <c r="B714" s="169" t="s">
        <v>822</v>
      </c>
      <c r="C714" s="61" t="s">
        <v>396</v>
      </c>
      <c r="D714" s="61" t="s">
        <v>591</v>
      </c>
      <c r="E714" s="61" t="s">
        <v>593</v>
      </c>
      <c r="F714" s="1" t="s">
        <v>365</v>
      </c>
      <c r="G714" s="62" t="str">
        <f t="shared" si="171"/>
        <v>64517</v>
      </c>
      <c r="H714" s="1">
        <v>10620049</v>
      </c>
      <c r="I714" s="1" t="s">
        <v>387</v>
      </c>
      <c r="J714" s="61">
        <v>10</v>
      </c>
      <c r="K714" s="61">
        <v>7.2</v>
      </c>
      <c r="L714" s="61">
        <v>8.8000000000000007</v>
      </c>
      <c r="M714" s="69">
        <f t="shared" si="159"/>
        <v>0.72</v>
      </c>
      <c r="N714" s="69">
        <f t="shared" si="160"/>
        <v>0.88</v>
      </c>
      <c r="O714" s="56">
        <v>59.518800000000006</v>
      </c>
      <c r="P714" s="57">
        <f t="shared" si="161"/>
        <v>595.1880000000001</v>
      </c>
      <c r="Q714" s="58">
        <f t="shared" si="162"/>
        <v>455.50102040816324</v>
      </c>
      <c r="R714" s="58">
        <f t="shared" si="163"/>
        <v>303.66734693877549</v>
      </c>
      <c r="S714" s="66">
        <f t="shared" si="164"/>
        <v>10.415790000000003</v>
      </c>
      <c r="T714" s="64">
        <f t="shared" si="165"/>
        <v>37.5</v>
      </c>
      <c r="U714" s="66">
        <f t="shared" si="166"/>
        <v>643.10379000000012</v>
      </c>
      <c r="V714" s="68">
        <f t="shared" si="167"/>
        <v>64.310379000000012</v>
      </c>
      <c r="W714" s="68">
        <f t="shared" si="168"/>
        <v>492.17126785714288</v>
      </c>
      <c r="X714" s="68">
        <f t="shared" si="169"/>
        <v>328.11417857142857</v>
      </c>
      <c r="Z714" s="63"/>
      <c r="AA714" s="63"/>
    </row>
    <row r="715" spans="1:27" hidden="1" x14ac:dyDescent="0.25">
      <c r="A715" t="str">
        <f t="shared" si="170"/>
        <v>10620049C22/05/2026M</v>
      </c>
      <c r="B715" s="169" t="s">
        <v>822</v>
      </c>
      <c r="C715" s="61" t="s">
        <v>396</v>
      </c>
      <c r="D715" s="61" t="s">
        <v>591</v>
      </c>
      <c r="E715" s="61" t="s">
        <v>593</v>
      </c>
      <c r="F715" s="1" t="s">
        <v>365</v>
      </c>
      <c r="G715" s="62" t="str">
        <f t="shared" si="171"/>
        <v>64517</v>
      </c>
      <c r="H715" s="1">
        <v>10620049</v>
      </c>
      <c r="I715" s="1" t="s">
        <v>388</v>
      </c>
      <c r="J715" s="61">
        <v>25</v>
      </c>
      <c r="K715" s="61">
        <v>3.8</v>
      </c>
      <c r="L715" s="61">
        <v>8.1</v>
      </c>
      <c r="M715" s="69">
        <f t="shared" si="159"/>
        <v>0.95</v>
      </c>
      <c r="N715" s="69">
        <f t="shared" si="160"/>
        <v>2.0249999999999999</v>
      </c>
      <c r="O715" s="56">
        <v>36.433069200000006</v>
      </c>
      <c r="P715" s="57">
        <f t="shared" si="161"/>
        <v>910.82673000000011</v>
      </c>
      <c r="Q715" s="58">
        <f t="shared" si="162"/>
        <v>396.01162173913048</v>
      </c>
      <c r="R715" s="58">
        <f t="shared" si="163"/>
        <v>264.00774782608698</v>
      </c>
      <c r="S715" s="66">
        <f t="shared" si="164"/>
        <v>15.939467775000004</v>
      </c>
      <c r="T715" s="64">
        <f t="shared" si="165"/>
        <v>93.75</v>
      </c>
      <c r="U715" s="66">
        <f t="shared" si="166"/>
        <v>1020.5161977750001</v>
      </c>
      <c r="V715" s="68">
        <f t="shared" si="167"/>
        <v>40.820647911000009</v>
      </c>
      <c r="W715" s="68">
        <f t="shared" si="168"/>
        <v>443.70269468478273</v>
      </c>
      <c r="X715" s="68">
        <f t="shared" si="169"/>
        <v>295.8017964565218</v>
      </c>
      <c r="Z715" s="63"/>
      <c r="AA715" s="63"/>
    </row>
    <row r="716" spans="1:27" hidden="1" x14ac:dyDescent="0.25">
      <c r="A716" t="str">
        <f t="shared" si="170"/>
        <v>10620049B22/05/2026E</v>
      </c>
      <c r="B716" s="169" t="s">
        <v>822</v>
      </c>
      <c r="C716" s="61" t="s">
        <v>397</v>
      </c>
      <c r="D716" s="61" t="s">
        <v>591</v>
      </c>
      <c r="E716" s="61" t="s">
        <v>593</v>
      </c>
      <c r="F716" s="1" t="s">
        <v>365</v>
      </c>
      <c r="G716" s="62" t="str">
        <f t="shared" si="171"/>
        <v>64517</v>
      </c>
      <c r="H716" s="1">
        <v>10620049</v>
      </c>
      <c r="I716" s="1" t="s">
        <v>387</v>
      </c>
      <c r="J716" s="61">
        <v>12</v>
      </c>
      <c r="K716" s="61">
        <v>7.7</v>
      </c>
      <c r="L716" s="61">
        <v>8.8000000000000007</v>
      </c>
      <c r="M716" s="69">
        <f t="shared" si="159"/>
        <v>0.92400000000000004</v>
      </c>
      <c r="N716" s="69">
        <f t="shared" si="160"/>
        <v>1.056</v>
      </c>
      <c r="O716" s="56">
        <v>63.652050000000003</v>
      </c>
      <c r="P716" s="57">
        <f t="shared" si="161"/>
        <v>763.82460000000003</v>
      </c>
      <c r="Q716" s="58">
        <f t="shared" si="162"/>
        <v>469.17972972972979</v>
      </c>
      <c r="R716" s="58">
        <f t="shared" si="163"/>
        <v>312.78648648648652</v>
      </c>
      <c r="S716" s="66">
        <f t="shared" si="164"/>
        <v>13.366930500000002</v>
      </c>
      <c r="T716" s="64">
        <f t="shared" si="165"/>
        <v>45</v>
      </c>
      <c r="U716" s="66">
        <f t="shared" si="166"/>
        <v>822.1915305</v>
      </c>
      <c r="V716" s="68">
        <f t="shared" si="167"/>
        <v>68.515960875000005</v>
      </c>
      <c r="W716" s="68">
        <f t="shared" si="168"/>
        <v>505.03165264127773</v>
      </c>
      <c r="X716" s="68">
        <f t="shared" si="169"/>
        <v>336.68776842751851</v>
      </c>
      <c r="Z716" s="63"/>
      <c r="AA716" s="63"/>
    </row>
    <row r="717" spans="1:27" hidden="1" x14ac:dyDescent="0.25">
      <c r="A717" t="str">
        <f t="shared" si="170"/>
        <v>10620049C23/05/2026E</v>
      </c>
      <c r="B717" s="169" t="s">
        <v>822</v>
      </c>
      <c r="C717" s="61" t="s">
        <v>397</v>
      </c>
      <c r="D717" s="61" t="s">
        <v>591</v>
      </c>
      <c r="E717" s="61" t="s">
        <v>593</v>
      </c>
      <c r="F717" s="1" t="s">
        <v>365</v>
      </c>
      <c r="G717" s="62" t="str">
        <f t="shared" si="171"/>
        <v>64517</v>
      </c>
      <c r="H717" s="1">
        <v>10620049</v>
      </c>
      <c r="I717" s="1" t="s">
        <v>388</v>
      </c>
      <c r="J717" s="61">
        <v>22</v>
      </c>
      <c r="K717" s="61">
        <v>3</v>
      </c>
      <c r="L717" s="61">
        <v>8</v>
      </c>
      <c r="M717" s="69">
        <f t="shared" si="159"/>
        <v>0.66</v>
      </c>
      <c r="N717" s="69">
        <f t="shared" si="160"/>
        <v>1.76</v>
      </c>
      <c r="O717" s="56">
        <v>33.001056000000005</v>
      </c>
      <c r="P717" s="57">
        <f t="shared" si="161"/>
        <v>726.02323200000012</v>
      </c>
      <c r="Q717" s="58">
        <f t="shared" si="162"/>
        <v>396.01267200000001</v>
      </c>
      <c r="R717" s="58">
        <f t="shared" si="163"/>
        <v>264.00844799999999</v>
      </c>
      <c r="S717" s="66">
        <f t="shared" si="164"/>
        <v>12.705406560000004</v>
      </c>
      <c r="T717" s="64">
        <f t="shared" si="165"/>
        <v>82.5</v>
      </c>
      <c r="U717" s="66">
        <f t="shared" si="166"/>
        <v>821.22863856000015</v>
      </c>
      <c r="V717" s="68">
        <f t="shared" si="167"/>
        <v>37.328574480000007</v>
      </c>
      <c r="W717" s="68">
        <f t="shared" si="168"/>
        <v>447.94289376000006</v>
      </c>
      <c r="X717" s="68">
        <f t="shared" si="169"/>
        <v>298.62859584000006</v>
      </c>
      <c r="Z717" s="63"/>
      <c r="AA717" s="63"/>
    </row>
    <row r="718" spans="1:27" hidden="1" x14ac:dyDescent="0.25">
      <c r="A718" t="str">
        <f t="shared" si="170"/>
        <v>10620049B23/05/2026M</v>
      </c>
      <c r="B718" s="169" t="s">
        <v>823</v>
      </c>
      <c r="C718" s="61" t="s">
        <v>396</v>
      </c>
      <c r="D718" s="61" t="s">
        <v>591</v>
      </c>
      <c r="E718" s="61" t="s">
        <v>593</v>
      </c>
      <c r="F718" s="1" t="s">
        <v>365</v>
      </c>
      <c r="G718" s="62" t="str">
        <f t="shared" si="171"/>
        <v>64517</v>
      </c>
      <c r="H718" s="1">
        <v>10620049</v>
      </c>
      <c r="I718" s="1" t="s">
        <v>387</v>
      </c>
      <c r="J718" s="61">
        <v>16</v>
      </c>
      <c r="K718" s="61">
        <v>7.2</v>
      </c>
      <c r="L718" s="61">
        <v>8.6</v>
      </c>
      <c r="M718" s="69">
        <f t="shared" si="159"/>
        <v>1.1520000000000001</v>
      </c>
      <c r="N718" s="69">
        <f t="shared" si="160"/>
        <v>1.3759999999999999</v>
      </c>
      <c r="O718" s="56">
        <v>58.9176</v>
      </c>
      <c r="P718" s="57">
        <f t="shared" si="161"/>
        <v>942.6816</v>
      </c>
      <c r="Q718" s="58">
        <f t="shared" si="162"/>
        <v>455.54845360824743</v>
      </c>
      <c r="R718" s="58">
        <f t="shared" si="163"/>
        <v>303.69896907216497</v>
      </c>
      <c r="S718" s="66">
        <f t="shared" si="164"/>
        <v>16.496928</v>
      </c>
      <c r="T718" s="64">
        <f t="shared" si="165"/>
        <v>60</v>
      </c>
      <c r="U718" s="66">
        <f t="shared" si="166"/>
        <v>1019.178528</v>
      </c>
      <c r="V718" s="68">
        <f t="shared" si="167"/>
        <v>63.698658000000002</v>
      </c>
      <c r="W718" s="68">
        <f t="shared" si="168"/>
        <v>492.51539690721654</v>
      </c>
      <c r="X718" s="68">
        <f t="shared" si="169"/>
        <v>328.34359793814434</v>
      </c>
      <c r="Z718" s="63"/>
      <c r="AA718" s="63"/>
    </row>
    <row r="719" spans="1:27" hidden="1" x14ac:dyDescent="0.25">
      <c r="A719" t="str">
        <f t="shared" si="170"/>
        <v>10620049C23/05/2026M</v>
      </c>
      <c r="B719" s="169" t="s">
        <v>823</v>
      </c>
      <c r="C719" s="61" t="s">
        <v>396</v>
      </c>
      <c r="D719" s="61" t="s">
        <v>591</v>
      </c>
      <c r="E719" s="61" t="s">
        <v>593</v>
      </c>
      <c r="F719" s="1" t="s">
        <v>365</v>
      </c>
      <c r="G719" s="62" t="str">
        <f t="shared" si="171"/>
        <v>64517</v>
      </c>
      <c r="H719" s="1">
        <v>10620049</v>
      </c>
      <c r="I719" s="1" t="s">
        <v>388</v>
      </c>
      <c r="J719" s="61">
        <v>30</v>
      </c>
      <c r="K719" s="61">
        <v>3.5</v>
      </c>
      <c r="L719" s="61">
        <v>8</v>
      </c>
      <c r="M719" s="69">
        <f t="shared" si="159"/>
        <v>1.05</v>
      </c>
      <c r="N719" s="69">
        <f t="shared" si="160"/>
        <v>2.4</v>
      </c>
      <c r="O719" s="56">
        <v>34.981056000000002</v>
      </c>
      <c r="P719" s="57">
        <f t="shared" si="161"/>
        <v>1049.4316800000001</v>
      </c>
      <c r="Q719" s="58">
        <f t="shared" si="162"/>
        <v>396.01195471698111</v>
      </c>
      <c r="R719" s="58">
        <f t="shared" si="163"/>
        <v>264.00796981132072</v>
      </c>
      <c r="S719" s="66">
        <f t="shared" si="164"/>
        <v>18.365054400000005</v>
      </c>
      <c r="T719" s="64">
        <f t="shared" si="165"/>
        <v>112.5</v>
      </c>
      <c r="U719" s="66">
        <f t="shared" si="166"/>
        <v>1180.2967344000001</v>
      </c>
      <c r="V719" s="68">
        <f t="shared" si="167"/>
        <v>39.343224480000003</v>
      </c>
      <c r="W719" s="68">
        <f t="shared" si="168"/>
        <v>445.39499411320753</v>
      </c>
      <c r="X719" s="68">
        <f t="shared" si="169"/>
        <v>296.92999607547171</v>
      </c>
      <c r="Z719" s="63"/>
      <c r="AA719" s="63"/>
    </row>
    <row r="720" spans="1:27" hidden="1" x14ac:dyDescent="0.25">
      <c r="A720" t="str">
        <f t="shared" si="170"/>
        <v>10620049B23/05/2026E</v>
      </c>
      <c r="B720" s="169" t="s">
        <v>823</v>
      </c>
      <c r="C720" s="61" t="s">
        <v>397</v>
      </c>
      <c r="D720" s="61" t="s">
        <v>591</v>
      </c>
      <c r="E720" s="61" t="s">
        <v>593</v>
      </c>
      <c r="F720" s="1" t="s">
        <v>365</v>
      </c>
      <c r="G720" s="62" t="str">
        <f t="shared" si="171"/>
        <v>64517</v>
      </c>
      <c r="H720" s="1">
        <v>10620049</v>
      </c>
      <c r="I720" s="1" t="s">
        <v>387</v>
      </c>
      <c r="J720" s="61">
        <v>8</v>
      </c>
      <c r="K720" s="61">
        <v>6.1</v>
      </c>
      <c r="L720" s="61">
        <v>8.8000000000000007</v>
      </c>
      <c r="M720" s="69">
        <f t="shared" si="159"/>
        <v>0.48799999999999999</v>
      </c>
      <c r="N720" s="69">
        <f t="shared" si="160"/>
        <v>0.70400000000000007</v>
      </c>
      <c r="O720" s="56">
        <v>50.425650000000005</v>
      </c>
      <c r="P720" s="57">
        <f t="shared" si="161"/>
        <v>403.40520000000004</v>
      </c>
      <c r="Q720" s="58">
        <f t="shared" si="162"/>
        <v>421.38426183844012</v>
      </c>
      <c r="R720" s="58">
        <f t="shared" si="163"/>
        <v>280.92284122562677</v>
      </c>
      <c r="S720" s="66">
        <f t="shared" si="164"/>
        <v>7.0595910000000011</v>
      </c>
      <c r="T720" s="64">
        <f t="shared" si="165"/>
        <v>30</v>
      </c>
      <c r="U720" s="66">
        <f t="shared" si="166"/>
        <v>440.46479100000005</v>
      </c>
      <c r="V720" s="68">
        <f t="shared" si="167"/>
        <v>55.058098875000006</v>
      </c>
      <c r="W720" s="68">
        <f t="shared" si="168"/>
        <v>460.09553377437328</v>
      </c>
      <c r="X720" s="68">
        <f t="shared" si="169"/>
        <v>306.73035584958217</v>
      </c>
      <c r="Z720" s="63"/>
      <c r="AA720" s="63"/>
    </row>
    <row r="721" spans="1:27" hidden="1" x14ac:dyDescent="0.25">
      <c r="A721" t="str">
        <f t="shared" si="170"/>
        <v>10620049C24/05/2026E</v>
      </c>
      <c r="B721" s="169" t="s">
        <v>823</v>
      </c>
      <c r="C721" s="61" t="s">
        <v>397</v>
      </c>
      <c r="D721" s="61" t="s">
        <v>591</v>
      </c>
      <c r="E721" s="61" t="s">
        <v>593</v>
      </c>
      <c r="F721" s="1" t="s">
        <v>365</v>
      </c>
      <c r="G721" s="62" t="str">
        <f t="shared" si="171"/>
        <v>64517</v>
      </c>
      <c r="H721" s="1">
        <v>10620049</v>
      </c>
      <c r="I721" s="1" t="s">
        <v>388</v>
      </c>
      <c r="J721" s="61">
        <v>20</v>
      </c>
      <c r="K721" s="61">
        <v>3</v>
      </c>
      <c r="L721" s="61">
        <v>8</v>
      </c>
      <c r="M721" s="69">
        <f t="shared" si="159"/>
        <v>0.6</v>
      </c>
      <c r="N721" s="69">
        <f t="shared" si="160"/>
        <v>1.6</v>
      </c>
      <c r="O721" s="56">
        <v>33.001056000000005</v>
      </c>
      <c r="P721" s="57">
        <f t="shared" si="161"/>
        <v>660.02112000000011</v>
      </c>
      <c r="Q721" s="58">
        <f t="shared" si="162"/>
        <v>396.01267200000001</v>
      </c>
      <c r="R721" s="58">
        <f t="shared" si="163"/>
        <v>264.00844799999999</v>
      </c>
      <c r="S721" s="66">
        <f t="shared" si="164"/>
        <v>11.550369600000003</v>
      </c>
      <c r="T721" s="64">
        <f t="shared" si="165"/>
        <v>75</v>
      </c>
      <c r="U721" s="66">
        <f t="shared" si="166"/>
        <v>746.57148960000018</v>
      </c>
      <c r="V721" s="68">
        <f t="shared" si="167"/>
        <v>37.328574480000007</v>
      </c>
      <c r="W721" s="68">
        <f t="shared" si="168"/>
        <v>447.94289376000006</v>
      </c>
      <c r="X721" s="68">
        <f t="shared" si="169"/>
        <v>298.62859584000006</v>
      </c>
      <c r="Z721" s="63"/>
      <c r="AA721" s="63"/>
    </row>
    <row r="722" spans="1:27" hidden="1" x14ac:dyDescent="0.25">
      <c r="A722" t="str">
        <f t="shared" si="170"/>
        <v>10620049B24/05/2026M</v>
      </c>
      <c r="B722" s="169" t="s">
        <v>824</v>
      </c>
      <c r="C722" s="61" t="s">
        <v>396</v>
      </c>
      <c r="D722" s="61" t="s">
        <v>591</v>
      </c>
      <c r="E722" s="61" t="s">
        <v>593</v>
      </c>
      <c r="F722" s="1" t="s">
        <v>365</v>
      </c>
      <c r="G722" s="62" t="str">
        <f t="shared" si="171"/>
        <v>64517</v>
      </c>
      <c r="H722" s="1">
        <v>10620049</v>
      </c>
      <c r="I722" s="1" t="s">
        <v>387</v>
      </c>
      <c r="J722" s="61">
        <v>15</v>
      </c>
      <c r="K722" s="61">
        <v>7.4</v>
      </c>
      <c r="L722" s="61">
        <v>8.8000000000000007</v>
      </c>
      <c r="M722" s="69">
        <f t="shared" si="159"/>
        <v>1.1100000000000001</v>
      </c>
      <c r="N722" s="69">
        <f t="shared" si="160"/>
        <v>1.32</v>
      </c>
      <c r="O722" s="56">
        <v>61.172100000000007</v>
      </c>
      <c r="P722" s="57">
        <f t="shared" si="161"/>
        <v>917.58150000000012</v>
      </c>
      <c r="Q722" s="58">
        <f t="shared" si="162"/>
        <v>461.09623115577887</v>
      </c>
      <c r="R722" s="58">
        <f t="shared" si="163"/>
        <v>307.39748743718593</v>
      </c>
      <c r="S722" s="66">
        <f t="shared" si="164"/>
        <v>16.057676250000004</v>
      </c>
      <c r="T722" s="64">
        <f t="shared" si="165"/>
        <v>56.25</v>
      </c>
      <c r="U722" s="66">
        <f t="shared" si="166"/>
        <v>989.88917625000011</v>
      </c>
      <c r="V722" s="68">
        <f t="shared" si="167"/>
        <v>65.992611750000009</v>
      </c>
      <c r="W722" s="68">
        <f t="shared" si="168"/>
        <v>497.43174685929648</v>
      </c>
      <c r="X722" s="68">
        <f t="shared" si="169"/>
        <v>331.6211645728643</v>
      </c>
      <c r="Z722" s="63"/>
      <c r="AA722" s="63"/>
    </row>
    <row r="723" spans="1:27" hidden="1" x14ac:dyDescent="0.25">
      <c r="A723" t="str">
        <f t="shared" si="170"/>
        <v>10620049C24/05/2026M</v>
      </c>
      <c r="B723" s="169" t="s">
        <v>824</v>
      </c>
      <c r="C723" s="61" t="s">
        <v>396</v>
      </c>
      <c r="D723" s="61" t="s">
        <v>591</v>
      </c>
      <c r="E723" s="61" t="s">
        <v>593</v>
      </c>
      <c r="F723" s="1" t="s">
        <v>365</v>
      </c>
      <c r="G723" s="62" t="str">
        <f t="shared" si="171"/>
        <v>64517</v>
      </c>
      <c r="H723" s="1">
        <v>10620049</v>
      </c>
      <c r="I723" s="1" t="s">
        <v>388</v>
      </c>
      <c r="J723" s="61">
        <v>25</v>
      </c>
      <c r="K723" s="61">
        <v>3.7</v>
      </c>
      <c r="L723" s="61">
        <v>8.1</v>
      </c>
      <c r="M723" s="69">
        <f t="shared" si="159"/>
        <v>0.92500000000000004</v>
      </c>
      <c r="N723" s="69">
        <f t="shared" si="160"/>
        <v>2.0249999999999999</v>
      </c>
      <c r="O723" s="56">
        <v>36.037069200000005</v>
      </c>
      <c r="P723" s="57">
        <f t="shared" si="161"/>
        <v>900.92673000000013</v>
      </c>
      <c r="Q723" s="58">
        <f t="shared" si="162"/>
        <v>396.01174945054953</v>
      </c>
      <c r="R723" s="58">
        <f t="shared" si="163"/>
        <v>264.00783296703304</v>
      </c>
      <c r="S723" s="66">
        <f t="shared" si="164"/>
        <v>15.766217775000003</v>
      </c>
      <c r="T723" s="64">
        <f t="shared" si="165"/>
        <v>93.75</v>
      </c>
      <c r="U723" s="66">
        <f t="shared" si="166"/>
        <v>1010.4429477750001</v>
      </c>
      <c r="V723" s="68">
        <f t="shared" si="167"/>
        <v>40.417717911000004</v>
      </c>
      <c r="W723" s="68">
        <f t="shared" si="168"/>
        <v>444.15074627472535</v>
      </c>
      <c r="X723" s="68">
        <f t="shared" si="169"/>
        <v>296.10049751648359</v>
      </c>
      <c r="Z723" s="63"/>
      <c r="AA723" s="63"/>
    </row>
    <row r="724" spans="1:27" hidden="1" x14ac:dyDescent="0.25">
      <c r="A724" t="str">
        <f t="shared" si="170"/>
        <v>10620049B24/05/2026E</v>
      </c>
      <c r="B724" s="169" t="s">
        <v>824</v>
      </c>
      <c r="C724" s="61" t="s">
        <v>397</v>
      </c>
      <c r="D724" s="61" t="s">
        <v>591</v>
      </c>
      <c r="E724" s="61" t="s">
        <v>593</v>
      </c>
      <c r="F724" s="1" t="s">
        <v>365</v>
      </c>
      <c r="G724" s="62" t="str">
        <f t="shared" si="171"/>
        <v>64517</v>
      </c>
      <c r="H724" s="1">
        <v>10620049</v>
      </c>
      <c r="I724" s="1" t="s">
        <v>387</v>
      </c>
      <c r="J724" s="61">
        <v>12</v>
      </c>
      <c r="K724" s="61">
        <v>6.7</v>
      </c>
      <c r="L724" s="61">
        <v>8.8000000000000007</v>
      </c>
      <c r="M724" s="69">
        <f t="shared" si="159"/>
        <v>0.80400000000000005</v>
      </c>
      <c r="N724" s="69">
        <f t="shared" si="160"/>
        <v>1.056</v>
      </c>
      <c r="O724" s="56">
        <v>55.385550000000002</v>
      </c>
      <c r="P724" s="57">
        <f t="shared" si="161"/>
        <v>664.62660000000005</v>
      </c>
      <c r="Q724" s="58">
        <f t="shared" si="162"/>
        <v>440.73381962864721</v>
      </c>
      <c r="R724" s="58">
        <f t="shared" si="163"/>
        <v>293.82254641909816</v>
      </c>
      <c r="S724" s="66">
        <f t="shared" si="164"/>
        <v>11.630965500000002</v>
      </c>
      <c r="T724" s="64">
        <f t="shared" si="165"/>
        <v>45</v>
      </c>
      <c r="U724" s="66">
        <f t="shared" si="166"/>
        <v>721.25756550000006</v>
      </c>
      <c r="V724" s="68">
        <f t="shared" si="167"/>
        <v>60.104797125000005</v>
      </c>
      <c r="W724" s="68">
        <f t="shared" si="168"/>
        <v>478.28751027851456</v>
      </c>
      <c r="X724" s="68">
        <f t="shared" si="169"/>
        <v>318.85834018567635</v>
      </c>
      <c r="Z724" s="63"/>
      <c r="AA724" s="63"/>
    </row>
    <row r="725" spans="1:27" hidden="1" x14ac:dyDescent="0.25">
      <c r="A725" t="str">
        <f t="shared" si="170"/>
        <v>10620049C25/05/2026E</v>
      </c>
      <c r="B725" s="169" t="s">
        <v>824</v>
      </c>
      <c r="C725" s="61" t="s">
        <v>397</v>
      </c>
      <c r="D725" s="61" t="s">
        <v>591</v>
      </c>
      <c r="E725" s="61" t="s">
        <v>593</v>
      </c>
      <c r="F725" s="1" t="s">
        <v>365</v>
      </c>
      <c r="G725" s="62" t="str">
        <f t="shared" si="171"/>
        <v>64517</v>
      </c>
      <c r="H725" s="1">
        <v>10620049</v>
      </c>
      <c r="I725" s="1" t="s">
        <v>388</v>
      </c>
      <c r="J725" s="61">
        <v>25</v>
      </c>
      <c r="K725" s="61">
        <v>3</v>
      </c>
      <c r="L725" s="61">
        <v>8</v>
      </c>
      <c r="M725" s="69">
        <f t="shared" si="159"/>
        <v>0.75</v>
      </c>
      <c r="N725" s="69">
        <f t="shared" si="160"/>
        <v>2</v>
      </c>
      <c r="O725" s="56">
        <v>33.001056000000005</v>
      </c>
      <c r="P725" s="57">
        <f t="shared" si="161"/>
        <v>825.02640000000019</v>
      </c>
      <c r="Q725" s="58">
        <f t="shared" si="162"/>
        <v>396.01267200000001</v>
      </c>
      <c r="R725" s="58">
        <f t="shared" si="163"/>
        <v>264.00844799999999</v>
      </c>
      <c r="S725" s="66">
        <f t="shared" si="164"/>
        <v>14.437962000000004</v>
      </c>
      <c r="T725" s="64">
        <f t="shared" si="165"/>
        <v>93.75</v>
      </c>
      <c r="U725" s="66">
        <f t="shared" si="166"/>
        <v>933.21436200000016</v>
      </c>
      <c r="V725" s="68">
        <f t="shared" si="167"/>
        <v>37.328574480000007</v>
      </c>
      <c r="W725" s="68">
        <f t="shared" si="168"/>
        <v>447.94289376000006</v>
      </c>
      <c r="X725" s="68">
        <f t="shared" si="169"/>
        <v>298.62859584000006</v>
      </c>
      <c r="Z725" s="63"/>
      <c r="AA725" s="63"/>
    </row>
    <row r="726" spans="1:27" hidden="1" x14ac:dyDescent="0.25">
      <c r="A726" t="str">
        <f t="shared" si="170"/>
        <v>10620049B25/05/2026M</v>
      </c>
      <c r="B726" s="169" t="s">
        <v>825</v>
      </c>
      <c r="C726" s="61" t="s">
        <v>396</v>
      </c>
      <c r="D726" s="61" t="s">
        <v>591</v>
      </c>
      <c r="E726" s="61" t="s">
        <v>593</v>
      </c>
      <c r="F726" s="1" t="s">
        <v>365</v>
      </c>
      <c r="G726" s="62" t="str">
        <f t="shared" si="171"/>
        <v>64517</v>
      </c>
      <c r="H726" s="1">
        <v>10620049</v>
      </c>
      <c r="I726" s="1" t="s">
        <v>387</v>
      </c>
      <c r="J726" s="61">
        <v>14</v>
      </c>
      <c r="K726" s="61">
        <v>7.6</v>
      </c>
      <c r="L726" s="61">
        <v>8.8000000000000007</v>
      </c>
      <c r="M726" s="69">
        <f t="shared" si="159"/>
        <v>1.0639999999999998</v>
      </c>
      <c r="N726" s="69">
        <f t="shared" si="160"/>
        <v>1.2320000000000002</v>
      </c>
      <c r="O726" s="56">
        <v>62.825400000000002</v>
      </c>
      <c r="P726" s="57">
        <f t="shared" si="161"/>
        <v>879.55560000000003</v>
      </c>
      <c r="Q726" s="58">
        <f t="shared" si="162"/>
        <v>466.5252475247525</v>
      </c>
      <c r="R726" s="58">
        <f t="shared" si="163"/>
        <v>311.01683168316833</v>
      </c>
      <c r="S726" s="66">
        <f t="shared" si="164"/>
        <v>15.392223000000001</v>
      </c>
      <c r="T726" s="64">
        <f t="shared" si="165"/>
        <v>52.5</v>
      </c>
      <c r="U726" s="66">
        <f t="shared" si="166"/>
        <v>947.44782299999997</v>
      </c>
      <c r="V726" s="68">
        <f t="shared" si="167"/>
        <v>67.674844499999992</v>
      </c>
      <c r="W726" s="68">
        <f t="shared" si="168"/>
        <v>502.53597400990094</v>
      </c>
      <c r="X726" s="68">
        <f t="shared" si="169"/>
        <v>335.02398267326731</v>
      </c>
      <c r="Z726" s="63"/>
      <c r="AA726" s="63"/>
    </row>
    <row r="727" spans="1:27" hidden="1" x14ac:dyDescent="0.25">
      <c r="A727" t="str">
        <f t="shared" si="170"/>
        <v>10620049C25/05/2026M</v>
      </c>
      <c r="B727" s="169" t="s">
        <v>825</v>
      </c>
      <c r="C727" s="61" t="s">
        <v>396</v>
      </c>
      <c r="D727" s="61" t="s">
        <v>591</v>
      </c>
      <c r="E727" s="61" t="s">
        <v>593</v>
      </c>
      <c r="F727" s="1" t="s">
        <v>365</v>
      </c>
      <c r="G727" s="62" t="str">
        <f t="shared" si="171"/>
        <v>64517</v>
      </c>
      <c r="H727" s="1">
        <v>10620049</v>
      </c>
      <c r="I727" s="1" t="s">
        <v>388</v>
      </c>
      <c r="J727" s="61">
        <v>26</v>
      </c>
      <c r="K727" s="61">
        <v>3.7</v>
      </c>
      <c r="L727" s="61">
        <v>8</v>
      </c>
      <c r="M727" s="69">
        <f t="shared" si="159"/>
        <v>0.96200000000000008</v>
      </c>
      <c r="N727" s="69">
        <f t="shared" si="160"/>
        <v>2.08</v>
      </c>
      <c r="O727" s="56">
        <v>35.773056000000004</v>
      </c>
      <c r="P727" s="57">
        <f t="shared" si="161"/>
        <v>930.09945600000015</v>
      </c>
      <c r="Q727" s="58">
        <f t="shared" si="162"/>
        <v>396.01169003690035</v>
      </c>
      <c r="R727" s="58">
        <f t="shared" si="163"/>
        <v>264.00779335793356</v>
      </c>
      <c r="S727" s="66">
        <f t="shared" si="164"/>
        <v>16.276740480000004</v>
      </c>
      <c r="T727" s="64">
        <f t="shared" si="165"/>
        <v>97.5</v>
      </c>
      <c r="U727" s="66">
        <f t="shared" si="166"/>
        <v>1043.8761964800001</v>
      </c>
      <c r="V727" s="68">
        <f t="shared" si="167"/>
        <v>40.149084480000006</v>
      </c>
      <c r="W727" s="68">
        <f t="shared" si="168"/>
        <v>444.45480974169743</v>
      </c>
      <c r="X727" s="68">
        <f t="shared" si="169"/>
        <v>296.30320649446497</v>
      </c>
      <c r="Z727" s="63"/>
      <c r="AA727" s="63"/>
    </row>
    <row r="728" spans="1:27" hidden="1" x14ac:dyDescent="0.25">
      <c r="A728" t="str">
        <f t="shared" si="170"/>
        <v>10620049B25/05/2026E</v>
      </c>
      <c r="B728" s="169" t="s">
        <v>825</v>
      </c>
      <c r="C728" s="61" t="s">
        <v>397</v>
      </c>
      <c r="D728" s="61" t="s">
        <v>591</v>
      </c>
      <c r="E728" s="61" t="s">
        <v>593</v>
      </c>
      <c r="F728" s="1" t="s">
        <v>365</v>
      </c>
      <c r="G728" s="62" t="str">
        <f t="shared" si="171"/>
        <v>64517</v>
      </c>
      <c r="H728" s="1">
        <v>10620049</v>
      </c>
      <c r="I728" s="1" t="s">
        <v>387</v>
      </c>
      <c r="J728" s="61">
        <v>6</v>
      </c>
      <c r="K728" s="61">
        <v>7.7</v>
      </c>
      <c r="L728" s="61">
        <v>8.8000000000000007</v>
      </c>
      <c r="M728" s="69">
        <f t="shared" si="159"/>
        <v>0.46200000000000002</v>
      </c>
      <c r="N728" s="69">
        <f t="shared" si="160"/>
        <v>0.52800000000000002</v>
      </c>
      <c r="O728" s="56">
        <v>63.652050000000003</v>
      </c>
      <c r="P728" s="57">
        <f t="shared" si="161"/>
        <v>381.91230000000002</v>
      </c>
      <c r="Q728" s="58">
        <f t="shared" si="162"/>
        <v>469.17972972972979</v>
      </c>
      <c r="R728" s="58">
        <f t="shared" si="163"/>
        <v>312.78648648648652</v>
      </c>
      <c r="S728" s="66">
        <f t="shared" si="164"/>
        <v>6.6834652500000011</v>
      </c>
      <c r="T728" s="64">
        <f t="shared" si="165"/>
        <v>22.5</v>
      </c>
      <c r="U728" s="66">
        <f t="shared" si="166"/>
        <v>411.09576525</v>
      </c>
      <c r="V728" s="68">
        <f t="shared" si="167"/>
        <v>68.515960875000005</v>
      </c>
      <c r="W728" s="68">
        <f t="shared" si="168"/>
        <v>505.03165264127773</v>
      </c>
      <c r="X728" s="68">
        <f t="shared" si="169"/>
        <v>336.68776842751851</v>
      </c>
      <c r="Z728" s="63"/>
      <c r="AA728" s="63"/>
    </row>
    <row r="729" spans="1:27" hidden="1" x14ac:dyDescent="0.25">
      <c r="A729" t="str">
        <f t="shared" si="170"/>
        <v>10620049C26/05/2026E</v>
      </c>
      <c r="B729" s="169" t="s">
        <v>825</v>
      </c>
      <c r="C729" s="61" t="s">
        <v>397</v>
      </c>
      <c r="D729" s="61" t="s">
        <v>591</v>
      </c>
      <c r="E729" s="61" t="s">
        <v>593</v>
      </c>
      <c r="F729" s="1" t="s">
        <v>365</v>
      </c>
      <c r="G729" s="62" t="str">
        <f t="shared" si="171"/>
        <v>64517</v>
      </c>
      <c r="H729" s="1">
        <v>10620049</v>
      </c>
      <c r="I729" s="1" t="s">
        <v>388</v>
      </c>
      <c r="J729" s="61">
        <v>23</v>
      </c>
      <c r="K729" s="61">
        <v>3.5</v>
      </c>
      <c r="L729" s="61">
        <v>8.1999999999999993</v>
      </c>
      <c r="M729" s="69">
        <f t="shared" si="159"/>
        <v>0.80500000000000005</v>
      </c>
      <c r="N729" s="69">
        <f t="shared" si="160"/>
        <v>1.8859999999999999</v>
      </c>
      <c r="O729" s="56">
        <v>35.509082400000004</v>
      </c>
      <c r="P729" s="57">
        <f t="shared" si="161"/>
        <v>816.70889520000014</v>
      </c>
      <c r="Q729" s="58">
        <f t="shared" si="162"/>
        <v>396.0120713754647</v>
      </c>
      <c r="R729" s="58">
        <f t="shared" si="163"/>
        <v>264.00804758364313</v>
      </c>
      <c r="S729" s="66">
        <f t="shared" si="164"/>
        <v>14.292405666000004</v>
      </c>
      <c r="T729" s="64">
        <f t="shared" si="165"/>
        <v>86.25</v>
      </c>
      <c r="U729" s="66">
        <f t="shared" si="166"/>
        <v>917.25130086600018</v>
      </c>
      <c r="V729" s="68">
        <f t="shared" si="167"/>
        <v>39.880491342000006</v>
      </c>
      <c r="W729" s="68">
        <f t="shared" si="168"/>
        <v>444.76384396282532</v>
      </c>
      <c r="X729" s="68">
        <f t="shared" si="169"/>
        <v>296.50922930855023</v>
      </c>
      <c r="Z729" s="63"/>
      <c r="AA729" s="63"/>
    </row>
    <row r="730" spans="1:27" hidden="1" x14ac:dyDescent="0.25">
      <c r="A730" t="str">
        <f t="shared" si="170"/>
        <v>10620049B26/05/2026M</v>
      </c>
      <c r="B730" s="169" t="s">
        <v>826</v>
      </c>
      <c r="C730" s="61" t="s">
        <v>396</v>
      </c>
      <c r="D730" s="61" t="s">
        <v>591</v>
      </c>
      <c r="E730" s="61" t="s">
        <v>593</v>
      </c>
      <c r="F730" s="1" t="s">
        <v>365</v>
      </c>
      <c r="G730" s="62" t="str">
        <f t="shared" si="171"/>
        <v>64517</v>
      </c>
      <c r="H730" s="1">
        <v>10620049</v>
      </c>
      <c r="I730" s="1" t="s">
        <v>387</v>
      </c>
      <c r="J730" s="61">
        <v>14</v>
      </c>
      <c r="K730" s="61">
        <v>6.8</v>
      </c>
      <c r="L730" s="61">
        <v>8.8000000000000007</v>
      </c>
      <c r="M730" s="69">
        <f t="shared" si="159"/>
        <v>0.95200000000000007</v>
      </c>
      <c r="N730" s="69">
        <f t="shared" si="160"/>
        <v>1.2320000000000002</v>
      </c>
      <c r="O730" s="56">
        <f>INDEX(Rate_Chart!$A$1:$AK$127,MATCH(Data!K730,Rate_Chart!$A$1:$A$127,0),MATCH(Data!L730,Rate_Chart!$A$1:$AK$1,0))</f>
        <v>56.212200000000003</v>
      </c>
      <c r="P730" s="57">
        <f t="shared" si="161"/>
        <v>786.97080000000005</v>
      </c>
      <c r="Q730" s="58">
        <f t="shared" si="162"/>
        <v>443.78052631578947</v>
      </c>
      <c r="R730" s="58">
        <f t="shared" si="163"/>
        <v>295.8536842105263</v>
      </c>
      <c r="S730" s="66">
        <f t="shared" si="164"/>
        <v>13.771989000000001</v>
      </c>
      <c r="T730" s="64">
        <f t="shared" si="165"/>
        <v>52.5</v>
      </c>
      <c r="U730" s="66">
        <f t="shared" si="166"/>
        <v>853.24278900000002</v>
      </c>
      <c r="V730" s="68">
        <f t="shared" si="167"/>
        <v>60.945913500000003</v>
      </c>
      <c r="W730" s="68">
        <f t="shared" si="168"/>
        <v>481.15194868421054</v>
      </c>
      <c r="X730" s="68">
        <f t="shared" si="169"/>
        <v>320.76796578947369</v>
      </c>
      <c r="Z730" s="63"/>
      <c r="AA730" s="63"/>
    </row>
    <row r="731" spans="1:27" hidden="1" x14ac:dyDescent="0.25">
      <c r="A731" t="str">
        <f t="shared" si="170"/>
        <v>10620049C26/05/2026M</v>
      </c>
      <c r="B731" s="169" t="s">
        <v>826</v>
      </c>
      <c r="C731" s="61" t="s">
        <v>396</v>
      </c>
      <c r="D731" s="61" t="s">
        <v>591</v>
      </c>
      <c r="E731" s="61" t="s">
        <v>593</v>
      </c>
      <c r="F731" s="1" t="s">
        <v>365</v>
      </c>
      <c r="G731" s="62" t="str">
        <f t="shared" si="171"/>
        <v>64517</v>
      </c>
      <c r="H731" s="1">
        <v>10620049</v>
      </c>
      <c r="I731" s="1" t="s">
        <v>388</v>
      </c>
      <c r="J731" s="61">
        <v>27</v>
      </c>
      <c r="K731" s="61">
        <v>3.6</v>
      </c>
      <c r="L731" s="61">
        <v>8.1999999999999993</v>
      </c>
      <c r="M731" s="69">
        <f t="shared" si="159"/>
        <v>0.97199999999999998</v>
      </c>
      <c r="N731" s="69">
        <f t="shared" si="160"/>
        <v>2.214</v>
      </c>
      <c r="O731" s="56">
        <f>INDEX(Rate_Chart!$A$1:$AK$127,MATCH(Data!K731,Rate_Chart!$A$1:$A$127,0),MATCH(Data!L731,Rate_Chart!$A$1:$AK$1,0))</f>
        <v>37.809139800000004</v>
      </c>
      <c r="P731" s="57">
        <f t="shared" si="161"/>
        <v>1020.8467746000001</v>
      </c>
      <c r="Q731" s="58">
        <f t="shared" si="162"/>
        <v>417.01257132352941</v>
      </c>
      <c r="R731" s="58">
        <f t="shared" si="163"/>
        <v>278.00838088235292</v>
      </c>
      <c r="S731" s="66">
        <f t="shared" si="164"/>
        <v>17.864818555500005</v>
      </c>
      <c r="T731" s="64">
        <f t="shared" si="165"/>
        <v>101.25</v>
      </c>
      <c r="U731" s="66">
        <f t="shared" si="166"/>
        <v>1139.9615931555002</v>
      </c>
      <c r="V731" s="68">
        <f t="shared" si="167"/>
        <v>42.220799746500006</v>
      </c>
      <c r="W731" s="68">
        <f t="shared" si="168"/>
        <v>465.67058543933825</v>
      </c>
      <c r="X731" s="68">
        <f t="shared" si="169"/>
        <v>310.44705695955884</v>
      </c>
      <c r="Z731" s="63"/>
      <c r="AA731" s="63"/>
    </row>
    <row r="732" spans="1:27" hidden="1" x14ac:dyDescent="0.25">
      <c r="A732" t="str">
        <f t="shared" si="170"/>
        <v>10620049B26/05/2026E</v>
      </c>
      <c r="B732" s="169" t="s">
        <v>826</v>
      </c>
      <c r="C732" s="61" t="s">
        <v>397</v>
      </c>
      <c r="D732" s="61" t="s">
        <v>591</v>
      </c>
      <c r="E732" s="61" t="s">
        <v>593</v>
      </c>
      <c r="F732" s="1" t="s">
        <v>365</v>
      </c>
      <c r="G732" s="62" t="str">
        <f t="shared" si="171"/>
        <v>64517</v>
      </c>
      <c r="H732" s="1">
        <v>10620049</v>
      </c>
      <c r="I732" s="1" t="s">
        <v>387</v>
      </c>
      <c r="J732" s="61">
        <v>8</v>
      </c>
      <c r="K732" s="61">
        <v>6</v>
      </c>
      <c r="L732" s="61">
        <v>9</v>
      </c>
      <c r="M732" s="69">
        <f t="shared" si="159"/>
        <v>0.48</v>
      </c>
      <c r="N732" s="69">
        <f t="shared" si="160"/>
        <v>0.72</v>
      </c>
      <c r="O732" s="56">
        <f>INDEX(Rate_Chart!$A$1:$AK$127,MATCH(Data!K732,Rate_Chart!$A$1:$A$127,0),MATCH(Data!L732,Rate_Chart!$A$1:$AK$1,0))</f>
        <v>50.1</v>
      </c>
      <c r="P732" s="57">
        <f t="shared" si="161"/>
        <v>400.8</v>
      </c>
      <c r="Q732" s="58">
        <f t="shared" si="162"/>
        <v>417.5</v>
      </c>
      <c r="R732" s="58">
        <f t="shared" si="163"/>
        <v>278.33333333333331</v>
      </c>
      <c r="S732" s="66">
        <f t="shared" si="164"/>
        <v>7.0140000000000011</v>
      </c>
      <c r="T732" s="64">
        <f t="shared" si="165"/>
        <v>30</v>
      </c>
      <c r="U732" s="66">
        <f t="shared" si="166"/>
        <v>437.81400000000002</v>
      </c>
      <c r="V732" s="68">
        <f t="shared" si="167"/>
        <v>54.726750000000003</v>
      </c>
      <c r="W732" s="68">
        <f t="shared" si="168"/>
        <v>456.05625000000003</v>
      </c>
      <c r="X732" s="68">
        <f t="shared" si="169"/>
        <v>304.03750000000002</v>
      </c>
      <c r="Z732" s="63"/>
      <c r="AA732" s="63"/>
    </row>
    <row r="733" spans="1:27" hidden="1" x14ac:dyDescent="0.25">
      <c r="A733" t="str">
        <f t="shared" si="170"/>
        <v>10620049C27/05/2026E</v>
      </c>
      <c r="B733" s="169" t="s">
        <v>826</v>
      </c>
      <c r="C733" s="61" t="s">
        <v>397</v>
      </c>
      <c r="D733" s="61" t="s">
        <v>591</v>
      </c>
      <c r="E733" s="61" t="s">
        <v>593</v>
      </c>
      <c r="F733" s="1" t="s">
        <v>365</v>
      </c>
      <c r="G733" s="62" t="str">
        <f t="shared" si="171"/>
        <v>64517</v>
      </c>
      <c r="H733" s="1">
        <v>10620049</v>
      </c>
      <c r="I733" s="1" t="s">
        <v>388</v>
      </c>
      <c r="J733" s="61">
        <v>26</v>
      </c>
      <c r="K733" s="61">
        <v>3.3</v>
      </c>
      <c r="L733" s="61">
        <v>8.5</v>
      </c>
      <c r="M733" s="69">
        <f t="shared" si="159"/>
        <v>0.85799999999999998</v>
      </c>
      <c r="N733" s="69">
        <f t="shared" si="160"/>
        <v>2.21</v>
      </c>
      <c r="O733" s="56">
        <f>INDEX(Rate_Chart!$A$1:$AK$127,MATCH(Data!K733,Rate_Chart!$A$1:$A$127,0),MATCH(Data!L733,Rate_Chart!$A$1:$AK$1,0))</f>
        <v>37.392181500000007</v>
      </c>
      <c r="P733" s="57">
        <f t="shared" si="161"/>
        <v>972.19671900000014</v>
      </c>
      <c r="Q733" s="58">
        <f t="shared" si="162"/>
        <v>417.0131765799257</v>
      </c>
      <c r="R733" s="58">
        <f t="shared" si="163"/>
        <v>278.00878438661715</v>
      </c>
      <c r="S733" s="66">
        <f t="shared" si="164"/>
        <v>17.013442582500005</v>
      </c>
      <c r="T733" s="64">
        <f t="shared" si="165"/>
        <v>97.5</v>
      </c>
      <c r="U733" s="66">
        <f t="shared" si="166"/>
        <v>1086.7101615825002</v>
      </c>
      <c r="V733" s="68">
        <f t="shared" si="167"/>
        <v>41.796544676250008</v>
      </c>
      <c r="W733" s="68">
        <f t="shared" si="168"/>
        <v>466.13246850836435</v>
      </c>
      <c r="X733" s="68">
        <f t="shared" si="169"/>
        <v>310.75497900557622</v>
      </c>
      <c r="Z733" s="63"/>
      <c r="AA733" s="63"/>
    </row>
    <row r="734" spans="1:27" hidden="1" x14ac:dyDescent="0.25">
      <c r="A734" t="str">
        <f t="shared" si="170"/>
        <v>10620049B27/05/2026M</v>
      </c>
      <c r="B734" s="169" t="s">
        <v>827</v>
      </c>
      <c r="C734" s="61" t="s">
        <v>396</v>
      </c>
      <c r="D734" s="61" t="s">
        <v>591</v>
      </c>
      <c r="E734" s="61" t="s">
        <v>593</v>
      </c>
      <c r="F734" s="1" t="s">
        <v>365</v>
      </c>
      <c r="G734" s="62" t="str">
        <f t="shared" si="171"/>
        <v>64517</v>
      </c>
      <c r="H734" s="1">
        <v>10620049</v>
      </c>
      <c r="I734" s="1" t="s">
        <v>387</v>
      </c>
      <c r="J734" s="61">
        <v>20</v>
      </c>
      <c r="K734" s="61">
        <v>7.2</v>
      </c>
      <c r="L734" s="61">
        <v>9</v>
      </c>
      <c r="M734" s="69">
        <f t="shared" ref="M734:M797" si="172">K734*J734/100</f>
        <v>1.44</v>
      </c>
      <c r="N734" s="69">
        <f t="shared" ref="N734:N797" si="173">L734*J734/100</f>
        <v>1.8</v>
      </c>
      <c r="O734" s="56">
        <f>INDEX(Rate_Chart!$A$1:$AK$127,MATCH(Data!K734,Rate_Chart!$A$1:$A$127,0),MATCH(Data!L734,Rate_Chart!$A$1:$AK$1,0))</f>
        <v>60.120000000000005</v>
      </c>
      <c r="P734" s="57">
        <f t="shared" ref="P734:P797" si="174">O734*J734</f>
        <v>1202.4000000000001</v>
      </c>
      <c r="Q734" s="58">
        <f t="shared" ref="Q734:Q797" si="175">O734/(K734%+L734%*2/3)</f>
        <v>455.4545454545455</v>
      </c>
      <c r="R734" s="58">
        <f t="shared" ref="R734:R797" si="176">Q734*2/3</f>
        <v>303.63636363636368</v>
      </c>
      <c r="S734" s="66">
        <f t="shared" ref="S734:S797" si="177">P734*1.75%</f>
        <v>21.042000000000005</v>
      </c>
      <c r="T734" s="64">
        <f t="shared" ref="T734:T797" si="178">J734*3.75</f>
        <v>75</v>
      </c>
      <c r="U734" s="66">
        <f t="shared" ref="U734:U797" si="179">S734+T734+P734</f>
        <v>1298.442</v>
      </c>
      <c r="V734" s="68">
        <f t="shared" ref="V734:V797" si="180">U734/J734</f>
        <v>64.9221</v>
      </c>
      <c r="W734" s="68">
        <f t="shared" ref="W734:W797" si="181">V734/(K734%+L734%*2/3)</f>
        <v>491.83409090909089</v>
      </c>
      <c r="X734" s="68">
        <f t="shared" ref="X734:X797" si="182">W734*2/3</f>
        <v>327.88939393939393</v>
      </c>
      <c r="Z734" s="63"/>
      <c r="AA734" s="63"/>
    </row>
    <row r="735" spans="1:27" hidden="1" x14ac:dyDescent="0.25">
      <c r="A735" t="str">
        <f t="shared" si="170"/>
        <v>10620049C27/05/2026M</v>
      </c>
      <c r="B735" s="169" t="s">
        <v>827</v>
      </c>
      <c r="C735" s="61" t="s">
        <v>396</v>
      </c>
      <c r="D735" s="61" t="s">
        <v>591</v>
      </c>
      <c r="E735" s="61" t="s">
        <v>593</v>
      </c>
      <c r="F735" s="1" t="s">
        <v>365</v>
      </c>
      <c r="G735" s="62" t="str">
        <f t="shared" si="171"/>
        <v>64517</v>
      </c>
      <c r="H735" s="1">
        <v>10620049</v>
      </c>
      <c r="I735" s="1" t="s">
        <v>388</v>
      </c>
      <c r="J735" s="61">
        <v>30</v>
      </c>
      <c r="K735" s="61">
        <v>4.0999999999999996</v>
      </c>
      <c r="L735" s="61">
        <v>8.5</v>
      </c>
      <c r="M735" s="69">
        <f t="shared" si="172"/>
        <v>1.2299999999999998</v>
      </c>
      <c r="N735" s="69">
        <f t="shared" si="173"/>
        <v>2.5499999999999998</v>
      </c>
      <c r="O735" s="56">
        <f>INDEX(Rate_Chart!$A$1:$AK$127,MATCH(Data!K735,Rate_Chart!$A$1:$A$127,0),MATCH(Data!L735,Rate_Chart!$A$1:$AK$1,0))</f>
        <v>40.728181500000005</v>
      </c>
      <c r="P735" s="57">
        <f t="shared" si="174"/>
        <v>1221.8454450000002</v>
      </c>
      <c r="Q735" s="58">
        <f t="shared" si="175"/>
        <v>417.01209726962463</v>
      </c>
      <c r="R735" s="58">
        <f t="shared" si="176"/>
        <v>278.0080648464164</v>
      </c>
      <c r="S735" s="66">
        <f t="shared" si="177"/>
        <v>21.382295287500003</v>
      </c>
      <c r="T735" s="64">
        <f t="shared" si="178"/>
        <v>112.5</v>
      </c>
      <c r="U735" s="66">
        <f t="shared" si="179"/>
        <v>1355.7277402875002</v>
      </c>
      <c r="V735" s="68">
        <f t="shared" si="180"/>
        <v>45.190924676250006</v>
      </c>
      <c r="W735" s="68">
        <f t="shared" si="181"/>
        <v>462.70571340870316</v>
      </c>
      <c r="X735" s="68">
        <f t="shared" si="182"/>
        <v>308.47047560580211</v>
      </c>
      <c r="Z735" s="63"/>
      <c r="AA735" s="63"/>
    </row>
    <row r="736" spans="1:27" hidden="1" x14ac:dyDescent="0.25">
      <c r="A736" t="str">
        <f t="shared" si="170"/>
        <v>10620049C28/05/2026E</v>
      </c>
      <c r="B736" s="169" t="s">
        <v>827</v>
      </c>
      <c r="C736" s="61" t="s">
        <v>397</v>
      </c>
      <c r="D736" s="61" t="s">
        <v>591</v>
      </c>
      <c r="E736" s="61" t="s">
        <v>593</v>
      </c>
      <c r="F736" s="1" t="s">
        <v>365</v>
      </c>
      <c r="G736" s="62" t="str">
        <f t="shared" si="171"/>
        <v>64517</v>
      </c>
      <c r="H736" s="1">
        <v>10620049</v>
      </c>
      <c r="I736" s="1" t="s">
        <v>388</v>
      </c>
      <c r="J736" s="61">
        <v>24</v>
      </c>
      <c r="K736" s="61">
        <v>3.9</v>
      </c>
      <c r="L736" s="61">
        <v>8.5</v>
      </c>
      <c r="M736" s="69">
        <f t="shared" si="172"/>
        <v>0.93599999999999994</v>
      </c>
      <c r="N736" s="69">
        <f t="shared" si="173"/>
        <v>2.04</v>
      </c>
      <c r="O736" s="56">
        <f>INDEX(Rate_Chart!$A$1:$AK$127,MATCH(Data!K736,Rate_Chart!$A$1:$A$127,0),MATCH(Data!L736,Rate_Chart!$A$1:$AK$1,0))</f>
        <v>39.894181500000002</v>
      </c>
      <c r="P736" s="57">
        <f t="shared" si="174"/>
        <v>957.46035600000005</v>
      </c>
      <c r="Q736" s="58">
        <f t="shared" si="175"/>
        <v>417.01235017421601</v>
      </c>
      <c r="R736" s="58">
        <f t="shared" si="176"/>
        <v>278.00823344947736</v>
      </c>
      <c r="S736" s="66">
        <f t="shared" si="177"/>
        <v>16.755556230000003</v>
      </c>
      <c r="T736" s="64">
        <f t="shared" si="178"/>
        <v>90</v>
      </c>
      <c r="U736" s="66">
        <f t="shared" si="179"/>
        <v>1064.21591223</v>
      </c>
      <c r="V736" s="68">
        <f t="shared" si="180"/>
        <v>44.342329676249996</v>
      </c>
      <c r="W736" s="68">
        <f t="shared" si="181"/>
        <v>463.50867257404173</v>
      </c>
      <c r="X736" s="68">
        <f t="shared" si="182"/>
        <v>309.0057817160278</v>
      </c>
      <c r="Z736" s="63"/>
      <c r="AA736" s="63"/>
    </row>
    <row r="737" spans="1:27" hidden="1" x14ac:dyDescent="0.25">
      <c r="A737" t="str">
        <f t="shared" si="170"/>
        <v>10620049B28/05/2026M</v>
      </c>
      <c r="B737" s="169" t="s">
        <v>828</v>
      </c>
      <c r="C737" s="61" t="s">
        <v>396</v>
      </c>
      <c r="D737" s="61" t="s">
        <v>591</v>
      </c>
      <c r="E737" s="61" t="s">
        <v>593</v>
      </c>
      <c r="F737" s="1" t="s">
        <v>365</v>
      </c>
      <c r="G737" s="62" t="str">
        <f t="shared" si="171"/>
        <v>64517</v>
      </c>
      <c r="H737" s="1">
        <v>10620049</v>
      </c>
      <c r="I737" s="1" t="s">
        <v>387</v>
      </c>
      <c r="J737" s="61">
        <v>17</v>
      </c>
      <c r="K737" s="61">
        <v>6.7</v>
      </c>
      <c r="L737" s="61">
        <v>8.8000000000000007</v>
      </c>
      <c r="M737" s="69">
        <f t="shared" si="172"/>
        <v>1.139</v>
      </c>
      <c r="N737" s="69">
        <f t="shared" si="173"/>
        <v>1.4960000000000002</v>
      </c>
      <c r="O737" s="56">
        <f>INDEX(Rate_Chart!$A$1:$AK$127,MATCH(Data!K737,Rate_Chart!$A$1:$A$127,0),MATCH(Data!L737,Rate_Chart!$A$1:$AK$1,0))</f>
        <v>55.385550000000002</v>
      </c>
      <c r="P737" s="57">
        <f t="shared" si="174"/>
        <v>941.55435</v>
      </c>
      <c r="Q737" s="58">
        <f t="shared" si="175"/>
        <v>440.73381962864721</v>
      </c>
      <c r="R737" s="58">
        <f t="shared" si="176"/>
        <v>293.82254641909816</v>
      </c>
      <c r="S737" s="66">
        <f t="shared" si="177"/>
        <v>16.477201125000001</v>
      </c>
      <c r="T737" s="64">
        <f t="shared" si="178"/>
        <v>63.75</v>
      </c>
      <c r="U737" s="66">
        <f t="shared" si="179"/>
        <v>1021.781551125</v>
      </c>
      <c r="V737" s="68">
        <f t="shared" si="180"/>
        <v>60.104797124999997</v>
      </c>
      <c r="W737" s="68">
        <f t="shared" si="181"/>
        <v>478.2875102785145</v>
      </c>
      <c r="X737" s="68">
        <f t="shared" si="182"/>
        <v>318.85834018567635</v>
      </c>
      <c r="Z737" s="63"/>
      <c r="AA737" s="63"/>
    </row>
    <row r="738" spans="1:27" hidden="1" x14ac:dyDescent="0.25">
      <c r="A738" t="str">
        <f t="shared" si="170"/>
        <v>10620049C28/05/2026M</v>
      </c>
      <c r="B738" s="169" t="s">
        <v>828</v>
      </c>
      <c r="C738" s="61" t="s">
        <v>396</v>
      </c>
      <c r="D738" s="61" t="s">
        <v>591</v>
      </c>
      <c r="E738" s="61" t="s">
        <v>593</v>
      </c>
      <c r="F738" s="1" t="s">
        <v>365</v>
      </c>
      <c r="G738" s="62" t="str">
        <f t="shared" si="171"/>
        <v>64517</v>
      </c>
      <c r="H738" s="1">
        <v>10620049</v>
      </c>
      <c r="I738" s="1" t="s">
        <v>388</v>
      </c>
      <c r="J738" s="61">
        <v>29</v>
      </c>
      <c r="K738" s="61">
        <v>3.5</v>
      </c>
      <c r="L738" s="61">
        <v>8.1</v>
      </c>
      <c r="M738" s="69">
        <f t="shared" si="172"/>
        <v>1.0149999999999999</v>
      </c>
      <c r="N738" s="69">
        <f t="shared" si="173"/>
        <v>2.3489999999999998</v>
      </c>
      <c r="O738" s="56">
        <f>INDEX(Rate_Chart!$A$1:$AK$127,MATCH(Data!K738,Rate_Chart!$A$1:$A$127,0),MATCH(Data!L738,Rate_Chart!$A$1:$AK$1,0))</f>
        <v>37.114125900000005</v>
      </c>
      <c r="P738" s="57">
        <f t="shared" si="174"/>
        <v>1076.3096511000001</v>
      </c>
      <c r="Q738" s="58">
        <f t="shared" si="175"/>
        <v>417.01265056179784</v>
      </c>
      <c r="R738" s="58">
        <f t="shared" si="176"/>
        <v>278.00843370786521</v>
      </c>
      <c r="S738" s="66">
        <f t="shared" si="177"/>
        <v>18.835418894250004</v>
      </c>
      <c r="T738" s="64">
        <f t="shared" si="178"/>
        <v>108.75</v>
      </c>
      <c r="U738" s="66">
        <f t="shared" si="179"/>
        <v>1203.8950699942502</v>
      </c>
      <c r="V738" s="68">
        <f t="shared" si="180"/>
        <v>41.513623103250005</v>
      </c>
      <c r="W738" s="68">
        <f t="shared" si="181"/>
        <v>466.44520340730344</v>
      </c>
      <c r="X738" s="68">
        <f t="shared" si="182"/>
        <v>310.96346893820231</v>
      </c>
      <c r="Z738" s="63"/>
      <c r="AA738" s="63"/>
    </row>
    <row r="739" spans="1:27" hidden="1" x14ac:dyDescent="0.25">
      <c r="A739" t="str">
        <f t="shared" si="170"/>
        <v>10620049C22/05/2026E</v>
      </c>
      <c r="B739" s="169" t="s">
        <v>828</v>
      </c>
      <c r="C739" s="61" t="s">
        <v>397</v>
      </c>
      <c r="D739" s="61" t="s">
        <v>591</v>
      </c>
      <c r="E739" s="61" t="s">
        <v>593</v>
      </c>
      <c r="F739" s="1" t="s">
        <v>365</v>
      </c>
      <c r="G739" s="62" t="str">
        <f t="shared" si="171"/>
        <v>64517</v>
      </c>
      <c r="H739" s="1">
        <v>10620049</v>
      </c>
      <c r="I739" s="1" t="s">
        <v>388</v>
      </c>
      <c r="J739" s="61">
        <v>25</v>
      </c>
      <c r="K739" s="61">
        <v>4.7</v>
      </c>
      <c r="L739" s="61">
        <v>8.5</v>
      </c>
      <c r="M739" s="69">
        <f t="shared" si="172"/>
        <v>1.175</v>
      </c>
      <c r="N739" s="69">
        <f t="shared" si="173"/>
        <v>2.125</v>
      </c>
      <c r="O739" s="56">
        <f>INDEX(Rate_Chart!$A$1:$AK$127,MATCH(Data!K739,Rate_Chart!$A$1:$A$127,0),MATCH(Data!L739,Rate_Chart!$A$1:$AK$1,0))</f>
        <v>43.2301815</v>
      </c>
      <c r="P739" s="57">
        <f t="shared" si="174"/>
        <v>1080.7545375</v>
      </c>
      <c r="Q739" s="58">
        <f t="shared" si="175"/>
        <v>417.01139710610931</v>
      </c>
      <c r="R739" s="58">
        <f t="shared" si="176"/>
        <v>278.00759807073956</v>
      </c>
      <c r="S739" s="66">
        <f t="shared" si="177"/>
        <v>18.913204406250003</v>
      </c>
      <c r="T739" s="64">
        <f t="shared" si="178"/>
        <v>93.75</v>
      </c>
      <c r="U739" s="66">
        <f t="shared" si="179"/>
        <v>1193.4177419062501</v>
      </c>
      <c r="V739" s="68">
        <f t="shared" si="180"/>
        <v>47.736709676250001</v>
      </c>
      <c r="W739" s="68">
        <f t="shared" si="181"/>
        <v>460.48272999598072</v>
      </c>
      <c r="X739" s="68">
        <f t="shared" si="182"/>
        <v>306.98848666398715</v>
      </c>
      <c r="Z739" s="63"/>
      <c r="AA739" s="63"/>
    </row>
    <row r="740" spans="1:27" hidden="1" x14ac:dyDescent="0.25">
      <c r="A740" t="str">
        <f t="shared" si="170"/>
        <v>10620016B22/05/2026M</v>
      </c>
      <c r="B740" s="169" t="s">
        <v>822</v>
      </c>
      <c r="C740" s="61" t="s">
        <v>396</v>
      </c>
      <c r="D740" s="61" t="s">
        <v>591</v>
      </c>
      <c r="E740" s="61" t="s">
        <v>595</v>
      </c>
      <c r="F740" s="1" t="s">
        <v>366</v>
      </c>
      <c r="G740" s="62" t="str">
        <f t="shared" si="171"/>
        <v>64522</v>
      </c>
      <c r="H740" s="1">
        <v>10620016</v>
      </c>
      <c r="I740" s="1" t="s">
        <v>387</v>
      </c>
      <c r="J740" s="61">
        <v>32</v>
      </c>
      <c r="K740" s="61">
        <v>6.8</v>
      </c>
      <c r="L740" s="61">
        <v>8.8000000000000007</v>
      </c>
      <c r="M740" s="69">
        <f t="shared" si="172"/>
        <v>2.1760000000000002</v>
      </c>
      <c r="N740" s="69">
        <f t="shared" si="173"/>
        <v>2.8160000000000003</v>
      </c>
      <c r="O740" s="56">
        <v>56.212200000000003</v>
      </c>
      <c r="P740" s="57">
        <f t="shared" si="174"/>
        <v>1798.7904000000001</v>
      </c>
      <c r="Q740" s="58">
        <f t="shared" si="175"/>
        <v>443.78052631578947</v>
      </c>
      <c r="R740" s="58">
        <f t="shared" si="176"/>
        <v>295.8536842105263</v>
      </c>
      <c r="S740" s="66">
        <f t="shared" si="177"/>
        <v>31.478832000000004</v>
      </c>
      <c r="T740" s="64">
        <f t="shared" si="178"/>
        <v>120</v>
      </c>
      <c r="U740" s="66">
        <f t="shared" si="179"/>
        <v>1950.2692320000001</v>
      </c>
      <c r="V740" s="68">
        <f t="shared" si="180"/>
        <v>60.945913500000003</v>
      </c>
      <c r="W740" s="68">
        <f t="shared" si="181"/>
        <v>481.15194868421054</v>
      </c>
      <c r="X740" s="68">
        <f t="shared" si="182"/>
        <v>320.76796578947369</v>
      </c>
      <c r="Z740" s="63"/>
      <c r="AA740" s="63"/>
    </row>
    <row r="741" spans="1:27" hidden="1" x14ac:dyDescent="0.25">
      <c r="A741" t="str">
        <f t="shared" si="170"/>
        <v>10620016C23/05/2026M</v>
      </c>
      <c r="B741" s="169" t="s">
        <v>822</v>
      </c>
      <c r="C741" s="61" t="s">
        <v>396</v>
      </c>
      <c r="D741" s="61" t="s">
        <v>591</v>
      </c>
      <c r="E741" s="61" t="s">
        <v>595</v>
      </c>
      <c r="F741" s="1" t="s">
        <v>366</v>
      </c>
      <c r="G741" s="62" t="str">
        <f t="shared" si="171"/>
        <v>64522</v>
      </c>
      <c r="H741" s="1">
        <v>10620016</v>
      </c>
      <c r="I741" s="1" t="s">
        <v>388</v>
      </c>
      <c r="J741" s="61">
        <v>15</v>
      </c>
      <c r="K741" s="61">
        <v>4.5</v>
      </c>
      <c r="L741" s="61">
        <v>8.1999999999999993</v>
      </c>
      <c r="M741" s="69">
        <f t="shared" si="172"/>
        <v>0.67500000000000004</v>
      </c>
      <c r="N741" s="69">
        <f t="shared" si="173"/>
        <v>1.2299999999999998</v>
      </c>
      <c r="O741" s="56">
        <v>39.469082400000005</v>
      </c>
      <c r="P741" s="57">
        <f t="shared" si="174"/>
        <v>592.03623600000003</v>
      </c>
      <c r="Q741" s="58">
        <f t="shared" si="175"/>
        <v>396.01086020066901</v>
      </c>
      <c r="R741" s="58">
        <f t="shared" si="176"/>
        <v>264.00724013377936</v>
      </c>
      <c r="S741" s="66">
        <f t="shared" si="177"/>
        <v>10.360634130000001</v>
      </c>
      <c r="T741" s="64">
        <f t="shared" si="178"/>
        <v>56.25</v>
      </c>
      <c r="U741" s="66">
        <f t="shared" si="179"/>
        <v>658.64687013000002</v>
      </c>
      <c r="V741" s="68">
        <f t="shared" si="180"/>
        <v>43.909791341999998</v>
      </c>
      <c r="W741" s="68">
        <f t="shared" si="181"/>
        <v>440.56646831438132</v>
      </c>
      <c r="X741" s="68">
        <f t="shared" si="182"/>
        <v>293.71097887625422</v>
      </c>
      <c r="Z741" s="63"/>
      <c r="AA741" s="63"/>
    </row>
    <row r="742" spans="1:27" hidden="1" x14ac:dyDescent="0.25">
      <c r="A742" t="str">
        <f t="shared" si="170"/>
        <v>10620016B24/05/2026M</v>
      </c>
      <c r="B742" s="169" t="s">
        <v>823</v>
      </c>
      <c r="C742" s="61" t="s">
        <v>396</v>
      </c>
      <c r="D742" s="61" t="s">
        <v>591</v>
      </c>
      <c r="E742" s="61" t="s">
        <v>595</v>
      </c>
      <c r="F742" s="1" t="s">
        <v>366</v>
      </c>
      <c r="G742" s="62" t="str">
        <f t="shared" si="171"/>
        <v>64522</v>
      </c>
      <c r="H742" s="1">
        <v>10620016</v>
      </c>
      <c r="I742" s="1" t="s">
        <v>387</v>
      </c>
      <c r="J742" s="61">
        <v>23</v>
      </c>
      <c r="K742" s="61">
        <v>6.5</v>
      </c>
      <c r="L742" s="61">
        <v>8.8000000000000007</v>
      </c>
      <c r="M742" s="69">
        <f t="shared" si="172"/>
        <v>1.4950000000000001</v>
      </c>
      <c r="N742" s="69">
        <f t="shared" si="173"/>
        <v>2.024</v>
      </c>
      <c r="O742" s="56">
        <v>53.732250000000001</v>
      </c>
      <c r="P742" s="57">
        <f t="shared" si="174"/>
        <v>1235.84175</v>
      </c>
      <c r="Q742" s="58">
        <f t="shared" si="175"/>
        <v>434.49258760107813</v>
      </c>
      <c r="R742" s="58">
        <f t="shared" si="176"/>
        <v>289.66172506738542</v>
      </c>
      <c r="S742" s="66">
        <f t="shared" si="177"/>
        <v>21.627230625000003</v>
      </c>
      <c r="T742" s="64">
        <f t="shared" si="178"/>
        <v>86.25</v>
      </c>
      <c r="U742" s="66">
        <f t="shared" si="179"/>
        <v>1343.7189806250001</v>
      </c>
      <c r="V742" s="68">
        <f t="shared" si="180"/>
        <v>58.422564375</v>
      </c>
      <c r="W742" s="68">
        <f t="shared" si="181"/>
        <v>472.41965801886789</v>
      </c>
      <c r="X742" s="68">
        <f t="shared" si="182"/>
        <v>314.94643867924526</v>
      </c>
      <c r="Z742" s="63"/>
      <c r="AA742" s="63"/>
    </row>
    <row r="743" spans="1:27" hidden="1" x14ac:dyDescent="0.25">
      <c r="A743" t="str">
        <f t="shared" si="170"/>
        <v>10620016B24/05/2026M</v>
      </c>
      <c r="B743" s="169" t="s">
        <v>824</v>
      </c>
      <c r="C743" s="61" t="s">
        <v>396</v>
      </c>
      <c r="D743" s="61" t="s">
        <v>591</v>
      </c>
      <c r="E743" s="61" t="s">
        <v>595</v>
      </c>
      <c r="F743" s="1" t="s">
        <v>366</v>
      </c>
      <c r="G743" s="62" t="str">
        <f t="shared" si="171"/>
        <v>64522</v>
      </c>
      <c r="H743" s="1">
        <v>10620016</v>
      </c>
      <c r="I743" s="1" t="s">
        <v>387</v>
      </c>
      <c r="J743" s="61">
        <v>35</v>
      </c>
      <c r="K743" s="61">
        <v>6.4</v>
      </c>
      <c r="L743" s="61">
        <v>8.8000000000000007</v>
      </c>
      <c r="M743" s="69">
        <f t="shared" si="172"/>
        <v>2.2400000000000002</v>
      </c>
      <c r="N743" s="69">
        <f t="shared" si="173"/>
        <v>3.08</v>
      </c>
      <c r="O743" s="56">
        <v>52.9056</v>
      </c>
      <c r="P743" s="57">
        <f t="shared" si="174"/>
        <v>1851.6959999999999</v>
      </c>
      <c r="Q743" s="58">
        <f t="shared" si="175"/>
        <v>431.29565217391303</v>
      </c>
      <c r="R743" s="58">
        <f t="shared" si="176"/>
        <v>287.53043478260867</v>
      </c>
      <c r="S743" s="66">
        <f t="shared" si="177"/>
        <v>32.404679999999999</v>
      </c>
      <c r="T743" s="64">
        <f t="shared" si="178"/>
        <v>131.25</v>
      </c>
      <c r="U743" s="66">
        <f t="shared" si="179"/>
        <v>2015.35068</v>
      </c>
      <c r="V743" s="68">
        <f t="shared" si="180"/>
        <v>57.581448000000002</v>
      </c>
      <c r="W743" s="68">
        <f t="shared" si="181"/>
        <v>469.41397826086956</v>
      </c>
      <c r="X743" s="68">
        <f t="shared" si="182"/>
        <v>312.94265217391302</v>
      </c>
      <c r="Z743" s="63"/>
      <c r="AA743" s="63"/>
    </row>
    <row r="744" spans="1:27" hidden="1" x14ac:dyDescent="0.25">
      <c r="A744" t="str">
        <f t="shared" si="170"/>
        <v>10620016C25/05/2026M</v>
      </c>
      <c r="B744" s="169" t="s">
        <v>824</v>
      </c>
      <c r="C744" s="61" t="s">
        <v>396</v>
      </c>
      <c r="D744" s="61" t="s">
        <v>591</v>
      </c>
      <c r="E744" s="61" t="s">
        <v>595</v>
      </c>
      <c r="F744" s="1" t="s">
        <v>366</v>
      </c>
      <c r="G744" s="62" t="str">
        <f t="shared" si="171"/>
        <v>64522</v>
      </c>
      <c r="H744" s="1">
        <v>10620016</v>
      </c>
      <c r="I744" s="1" t="s">
        <v>388</v>
      </c>
      <c r="J744" s="61">
        <v>10</v>
      </c>
      <c r="K744" s="61">
        <v>4.3</v>
      </c>
      <c r="L744" s="61">
        <v>8.1</v>
      </c>
      <c r="M744" s="69">
        <f t="shared" si="172"/>
        <v>0.43</v>
      </c>
      <c r="N744" s="69">
        <f t="shared" si="173"/>
        <v>0.81</v>
      </c>
      <c r="O744" s="56">
        <v>38.413069200000002</v>
      </c>
      <c r="P744" s="57">
        <f t="shared" si="174"/>
        <v>384.13069200000001</v>
      </c>
      <c r="Q744" s="58">
        <f t="shared" si="175"/>
        <v>396.0110226804124</v>
      </c>
      <c r="R744" s="58">
        <f t="shared" si="176"/>
        <v>264.00734845360824</v>
      </c>
      <c r="S744" s="66">
        <f t="shared" si="177"/>
        <v>6.7222871100000008</v>
      </c>
      <c r="T744" s="64">
        <f t="shared" si="178"/>
        <v>37.5</v>
      </c>
      <c r="U744" s="66">
        <f t="shared" si="179"/>
        <v>428.35297911000004</v>
      </c>
      <c r="V744" s="68">
        <f t="shared" si="180"/>
        <v>42.835297911000005</v>
      </c>
      <c r="W744" s="68">
        <f t="shared" si="181"/>
        <v>441.6010093917526</v>
      </c>
      <c r="X744" s="68">
        <f t="shared" si="182"/>
        <v>294.40067292783505</v>
      </c>
      <c r="Z744" s="63"/>
      <c r="AA744" s="63"/>
    </row>
    <row r="745" spans="1:27" hidden="1" x14ac:dyDescent="0.25">
      <c r="A745" t="str">
        <f t="shared" si="170"/>
        <v>10620016B26/05/2026M</v>
      </c>
      <c r="B745" s="169" t="s">
        <v>825</v>
      </c>
      <c r="C745" s="61" t="s">
        <v>396</v>
      </c>
      <c r="D745" s="61" t="s">
        <v>591</v>
      </c>
      <c r="E745" s="61" t="s">
        <v>595</v>
      </c>
      <c r="F745" s="1" t="s">
        <v>366</v>
      </c>
      <c r="G745" s="62" t="str">
        <f t="shared" si="171"/>
        <v>64522</v>
      </c>
      <c r="H745" s="1">
        <v>10620016</v>
      </c>
      <c r="I745" s="1" t="s">
        <v>387</v>
      </c>
      <c r="J745" s="61">
        <v>17</v>
      </c>
      <c r="K745" s="61">
        <v>6.7</v>
      </c>
      <c r="L745" s="61">
        <v>8.8000000000000007</v>
      </c>
      <c r="M745" s="69">
        <f t="shared" si="172"/>
        <v>1.139</v>
      </c>
      <c r="N745" s="69">
        <f t="shared" si="173"/>
        <v>1.4960000000000002</v>
      </c>
      <c r="O745" s="56">
        <v>55.385550000000002</v>
      </c>
      <c r="P745" s="57">
        <f t="shared" si="174"/>
        <v>941.55435</v>
      </c>
      <c r="Q745" s="58">
        <f t="shared" si="175"/>
        <v>440.73381962864721</v>
      </c>
      <c r="R745" s="58">
        <f t="shared" si="176"/>
        <v>293.82254641909816</v>
      </c>
      <c r="S745" s="66">
        <f t="shared" si="177"/>
        <v>16.477201125000001</v>
      </c>
      <c r="T745" s="64">
        <f t="shared" si="178"/>
        <v>63.75</v>
      </c>
      <c r="U745" s="66">
        <f t="shared" si="179"/>
        <v>1021.781551125</v>
      </c>
      <c r="V745" s="68">
        <f t="shared" si="180"/>
        <v>60.104797124999997</v>
      </c>
      <c r="W745" s="68">
        <f t="shared" si="181"/>
        <v>478.2875102785145</v>
      </c>
      <c r="X745" s="68">
        <f t="shared" si="182"/>
        <v>318.85834018567635</v>
      </c>
      <c r="Z745" s="63"/>
      <c r="AA745" s="63"/>
    </row>
    <row r="746" spans="1:27" hidden="1" x14ac:dyDescent="0.25">
      <c r="A746" t="str">
        <f t="shared" si="170"/>
        <v>10620016B26/05/2026M</v>
      </c>
      <c r="B746" s="169" t="s">
        <v>826</v>
      </c>
      <c r="C746" s="61" t="s">
        <v>396</v>
      </c>
      <c r="D746" s="61" t="s">
        <v>591</v>
      </c>
      <c r="E746" s="61" t="s">
        <v>595</v>
      </c>
      <c r="F746" s="1" t="s">
        <v>366</v>
      </c>
      <c r="G746" s="62" t="str">
        <f t="shared" si="171"/>
        <v>64522</v>
      </c>
      <c r="H746" s="1">
        <v>10620016</v>
      </c>
      <c r="I746" s="1" t="s">
        <v>387</v>
      </c>
      <c r="J746" s="61">
        <v>29</v>
      </c>
      <c r="K746" s="61">
        <v>6.8</v>
      </c>
      <c r="L746" s="61">
        <v>8.8000000000000007</v>
      </c>
      <c r="M746" s="69">
        <f t="shared" si="172"/>
        <v>1.972</v>
      </c>
      <c r="N746" s="69">
        <f t="shared" si="173"/>
        <v>2.552</v>
      </c>
      <c r="O746" s="56">
        <f>INDEX(Rate_Chart!$A$1:$AK$127,MATCH(Data!K746,Rate_Chart!$A$1:$A$127,0),MATCH(Data!L746,Rate_Chart!$A$1:$AK$1,0))</f>
        <v>56.212200000000003</v>
      </c>
      <c r="P746" s="57">
        <f t="shared" si="174"/>
        <v>1630.1538</v>
      </c>
      <c r="Q746" s="58">
        <f t="shared" si="175"/>
        <v>443.78052631578947</v>
      </c>
      <c r="R746" s="58">
        <f t="shared" si="176"/>
        <v>295.8536842105263</v>
      </c>
      <c r="S746" s="66">
        <f t="shared" si="177"/>
        <v>28.527691500000003</v>
      </c>
      <c r="T746" s="64">
        <f t="shared" si="178"/>
        <v>108.75</v>
      </c>
      <c r="U746" s="66">
        <f t="shared" si="179"/>
        <v>1767.4314915</v>
      </c>
      <c r="V746" s="68">
        <f t="shared" si="180"/>
        <v>60.945913500000003</v>
      </c>
      <c r="W746" s="68">
        <f t="shared" si="181"/>
        <v>481.15194868421054</v>
      </c>
      <c r="X746" s="68">
        <f t="shared" si="182"/>
        <v>320.76796578947369</v>
      </c>
      <c r="Z746" s="63"/>
      <c r="AA746" s="63"/>
    </row>
    <row r="747" spans="1:27" hidden="1" x14ac:dyDescent="0.25">
      <c r="A747" t="str">
        <f t="shared" si="170"/>
        <v>10620016C26/05/2026M</v>
      </c>
      <c r="B747" s="169" t="s">
        <v>826</v>
      </c>
      <c r="C747" s="61" t="s">
        <v>396</v>
      </c>
      <c r="D747" s="61" t="s">
        <v>591</v>
      </c>
      <c r="E747" s="61" t="s">
        <v>595</v>
      </c>
      <c r="F747" s="1" t="s">
        <v>366</v>
      </c>
      <c r="G747" s="62" t="str">
        <f t="shared" si="171"/>
        <v>64522</v>
      </c>
      <c r="H747" s="1">
        <v>10620016</v>
      </c>
      <c r="I747" s="1" t="s">
        <v>388</v>
      </c>
      <c r="J747" s="61">
        <v>15</v>
      </c>
      <c r="K747" s="61">
        <v>4.3</v>
      </c>
      <c r="L747" s="61">
        <v>8.1999999999999993</v>
      </c>
      <c r="M747" s="69">
        <f t="shared" si="172"/>
        <v>0.64500000000000002</v>
      </c>
      <c r="N747" s="69">
        <f t="shared" si="173"/>
        <v>1.2299999999999998</v>
      </c>
      <c r="O747" s="56">
        <f>INDEX(Rate_Chart!$A$1:$AK$127,MATCH(Data!K747,Rate_Chart!$A$1:$A$127,0),MATCH(Data!L747,Rate_Chart!$A$1:$AK$1,0))</f>
        <v>40.728139799999994</v>
      </c>
      <c r="P747" s="57">
        <f t="shared" si="174"/>
        <v>610.92209699999989</v>
      </c>
      <c r="Q747" s="58">
        <f t="shared" si="175"/>
        <v>417.01167030716726</v>
      </c>
      <c r="R747" s="58">
        <f t="shared" si="176"/>
        <v>278.00778020477816</v>
      </c>
      <c r="S747" s="66">
        <f t="shared" si="177"/>
        <v>10.691136697499999</v>
      </c>
      <c r="T747" s="64">
        <f t="shared" si="178"/>
        <v>56.25</v>
      </c>
      <c r="U747" s="66">
        <f t="shared" si="179"/>
        <v>677.86323369749994</v>
      </c>
      <c r="V747" s="68">
        <f t="shared" si="180"/>
        <v>45.190882246499996</v>
      </c>
      <c r="W747" s="68">
        <f t="shared" si="181"/>
        <v>462.70527897440275</v>
      </c>
      <c r="X747" s="68">
        <f t="shared" si="182"/>
        <v>308.47018598293516</v>
      </c>
      <c r="Z747" s="63"/>
      <c r="AA747" s="63"/>
    </row>
    <row r="748" spans="1:27" hidden="1" x14ac:dyDescent="0.25">
      <c r="A748" t="str">
        <f t="shared" si="170"/>
        <v>10620016C27/05/2026E</v>
      </c>
      <c r="B748" s="169" t="s">
        <v>826</v>
      </c>
      <c r="C748" s="61" t="s">
        <v>397</v>
      </c>
      <c r="D748" s="61" t="s">
        <v>591</v>
      </c>
      <c r="E748" s="61" t="s">
        <v>595</v>
      </c>
      <c r="F748" s="1" t="s">
        <v>366</v>
      </c>
      <c r="G748" s="62" t="str">
        <f t="shared" si="171"/>
        <v>64522</v>
      </c>
      <c r="H748" s="1">
        <v>10620016</v>
      </c>
      <c r="I748" s="1" t="s">
        <v>388</v>
      </c>
      <c r="J748" s="61">
        <v>12</v>
      </c>
      <c r="K748" s="61">
        <v>4.5</v>
      </c>
      <c r="L748" s="61">
        <v>8.5</v>
      </c>
      <c r="M748" s="69">
        <f t="shared" si="172"/>
        <v>0.54</v>
      </c>
      <c r="N748" s="69">
        <f t="shared" si="173"/>
        <v>1.02</v>
      </c>
      <c r="O748" s="56">
        <f>INDEX(Rate_Chart!$A$1:$AK$127,MATCH(Data!K748,Rate_Chart!$A$1:$A$127,0),MATCH(Data!L748,Rate_Chart!$A$1:$AK$1,0))</f>
        <v>42.396181500000004</v>
      </c>
      <c r="P748" s="57">
        <f t="shared" si="174"/>
        <v>508.75417800000002</v>
      </c>
      <c r="Q748" s="58">
        <f t="shared" si="175"/>
        <v>417.01162131147544</v>
      </c>
      <c r="R748" s="58">
        <f t="shared" si="176"/>
        <v>278.00774754098364</v>
      </c>
      <c r="S748" s="66">
        <f t="shared" si="177"/>
        <v>8.9031981150000021</v>
      </c>
      <c r="T748" s="64">
        <f t="shared" si="178"/>
        <v>45</v>
      </c>
      <c r="U748" s="66">
        <f t="shared" si="179"/>
        <v>562.65737611500003</v>
      </c>
      <c r="V748" s="68">
        <f t="shared" si="180"/>
        <v>46.888114676250005</v>
      </c>
      <c r="W748" s="68">
        <f t="shared" si="181"/>
        <v>461.19457058606559</v>
      </c>
      <c r="X748" s="68">
        <f t="shared" si="182"/>
        <v>307.46304705737708</v>
      </c>
      <c r="Z748" s="63"/>
      <c r="AA748" s="63"/>
    </row>
    <row r="749" spans="1:27" hidden="1" x14ac:dyDescent="0.25">
      <c r="A749" t="str">
        <f t="shared" si="170"/>
        <v>10620016B27/05/2026M</v>
      </c>
      <c r="B749" s="169" t="s">
        <v>827</v>
      </c>
      <c r="C749" s="61" t="s">
        <v>396</v>
      </c>
      <c r="D749" s="61" t="s">
        <v>591</v>
      </c>
      <c r="E749" s="61" t="s">
        <v>595</v>
      </c>
      <c r="F749" s="1" t="s">
        <v>366</v>
      </c>
      <c r="G749" s="62" t="str">
        <f t="shared" si="171"/>
        <v>64522</v>
      </c>
      <c r="H749" s="1">
        <v>10620016</v>
      </c>
      <c r="I749" s="1" t="s">
        <v>387</v>
      </c>
      <c r="J749" s="61">
        <v>29</v>
      </c>
      <c r="K749" s="61">
        <v>7</v>
      </c>
      <c r="L749" s="61">
        <v>9</v>
      </c>
      <c r="M749" s="69">
        <f t="shared" si="172"/>
        <v>2.0299999999999998</v>
      </c>
      <c r="N749" s="69">
        <f t="shared" si="173"/>
        <v>2.61</v>
      </c>
      <c r="O749" s="56">
        <f>INDEX(Rate_Chart!$A$1:$AK$127,MATCH(Data!K749,Rate_Chart!$A$1:$A$127,0),MATCH(Data!L749,Rate_Chart!$A$1:$AK$1,0))</f>
        <v>58.45</v>
      </c>
      <c r="P749" s="57">
        <f t="shared" si="174"/>
        <v>1695.0500000000002</v>
      </c>
      <c r="Q749" s="58">
        <f t="shared" si="175"/>
        <v>449.61538461538464</v>
      </c>
      <c r="R749" s="58">
        <f t="shared" si="176"/>
        <v>299.74358974358978</v>
      </c>
      <c r="S749" s="66">
        <f t="shared" si="177"/>
        <v>29.663375000000006</v>
      </c>
      <c r="T749" s="64">
        <f t="shared" si="178"/>
        <v>108.75</v>
      </c>
      <c r="U749" s="66">
        <f t="shared" si="179"/>
        <v>1833.4633750000003</v>
      </c>
      <c r="V749" s="68">
        <f t="shared" si="180"/>
        <v>63.222875000000009</v>
      </c>
      <c r="W749" s="68">
        <f t="shared" si="181"/>
        <v>486.32980769230772</v>
      </c>
      <c r="X749" s="68">
        <f t="shared" si="182"/>
        <v>324.21987179487184</v>
      </c>
      <c r="Z749" s="63"/>
      <c r="AA749" s="63"/>
    </row>
    <row r="750" spans="1:27" hidden="1" x14ac:dyDescent="0.25">
      <c r="A750" t="str">
        <f t="shared" si="170"/>
        <v>10620016C28/05/2026M</v>
      </c>
      <c r="B750" s="169" t="s">
        <v>827</v>
      </c>
      <c r="C750" s="61" t="s">
        <v>396</v>
      </c>
      <c r="D750" s="61" t="s">
        <v>591</v>
      </c>
      <c r="E750" s="61" t="s">
        <v>595</v>
      </c>
      <c r="F750" s="1" t="s">
        <v>366</v>
      </c>
      <c r="G750" s="62" t="str">
        <f t="shared" si="171"/>
        <v>64522</v>
      </c>
      <c r="H750" s="1">
        <v>10620016</v>
      </c>
      <c r="I750" s="1" t="s">
        <v>388</v>
      </c>
      <c r="J750" s="61">
        <v>15</v>
      </c>
      <c r="K750" s="61">
        <v>4.5999999999999996</v>
      </c>
      <c r="L750" s="61">
        <v>8.5</v>
      </c>
      <c r="M750" s="69">
        <f t="shared" si="172"/>
        <v>0.69</v>
      </c>
      <c r="N750" s="69">
        <f t="shared" si="173"/>
        <v>1.2749999999999999</v>
      </c>
      <c r="O750" s="56">
        <f>INDEX(Rate_Chart!$A$1:$AK$127,MATCH(Data!K750,Rate_Chart!$A$1:$A$127,0),MATCH(Data!L750,Rate_Chart!$A$1:$AK$1,0))</f>
        <v>42.813181499999999</v>
      </c>
      <c r="P750" s="57">
        <f t="shared" si="174"/>
        <v>642.19772249999994</v>
      </c>
      <c r="Q750" s="58">
        <f t="shared" si="175"/>
        <v>417.01150811688308</v>
      </c>
      <c r="R750" s="58">
        <f t="shared" si="176"/>
        <v>278.00767207792205</v>
      </c>
      <c r="S750" s="66">
        <f t="shared" si="177"/>
        <v>11.23846014375</v>
      </c>
      <c r="T750" s="64">
        <f t="shared" si="178"/>
        <v>56.25</v>
      </c>
      <c r="U750" s="66">
        <f t="shared" si="179"/>
        <v>709.68618264374993</v>
      </c>
      <c r="V750" s="68">
        <f t="shared" si="180"/>
        <v>47.312412176249993</v>
      </c>
      <c r="W750" s="68">
        <f t="shared" si="181"/>
        <v>460.83518353490251</v>
      </c>
      <c r="X750" s="68">
        <f t="shared" si="182"/>
        <v>307.22345568993501</v>
      </c>
      <c r="Z750" s="63"/>
      <c r="AA750" s="63"/>
    </row>
    <row r="751" spans="1:27" hidden="1" x14ac:dyDescent="0.25">
      <c r="A751" t="str">
        <f t="shared" si="170"/>
        <v>10620016B22/05/2026M</v>
      </c>
      <c r="B751" s="169" t="s">
        <v>828</v>
      </c>
      <c r="C751" s="61" t="s">
        <v>396</v>
      </c>
      <c r="D751" s="61" t="s">
        <v>591</v>
      </c>
      <c r="E751" s="61" t="s">
        <v>595</v>
      </c>
      <c r="F751" s="1" t="s">
        <v>366</v>
      </c>
      <c r="G751" s="62" t="str">
        <f t="shared" si="171"/>
        <v>64522</v>
      </c>
      <c r="H751" s="1">
        <v>10620016</v>
      </c>
      <c r="I751" s="1" t="s">
        <v>387</v>
      </c>
      <c r="J751" s="61">
        <v>26</v>
      </c>
      <c r="K751" s="61">
        <v>6.3</v>
      </c>
      <c r="L751" s="61">
        <v>8.8000000000000007</v>
      </c>
      <c r="M751" s="69">
        <f t="shared" si="172"/>
        <v>1.6379999999999999</v>
      </c>
      <c r="N751" s="69">
        <f t="shared" si="173"/>
        <v>2.2880000000000003</v>
      </c>
      <c r="O751" s="56">
        <f>INDEX(Rate_Chart!$A$1:$AK$127,MATCH(Data!K751,Rate_Chart!$A$1:$A$127,0),MATCH(Data!L751,Rate_Chart!$A$1:$AK$1,0))</f>
        <v>52.078949999999999</v>
      </c>
      <c r="P751" s="57">
        <f t="shared" si="174"/>
        <v>1354.0527</v>
      </c>
      <c r="Q751" s="58">
        <f t="shared" si="175"/>
        <v>428.04616438356163</v>
      </c>
      <c r="R751" s="58">
        <f t="shared" si="176"/>
        <v>285.36410958904111</v>
      </c>
      <c r="S751" s="66">
        <f t="shared" si="177"/>
        <v>23.695922250000002</v>
      </c>
      <c r="T751" s="64">
        <f t="shared" si="178"/>
        <v>97.5</v>
      </c>
      <c r="U751" s="66">
        <f t="shared" si="179"/>
        <v>1475.2486222499999</v>
      </c>
      <c r="V751" s="68">
        <f t="shared" si="180"/>
        <v>56.740331624999996</v>
      </c>
      <c r="W751" s="68">
        <f t="shared" si="181"/>
        <v>466.35889006849311</v>
      </c>
      <c r="X751" s="68">
        <f t="shared" si="182"/>
        <v>310.90592671232872</v>
      </c>
      <c r="Z751" s="63"/>
      <c r="AA751" s="63"/>
    </row>
    <row r="752" spans="1:27" hidden="1" x14ac:dyDescent="0.25">
      <c r="A752" t="str">
        <f t="shared" si="170"/>
        <v>10620013B22/05/2026M</v>
      </c>
      <c r="B752" s="169" t="s">
        <v>822</v>
      </c>
      <c r="C752" s="61" t="s">
        <v>396</v>
      </c>
      <c r="D752" s="61" t="s">
        <v>591</v>
      </c>
      <c r="E752" s="61" t="s">
        <v>595</v>
      </c>
      <c r="F752" s="1" t="s">
        <v>367</v>
      </c>
      <c r="G752" s="62" t="str">
        <f t="shared" si="171"/>
        <v>64523</v>
      </c>
      <c r="H752" s="1">
        <v>10620013</v>
      </c>
      <c r="I752" s="1" t="s">
        <v>387</v>
      </c>
      <c r="J752" s="61">
        <v>17</v>
      </c>
      <c r="K752" s="61">
        <v>7.7</v>
      </c>
      <c r="L752" s="61">
        <v>9</v>
      </c>
      <c r="M752" s="69">
        <f t="shared" si="172"/>
        <v>1.3090000000000002</v>
      </c>
      <c r="N752" s="69">
        <f t="shared" si="173"/>
        <v>1.53</v>
      </c>
      <c r="O752" s="56">
        <v>64.295000000000002</v>
      </c>
      <c r="P752" s="57">
        <f t="shared" si="174"/>
        <v>1093.0150000000001</v>
      </c>
      <c r="Q752" s="58">
        <f t="shared" si="175"/>
        <v>469.30656934306569</v>
      </c>
      <c r="R752" s="58">
        <f t="shared" si="176"/>
        <v>312.87104622871044</v>
      </c>
      <c r="S752" s="66">
        <f t="shared" si="177"/>
        <v>19.127762500000003</v>
      </c>
      <c r="T752" s="64">
        <f t="shared" si="178"/>
        <v>63.75</v>
      </c>
      <c r="U752" s="66">
        <f t="shared" si="179"/>
        <v>1175.8927625000001</v>
      </c>
      <c r="V752" s="68">
        <f t="shared" si="180"/>
        <v>69.170162500000004</v>
      </c>
      <c r="W752" s="68">
        <f t="shared" si="181"/>
        <v>504.89169708029198</v>
      </c>
      <c r="X752" s="68">
        <f t="shared" si="182"/>
        <v>336.59446472019465</v>
      </c>
      <c r="Z752" s="63"/>
      <c r="AA752" s="63"/>
    </row>
    <row r="753" spans="1:27" hidden="1" x14ac:dyDescent="0.25">
      <c r="A753" t="str">
        <f t="shared" si="170"/>
        <v>10620013C22/05/2026M</v>
      </c>
      <c r="B753" s="169" t="s">
        <v>822</v>
      </c>
      <c r="C753" s="61" t="s">
        <v>396</v>
      </c>
      <c r="D753" s="61" t="s">
        <v>591</v>
      </c>
      <c r="E753" s="61" t="s">
        <v>595</v>
      </c>
      <c r="F753" s="1" t="s">
        <v>367</v>
      </c>
      <c r="G753" s="62" t="str">
        <f t="shared" si="171"/>
        <v>64523</v>
      </c>
      <c r="H753" s="1">
        <v>10620013</v>
      </c>
      <c r="I753" s="1" t="s">
        <v>388</v>
      </c>
      <c r="J753" s="61">
        <v>8</v>
      </c>
      <c r="K753" s="61">
        <v>3.4</v>
      </c>
      <c r="L753" s="61">
        <v>8.1</v>
      </c>
      <c r="M753" s="69">
        <f t="shared" si="172"/>
        <v>0.27200000000000002</v>
      </c>
      <c r="N753" s="69">
        <f t="shared" si="173"/>
        <v>0.64800000000000002</v>
      </c>
      <c r="O753" s="56">
        <v>34.849069200000002</v>
      </c>
      <c r="P753" s="57">
        <f t="shared" si="174"/>
        <v>278.79255360000002</v>
      </c>
      <c r="Q753" s="58">
        <f t="shared" si="175"/>
        <v>396.01215000000008</v>
      </c>
      <c r="R753" s="58">
        <f t="shared" si="176"/>
        <v>264.00810000000007</v>
      </c>
      <c r="S753" s="66">
        <f t="shared" si="177"/>
        <v>4.8788696880000009</v>
      </c>
      <c r="T753" s="64">
        <f t="shared" si="178"/>
        <v>30</v>
      </c>
      <c r="U753" s="66">
        <f t="shared" si="179"/>
        <v>313.67142328800003</v>
      </c>
      <c r="V753" s="68">
        <f t="shared" si="180"/>
        <v>39.208927911000004</v>
      </c>
      <c r="W753" s="68">
        <f t="shared" si="181"/>
        <v>445.55599898863642</v>
      </c>
      <c r="X753" s="68">
        <f t="shared" si="182"/>
        <v>297.03733265909096</v>
      </c>
      <c r="Z753" s="63"/>
      <c r="AA753" s="63"/>
    </row>
    <row r="754" spans="1:27" hidden="1" x14ac:dyDescent="0.25">
      <c r="A754" t="str">
        <f t="shared" si="170"/>
        <v>10620013B22/05/2026E</v>
      </c>
      <c r="B754" s="169" t="s">
        <v>822</v>
      </c>
      <c r="C754" s="61" t="s">
        <v>397</v>
      </c>
      <c r="D754" s="61" t="s">
        <v>591</v>
      </c>
      <c r="E754" s="61" t="s">
        <v>595</v>
      </c>
      <c r="F754" s="1" t="s">
        <v>367</v>
      </c>
      <c r="G754" s="62" t="str">
        <f t="shared" si="171"/>
        <v>64523</v>
      </c>
      <c r="H754" s="1">
        <v>10620013</v>
      </c>
      <c r="I754" s="1" t="s">
        <v>387</v>
      </c>
      <c r="J754" s="61">
        <v>11</v>
      </c>
      <c r="K754" s="61">
        <v>6.7</v>
      </c>
      <c r="L754" s="61">
        <v>8.8000000000000007</v>
      </c>
      <c r="M754" s="69">
        <f t="shared" si="172"/>
        <v>0.73699999999999999</v>
      </c>
      <c r="N754" s="69">
        <f t="shared" si="173"/>
        <v>0.96800000000000008</v>
      </c>
      <c r="O754" s="56">
        <v>55.385550000000002</v>
      </c>
      <c r="P754" s="57">
        <f t="shared" si="174"/>
        <v>609.24104999999997</v>
      </c>
      <c r="Q754" s="58">
        <f t="shared" si="175"/>
        <v>440.73381962864721</v>
      </c>
      <c r="R754" s="58">
        <f t="shared" si="176"/>
        <v>293.82254641909816</v>
      </c>
      <c r="S754" s="66">
        <f t="shared" si="177"/>
        <v>10.661718375000001</v>
      </c>
      <c r="T754" s="64">
        <f t="shared" si="178"/>
        <v>41.25</v>
      </c>
      <c r="U754" s="66">
        <f t="shared" si="179"/>
        <v>661.15276837499994</v>
      </c>
      <c r="V754" s="68">
        <f t="shared" si="180"/>
        <v>60.104797124999997</v>
      </c>
      <c r="W754" s="68">
        <f t="shared" si="181"/>
        <v>478.2875102785145</v>
      </c>
      <c r="X754" s="68">
        <f t="shared" si="182"/>
        <v>318.85834018567635</v>
      </c>
      <c r="Z754" s="63"/>
      <c r="AA754" s="63"/>
    </row>
    <row r="755" spans="1:27" hidden="1" x14ac:dyDescent="0.25">
      <c r="A755" t="str">
        <f t="shared" si="170"/>
        <v>10620013C23/05/2026E</v>
      </c>
      <c r="B755" s="169" t="s">
        <v>822</v>
      </c>
      <c r="C755" s="61" t="s">
        <v>397</v>
      </c>
      <c r="D755" s="61" t="s">
        <v>591</v>
      </c>
      <c r="E755" s="61" t="s">
        <v>595</v>
      </c>
      <c r="F755" s="1" t="s">
        <v>367</v>
      </c>
      <c r="G755" s="62" t="str">
        <f t="shared" si="171"/>
        <v>64523</v>
      </c>
      <c r="H755" s="1">
        <v>10620013</v>
      </c>
      <c r="I755" s="1" t="s">
        <v>388</v>
      </c>
      <c r="J755" s="61">
        <v>4</v>
      </c>
      <c r="K755" s="61">
        <v>4</v>
      </c>
      <c r="L755" s="61">
        <v>8.1999999999999993</v>
      </c>
      <c r="M755" s="69">
        <f t="shared" si="172"/>
        <v>0.16</v>
      </c>
      <c r="N755" s="69">
        <f t="shared" si="173"/>
        <v>0.32799999999999996</v>
      </c>
      <c r="O755" s="56">
        <v>37.489082400000001</v>
      </c>
      <c r="P755" s="57">
        <f t="shared" si="174"/>
        <v>149.9563296</v>
      </c>
      <c r="Q755" s="58">
        <f t="shared" si="175"/>
        <v>396.01143380281695</v>
      </c>
      <c r="R755" s="58">
        <f t="shared" si="176"/>
        <v>264.00762253521128</v>
      </c>
      <c r="S755" s="66">
        <f t="shared" si="177"/>
        <v>2.6242357680000001</v>
      </c>
      <c r="T755" s="64">
        <f t="shared" si="178"/>
        <v>15</v>
      </c>
      <c r="U755" s="66">
        <f t="shared" si="179"/>
        <v>167.58056536800001</v>
      </c>
      <c r="V755" s="68">
        <f t="shared" si="180"/>
        <v>41.895141342000002</v>
      </c>
      <c r="W755" s="68">
        <f t="shared" si="181"/>
        <v>442.55430995070429</v>
      </c>
      <c r="X755" s="68">
        <f t="shared" si="182"/>
        <v>295.03620663380286</v>
      </c>
      <c r="Z755" s="63"/>
      <c r="AA755" s="63"/>
    </row>
    <row r="756" spans="1:27" hidden="1" x14ac:dyDescent="0.25">
      <c r="A756" t="str">
        <f t="shared" si="170"/>
        <v>10620013B23/05/2026M</v>
      </c>
      <c r="B756" s="169" t="s">
        <v>823</v>
      </c>
      <c r="C756" s="61" t="s">
        <v>396</v>
      </c>
      <c r="D756" s="61" t="s">
        <v>591</v>
      </c>
      <c r="E756" s="61" t="s">
        <v>595</v>
      </c>
      <c r="F756" s="1" t="s">
        <v>367</v>
      </c>
      <c r="G756" s="62" t="str">
        <f t="shared" si="171"/>
        <v>64523</v>
      </c>
      <c r="H756" s="1">
        <v>10620013</v>
      </c>
      <c r="I756" s="1" t="s">
        <v>387</v>
      </c>
      <c r="J756" s="61">
        <v>13</v>
      </c>
      <c r="K756" s="61">
        <v>8</v>
      </c>
      <c r="L756" s="61">
        <v>8.8000000000000007</v>
      </c>
      <c r="M756" s="69">
        <f t="shared" si="172"/>
        <v>1.04</v>
      </c>
      <c r="N756" s="69">
        <f t="shared" si="173"/>
        <v>1.1440000000000001</v>
      </c>
      <c r="O756" s="56">
        <v>66.131999999999991</v>
      </c>
      <c r="P756" s="57">
        <f t="shared" si="174"/>
        <v>859.71599999999989</v>
      </c>
      <c r="Q756" s="58">
        <f t="shared" si="175"/>
        <v>476.91346153846149</v>
      </c>
      <c r="R756" s="58">
        <f t="shared" si="176"/>
        <v>317.94230769230768</v>
      </c>
      <c r="S756" s="66">
        <f t="shared" si="177"/>
        <v>15.045029999999999</v>
      </c>
      <c r="T756" s="64">
        <f t="shared" si="178"/>
        <v>48.75</v>
      </c>
      <c r="U756" s="66">
        <f t="shared" si="179"/>
        <v>923.51102999999989</v>
      </c>
      <c r="V756" s="68">
        <f t="shared" si="180"/>
        <v>71.039309999999986</v>
      </c>
      <c r="W756" s="68">
        <f t="shared" si="181"/>
        <v>512.30271634615372</v>
      </c>
      <c r="X756" s="68">
        <f t="shared" si="182"/>
        <v>341.53514423076916</v>
      </c>
      <c r="Z756" s="63"/>
      <c r="AA756" s="63"/>
    </row>
    <row r="757" spans="1:27" hidden="1" x14ac:dyDescent="0.25">
      <c r="A757" t="str">
        <f t="shared" si="170"/>
        <v>10620013C23/05/2026M</v>
      </c>
      <c r="B757" s="169" t="s">
        <v>823</v>
      </c>
      <c r="C757" s="61" t="s">
        <v>396</v>
      </c>
      <c r="D757" s="61" t="s">
        <v>591</v>
      </c>
      <c r="E757" s="61" t="s">
        <v>595</v>
      </c>
      <c r="F757" s="1" t="s">
        <v>367</v>
      </c>
      <c r="G757" s="62" t="str">
        <f t="shared" si="171"/>
        <v>64523</v>
      </c>
      <c r="H757" s="1">
        <v>10620013</v>
      </c>
      <c r="I757" s="1" t="s">
        <v>388</v>
      </c>
      <c r="J757" s="61">
        <v>10</v>
      </c>
      <c r="K757" s="61">
        <v>3.5</v>
      </c>
      <c r="L757" s="61">
        <v>8</v>
      </c>
      <c r="M757" s="69">
        <f t="shared" si="172"/>
        <v>0.35</v>
      </c>
      <c r="N757" s="69">
        <f t="shared" si="173"/>
        <v>0.8</v>
      </c>
      <c r="O757" s="56">
        <v>34.981056000000002</v>
      </c>
      <c r="P757" s="57">
        <f t="shared" si="174"/>
        <v>349.81056000000001</v>
      </c>
      <c r="Q757" s="58">
        <f t="shared" si="175"/>
        <v>396.01195471698111</v>
      </c>
      <c r="R757" s="58">
        <f t="shared" si="176"/>
        <v>264.00796981132072</v>
      </c>
      <c r="S757" s="66">
        <f t="shared" si="177"/>
        <v>6.1216848000000006</v>
      </c>
      <c r="T757" s="64">
        <f t="shared" si="178"/>
        <v>37.5</v>
      </c>
      <c r="U757" s="66">
        <f t="shared" si="179"/>
        <v>393.43224480000003</v>
      </c>
      <c r="V757" s="68">
        <f t="shared" si="180"/>
        <v>39.343224480000003</v>
      </c>
      <c r="W757" s="68">
        <f t="shared" si="181"/>
        <v>445.39499411320753</v>
      </c>
      <c r="X757" s="68">
        <f t="shared" si="182"/>
        <v>296.92999607547171</v>
      </c>
      <c r="Z757" s="63"/>
      <c r="AA757" s="63"/>
    </row>
    <row r="758" spans="1:27" hidden="1" x14ac:dyDescent="0.25">
      <c r="A758" t="str">
        <f t="shared" si="170"/>
        <v>10620013B23/05/2026E</v>
      </c>
      <c r="B758" s="169" t="s">
        <v>823</v>
      </c>
      <c r="C758" s="61" t="s">
        <v>397</v>
      </c>
      <c r="D758" s="61" t="s">
        <v>591</v>
      </c>
      <c r="E758" s="61" t="s">
        <v>595</v>
      </c>
      <c r="F758" s="1" t="s">
        <v>367</v>
      </c>
      <c r="G758" s="62" t="str">
        <f t="shared" si="171"/>
        <v>64523</v>
      </c>
      <c r="H758" s="1">
        <v>10620013</v>
      </c>
      <c r="I758" s="1" t="s">
        <v>387</v>
      </c>
      <c r="J758" s="61">
        <v>14</v>
      </c>
      <c r="K758" s="61">
        <v>7.2</v>
      </c>
      <c r="L758" s="61">
        <v>8.8000000000000007</v>
      </c>
      <c r="M758" s="69">
        <f t="shared" si="172"/>
        <v>1.008</v>
      </c>
      <c r="N758" s="69">
        <f t="shared" si="173"/>
        <v>1.2320000000000002</v>
      </c>
      <c r="O758" s="56">
        <v>59.518800000000006</v>
      </c>
      <c r="P758" s="57">
        <f t="shared" si="174"/>
        <v>833.2632000000001</v>
      </c>
      <c r="Q758" s="58">
        <f t="shared" si="175"/>
        <v>455.50102040816324</v>
      </c>
      <c r="R758" s="58">
        <f t="shared" si="176"/>
        <v>303.66734693877549</v>
      </c>
      <c r="S758" s="66">
        <f t="shared" si="177"/>
        <v>14.582106000000003</v>
      </c>
      <c r="T758" s="64">
        <f t="shared" si="178"/>
        <v>52.5</v>
      </c>
      <c r="U758" s="66">
        <f t="shared" si="179"/>
        <v>900.34530600000016</v>
      </c>
      <c r="V758" s="68">
        <f t="shared" si="180"/>
        <v>64.310379000000012</v>
      </c>
      <c r="W758" s="68">
        <f t="shared" si="181"/>
        <v>492.17126785714288</v>
      </c>
      <c r="X758" s="68">
        <f t="shared" si="182"/>
        <v>328.11417857142857</v>
      </c>
      <c r="Z758" s="63"/>
      <c r="AA758" s="63"/>
    </row>
    <row r="759" spans="1:27" hidden="1" x14ac:dyDescent="0.25">
      <c r="A759" t="str">
        <f t="shared" si="170"/>
        <v>10620013C24/05/2026E</v>
      </c>
      <c r="B759" s="169" t="s">
        <v>823</v>
      </c>
      <c r="C759" s="61" t="s">
        <v>397</v>
      </c>
      <c r="D759" s="61" t="s">
        <v>591</v>
      </c>
      <c r="E759" s="61" t="s">
        <v>595</v>
      </c>
      <c r="F759" s="1" t="s">
        <v>367</v>
      </c>
      <c r="G759" s="62" t="str">
        <f t="shared" si="171"/>
        <v>64523</v>
      </c>
      <c r="H759" s="1">
        <v>10620013</v>
      </c>
      <c r="I759" s="1" t="s">
        <v>388</v>
      </c>
      <c r="J759" s="61">
        <v>5</v>
      </c>
      <c r="K759" s="61">
        <v>3.8</v>
      </c>
      <c r="L759" s="61">
        <v>8.1999999999999993</v>
      </c>
      <c r="M759" s="69">
        <f t="shared" si="172"/>
        <v>0.19</v>
      </c>
      <c r="N759" s="69">
        <f t="shared" si="173"/>
        <v>0.41</v>
      </c>
      <c r="O759" s="56">
        <v>36.697082399999999</v>
      </c>
      <c r="P759" s="57">
        <f t="shared" si="174"/>
        <v>183.485412</v>
      </c>
      <c r="Q759" s="58">
        <f t="shared" si="175"/>
        <v>396.01168057553957</v>
      </c>
      <c r="R759" s="58">
        <f t="shared" si="176"/>
        <v>264.0077870503597</v>
      </c>
      <c r="S759" s="66">
        <f t="shared" si="177"/>
        <v>3.21099471</v>
      </c>
      <c r="T759" s="64">
        <f t="shared" si="178"/>
        <v>18.75</v>
      </c>
      <c r="U759" s="66">
        <f t="shared" si="179"/>
        <v>205.44640670999999</v>
      </c>
      <c r="V759" s="68">
        <f t="shared" si="180"/>
        <v>41.089281342</v>
      </c>
      <c r="W759" s="68">
        <f t="shared" si="181"/>
        <v>443.40951088489209</v>
      </c>
      <c r="X759" s="68">
        <f t="shared" si="182"/>
        <v>295.60634058992804</v>
      </c>
      <c r="Z759" s="63"/>
      <c r="AA759" s="63"/>
    </row>
    <row r="760" spans="1:27" hidden="1" x14ac:dyDescent="0.25">
      <c r="A760" t="str">
        <f t="shared" si="170"/>
        <v>10620013B24/05/2026M</v>
      </c>
      <c r="B760" s="169" t="s">
        <v>824</v>
      </c>
      <c r="C760" s="61" t="s">
        <v>396</v>
      </c>
      <c r="D760" s="61" t="s">
        <v>591</v>
      </c>
      <c r="E760" s="61" t="s">
        <v>595</v>
      </c>
      <c r="F760" s="1" t="s">
        <v>367</v>
      </c>
      <c r="G760" s="62" t="str">
        <f t="shared" si="171"/>
        <v>64523</v>
      </c>
      <c r="H760" s="1">
        <v>10620013</v>
      </c>
      <c r="I760" s="1" t="s">
        <v>387</v>
      </c>
      <c r="J760" s="61">
        <v>14</v>
      </c>
      <c r="K760" s="61">
        <v>7.3</v>
      </c>
      <c r="L760" s="61">
        <v>8.8000000000000007</v>
      </c>
      <c r="M760" s="69">
        <f t="shared" si="172"/>
        <v>1.022</v>
      </c>
      <c r="N760" s="69">
        <f t="shared" si="173"/>
        <v>1.2320000000000002</v>
      </c>
      <c r="O760" s="56">
        <v>60.34545</v>
      </c>
      <c r="P760" s="57">
        <f t="shared" si="174"/>
        <v>844.83629999999994</v>
      </c>
      <c r="Q760" s="58">
        <f t="shared" si="175"/>
        <v>458.31987341772157</v>
      </c>
      <c r="R760" s="58">
        <f t="shared" si="176"/>
        <v>305.54658227848103</v>
      </c>
      <c r="S760" s="66">
        <f t="shared" si="177"/>
        <v>14.784635250000001</v>
      </c>
      <c r="T760" s="64">
        <f t="shared" si="178"/>
        <v>52.5</v>
      </c>
      <c r="U760" s="66">
        <f t="shared" si="179"/>
        <v>912.12093525</v>
      </c>
      <c r="V760" s="68">
        <f t="shared" si="180"/>
        <v>65.151495374999996</v>
      </c>
      <c r="W760" s="68">
        <f t="shared" si="181"/>
        <v>494.82148386075949</v>
      </c>
      <c r="X760" s="68">
        <f t="shared" si="182"/>
        <v>329.88098924050632</v>
      </c>
      <c r="Z760" s="63"/>
      <c r="AA760" s="63"/>
    </row>
    <row r="761" spans="1:27" hidden="1" x14ac:dyDescent="0.25">
      <c r="A761" t="str">
        <f t="shared" si="170"/>
        <v>10620013C24/05/2026M</v>
      </c>
      <c r="B761" s="169" t="s">
        <v>824</v>
      </c>
      <c r="C761" s="61" t="s">
        <v>396</v>
      </c>
      <c r="D761" s="61" t="s">
        <v>591</v>
      </c>
      <c r="E761" s="61" t="s">
        <v>595</v>
      </c>
      <c r="F761" s="1" t="s">
        <v>367</v>
      </c>
      <c r="G761" s="62" t="str">
        <f t="shared" si="171"/>
        <v>64523</v>
      </c>
      <c r="H761" s="1">
        <v>10620013</v>
      </c>
      <c r="I761" s="1" t="s">
        <v>388</v>
      </c>
      <c r="J761" s="61">
        <v>3</v>
      </c>
      <c r="K761" s="61">
        <v>4</v>
      </c>
      <c r="L761" s="61">
        <v>8.4</v>
      </c>
      <c r="M761" s="69">
        <f t="shared" si="172"/>
        <v>0.12</v>
      </c>
      <c r="N761" s="69">
        <f t="shared" si="173"/>
        <v>0.252</v>
      </c>
      <c r="O761" s="56">
        <v>38.017108800000003</v>
      </c>
      <c r="P761" s="57">
        <f t="shared" si="174"/>
        <v>114.05132640000001</v>
      </c>
      <c r="Q761" s="58">
        <f t="shared" si="175"/>
        <v>396.01155</v>
      </c>
      <c r="R761" s="58">
        <f t="shared" si="176"/>
        <v>264.0077</v>
      </c>
      <c r="S761" s="66">
        <f t="shared" si="177"/>
        <v>1.9958982120000004</v>
      </c>
      <c r="T761" s="64">
        <f t="shared" si="178"/>
        <v>11.25</v>
      </c>
      <c r="U761" s="66">
        <f t="shared" si="179"/>
        <v>127.29722461200001</v>
      </c>
      <c r="V761" s="68">
        <f t="shared" si="180"/>
        <v>42.432408204000005</v>
      </c>
      <c r="W761" s="68">
        <f t="shared" si="181"/>
        <v>442.00425212500005</v>
      </c>
      <c r="X761" s="68">
        <f t="shared" si="182"/>
        <v>294.66950141666672</v>
      </c>
      <c r="Z761" s="63"/>
      <c r="AA761" s="63"/>
    </row>
    <row r="762" spans="1:27" hidden="1" x14ac:dyDescent="0.25">
      <c r="A762" t="str">
        <f t="shared" si="170"/>
        <v>10620013B25/05/2026E</v>
      </c>
      <c r="B762" s="169" t="s">
        <v>824</v>
      </c>
      <c r="C762" s="61" t="s">
        <v>397</v>
      </c>
      <c r="D762" s="61" t="s">
        <v>591</v>
      </c>
      <c r="E762" s="61" t="s">
        <v>595</v>
      </c>
      <c r="F762" s="1" t="s">
        <v>367</v>
      </c>
      <c r="G762" s="62" t="str">
        <f t="shared" si="171"/>
        <v>64523</v>
      </c>
      <c r="H762" s="1">
        <v>10620013</v>
      </c>
      <c r="I762" s="1" t="s">
        <v>387</v>
      </c>
      <c r="J762" s="61">
        <v>9</v>
      </c>
      <c r="K762" s="61">
        <v>7.5</v>
      </c>
      <c r="L762" s="61">
        <v>8.8000000000000007</v>
      </c>
      <c r="M762" s="69">
        <f t="shared" si="172"/>
        <v>0.67500000000000004</v>
      </c>
      <c r="N762" s="69">
        <f t="shared" si="173"/>
        <v>0.79200000000000004</v>
      </c>
      <c r="O762" s="56">
        <v>61.998750000000001</v>
      </c>
      <c r="P762" s="57">
        <f t="shared" si="174"/>
        <v>557.98874999999998</v>
      </c>
      <c r="Q762" s="58">
        <f t="shared" si="175"/>
        <v>463.83104738154617</v>
      </c>
      <c r="R762" s="58">
        <f t="shared" si="176"/>
        <v>309.22069825436409</v>
      </c>
      <c r="S762" s="66">
        <f t="shared" si="177"/>
        <v>9.7648031250000003</v>
      </c>
      <c r="T762" s="64">
        <f t="shared" si="178"/>
        <v>33.75</v>
      </c>
      <c r="U762" s="66">
        <f t="shared" si="179"/>
        <v>601.50355312499994</v>
      </c>
      <c r="V762" s="68">
        <f t="shared" si="180"/>
        <v>66.833728124999993</v>
      </c>
      <c r="W762" s="68">
        <f t="shared" si="181"/>
        <v>500.00295355361595</v>
      </c>
      <c r="X762" s="68">
        <f t="shared" si="182"/>
        <v>333.33530236907728</v>
      </c>
      <c r="Z762" s="63"/>
      <c r="AA762" s="63"/>
    </row>
    <row r="763" spans="1:27" hidden="1" x14ac:dyDescent="0.25">
      <c r="A763" t="str">
        <f t="shared" si="170"/>
        <v>10620013B25/05/2026M</v>
      </c>
      <c r="B763" s="169" t="s">
        <v>825</v>
      </c>
      <c r="C763" s="61" t="s">
        <v>396</v>
      </c>
      <c r="D763" s="61" t="s">
        <v>591</v>
      </c>
      <c r="E763" s="61" t="s">
        <v>595</v>
      </c>
      <c r="F763" s="1" t="s">
        <v>367</v>
      </c>
      <c r="G763" s="62" t="str">
        <f t="shared" si="171"/>
        <v>64523</v>
      </c>
      <c r="H763" s="1">
        <v>10620013</v>
      </c>
      <c r="I763" s="1" t="s">
        <v>387</v>
      </c>
      <c r="J763" s="61">
        <v>16</v>
      </c>
      <c r="K763" s="61">
        <v>8.1</v>
      </c>
      <c r="L763" s="61">
        <v>9</v>
      </c>
      <c r="M763" s="69">
        <f t="shared" si="172"/>
        <v>1.296</v>
      </c>
      <c r="N763" s="69">
        <f t="shared" si="173"/>
        <v>1.44</v>
      </c>
      <c r="O763" s="56">
        <v>67.635000000000005</v>
      </c>
      <c r="P763" s="57">
        <f t="shared" si="174"/>
        <v>1082.1600000000001</v>
      </c>
      <c r="Q763" s="58">
        <f t="shared" si="175"/>
        <v>479.68085106382978</v>
      </c>
      <c r="R763" s="58">
        <f t="shared" si="176"/>
        <v>319.78723404255317</v>
      </c>
      <c r="S763" s="66">
        <f t="shared" si="177"/>
        <v>18.937800000000003</v>
      </c>
      <c r="T763" s="64">
        <f t="shared" si="178"/>
        <v>60</v>
      </c>
      <c r="U763" s="66">
        <f t="shared" si="179"/>
        <v>1161.0978</v>
      </c>
      <c r="V763" s="68">
        <f t="shared" si="180"/>
        <v>72.5686125</v>
      </c>
      <c r="W763" s="68">
        <f t="shared" si="181"/>
        <v>514.67101063829784</v>
      </c>
      <c r="X763" s="68">
        <f t="shared" si="182"/>
        <v>343.11400709219856</v>
      </c>
      <c r="Z763" s="63"/>
      <c r="AA763" s="63"/>
    </row>
    <row r="764" spans="1:27" hidden="1" x14ac:dyDescent="0.25">
      <c r="A764" t="str">
        <f t="shared" si="170"/>
        <v>10620013C25/05/2026M</v>
      </c>
      <c r="B764" s="169" t="s">
        <v>825</v>
      </c>
      <c r="C764" s="61" t="s">
        <v>396</v>
      </c>
      <c r="D764" s="61" t="s">
        <v>591</v>
      </c>
      <c r="E764" s="61" t="s">
        <v>595</v>
      </c>
      <c r="F764" s="1" t="s">
        <v>367</v>
      </c>
      <c r="G764" s="62" t="str">
        <f t="shared" si="171"/>
        <v>64523</v>
      </c>
      <c r="H764" s="1">
        <v>10620013</v>
      </c>
      <c r="I764" s="1" t="s">
        <v>388</v>
      </c>
      <c r="J764" s="61">
        <v>5</v>
      </c>
      <c r="K764" s="61">
        <v>3.2</v>
      </c>
      <c r="L764" s="61">
        <v>8.1</v>
      </c>
      <c r="M764" s="69">
        <f t="shared" si="172"/>
        <v>0.16</v>
      </c>
      <c r="N764" s="69">
        <f t="shared" si="173"/>
        <v>0.40500000000000003</v>
      </c>
      <c r="O764" s="56">
        <v>34.057069200000001</v>
      </c>
      <c r="P764" s="57">
        <f t="shared" si="174"/>
        <v>170.285346</v>
      </c>
      <c r="Q764" s="58">
        <f t="shared" si="175"/>
        <v>396.01243255813955</v>
      </c>
      <c r="R764" s="58">
        <f t="shared" si="176"/>
        <v>264.00828837209303</v>
      </c>
      <c r="S764" s="66">
        <f t="shared" si="177"/>
        <v>2.9799935550000005</v>
      </c>
      <c r="T764" s="64">
        <f t="shared" si="178"/>
        <v>18.75</v>
      </c>
      <c r="U764" s="66">
        <f t="shared" si="179"/>
        <v>192.015339555</v>
      </c>
      <c r="V764" s="68">
        <f t="shared" si="180"/>
        <v>38.403067911000001</v>
      </c>
      <c r="W764" s="68">
        <f t="shared" si="181"/>
        <v>446.5473012906977</v>
      </c>
      <c r="X764" s="68">
        <f t="shared" si="182"/>
        <v>297.69820086046514</v>
      </c>
      <c r="Z764" s="63"/>
      <c r="AA764" s="63"/>
    </row>
    <row r="765" spans="1:27" hidden="1" x14ac:dyDescent="0.25">
      <c r="A765" t="str">
        <f t="shared" si="170"/>
        <v>10620013B26/05/2026E</v>
      </c>
      <c r="B765" s="169" t="s">
        <v>825</v>
      </c>
      <c r="C765" s="61" t="s">
        <v>397</v>
      </c>
      <c r="D765" s="61" t="s">
        <v>591</v>
      </c>
      <c r="E765" s="61" t="s">
        <v>595</v>
      </c>
      <c r="F765" s="1" t="s">
        <v>367</v>
      </c>
      <c r="G765" s="62" t="str">
        <f t="shared" si="171"/>
        <v>64523</v>
      </c>
      <c r="H765" s="1">
        <v>10620013</v>
      </c>
      <c r="I765" s="1" t="s">
        <v>387</v>
      </c>
      <c r="J765" s="61">
        <v>17</v>
      </c>
      <c r="K765" s="61">
        <v>6.8</v>
      </c>
      <c r="L765" s="61">
        <v>8.8000000000000007</v>
      </c>
      <c r="M765" s="69">
        <f t="shared" si="172"/>
        <v>1.1559999999999999</v>
      </c>
      <c r="N765" s="69">
        <f t="shared" si="173"/>
        <v>1.4960000000000002</v>
      </c>
      <c r="O765" s="56">
        <v>56.212200000000003</v>
      </c>
      <c r="P765" s="57">
        <f t="shared" si="174"/>
        <v>955.6074000000001</v>
      </c>
      <c r="Q765" s="58">
        <f t="shared" si="175"/>
        <v>443.78052631578947</v>
      </c>
      <c r="R765" s="58">
        <f t="shared" si="176"/>
        <v>295.8536842105263</v>
      </c>
      <c r="S765" s="66">
        <f t="shared" si="177"/>
        <v>16.723129500000002</v>
      </c>
      <c r="T765" s="64">
        <f t="shared" si="178"/>
        <v>63.75</v>
      </c>
      <c r="U765" s="66">
        <f t="shared" si="179"/>
        <v>1036.0805295</v>
      </c>
      <c r="V765" s="68">
        <f t="shared" si="180"/>
        <v>60.945913500000003</v>
      </c>
      <c r="W765" s="68">
        <f t="shared" si="181"/>
        <v>481.15194868421054</v>
      </c>
      <c r="X765" s="68">
        <f t="shared" si="182"/>
        <v>320.76796578947369</v>
      </c>
      <c r="Z765" s="63"/>
      <c r="AA765" s="63"/>
    </row>
    <row r="766" spans="1:27" hidden="1" x14ac:dyDescent="0.25">
      <c r="A766" t="str">
        <f t="shared" si="170"/>
        <v>10620013B26/05/2026M</v>
      </c>
      <c r="B766" s="169" t="s">
        <v>826</v>
      </c>
      <c r="C766" s="61" t="s">
        <v>396</v>
      </c>
      <c r="D766" s="61" t="s">
        <v>591</v>
      </c>
      <c r="E766" s="61" t="s">
        <v>595</v>
      </c>
      <c r="F766" s="1" t="s">
        <v>367</v>
      </c>
      <c r="G766" s="62" t="str">
        <f t="shared" si="171"/>
        <v>64523</v>
      </c>
      <c r="H766" s="1">
        <v>10620013</v>
      </c>
      <c r="I766" s="1" t="s">
        <v>387</v>
      </c>
      <c r="J766" s="61">
        <v>18</v>
      </c>
      <c r="K766" s="61">
        <v>7.6</v>
      </c>
      <c r="L766" s="61">
        <v>8.8000000000000007</v>
      </c>
      <c r="M766" s="69">
        <f t="shared" si="172"/>
        <v>1.3679999999999999</v>
      </c>
      <c r="N766" s="69">
        <f t="shared" si="173"/>
        <v>1.5840000000000001</v>
      </c>
      <c r="O766" s="56">
        <f>INDEX(Rate_Chart!$A$1:$AK$127,MATCH(Data!K766,Rate_Chart!$A$1:$A$127,0),MATCH(Data!L766,Rate_Chart!$A$1:$AK$1,0))</f>
        <v>62.825400000000002</v>
      </c>
      <c r="P766" s="57">
        <f t="shared" si="174"/>
        <v>1130.8571999999999</v>
      </c>
      <c r="Q766" s="58">
        <f t="shared" si="175"/>
        <v>466.5252475247525</v>
      </c>
      <c r="R766" s="58">
        <f t="shared" si="176"/>
        <v>311.01683168316833</v>
      </c>
      <c r="S766" s="66">
        <f t="shared" si="177"/>
        <v>19.790001</v>
      </c>
      <c r="T766" s="64">
        <f t="shared" si="178"/>
        <v>67.5</v>
      </c>
      <c r="U766" s="66">
        <f t="shared" si="179"/>
        <v>1218.147201</v>
      </c>
      <c r="V766" s="68">
        <f t="shared" si="180"/>
        <v>67.674844500000006</v>
      </c>
      <c r="W766" s="68">
        <f t="shared" si="181"/>
        <v>502.53597400990105</v>
      </c>
      <c r="X766" s="68">
        <f t="shared" si="182"/>
        <v>335.02398267326737</v>
      </c>
      <c r="Z766" s="63"/>
      <c r="AA766" s="63"/>
    </row>
    <row r="767" spans="1:27" hidden="1" x14ac:dyDescent="0.25">
      <c r="A767" t="str">
        <f t="shared" si="170"/>
        <v>10620013C26/05/2026M</v>
      </c>
      <c r="B767" s="169" t="s">
        <v>826</v>
      </c>
      <c r="C767" s="61" t="s">
        <v>396</v>
      </c>
      <c r="D767" s="61" t="s">
        <v>591</v>
      </c>
      <c r="E767" s="61" t="s">
        <v>595</v>
      </c>
      <c r="F767" s="1" t="s">
        <v>367</v>
      </c>
      <c r="G767" s="62" t="str">
        <f t="shared" si="171"/>
        <v>64523</v>
      </c>
      <c r="H767" s="1">
        <v>10620013</v>
      </c>
      <c r="I767" s="1" t="s">
        <v>388</v>
      </c>
      <c r="J767" s="61">
        <v>7</v>
      </c>
      <c r="K767" s="61">
        <v>4</v>
      </c>
      <c r="L767" s="61">
        <v>8.1999999999999993</v>
      </c>
      <c r="M767" s="69">
        <f t="shared" si="172"/>
        <v>0.28000000000000003</v>
      </c>
      <c r="N767" s="69">
        <f t="shared" si="173"/>
        <v>0.57399999999999995</v>
      </c>
      <c r="O767" s="56">
        <f>INDEX(Rate_Chart!$A$1:$AK$127,MATCH(Data!K767,Rate_Chart!$A$1:$A$127,0),MATCH(Data!L767,Rate_Chart!$A$1:$AK$1,0))</f>
        <v>39.477139800000003</v>
      </c>
      <c r="P767" s="57">
        <f t="shared" si="174"/>
        <v>276.33997859999999</v>
      </c>
      <c r="Q767" s="58">
        <f t="shared" si="175"/>
        <v>417.0120401408451</v>
      </c>
      <c r="R767" s="58">
        <f t="shared" si="176"/>
        <v>278.00802676056338</v>
      </c>
      <c r="S767" s="66">
        <f t="shared" si="177"/>
        <v>4.8359496255000005</v>
      </c>
      <c r="T767" s="64">
        <f t="shared" si="178"/>
        <v>26.25</v>
      </c>
      <c r="U767" s="66">
        <f t="shared" si="179"/>
        <v>307.4259282255</v>
      </c>
      <c r="V767" s="68">
        <f t="shared" si="180"/>
        <v>43.917989746499998</v>
      </c>
      <c r="W767" s="68">
        <f t="shared" si="181"/>
        <v>463.92242689964786</v>
      </c>
      <c r="X767" s="68">
        <f t="shared" si="182"/>
        <v>309.28161793309857</v>
      </c>
      <c r="Z767" s="63"/>
      <c r="AA767" s="63"/>
    </row>
    <row r="768" spans="1:27" hidden="1" x14ac:dyDescent="0.25">
      <c r="A768" t="str">
        <f t="shared" si="170"/>
        <v>10620013B27/05/2026E</v>
      </c>
      <c r="B768" s="169" t="s">
        <v>826</v>
      </c>
      <c r="C768" s="61" t="s">
        <v>397</v>
      </c>
      <c r="D768" s="61" t="s">
        <v>591</v>
      </c>
      <c r="E768" s="61" t="s">
        <v>595</v>
      </c>
      <c r="F768" s="1" t="s">
        <v>367</v>
      </c>
      <c r="G768" s="62" t="str">
        <f t="shared" si="171"/>
        <v>64523</v>
      </c>
      <c r="H768" s="1">
        <v>10620013</v>
      </c>
      <c r="I768" s="1" t="s">
        <v>387</v>
      </c>
      <c r="J768" s="61">
        <v>18</v>
      </c>
      <c r="K768" s="61">
        <v>7.8</v>
      </c>
      <c r="L768" s="61">
        <v>9</v>
      </c>
      <c r="M768" s="69">
        <f t="shared" si="172"/>
        <v>1.4040000000000001</v>
      </c>
      <c r="N768" s="69">
        <f t="shared" si="173"/>
        <v>1.62</v>
      </c>
      <c r="O768" s="56">
        <f>INDEX(Rate_Chart!$A$1:$AK$127,MATCH(Data!K768,Rate_Chart!$A$1:$A$127,0),MATCH(Data!L768,Rate_Chart!$A$1:$AK$1,0))</f>
        <v>65.13</v>
      </c>
      <c r="P768" s="57">
        <f t="shared" si="174"/>
        <v>1172.3399999999999</v>
      </c>
      <c r="Q768" s="58">
        <f t="shared" si="175"/>
        <v>471.95652173913038</v>
      </c>
      <c r="R768" s="58">
        <f t="shared" si="176"/>
        <v>314.63768115942025</v>
      </c>
      <c r="S768" s="66">
        <f t="shared" si="177"/>
        <v>20.51595</v>
      </c>
      <c r="T768" s="64">
        <f t="shared" si="178"/>
        <v>67.5</v>
      </c>
      <c r="U768" s="66">
        <f t="shared" si="179"/>
        <v>1260.3559499999999</v>
      </c>
      <c r="V768" s="68">
        <f t="shared" si="180"/>
        <v>70.019774999999996</v>
      </c>
      <c r="W768" s="68">
        <f t="shared" si="181"/>
        <v>507.3896739130434</v>
      </c>
      <c r="X768" s="68">
        <f t="shared" si="182"/>
        <v>338.25978260869562</v>
      </c>
      <c r="Z768" s="63"/>
      <c r="AA768" s="63"/>
    </row>
    <row r="769" spans="1:27" hidden="1" x14ac:dyDescent="0.25">
      <c r="A769" t="str">
        <f t="shared" si="170"/>
        <v>10620013B27/05/2026M</v>
      </c>
      <c r="B769" s="169" t="s">
        <v>827</v>
      </c>
      <c r="C769" s="61" t="s">
        <v>396</v>
      </c>
      <c r="D769" s="61" t="s">
        <v>591</v>
      </c>
      <c r="E769" s="61" t="s">
        <v>595</v>
      </c>
      <c r="F769" s="1" t="s">
        <v>367</v>
      </c>
      <c r="G769" s="62" t="str">
        <f t="shared" si="171"/>
        <v>64523</v>
      </c>
      <c r="H769" s="1">
        <v>10620013</v>
      </c>
      <c r="I769" s="1" t="s">
        <v>387</v>
      </c>
      <c r="J769" s="61">
        <v>14</v>
      </c>
      <c r="K769" s="61">
        <v>8.3000000000000007</v>
      </c>
      <c r="L769" s="61">
        <v>9</v>
      </c>
      <c r="M769" s="69">
        <f t="shared" si="172"/>
        <v>1.1620000000000001</v>
      </c>
      <c r="N769" s="69">
        <f t="shared" si="173"/>
        <v>1.26</v>
      </c>
      <c r="O769" s="56">
        <f>INDEX(Rate_Chart!$A$1:$AK$127,MATCH(Data!K769,Rate_Chart!$A$1:$A$127,0),MATCH(Data!L769,Rate_Chart!$A$1:$AK$1,0))</f>
        <v>69.305000000000007</v>
      </c>
      <c r="P769" s="57">
        <f t="shared" si="174"/>
        <v>970.2700000000001</v>
      </c>
      <c r="Q769" s="58">
        <f t="shared" si="175"/>
        <v>484.65034965034965</v>
      </c>
      <c r="R769" s="58">
        <f t="shared" si="176"/>
        <v>323.10023310023308</v>
      </c>
      <c r="S769" s="66">
        <f t="shared" si="177"/>
        <v>16.979725000000002</v>
      </c>
      <c r="T769" s="64">
        <f t="shared" si="178"/>
        <v>52.5</v>
      </c>
      <c r="U769" s="66">
        <f t="shared" si="179"/>
        <v>1039.7497250000001</v>
      </c>
      <c r="V769" s="68">
        <f t="shared" si="180"/>
        <v>74.267837500000013</v>
      </c>
      <c r="W769" s="68">
        <f t="shared" si="181"/>
        <v>519.355506993007</v>
      </c>
      <c r="X769" s="68">
        <f t="shared" si="182"/>
        <v>346.23700466200467</v>
      </c>
      <c r="Z769" s="63"/>
      <c r="AA769" s="63"/>
    </row>
    <row r="770" spans="1:27" hidden="1" x14ac:dyDescent="0.25">
      <c r="A770" t="str">
        <f t="shared" si="170"/>
        <v>10620013C27/05/2026M</v>
      </c>
      <c r="B770" s="169" t="s">
        <v>827</v>
      </c>
      <c r="C770" s="61" t="s">
        <v>396</v>
      </c>
      <c r="D770" s="61" t="s">
        <v>591</v>
      </c>
      <c r="E770" s="61" t="s">
        <v>595</v>
      </c>
      <c r="F770" s="1" t="s">
        <v>367</v>
      </c>
      <c r="G770" s="62" t="str">
        <f t="shared" si="171"/>
        <v>64523</v>
      </c>
      <c r="H770" s="1">
        <v>10620013</v>
      </c>
      <c r="I770" s="1" t="s">
        <v>388</v>
      </c>
      <c r="J770" s="61">
        <v>10</v>
      </c>
      <c r="K770" s="61">
        <v>4.2</v>
      </c>
      <c r="L770" s="61">
        <v>8.4</v>
      </c>
      <c r="M770" s="69">
        <f t="shared" si="172"/>
        <v>0.42</v>
      </c>
      <c r="N770" s="69">
        <f t="shared" si="173"/>
        <v>0.84</v>
      </c>
      <c r="O770" s="56">
        <f>INDEX(Rate_Chart!$A$1:$AK$127,MATCH(Data!K770,Rate_Chart!$A$1:$A$127,0),MATCH(Data!L770,Rate_Chart!$A$1:$AK$1,0))</f>
        <v>40.867167600000002</v>
      </c>
      <c r="P770" s="57">
        <f t="shared" si="174"/>
        <v>408.67167600000005</v>
      </c>
      <c r="Q770" s="58">
        <f t="shared" si="175"/>
        <v>417.01191428571428</v>
      </c>
      <c r="R770" s="58">
        <f t="shared" si="176"/>
        <v>278.00794285714284</v>
      </c>
      <c r="S770" s="66">
        <f t="shared" si="177"/>
        <v>7.1517543300000019</v>
      </c>
      <c r="T770" s="64">
        <f t="shared" si="178"/>
        <v>37.5</v>
      </c>
      <c r="U770" s="66">
        <f t="shared" si="179"/>
        <v>453.32343033000006</v>
      </c>
      <c r="V770" s="68">
        <f t="shared" si="180"/>
        <v>45.332343033000008</v>
      </c>
      <c r="W770" s="68">
        <f t="shared" si="181"/>
        <v>462.57492890816332</v>
      </c>
      <c r="X770" s="68">
        <f t="shared" si="182"/>
        <v>308.38328593877554</v>
      </c>
      <c r="Z770" s="63"/>
      <c r="AA770" s="63"/>
    </row>
    <row r="771" spans="1:27" hidden="1" x14ac:dyDescent="0.25">
      <c r="A771" t="str">
        <f t="shared" si="170"/>
        <v>10620013B27/05/2026E</v>
      </c>
      <c r="B771" s="169" t="s">
        <v>827</v>
      </c>
      <c r="C771" s="61" t="s">
        <v>397</v>
      </c>
      <c r="D771" s="61" t="s">
        <v>591</v>
      </c>
      <c r="E771" s="61" t="s">
        <v>595</v>
      </c>
      <c r="F771" s="1" t="s">
        <v>367</v>
      </c>
      <c r="G771" s="62" t="str">
        <f t="shared" si="171"/>
        <v>64523</v>
      </c>
      <c r="H771" s="1">
        <v>10620013</v>
      </c>
      <c r="I771" s="1" t="s">
        <v>387</v>
      </c>
      <c r="J771" s="61">
        <v>14</v>
      </c>
      <c r="K771" s="61">
        <v>7.1</v>
      </c>
      <c r="L771" s="61">
        <v>9</v>
      </c>
      <c r="M771" s="69">
        <f t="shared" si="172"/>
        <v>0.99399999999999988</v>
      </c>
      <c r="N771" s="69">
        <f t="shared" si="173"/>
        <v>1.26</v>
      </c>
      <c r="O771" s="56">
        <f>INDEX(Rate_Chart!$A$1:$AK$127,MATCH(Data!K771,Rate_Chart!$A$1:$A$127,0),MATCH(Data!L771,Rate_Chart!$A$1:$AK$1,0))</f>
        <v>59.284999999999997</v>
      </c>
      <c r="P771" s="57">
        <f t="shared" si="174"/>
        <v>829.99</v>
      </c>
      <c r="Q771" s="58">
        <f t="shared" si="175"/>
        <v>452.55725190839689</v>
      </c>
      <c r="R771" s="58">
        <f t="shared" si="176"/>
        <v>301.70483460559791</v>
      </c>
      <c r="S771" s="66">
        <f t="shared" si="177"/>
        <v>14.524825000000002</v>
      </c>
      <c r="T771" s="64">
        <f t="shared" si="178"/>
        <v>52.5</v>
      </c>
      <c r="U771" s="66">
        <f t="shared" si="179"/>
        <v>897.01482499999997</v>
      </c>
      <c r="V771" s="68">
        <f t="shared" si="180"/>
        <v>64.072487499999994</v>
      </c>
      <c r="W771" s="68">
        <f t="shared" si="181"/>
        <v>489.10295801526712</v>
      </c>
      <c r="X771" s="68">
        <f t="shared" si="182"/>
        <v>326.06863867684473</v>
      </c>
      <c r="Z771" s="63"/>
      <c r="AA771" s="63"/>
    </row>
    <row r="772" spans="1:27" hidden="1" x14ac:dyDescent="0.25">
      <c r="A772" t="str">
        <f t="shared" si="170"/>
        <v>10620013C28/05/2026E</v>
      </c>
      <c r="B772" s="169" t="s">
        <v>827</v>
      </c>
      <c r="C772" s="61" t="s">
        <v>397</v>
      </c>
      <c r="D772" s="61" t="s">
        <v>591</v>
      </c>
      <c r="E772" s="61" t="s">
        <v>595</v>
      </c>
      <c r="F772" s="1" t="s">
        <v>367</v>
      </c>
      <c r="G772" s="62" t="str">
        <f t="shared" si="171"/>
        <v>64523</v>
      </c>
      <c r="H772" s="1">
        <v>10620013</v>
      </c>
      <c r="I772" s="1" t="s">
        <v>388</v>
      </c>
      <c r="J772" s="61">
        <v>6</v>
      </c>
      <c r="K772" s="61">
        <v>4.0999999999999996</v>
      </c>
      <c r="L772" s="61">
        <v>8.5</v>
      </c>
      <c r="M772" s="69">
        <f t="shared" si="172"/>
        <v>0.24599999999999997</v>
      </c>
      <c r="N772" s="69">
        <f t="shared" si="173"/>
        <v>0.51</v>
      </c>
      <c r="O772" s="56">
        <f>INDEX(Rate_Chart!$A$1:$AK$127,MATCH(Data!K772,Rate_Chart!$A$1:$A$127,0),MATCH(Data!L772,Rate_Chart!$A$1:$AK$1,0))</f>
        <v>40.728181500000005</v>
      </c>
      <c r="P772" s="57">
        <f t="shared" si="174"/>
        <v>244.36908900000003</v>
      </c>
      <c r="Q772" s="58">
        <f t="shared" si="175"/>
        <v>417.01209726962463</v>
      </c>
      <c r="R772" s="58">
        <f t="shared" si="176"/>
        <v>278.0080648464164</v>
      </c>
      <c r="S772" s="66">
        <f t="shared" si="177"/>
        <v>4.2764590575000012</v>
      </c>
      <c r="T772" s="64">
        <f t="shared" si="178"/>
        <v>22.5</v>
      </c>
      <c r="U772" s="66">
        <f t="shared" si="179"/>
        <v>271.14554805750004</v>
      </c>
      <c r="V772" s="68">
        <f t="shared" si="180"/>
        <v>45.190924676250006</v>
      </c>
      <c r="W772" s="68">
        <f t="shared" si="181"/>
        <v>462.70571340870316</v>
      </c>
      <c r="X772" s="68">
        <f t="shared" si="182"/>
        <v>308.47047560580211</v>
      </c>
      <c r="Z772" s="63"/>
      <c r="AA772" s="63"/>
    </row>
    <row r="773" spans="1:27" hidden="1" x14ac:dyDescent="0.25">
      <c r="A773" t="str">
        <f t="shared" ref="A773:A836" si="183">CONCATENATE(H773,I773,B774,C773)</f>
        <v>10620013B28/05/2026M</v>
      </c>
      <c r="B773" s="169" t="s">
        <v>828</v>
      </c>
      <c r="C773" s="61" t="s">
        <v>396</v>
      </c>
      <c r="D773" s="61" t="s">
        <v>591</v>
      </c>
      <c r="E773" s="61" t="s">
        <v>595</v>
      </c>
      <c r="F773" s="1" t="s">
        <v>367</v>
      </c>
      <c r="G773" s="62" t="str">
        <f t="shared" si="171"/>
        <v>64523</v>
      </c>
      <c r="H773" s="1">
        <v>10620013</v>
      </c>
      <c r="I773" s="1" t="s">
        <v>387</v>
      </c>
      <c r="J773" s="61">
        <v>11</v>
      </c>
      <c r="K773" s="61">
        <v>8.4</v>
      </c>
      <c r="L773" s="61">
        <v>9</v>
      </c>
      <c r="M773" s="69">
        <f t="shared" si="172"/>
        <v>0.92400000000000004</v>
      </c>
      <c r="N773" s="69">
        <f t="shared" si="173"/>
        <v>0.99</v>
      </c>
      <c r="O773" s="56">
        <f>INDEX(Rate_Chart!$A$1:$AK$127,MATCH(Data!K773,Rate_Chart!$A$1:$A$127,0),MATCH(Data!L773,Rate_Chart!$A$1:$AK$1,0))</f>
        <v>70.14</v>
      </c>
      <c r="P773" s="57">
        <f t="shared" si="174"/>
        <v>771.54</v>
      </c>
      <c r="Q773" s="58">
        <f t="shared" si="175"/>
        <v>487.08333333333326</v>
      </c>
      <c r="R773" s="58">
        <f t="shared" si="176"/>
        <v>324.72222222222217</v>
      </c>
      <c r="S773" s="66">
        <f t="shared" si="177"/>
        <v>13.501950000000001</v>
      </c>
      <c r="T773" s="64">
        <f t="shared" si="178"/>
        <v>41.25</v>
      </c>
      <c r="U773" s="66">
        <f t="shared" si="179"/>
        <v>826.29194999999993</v>
      </c>
      <c r="V773" s="68">
        <f t="shared" si="180"/>
        <v>75.117449999999991</v>
      </c>
      <c r="W773" s="68">
        <f t="shared" si="181"/>
        <v>521.64895833333321</v>
      </c>
      <c r="X773" s="68">
        <f t="shared" si="182"/>
        <v>347.76597222222216</v>
      </c>
      <c r="Z773" s="63"/>
      <c r="AA773" s="63"/>
    </row>
    <row r="774" spans="1:27" hidden="1" x14ac:dyDescent="0.25">
      <c r="A774" t="str">
        <f t="shared" si="183"/>
        <v>10620013C28/05/2026M</v>
      </c>
      <c r="B774" s="169" t="s">
        <v>828</v>
      </c>
      <c r="C774" s="61" t="s">
        <v>396</v>
      </c>
      <c r="D774" s="61" t="s">
        <v>591</v>
      </c>
      <c r="E774" s="61" t="s">
        <v>595</v>
      </c>
      <c r="F774" s="1" t="s">
        <v>367</v>
      </c>
      <c r="G774" s="62" t="str">
        <f t="shared" ref="G774:G837" si="184">MID(F774,2,5)</f>
        <v>64523</v>
      </c>
      <c r="H774" s="1">
        <v>10620013</v>
      </c>
      <c r="I774" s="1" t="s">
        <v>388</v>
      </c>
      <c r="J774" s="61">
        <v>9</v>
      </c>
      <c r="K774" s="61">
        <v>3.7</v>
      </c>
      <c r="L774" s="61">
        <v>8.1</v>
      </c>
      <c r="M774" s="69">
        <f t="shared" si="172"/>
        <v>0.33300000000000002</v>
      </c>
      <c r="N774" s="69">
        <f t="shared" si="173"/>
        <v>0.72899999999999987</v>
      </c>
      <c r="O774" s="56">
        <f>INDEX(Rate_Chart!$A$1:$AK$127,MATCH(Data!K774,Rate_Chart!$A$1:$A$127,0),MATCH(Data!L774,Rate_Chart!$A$1:$AK$1,0))</f>
        <v>37.948125900000008</v>
      </c>
      <c r="P774" s="57">
        <f t="shared" si="174"/>
        <v>341.5331331000001</v>
      </c>
      <c r="Q774" s="58">
        <f t="shared" si="175"/>
        <v>417.01237252747262</v>
      </c>
      <c r="R774" s="58">
        <f t="shared" si="176"/>
        <v>278.00824835164843</v>
      </c>
      <c r="S774" s="66">
        <f t="shared" si="177"/>
        <v>5.9768298292500024</v>
      </c>
      <c r="T774" s="64">
        <f t="shared" si="178"/>
        <v>33.75</v>
      </c>
      <c r="U774" s="66">
        <f t="shared" si="179"/>
        <v>381.25996292925009</v>
      </c>
      <c r="V774" s="68">
        <f t="shared" si="180"/>
        <v>42.362218103250008</v>
      </c>
      <c r="W774" s="68">
        <f t="shared" si="181"/>
        <v>465.51888025549459</v>
      </c>
      <c r="X774" s="68">
        <f t="shared" si="182"/>
        <v>310.34592017032975</v>
      </c>
      <c r="Z774" s="63"/>
      <c r="AA774" s="63"/>
    </row>
    <row r="775" spans="1:27" hidden="1" x14ac:dyDescent="0.25">
      <c r="A775" t="str">
        <f t="shared" si="183"/>
        <v>10620013B28/05/2026E</v>
      </c>
      <c r="B775" s="169" t="s">
        <v>828</v>
      </c>
      <c r="C775" s="61" t="s">
        <v>397</v>
      </c>
      <c r="D775" s="61" t="s">
        <v>591</v>
      </c>
      <c r="E775" s="61" t="s">
        <v>595</v>
      </c>
      <c r="F775" s="1" t="s">
        <v>367</v>
      </c>
      <c r="G775" s="62" t="str">
        <f t="shared" si="184"/>
        <v>64523</v>
      </c>
      <c r="H775" s="1">
        <v>10620013</v>
      </c>
      <c r="I775" s="1" t="s">
        <v>387</v>
      </c>
      <c r="J775" s="61">
        <v>15</v>
      </c>
      <c r="K775" s="61">
        <v>7.2</v>
      </c>
      <c r="L775" s="61">
        <v>8.8000000000000007</v>
      </c>
      <c r="M775" s="69">
        <f t="shared" si="172"/>
        <v>1.08</v>
      </c>
      <c r="N775" s="69">
        <f t="shared" si="173"/>
        <v>1.32</v>
      </c>
      <c r="O775" s="56">
        <f>INDEX(Rate_Chart!$A$1:$AK$127,MATCH(Data!K775,Rate_Chart!$A$1:$A$127,0),MATCH(Data!L775,Rate_Chart!$A$1:$AK$1,0))</f>
        <v>59.518800000000006</v>
      </c>
      <c r="P775" s="57">
        <f t="shared" si="174"/>
        <v>892.78200000000004</v>
      </c>
      <c r="Q775" s="58">
        <f t="shared" si="175"/>
        <v>455.50102040816324</v>
      </c>
      <c r="R775" s="58">
        <f t="shared" si="176"/>
        <v>303.66734693877549</v>
      </c>
      <c r="S775" s="66">
        <f t="shared" si="177"/>
        <v>15.623685000000002</v>
      </c>
      <c r="T775" s="64">
        <f t="shared" si="178"/>
        <v>56.25</v>
      </c>
      <c r="U775" s="66">
        <f t="shared" si="179"/>
        <v>964.65568500000006</v>
      </c>
      <c r="V775" s="68">
        <f t="shared" si="180"/>
        <v>64.310378999999998</v>
      </c>
      <c r="W775" s="68">
        <f t="shared" si="181"/>
        <v>492.17126785714277</v>
      </c>
      <c r="X775" s="68">
        <f t="shared" si="182"/>
        <v>328.11417857142851</v>
      </c>
      <c r="Z775" s="63"/>
      <c r="AA775" s="63"/>
    </row>
    <row r="776" spans="1:27" hidden="1" x14ac:dyDescent="0.25">
      <c r="A776" t="str">
        <f t="shared" si="183"/>
        <v>10620013C22/05/2026E</v>
      </c>
      <c r="B776" s="169" t="s">
        <v>828</v>
      </c>
      <c r="C776" s="61" t="s">
        <v>397</v>
      </c>
      <c r="D776" s="61" t="s">
        <v>591</v>
      </c>
      <c r="E776" s="61" t="s">
        <v>595</v>
      </c>
      <c r="F776" s="1" t="s">
        <v>367</v>
      </c>
      <c r="G776" s="62" t="str">
        <f t="shared" si="184"/>
        <v>64523</v>
      </c>
      <c r="H776" s="1">
        <v>10620013</v>
      </c>
      <c r="I776" s="1" t="s">
        <v>388</v>
      </c>
      <c r="J776" s="61">
        <v>8</v>
      </c>
      <c r="K776" s="61">
        <v>4.0999999999999996</v>
      </c>
      <c r="L776" s="61">
        <v>8.1</v>
      </c>
      <c r="M776" s="69">
        <f t="shared" si="172"/>
        <v>0.32799999999999996</v>
      </c>
      <c r="N776" s="69">
        <f t="shared" si="173"/>
        <v>0.64800000000000002</v>
      </c>
      <c r="O776" s="56">
        <f>INDEX(Rate_Chart!$A$1:$AK$127,MATCH(Data!K776,Rate_Chart!$A$1:$A$127,0),MATCH(Data!L776,Rate_Chart!$A$1:$AK$1,0))</f>
        <v>39.6161259</v>
      </c>
      <c r="P776" s="57">
        <f t="shared" si="174"/>
        <v>316.9290072</v>
      </c>
      <c r="Q776" s="58">
        <f t="shared" si="175"/>
        <v>417.01185157894736</v>
      </c>
      <c r="R776" s="58">
        <f t="shared" si="176"/>
        <v>278.00790105263155</v>
      </c>
      <c r="S776" s="66">
        <f t="shared" si="177"/>
        <v>5.5462576260000009</v>
      </c>
      <c r="T776" s="64">
        <f t="shared" si="178"/>
        <v>30</v>
      </c>
      <c r="U776" s="66">
        <f t="shared" si="179"/>
        <v>352.475264826</v>
      </c>
      <c r="V776" s="68">
        <f t="shared" si="180"/>
        <v>44.05940810325</v>
      </c>
      <c r="W776" s="68">
        <f t="shared" si="181"/>
        <v>463.78324319210526</v>
      </c>
      <c r="X776" s="68">
        <f t="shared" si="182"/>
        <v>309.18882879473682</v>
      </c>
      <c r="Z776" s="63"/>
      <c r="AA776" s="63"/>
    </row>
    <row r="777" spans="1:27" hidden="1" x14ac:dyDescent="0.25">
      <c r="A777" t="str">
        <f t="shared" si="183"/>
        <v>10620026B22/05/2026M</v>
      </c>
      <c r="B777" s="169" t="s">
        <v>822</v>
      </c>
      <c r="C777" s="61" t="s">
        <v>396</v>
      </c>
      <c r="D777" s="61" t="s">
        <v>591</v>
      </c>
      <c r="E777" s="61" t="s">
        <v>594</v>
      </c>
      <c r="F777" s="1" t="s">
        <v>368</v>
      </c>
      <c r="G777" s="62" t="str">
        <f t="shared" si="184"/>
        <v>64528</v>
      </c>
      <c r="H777" s="1">
        <v>10620026</v>
      </c>
      <c r="I777" s="1" t="s">
        <v>387</v>
      </c>
      <c r="J777" s="61">
        <v>18</v>
      </c>
      <c r="K777" s="61">
        <v>7.8</v>
      </c>
      <c r="L777" s="61">
        <v>8.8000000000000007</v>
      </c>
      <c r="M777" s="69">
        <f t="shared" si="172"/>
        <v>1.4040000000000001</v>
      </c>
      <c r="N777" s="69">
        <f t="shared" si="173"/>
        <v>1.5840000000000001</v>
      </c>
      <c r="O777" s="56">
        <v>64.478699999999989</v>
      </c>
      <c r="P777" s="57">
        <f t="shared" si="174"/>
        <v>1160.6165999999998</v>
      </c>
      <c r="Q777" s="58">
        <f t="shared" si="175"/>
        <v>471.7953658536585</v>
      </c>
      <c r="R777" s="58">
        <f t="shared" si="176"/>
        <v>314.530243902439</v>
      </c>
      <c r="S777" s="66">
        <f t="shared" si="177"/>
        <v>20.3107905</v>
      </c>
      <c r="T777" s="64">
        <f t="shared" si="178"/>
        <v>67.5</v>
      </c>
      <c r="U777" s="66">
        <f t="shared" si="179"/>
        <v>1248.4273904999998</v>
      </c>
      <c r="V777" s="68">
        <f t="shared" si="180"/>
        <v>69.357077249999989</v>
      </c>
      <c r="W777" s="68">
        <f t="shared" si="181"/>
        <v>507.49080914634141</v>
      </c>
      <c r="X777" s="68">
        <f t="shared" si="182"/>
        <v>338.32720609756092</v>
      </c>
      <c r="Z777" s="63"/>
      <c r="AA777" s="63"/>
    </row>
    <row r="778" spans="1:27" hidden="1" x14ac:dyDescent="0.25">
      <c r="A778" t="str">
        <f t="shared" si="183"/>
        <v>10620026C22/05/2026M</v>
      </c>
      <c r="B778" s="169" t="s">
        <v>822</v>
      </c>
      <c r="C778" s="61" t="s">
        <v>396</v>
      </c>
      <c r="D778" s="61" t="s">
        <v>591</v>
      </c>
      <c r="E778" s="61" t="s">
        <v>594</v>
      </c>
      <c r="F778" s="1" t="s">
        <v>368</v>
      </c>
      <c r="G778" s="62" t="str">
        <f t="shared" si="184"/>
        <v>64528</v>
      </c>
      <c r="H778" s="1">
        <v>10620026</v>
      </c>
      <c r="I778" s="1" t="s">
        <v>388</v>
      </c>
      <c r="J778" s="61">
        <v>30</v>
      </c>
      <c r="K778" s="61">
        <v>5.0999999999999996</v>
      </c>
      <c r="L778" s="61">
        <v>8.5</v>
      </c>
      <c r="M778" s="69">
        <f t="shared" si="172"/>
        <v>1.53</v>
      </c>
      <c r="N778" s="69">
        <f t="shared" si="173"/>
        <v>2.5499999999999998</v>
      </c>
      <c r="O778" s="56">
        <v>42.637122000000005</v>
      </c>
      <c r="P778" s="57">
        <f t="shared" si="174"/>
        <v>1279.1136600000002</v>
      </c>
      <c r="Q778" s="58">
        <f t="shared" si="175"/>
        <v>396.01042105263167</v>
      </c>
      <c r="R778" s="58">
        <f t="shared" si="176"/>
        <v>264.00694736842109</v>
      </c>
      <c r="S778" s="66">
        <f t="shared" si="177"/>
        <v>22.384489050000006</v>
      </c>
      <c r="T778" s="64">
        <f t="shared" si="178"/>
        <v>112.5</v>
      </c>
      <c r="U778" s="66">
        <f t="shared" si="179"/>
        <v>1413.9981490500002</v>
      </c>
      <c r="V778" s="68">
        <f t="shared" si="180"/>
        <v>47.133271635000007</v>
      </c>
      <c r="W778" s="68">
        <f t="shared" si="181"/>
        <v>437.77032478328181</v>
      </c>
      <c r="X778" s="68">
        <f t="shared" si="182"/>
        <v>291.84688318885452</v>
      </c>
      <c r="Z778" s="63"/>
      <c r="AA778" s="63"/>
    </row>
    <row r="779" spans="1:27" hidden="1" x14ac:dyDescent="0.25">
      <c r="A779" t="str">
        <f t="shared" si="183"/>
        <v>10620026B22/05/2026E</v>
      </c>
      <c r="B779" s="169" t="s">
        <v>822</v>
      </c>
      <c r="C779" s="61" t="s">
        <v>397</v>
      </c>
      <c r="D779" s="61" t="s">
        <v>591</v>
      </c>
      <c r="E779" s="61" t="s">
        <v>594</v>
      </c>
      <c r="F779" s="1" t="s">
        <v>368</v>
      </c>
      <c r="G779" s="62" t="str">
        <f t="shared" si="184"/>
        <v>64528</v>
      </c>
      <c r="H779" s="1">
        <v>10620026</v>
      </c>
      <c r="I779" s="1" t="s">
        <v>387</v>
      </c>
      <c r="J779" s="61">
        <v>10</v>
      </c>
      <c r="K779" s="61">
        <v>6.3</v>
      </c>
      <c r="L779" s="61">
        <v>8.8000000000000007</v>
      </c>
      <c r="M779" s="69">
        <f t="shared" si="172"/>
        <v>0.63</v>
      </c>
      <c r="N779" s="69">
        <f t="shared" si="173"/>
        <v>0.88</v>
      </c>
      <c r="O779" s="56">
        <v>52.078949999999999</v>
      </c>
      <c r="P779" s="57">
        <f t="shared" si="174"/>
        <v>520.78949999999998</v>
      </c>
      <c r="Q779" s="58">
        <f t="shared" si="175"/>
        <v>428.04616438356163</v>
      </c>
      <c r="R779" s="58">
        <f t="shared" si="176"/>
        <v>285.36410958904111</v>
      </c>
      <c r="S779" s="66">
        <f t="shared" si="177"/>
        <v>9.1138162500000011</v>
      </c>
      <c r="T779" s="64">
        <f t="shared" si="178"/>
        <v>37.5</v>
      </c>
      <c r="U779" s="66">
        <f t="shared" si="179"/>
        <v>567.40331624999999</v>
      </c>
      <c r="V779" s="68">
        <f t="shared" si="180"/>
        <v>56.740331624999996</v>
      </c>
      <c r="W779" s="68">
        <f t="shared" si="181"/>
        <v>466.35889006849311</v>
      </c>
      <c r="X779" s="68">
        <f t="shared" si="182"/>
        <v>310.90592671232872</v>
      </c>
      <c r="Z779" s="63"/>
      <c r="AA779" s="63"/>
    </row>
    <row r="780" spans="1:27" hidden="1" x14ac:dyDescent="0.25">
      <c r="A780" t="str">
        <f t="shared" si="183"/>
        <v>10620026C23/05/2026E</v>
      </c>
      <c r="B780" s="169" t="s">
        <v>822</v>
      </c>
      <c r="C780" s="61" t="s">
        <v>397</v>
      </c>
      <c r="D780" s="61" t="s">
        <v>591</v>
      </c>
      <c r="E780" s="61" t="s">
        <v>594</v>
      </c>
      <c r="F780" s="1" t="s">
        <v>368</v>
      </c>
      <c r="G780" s="62" t="str">
        <f t="shared" si="184"/>
        <v>64528</v>
      </c>
      <c r="H780" s="1">
        <v>10620026</v>
      </c>
      <c r="I780" s="1" t="s">
        <v>388</v>
      </c>
      <c r="J780" s="61">
        <v>22</v>
      </c>
      <c r="K780" s="61">
        <v>3</v>
      </c>
      <c r="L780" s="61">
        <v>8</v>
      </c>
      <c r="M780" s="69">
        <f t="shared" si="172"/>
        <v>0.66</v>
      </c>
      <c r="N780" s="69">
        <f t="shared" si="173"/>
        <v>1.76</v>
      </c>
      <c r="O780" s="56">
        <v>33.001056000000005</v>
      </c>
      <c r="P780" s="57">
        <f t="shared" si="174"/>
        <v>726.02323200000012</v>
      </c>
      <c r="Q780" s="58">
        <f t="shared" si="175"/>
        <v>396.01267200000001</v>
      </c>
      <c r="R780" s="58">
        <f t="shared" si="176"/>
        <v>264.00844799999999</v>
      </c>
      <c r="S780" s="66">
        <f t="shared" si="177"/>
        <v>12.705406560000004</v>
      </c>
      <c r="T780" s="64">
        <f t="shared" si="178"/>
        <v>82.5</v>
      </c>
      <c r="U780" s="66">
        <f t="shared" si="179"/>
        <v>821.22863856000015</v>
      </c>
      <c r="V780" s="68">
        <f t="shared" si="180"/>
        <v>37.328574480000007</v>
      </c>
      <c r="W780" s="68">
        <f t="shared" si="181"/>
        <v>447.94289376000006</v>
      </c>
      <c r="X780" s="68">
        <f t="shared" si="182"/>
        <v>298.62859584000006</v>
      </c>
      <c r="Z780" s="63"/>
      <c r="AA780" s="63"/>
    </row>
    <row r="781" spans="1:27" hidden="1" x14ac:dyDescent="0.25">
      <c r="A781" t="str">
        <f t="shared" si="183"/>
        <v>10620026B23/05/2026M</v>
      </c>
      <c r="B781" s="169" t="s">
        <v>823</v>
      </c>
      <c r="C781" s="61" t="s">
        <v>396</v>
      </c>
      <c r="D781" s="61" t="s">
        <v>591</v>
      </c>
      <c r="E781" s="61" t="s">
        <v>594</v>
      </c>
      <c r="F781" s="1" t="s">
        <v>368</v>
      </c>
      <c r="G781" s="62" t="str">
        <f t="shared" si="184"/>
        <v>64528</v>
      </c>
      <c r="H781" s="1">
        <v>10620026</v>
      </c>
      <c r="I781" s="1" t="s">
        <v>387</v>
      </c>
      <c r="J781" s="61">
        <v>29</v>
      </c>
      <c r="K781" s="61">
        <v>7.3</v>
      </c>
      <c r="L781" s="61">
        <v>8.8000000000000007</v>
      </c>
      <c r="M781" s="69">
        <f t="shared" si="172"/>
        <v>2.117</v>
      </c>
      <c r="N781" s="69">
        <f t="shared" si="173"/>
        <v>2.552</v>
      </c>
      <c r="O781" s="56">
        <v>60.34545</v>
      </c>
      <c r="P781" s="57">
        <f t="shared" si="174"/>
        <v>1750.0180499999999</v>
      </c>
      <c r="Q781" s="58">
        <f t="shared" si="175"/>
        <v>458.31987341772157</v>
      </c>
      <c r="R781" s="58">
        <f t="shared" si="176"/>
        <v>305.54658227848103</v>
      </c>
      <c r="S781" s="66">
        <f t="shared" si="177"/>
        <v>30.625315875000002</v>
      </c>
      <c r="T781" s="64">
        <f t="shared" si="178"/>
        <v>108.75</v>
      </c>
      <c r="U781" s="66">
        <f t="shared" si="179"/>
        <v>1889.393365875</v>
      </c>
      <c r="V781" s="68">
        <f t="shared" si="180"/>
        <v>65.151495374999996</v>
      </c>
      <c r="W781" s="68">
        <f t="shared" si="181"/>
        <v>494.82148386075949</v>
      </c>
      <c r="X781" s="68">
        <f t="shared" si="182"/>
        <v>329.88098924050632</v>
      </c>
      <c r="Z781" s="63"/>
      <c r="AA781" s="63"/>
    </row>
    <row r="782" spans="1:27" hidden="1" x14ac:dyDescent="0.25">
      <c r="A782" t="str">
        <f t="shared" si="183"/>
        <v>10620026C23/05/2026M</v>
      </c>
      <c r="B782" s="169" t="s">
        <v>823</v>
      </c>
      <c r="C782" s="61" t="s">
        <v>396</v>
      </c>
      <c r="D782" s="61" t="s">
        <v>591</v>
      </c>
      <c r="E782" s="61" t="s">
        <v>594</v>
      </c>
      <c r="F782" s="1" t="s">
        <v>368</v>
      </c>
      <c r="G782" s="62" t="str">
        <f t="shared" si="184"/>
        <v>64528</v>
      </c>
      <c r="H782" s="1">
        <v>10620026</v>
      </c>
      <c r="I782" s="1" t="s">
        <v>388</v>
      </c>
      <c r="J782" s="61">
        <v>32</v>
      </c>
      <c r="K782" s="61">
        <v>4</v>
      </c>
      <c r="L782" s="61">
        <v>8.1999999999999993</v>
      </c>
      <c r="M782" s="69">
        <f t="shared" si="172"/>
        <v>1.28</v>
      </c>
      <c r="N782" s="69">
        <f t="shared" si="173"/>
        <v>2.6239999999999997</v>
      </c>
      <c r="O782" s="56">
        <v>37.489082400000001</v>
      </c>
      <c r="P782" s="57">
        <f t="shared" si="174"/>
        <v>1199.6506368</v>
      </c>
      <c r="Q782" s="58">
        <f t="shared" si="175"/>
        <v>396.01143380281695</v>
      </c>
      <c r="R782" s="58">
        <f t="shared" si="176"/>
        <v>264.00762253521128</v>
      </c>
      <c r="S782" s="66">
        <f t="shared" si="177"/>
        <v>20.993886144000001</v>
      </c>
      <c r="T782" s="64">
        <f t="shared" si="178"/>
        <v>120</v>
      </c>
      <c r="U782" s="66">
        <f t="shared" si="179"/>
        <v>1340.6445229440001</v>
      </c>
      <c r="V782" s="68">
        <f t="shared" si="180"/>
        <v>41.895141342000002</v>
      </c>
      <c r="W782" s="68">
        <f t="shared" si="181"/>
        <v>442.55430995070429</v>
      </c>
      <c r="X782" s="68">
        <f t="shared" si="182"/>
        <v>295.03620663380286</v>
      </c>
      <c r="Z782" s="63"/>
      <c r="AA782" s="63"/>
    </row>
    <row r="783" spans="1:27" hidden="1" x14ac:dyDescent="0.25">
      <c r="A783" t="str">
        <f t="shared" si="183"/>
        <v>10620026B23/05/2026E</v>
      </c>
      <c r="B783" s="169" t="s">
        <v>823</v>
      </c>
      <c r="C783" s="61" t="s">
        <v>397</v>
      </c>
      <c r="D783" s="61" t="s">
        <v>591</v>
      </c>
      <c r="E783" s="61" t="s">
        <v>594</v>
      </c>
      <c r="F783" s="1" t="s">
        <v>368</v>
      </c>
      <c r="G783" s="62" t="str">
        <f t="shared" si="184"/>
        <v>64528</v>
      </c>
      <c r="H783" s="1">
        <v>10620026</v>
      </c>
      <c r="I783" s="1" t="s">
        <v>387</v>
      </c>
      <c r="J783" s="61">
        <v>12</v>
      </c>
      <c r="K783" s="61">
        <v>6.7</v>
      </c>
      <c r="L783" s="61">
        <v>8.8000000000000007</v>
      </c>
      <c r="M783" s="69">
        <f t="shared" si="172"/>
        <v>0.80400000000000005</v>
      </c>
      <c r="N783" s="69">
        <f t="shared" si="173"/>
        <v>1.056</v>
      </c>
      <c r="O783" s="56">
        <v>55.385550000000002</v>
      </c>
      <c r="P783" s="57">
        <f t="shared" si="174"/>
        <v>664.62660000000005</v>
      </c>
      <c r="Q783" s="58">
        <f t="shared" si="175"/>
        <v>440.73381962864721</v>
      </c>
      <c r="R783" s="58">
        <f t="shared" si="176"/>
        <v>293.82254641909816</v>
      </c>
      <c r="S783" s="66">
        <f t="shared" si="177"/>
        <v>11.630965500000002</v>
      </c>
      <c r="T783" s="64">
        <f t="shared" si="178"/>
        <v>45</v>
      </c>
      <c r="U783" s="66">
        <f t="shared" si="179"/>
        <v>721.25756550000006</v>
      </c>
      <c r="V783" s="68">
        <f t="shared" si="180"/>
        <v>60.104797125000005</v>
      </c>
      <c r="W783" s="68">
        <f t="shared" si="181"/>
        <v>478.28751027851456</v>
      </c>
      <c r="X783" s="68">
        <f t="shared" si="182"/>
        <v>318.85834018567635</v>
      </c>
      <c r="Z783" s="63"/>
      <c r="AA783" s="63"/>
    </row>
    <row r="784" spans="1:27" hidden="1" x14ac:dyDescent="0.25">
      <c r="A784" t="str">
        <f t="shared" si="183"/>
        <v>10620026C24/05/2026E</v>
      </c>
      <c r="B784" s="169" t="s">
        <v>823</v>
      </c>
      <c r="C784" s="61" t="s">
        <v>397</v>
      </c>
      <c r="D784" s="61" t="s">
        <v>591</v>
      </c>
      <c r="E784" s="61" t="s">
        <v>594</v>
      </c>
      <c r="F784" s="1" t="s">
        <v>368</v>
      </c>
      <c r="G784" s="62" t="str">
        <f t="shared" si="184"/>
        <v>64528</v>
      </c>
      <c r="H784" s="1">
        <v>10620026</v>
      </c>
      <c r="I784" s="1" t="s">
        <v>388</v>
      </c>
      <c r="J784" s="61">
        <v>31</v>
      </c>
      <c r="K784" s="61">
        <v>3.5</v>
      </c>
      <c r="L784" s="61">
        <v>8.1</v>
      </c>
      <c r="M784" s="69">
        <f t="shared" si="172"/>
        <v>1.085</v>
      </c>
      <c r="N784" s="69">
        <f t="shared" si="173"/>
        <v>2.5110000000000001</v>
      </c>
      <c r="O784" s="56">
        <v>35.245069200000003</v>
      </c>
      <c r="P784" s="57">
        <f t="shared" si="174"/>
        <v>1092.5971452000001</v>
      </c>
      <c r="Q784" s="58">
        <f t="shared" si="175"/>
        <v>396.01201348314612</v>
      </c>
      <c r="R784" s="58">
        <f t="shared" si="176"/>
        <v>264.00800898876406</v>
      </c>
      <c r="S784" s="66">
        <f t="shared" si="177"/>
        <v>19.120450041000005</v>
      </c>
      <c r="T784" s="64">
        <f t="shared" si="178"/>
        <v>116.25</v>
      </c>
      <c r="U784" s="66">
        <f t="shared" si="179"/>
        <v>1227.967595241</v>
      </c>
      <c r="V784" s="68">
        <f t="shared" si="180"/>
        <v>39.611857911000001</v>
      </c>
      <c r="W784" s="68">
        <f t="shared" si="181"/>
        <v>445.0770551797753</v>
      </c>
      <c r="X784" s="68">
        <f t="shared" si="182"/>
        <v>296.71803678651685</v>
      </c>
      <c r="Z784" s="63"/>
      <c r="AA784" s="63"/>
    </row>
    <row r="785" spans="1:27" hidden="1" x14ac:dyDescent="0.25">
      <c r="A785" t="str">
        <f t="shared" si="183"/>
        <v>10620026B24/05/2026M</v>
      </c>
      <c r="B785" s="169" t="s">
        <v>824</v>
      </c>
      <c r="C785" s="61" t="s">
        <v>396</v>
      </c>
      <c r="D785" s="61" t="s">
        <v>591</v>
      </c>
      <c r="E785" s="61" t="s">
        <v>594</v>
      </c>
      <c r="F785" s="1" t="s">
        <v>368</v>
      </c>
      <c r="G785" s="62" t="str">
        <f t="shared" si="184"/>
        <v>64528</v>
      </c>
      <c r="H785" s="1">
        <v>10620026</v>
      </c>
      <c r="I785" s="1" t="s">
        <v>387</v>
      </c>
      <c r="J785" s="61">
        <v>21</v>
      </c>
      <c r="K785" s="61">
        <v>7.6</v>
      </c>
      <c r="L785" s="61">
        <v>9</v>
      </c>
      <c r="M785" s="69">
        <f t="shared" si="172"/>
        <v>1.5959999999999999</v>
      </c>
      <c r="N785" s="69">
        <f t="shared" si="173"/>
        <v>1.89</v>
      </c>
      <c r="O785" s="56">
        <v>63.46</v>
      </c>
      <c r="P785" s="57">
        <f t="shared" si="174"/>
        <v>1332.66</v>
      </c>
      <c r="Q785" s="58">
        <f t="shared" si="175"/>
        <v>466.61764705882348</v>
      </c>
      <c r="R785" s="58">
        <f t="shared" si="176"/>
        <v>311.07843137254901</v>
      </c>
      <c r="S785" s="66">
        <f t="shared" si="177"/>
        <v>23.321550000000002</v>
      </c>
      <c r="T785" s="64">
        <f t="shared" si="178"/>
        <v>78.75</v>
      </c>
      <c r="U785" s="66">
        <f t="shared" si="179"/>
        <v>1434.73155</v>
      </c>
      <c r="V785" s="68">
        <f t="shared" si="180"/>
        <v>68.320549999999997</v>
      </c>
      <c r="W785" s="68">
        <f t="shared" si="181"/>
        <v>502.35698529411758</v>
      </c>
      <c r="X785" s="68">
        <f t="shared" si="182"/>
        <v>334.90465686274507</v>
      </c>
      <c r="Z785" s="63"/>
      <c r="AA785" s="63"/>
    </row>
    <row r="786" spans="1:27" hidden="1" x14ac:dyDescent="0.25">
      <c r="A786" t="str">
        <f t="shared" si="183"/>
        <v>10620026C24/05/2026M</v>
      </c>
      <c r="B786" s="169" t="s">
        <v>824</v>
      </c>
      <c r="C786" s="61" t="s">
        <v>396</v>
      </c>
      <c r="D786" s="61" t="s">
        <v>591</v>
      </c>
      <c r="E786" s="61" t="s">
        <v>594</v>
      </c>
      <c r="F786" s="1" t="s">
        <v>368</v>
      </c>
      <c r="G786" s="62" t="str">
        <f t="shared" si="184"/>
        <v>64528</v>
      </c>
      <c r="H786" s="1">
        <v>10620026</v>
      </c>
      <c r="I786" s="1" t="s">
        <v>388</v>
      </c>
      <c r="J786" s="61">
        <v>39</v>
      </c>
      <c r="K786" s="61">
        <v>4.3</v>
      </c>
      <c r="L786" s="61">
        <v>8.1999999999999993</v>
      </c>
      <c r="M786" s="69">
        <f t="shared" si="172"/>
        <v>1.6769999999999998</v>
      </c>
      <c r="N786" s="69">
        <f t="shared" si="173"/>
        <v>3.1979999999999995</v>
      </c>
      <c r="O786" s="56">
        <v>38.677082400000003</v>
      </c>
      <c r="P786" s="57">
        <f t="shared" si="174"/>
        <v>1508.4062136000002</v>
      </c>
      <c r="Q786" s="58">
        <f t="shared" si="175"/>
        <v>396.01108259385677</v>
      </c>
      <c r="R786" s="58">
        <f t="shared" si="176"/>
        <v>264.00738839590451</v>
      </c>
      <c r="S786" s="66">
        <f t="shared" si="177"/>
        <v>26.397108738000007</v>
      </c>
      <c r="T786" s="64">
        <f t="shared" si="178"/>
        <v>146.25</v>
      </c>
      <c r="U786" s="66">
        <f t="shared" si="179"/>
        <v>1681.0533223380003</v>
      </c>
      <c r="V786" s="68">
        <f t="shared" si="180"/>
        <v>43.10393134200001</v>
      </c>
      <c r="W786" s="68">
        <f t="shared" si="181"/>
        <v>441.33718097610938</v>
      </c>
      <c r="X786" s="68">
        <f t="shared" si="182"/>
        <v>294.22478731740625</v>
      </c>
      <c r="Z786" s="63"/>
      <c r="AA786" s="63"/>
    </row>
    <row r="787" spans="1:27" hidden="1" x14ac:dyDescent="0.25">
      <c r="A787" t="str">
        <f t="shared" si="183"/>
        <v>10620026B24/05/2026E</v>
      </c>
      <c r="B787" s="169" t="s">
        <v>824</v>
      </c>
      <c r="C787" s="61" t="s">
        <v>397</v>
      </c>
      <c r="D787" s="61" t="s">
        <v>591</v>
      </c>
      <c r="E787" s="61" t="s">
        <v>594</v>
      </c>
      <c r="F787" s="1" t="s">
        <v>368</v>
      </c>
      <c r="G787" s="62" t="str">
        <f t="shared" si="184"/>
        <v>64528</v>
      </c>
      <c r="H787" s="1">
        <v>10620026</v>
      </c>
      <c r="I787" s="1" t="s">
        <v>387</v>
      </c>
      <c r="J787" s="61">
        <v>9</v>
      </c>
      <c r="K787" s="61">
        <v>6.6</v>
      </c>
      <c r="L787" s="61">
        <v>8.8000000000000007</v>
      </c>
      <c r="M787" s="69">
        <f t="shared" si="172"/>
        <v>0.59399999999999997</v>
      </c>
      <c r="N787" s="69">
        <f t="shared" si="173"/>
        <v>0.79200000000000004</v>
      </c>
      <c r="O787" s="56">
        <v>54.558900000000001</v>
      </c>
      <c r="P787" s="57">
        <f t="shared" si="174"/>
        <v>491.0301</v>
      </c>
      <c r="Q787" s="58">
        <f t="shared" si="175"/>
        <v>437.63823529411764</v>
      </c>
      <c r="R787" s="58">
        <f t="shared" si="176"/>
        <v>291.75882352941176</v>
      </c>
      <c r="S787" s="66">
        <f t="shared" si="177"/>
        <v>8.5930267500000017</v>
      </c>
      <c r="T787" s="64">
        <f t="shared" si="178"/>
        <v>33.75</v>
      </c>
      <c r="U787" s="66">
        <f t="shared" si="179"/>
        <v>533.37312674999998</v>
      </c>
      <c r="V787" s="68">
        <f t="shared" si="180"/>
        <v>59.263680749999999</v>
      </c>
      <c r="W787" s="68">
        <f t="shared" si="181"/>
        <v>475.37711831550797</v>
      </c>
      <c r="X787" s="68">
        <f t="shared" si="182"/>
        <v>316.91807887700531</v>
      </c>
      <c r="Z787" s="63"/>
      <c r="AA787" s="63"/>
    </row>
    <row r="788" spans="1:27" hidden="1" x14ac:dyDescent="0.25">
      <c r="A788" t="str">
        <f t="shared" si="183"/>
        <v>10620026C25/05/2026E</v>
      </c>
      <c r="B788" s="169" t="s">
        <v>824</v>
      </c>
      <c r="C788" s="61" t="s">
        <v>397</v>
      </c>
      <c r="D788" s="61" t="s">
        <v>591</v>
      </c>
      <c r="E788" s="61" t="s">
        <v>594</v>
      </c>
      <c r="F788" s="1" t="s">
        <v>368</v>
      </c>
      <c r="G788" s="62" t="str">
        <f t="shared" si="184"/>
        <v>64528</v>
      </c>
      <c r="H788" s="1">
        <v>10620026</v>
      </c>
      <c r="I788" s="1" t="s">
        <v>388</v>
      </c>
      <c r="J788" s="61">
        <v>41</v>
      </c>
      <c r="K788" s="61">
        <v>3.7</v>
      </c>
      <c r="L788" s="61">
        <v>8.1999999999999993</v>
      </c>
      <c r="M788" s="69">
        <f t="shared" si="172"/>
        <v>1.5170000000000001</v>
      </c>
      <c r="N788" s="69">
        <f t="shared" si="173"/>
        <v>3.3620000000000001</v>
      </c>
      <c r="O788" s="56">
        <v>36.301082400000006</v>
      </c>
      <c r="P788" s="57">
        <f t="shared" si="174"/>
        <v>1488.3443784000003</v>
      </c>
      <c r="Q788" s="58">
        <f t="shared" si="175"/>
        <v>396.01180800000003</v>
      </c>
      <c r="R788" s="58">
        <f t="shared" si="176"/>
        <v>264.00787200000002</v>
      </c>
      <c r="S788" s="66">
        <f t="shared" si="177"/>
        <v>26.046026622000007</v>
      </c>
      <c r="T788" s="64">
        <f t="shared" si="178"/>
        <v>153.75</v>
      </c>
      <c r="U788" s="66">
        <f t="shared" si="179"/>
        <v>1668.1404050220003</v>
      </c>
      <c r="V788" s="68">
        <f t="shared" si="180"/>
        <v>40.686351342000009</v>
      </c>
      <c r="W788" s="68">
        <f t="shared" si="181"/>
        <v>443.85110554909096</v>
      </c>
      <c r="X788" s="68">
        <f t="shared" si="182"/>
        <v>295.90073703272731</v>
      </c>
      <c r="Z788" s="63"/>
      <c r="AA788" s="63"/>
    </row>
    <row r="789" spans="1:27" hidden="1" x14ac:dyDescent="0.25">
      <c r="A789" t="str">
        <f t="shared" si="183"/>
        <v>10620026B25/05/2026M</v>
      </c>
      <c r="B789" s="169" t="s">
        <v>825</v>
      </c>
      <c r="C789" s="61" t="s">
        <v>396</v>
      </c>
      <c r="D789" s="61" t="s">
        <v>591</v>
      </c>
      <c r="E789" s="61" t="s">
        <v>594</v>
      </c>
      <c r="F789" s="1" t="s">
        <v>368</v>
      </c>
      <c r="G789" s="62" t="str">
        <f t="shared" si="184"/>
        <v>64528</v>
      </c>
      <c r="H789" s="1">
        <v>10620026</v>
      </c>
      <c r="I789" s="1" t="s">
        <v>387</v>
      </c>
      <c r="J789" s="61">
        <v>21</v>
      </c>
      <c r="K789" s="61">
        <v>7.7</v>
      </c>
      <c r="L789" s="61">
        <v>9</v>
      </c>
      <c r="M789" s="69">
        <f t="shared" si="172"/>
        <v>1.6170000000000002</v>
      </c>
      <c r="N789" s="69">
        <f t="shared" si="173"/>
        <v>1.89</v>
      </c>
      <c r="O789" s="56">
        <v>64.295000000000002</v>
      </c>
      <c r="P789" s="57">
        <f t="shared" si="174"/>
        <v>1350.1949999999999</v>
      </c>
      <c r="Q789" s="58">
        <f t="shared" si="175"/>
        <v>469.30656934306569</v>
      </c>
      <c r="R789" s="58">
        <f t="shared" si="176"/>
        <v>312.87104622871044</v>
      </c>
      <c r="S789" s="66">
        <f t="shared" si="177"/>
        <v>23.6284125</v>
      </c>
      <c r="T789" s="64">
        <f t="shared" si="178"/>
        <v>78.75</v>
      </c>
      <c r="U789" s="66">
        <f t="shared" si="179"/>
        <v>1452.5734124999999</v>
      </c>
      <c r="V789" s="68">
        <f t="shared" si="180"/>
        <v>69.170162499999989</v>
      </c>
      <c r="W789" s="68">
        <f t="shared" si="181"/>
        <v>504.89169708029186</v>
      </c>
      <c r="X789" s="68">
        <f t="shared" si="182"/>
        <v>336.59446472019459</v>
      </c>
      <c r="Z789" s="63"/>
      <c r="AA789" s="63"/>
    </row>
    <row r="790" spans="1:27" hidden="1" x14ac:dyDescent="0.25">
      <c r="A790" t="str">
        <f t="shared" si="183"/>
        <v>10620026C25/05/2026M</v>
      </c>
      <c r="B790" s="169" t="s">
        <v>825</v>
      </c>
      <c r="C790" s="61" t="s">
        <v>396</v>
      </c>
      <c r="D790" s="61" t="s">
        <v>591</v>
      </c>
      <c r="E790" s="61" t="s">
        <v>594</v>
      </c>
      <c r="F790" s="1" t="s">
        <v>368</v>
      </c>
      <c r="G790" s="62" t="str">
        <f t="shared" si="184"/>
        <v>64528</v>
      </c>
      <c r="H790" s="1">
        <v>10620026</v>
      </c>
      <c r="I790" s="1" t="s">
        <v>388</v>
      </c>
      <c r="J790" s="61">
        <v>36</v>
      </c>
      <c r="K790" s="61">
        <v>4.4000000000000004</v>
      </c>
      <c r="L790" s="61">
        <v>8.1</v>
      </c>
      <c r="M790" s="69">
        <f t="shared" si="172"/>
        <v>1.5840000000000001</v>
      </c>
      <c r="N790" s="69">
        <f t="shared" si="173"/>
        <v>2.9159999999999995</v>
      </c>
      <c r="O790" s="56">
        <v>38.80906920000001</v>
      </c>
      <c r="P790" s="57">
        <f t="shared" si="174"/>
        <v>1397.1264912000004</v>
      </c>
      <c r="Q790" s="58">
        <f t="shared" si="175"/>
        <v>396.01091020408171</v>
      </c>
      <c r="R790" s="58">
        <f t="shared" si="176"/>
        <v>264.00727346938783</v>
      </c>
      <c r="S790" s="66">
        <f t="shared" si="177"/>
        <v>24.449713596000009</v>
      </c>
      <c r="T790" s="64">
        <f t="shared" si="178"/>
        <v>135</v>
      </c>
      <c r="U790" s="66">
        <f t="shared" si="179"/>
        <v>1556.5762047960004</v>
      </c>
      <c r="V790" s="68">
        <f t="shared" si="180"/>
        <v>43.23822791100001</v>
      </c>
      <c r="W790" s="68">
        <f t="shared" si="181"/>
        <v>441.20640725510214</v>
      </c>
      <c r="X790" s="68">
        <f t="shared" si="182"/>
        <v>294.13760483673474</v>
      </c>
      <c r="Z790" s="63"/>
      <c r="AA790" s="63"/>
    </row>
    <row r="791" spans="1:27" hidden="1" x14ac:dyDescent="0.25">
      <c r="A791" t="str">
        <f t="shared" si="183"/>
        <v>10620026B25/05/2026E</v>
      </c>
      <c r="B791" s="169" t="s">
        <v>825</v>
      </c>
      <c r="C791" s="61" t="s">
        <v>397</v>
      </c>
      <c r="D791" s="61" t="s">
        <v>591</v>
      </c>
      <c r="E791" s="61" t="s">
        <v>594</v>
      </c>
      <c r="F791" s="1" t="s">
        <v>368</v>
      </c>
      <c r="G791" s="62" t="str">
        <f t="shared" si="184"/>
        <v>64528</v>
      </c>
      <c r="H791" s="1">
        <v>10620026</v>
      </c>
      <c r="I791" s="1" t="s">
        <v>387</v>
      </c>
      <c r="J791" s="61">
        <v>12</v>
      </c>
      <c r="K791" s="61">
        <v>6.8</v>
      </c>
      <c r="L791" s="61">
        <v>8.8000000000000007</v>
      </c>
      <c r="M791" s="69">
        <f t="shared" si="172"/>
        <v>0.81599999999999995</v>
      </c>
      <c r="N791" s="69">
        <f t="shared" si="173"/>
        <v>1.056</v>
      </c>
      <c r="O791" s="56">
        <v>56.212200000000003</v>
      </c>
      <c r="P791" s="57">
        <f t="shared" si="174"/>
        <v>674.54640000000006</v>
      </c>
      <c r="Q791" s="58">
        <f t="shared" si="175"/>
        <v>443.78052631578947</v>
      </c>
      <c r="R791" s="58">
        <f t="shared" si="176"/>
        <v>295.8536842105263</v>
      </c>
      <c r="S791" s="66">
        <f t="shared" si="177"/>
        <v>11.804562000000002</v>
      </c>
      <c r="T791" s="64">
        <f t="shared" si="178"/>
        <v>45</v>
      </c>
      <c r="U791" s="66">
        <f t="shared" si="179"/>
        <v>731.3509620000001</v>
      </c>
      <c r="V791" s="68">
        <f t="shared" si="180"/>
        <v>60.94591350000001</v>
      </c>
      <c r="W791" s="68">
        <f t="shared" si="181"/>
        <v>481.15194868421059</v>
      </c>
      <c r="X791" s="68">
        <f t="shared" si="182"/>
        <v>320.76796578947375</v>
      </c>
      <c r="Z791" s="63"/>
      <c r="AA791" s="63"/>
    </row>
    <row r="792" spans="1:27" hidden="1" x14ac:dyDescent="0.25">
      <c r="A792" t="str">
        <f t="shared" si="183"/>
        <v>10620026C26/05/2026E</v>
      </c>
      <c r="B792" s="169" t="s">
        <v>825</v>
      </c>
      <c r="C792" s="61" t="s">
        <v>397</v>
      </c>
      <c r="D792" s="61" t="s">
        <v>591</v>
      </c>
      <c r="E792" s="61" t="s">
        <v>594</v>
      </c>
      <c r="F792" s="1" t="s">
        <v>368</v>
      </c>
      <c r="G792" s="62" t="str">
        <f t="shared" si="184"/>
        <v>64528</v>
      </c>
      <c r="H792" s="1">
        <v>10620026</v>
      </c>
      <c r="I792" s="1" t="s">
        <v>388</v>
      </c>
      <c r="J792" s="61">
        <v>41</v>
      </c>
      <c r="K792" s="61">
        <v>3.5</v>
      </c>
      <c r="L792" s="61">
        <v>8.1</v>
      </c>
      <c r="M792" s="69">
        <f t="shared" si="172"/>
        <v>1.4350000000000001</v>
      </c>
      <c r="N792" s="69">
        <f t="shared" si="173"/>
        <v>3.3209999999999997</v>
      </c>
      <c r="O792" s="56">
        <v>35.245069200000003</v>
      </c>
      <c r="P792" s="57">
        <f t="shared" si="174"/>
        <v>1445.0478372000002</v>
      </c>
      <c r="Q792" s="58">
        <f t="shared" si="175"/>
        <v>396.01201348314612</v>
      </c>
      <c r="R792" s="58">
        <f t="shared" si="176"/>
        <v>264.00800898876406</v>
      </c>
      <c r="S792" s="66">
        <f t="shared" si="177"/>
        <v>25.288337151000007</v>
      </c>
      <c r="T792" s="64">
        <f t="shared" si="178"/>
        <v>153.75</v>
      </c>
      <c r="U792" s="66">
        <f t="shared" si="179"/>
        <v>1624.0861743510002</v>
      </c>
      <c r="V792" s="68">
        <f t="shared" si="180"/>
        <v>39.611857911000001</v>
      </c>
      <c r="W792" s="68">
        <f t="shared" si="181"/>
        <v>445.0770551797753</v>
      </c>
      <c r="X792" s="68">
        <f t="shared" si="182"/>
        <v>296.71803678651685</v>
      </c>
      <c r="Z792" s="63"/>
      <c r="AA792" s="63"/>
    </row>
    <row r="793" spans="1:27" hidden="1" x14ac:dyDescent="0.25">
      <c r="A793" t="str">
        <f t="shared" si="183"/>
        <v>10620026B26/05/2026M</v>
      </c>
      <c r="B793" s="169" t="s">
        <v>826</v>
      </c>
      <c r="C793" s="61" t="s">
        <v>396</v>
      </c>
      <c r="D793" s="61" t="s">
        <v>591</v>
      </c>
      <c r="E793" s="61" t="s">
        <v>594</v>
      </c>
      <c r="F793" s="1" t="s">
        <v>368</v>
      </c>
      <c r="G793" s="62" t="str">
        <f t="shared" si="184"/>
        <v>64528</v>
      </c>
      <c r="H793" s="1">
        <v>10620026</v>
      </c>
      <c r="I793" s="1" t="s">
        <v>387</v>
      </c>
      <c r="J793" s="61">
        <v>24</v>
      </c>
      <c r="K793" s="61">
        <v>7.6</v>
      </c>
      <c r="L793" s="61">
        <v>8.8000000000000007</v>
      </c>
      <c r="M793" s="69">
        <f t="shared" si="172"/>
        <v>1.8239999999999998</v>
      </c>
      <c r="N793" s="69">
        <f t="shared" si="173"/>
        <v>2.1120000000000001</v>
      </c>
      <c r="O793" s="56">
        <f>INDEX(Rate_Chart!$A$1:$AK$127,MATCH(Data!K793,Rate_Chart!$A$1:$A$127,0),MATCH(Data!L793,Rate_Chart!$A$1:$AK$1,0))</f>
        <v>62.825400000000002</v>
      </c>
      <c r="P793" s="57">
        <f t="shared" si="174"/>
        <v>1507.8096</v>
      </c>
      <c r="Q793" s="58">
        <f t="shared" si="175"/>
        <v>466.5252475247525</v>
      </c>
      <c r="R793" s="58">
        <f t="shared" si="176"/>
        <v>311.01683168316833</v>
      </c>
      <c r="S793" s="66">
        <f t="shared" si="177"/>
        <v>26.386668000000004</v>
      </c>
      <c r="T793" s="64">
        <f t="shared" si="178"/>
        <v>90</v>
      </c>
      <c r="U793" s="66">
        <f t="shared" si="179"/>
        <v>1624.1962680000001</v>
      </c>
      <c r="V793" s="68">
        <f t="shared" si="180"/>
        <v>67.674844500000006</v>
      </c>
      <c r="W793" s="68">
        <f t="shared" si="181"/>
        <v>502.53597400990105</v>
      </c>
      <c r="X793" s="68">
        <f t="shared" si="182"/>
        <v>335.02398267326737</v>
      </c>
      <c r="Z793" s="63"/>
      <c r="AA793" s="63"/>
    </row>
    <row r="794" spans="1:27" hidden="1" x14ac:dyDescent="0.25">
      <c r="A794" t="str">
        <f t="shared" si="183"/>
        <v>10620026C26/05/2026M</v>
      </c>
      <c r="B794" s="169" t="s">
        <v>826</v>
      </c>
      <c r="C794" s="61" t="s">
        <v>396</v>
      </c>
      <c r="D794" s="61" t="s">
        <v>591</v>
      </c>
      <c r="E794" s="61" t="s">
        <v>594</v>
      </c>
      <c r="F794" s="1" t="s">
        <v>368</v>
      </c>
      <c r="G794" s="62" t="str">
        <f t="shared" si="184"/>
        <v>64528</v>
      </c>
      <c r="H794" s="1">
        <v>10620026</v>
      </c>
      <c r="I794" s="1" t="s">
        <v>388</v>
      </c>
      <c r="J794" s="61">
        <v>33</v>
      </c>
      <c r="K794" s="61">
        <v>4.3</v>
      </c>
      <c r="L794" s="61">
        <v>8.3000000000000007</v>
      </c>
      <c r="M794" s="69">
        <f t="shared" si="172"/>
        <v>1.419</v>
      </c>
      <c r="N794" s="69">
        <f t="shared" si="173"/>
        <v>2.7390000000000003</v>
      </c>
      <c r="O794" s="56">
        <f>INDEX(Rate_Chart!$A$1:$AK$127,MATCH(Data!K794,Rate_Chart!$A$1:$A$127,0),MATCH(Data!L794,Rate_Chart!$A$1:$AK$1,0))</f>
        <v>41.006153699999999</v>
      </c>
      <c r="P794" s="57">
        <f t="shared" si="174"/>
        <v>1353.2030720999999</v>
      </c>
      <c r="Q794" s="58">
        <f t="shared" si="175"/>
        <v>417.0117325423729</v>
      </c>
      <c r="R794" s="58">
        <f t="shared" si="176"/>
        <v>278.00782169491526</v>
      </c>
      <c r="S794" s="66">
        <f t="shared" si="177"/>
        <v>23.68105376175</v>
      </c>
      <c r="T794" s="64">
        <f t="shared" si="178"/>
        <v>123.75</v>
      </c>
      <c r="U794" s="66">
        <f t="shared" si="179"/>
        <v>1500.6341258617499</v>
      </c>
      <c r="V794" s="68">
        <f t="shared" si="180"/>
        <v>45.473761389749995</v>
      </c>
      <c r="W794" s="68">
        <f t="shared" si="181"/>
        <v>462.44503108220334</v>
      </c>
      <c r="X794" s="68">
        <f t="shared" si="182"/>
        <v>308.29668738813558</v>
      </c>
      <c r="Z794" s="63"/>
      <c r="AA794" s="63"/>
    </row>
    <row r="795" spans="1:27" hidden="1" x14ac:dyDescent="0.25">
      <c r="A795" t="str">
        <f t="shared" si="183"/>
        <v>10620026B26/05/2026E</v>
      </c>
      <c r="B795" s="169" t="s">
        <v>826</v>
      </c>
      <c r="C795" s="61" t="s">
        <v>397</v>
      </c>
      <c r="D795" s="61" t="s">
        <v>591</v>
      </c>
      <c r="E795" s="61" t="s">
        <v>594</v>
      </c>
      <c r="F795" s="1" t="s">
        <v>368</v>
      </c>
      <c r="G795" s="62" t="str">
        <f t="shared" si="184"/>
        <v>64528</v>
      </c>
      <c r="H795" s="1">
        <v>10620026</v>
      </c>
      <c r="I795" s="1" t="s">
        <v>387</v>
      </c>
      <c r="J795" s="61">
        <v>7</v>
      </c>
      <c r="K795" s="61">
        <v>6.6</v>
      </c>
      <c r="L795" s="61">
        <v>9</v>
      </c>
      <c r="M795" s="69">
        <f t="shared" si="172"/>
        <v>0.46199999999999997</v>
      </c>
      <c r="N795" s="69">
        <f t="shared" si="173"/>
        <v>0.63</v>
      </c>
      <c r="O795" s="56">
        <f>INDEX(Rate_Chart!$A$1:$AK$127,MATCH(Data!K795,Rate_Chart!$A$1:$A$127,0),MATCH(Data!L795,Rate_Chart!$A$1:$AK$1,0))</f>
        <v>55.11</v>
      </c>
      <c r="P795" s="57">
        <f t="shared" si="174"/>
        <v>385.77</v>
      </c>
      <c r="Q795" s="58">
        <f t="shared" si="175"/>
        <v>437.38095238095235</v>
      </c>
      <c r="R795" s="58">
        <f t="shared" si="176"/>
        <v>291.58730158730157</v>
      </c>
      <c r="S795" s="66">
        <f t="shared" si="177"/>
        <v>6.7509750000000004</v>
      </c>
      <c r="T795" s="64">
        <f t="shared" si="178"/>
        <v>26.25</v>
      </c>
      <c r="U795" s="66">
        <f t="shared" si="179"/>
        <v>418.77097499999996</v>
      </c>
      <c r="V795" s="68">
        <f t="shared" si="180"/>
        <v>59.824424999999998</v>
      </c>
      <c r="W795" s="68">
        <f t="shared" si="181"/>
        <v>474.79702380952381</v>
      </c>
      <c r="X795" s="68">
        <f t="shared" si="182"/>
        <v>316.5313492063492</v>
      </c>
      <c r="Z795" s="63"/>
      <c r="AA795" s="63"/>
    </row>
    <row r="796" spans="1:27" hidden="1" x14ac:dyDescent="0.25">
      <c r="A796" t="str">
        <f t="shared" si="183"/>
        <v>10620026C27/05/2026E</v>
      </c>
      <c r="B796" s="169" t="s">
        <v>826</v>
      </c>
      <c r="C796" s="61" t="s">
        <v>397</v>
      </c>
      <c r="D796" s="61" t="s">
        <v>591</v>
      </c>
      <c r="E796" s="61" t="s">
        <v>594</v>
      </c>
      <c r="F796" s="1" t="s">
        <v>368</v>
      </c>
      <c r="G796" s="62" t="str">
        <f t="shared" si="184"/>
        <v>64528</v>
      </c>
      <c r="H796" s="1">
        <v>10620026</v>
      </c>
      <c r="I796" s="1" t="s">
        <v>388</v>
      </c>
      <c r="J796" s="61">
        <v>36</v>
      </c>
      <c r="K796" s="61">
        <v>3.6</v>
      </c>
      <c r="L796" s="61">
        <v>8.5</v>
      </c>
      <c r="M796" s="69">
        <f t="shared" si="172"/>
        <v>1.296</v>
      </c>
      <c r="N796" s="69">
        <f t="shared" si="173"/>
        <v>3.06</v>
      </c>
      <c r="O796" s="56">
        <f>INDEX(Rate_Chart!$A$1:$AK$127,MATCH(Data!K796,Rate_Chart!$A$1:$A$127,0),MATCH(Data!L796,Rate_Chart!$A$1:$AK$1,0))</f>
        <v>38.643181500000004</v>
      </c>
      <c r="P796" s="57">
        <f t="shared" si="174"/>
        <v>1391.1545340000002</v>
      </c>
      <c r="Q796" s="58">
        <f t="shared" si="175"/>
        <v>417.01274999999998</v>
      </c>
      <c r="R796" s="58">
        <f t="shared" si="176"/>
        <v>278.00849999999997</v>
      </c>
      <c r="S796" s="66">
        <f t="shared" si="177"/>
        <v>24.345204345000006</v>
      </c>
      <c r="T796" s="64">
        <f t="shared" si="178"/>
        <v>135</v>
      </c>
      <c r="U796" s="66">
        <f t="shared" si="179"/>
        <v>1550.4997383450002</v>
      </c>
      <c r="V796" s="68">
        <f t="shared" si="180"/>
        <v>43.069437176250005</v>
      </c>
      <c r="W796" s="68">
        <f t="shared" si="181"/>
        <v>464.77809902428061</v>
      </c>
      <c r="X796" s="68">
        <f t="shared" si="182"/>
        <v>309.85206601618705</v>
      </c>
      <c r="Z796" s="63"/>
      <c r="AA796" s="63"/>
    </row>
    <row r="797" spans="1:27" hidden="1" x14ac:dyDescent="0.25">
      <c r="A797" t="str">
        <f t="shared" si="183"/>
        <v>10620026B27/05/2026M</v>
      </c>
      <c r="B797" s="169" t="s">
        <v>827</v>
      </c>
      <c r="C797" s="61" t="s">
        <v>396</v>
      </c>
      <c r="D797" s="61" t="s">
        <v>591</v>
      </c>
      <c r="E797" s="61" t="s">
        <v>594</v>
      </c>
      <c r="F797" s="1" t="s">
        <v>368</v>
      </c>
      <c r="G797" s="62" t="str">
        <f t="shared" si="184"/>
        <v>64528</v>
      </c>
      <c r="H797" s="1">
        <v>10620026</v>
      </c>
      <c r="I797" s="1" t="s">
        <v>387</v>
      </c>
      <c r="J797" s="61">
        <v>27</v>
      </c>
      <c r="K797" s="61">
        <v>7.8</v>
      </c>
      <c r="L797" s="61">
        <v>9</v>
      </c>
      <c r="M797" s="69">
        <f t="shared" si="172"/>
        <v>2.1059999999999999</v>
      </c>
      <c r="N797" s="69">
        <f t="shared" si="173"/>
        <v>2.4300000000000002</v>
      </c>
      <c r="O797" s="56">
        <f>INDEX(Rate_Chart!$A$1:$AK$127,MATCH(Data!K797,Rate_Chart!$A$1:$A$127,0),MATCH(Data!L797,Rate_Chart!$A$1:$AK$1,0))</f>
        <v>65.13</v>
      </c>
      <c r="P797" s="57">
        <f t="shared" si="174"/>
        <v>1758.5099999999998</v>
      </c>
      <c r="Q797" s="58">
        <f t="shared" si="175"/>
        <v>471.95652173913038</v>
      </c>
      <c r="R797" s="58">
        <f t="shared" si="176"/>
        <v>314.63768115942025</v>
      </c>
      <c r="S797" s="66">
        <f t="shared" si="177"/>
        <v>30.773924999999998</v>
      </c>
      <c r="T797" s="64">
        <f t="shared" si="178"/>
        <v>101.25</v>
      </c>
      <c r="U797" s="66">
        <f t="shared" si="179"/>
        <v>1890.5339249999997</v>
      </c>
      <c r="V797" s="68">
        <f t="shared" si="180"/>
        <v>70.019774999999996</v>
      </c>
      <c r="W797" s="68">
        <f t="shared" si="181"/>
        <v>507.3896739130434</v>
      </c>
      <c r="X797" s="68">
        <f t="shared" si="182"/>
        <v>338.25978260869562</v>
      </c>
      <c r="Z797" s="63"/>
      <c r="AA797" s="63"/>
    </row>
    <row r="798" spans="1:27" hidden="1" x14ac:dyDescent="0.25">
      <c r="A798" t="str">
        <f t="shared" si="183"/>
        <v>10620026B27/05/2026E</v>
      </c>
      <c r="B798" s="169" t="s">
        <v>827</v>
      </c>
      <c r="C798" s="61" t="s">
        <v>397</v>
      </c>
      <c r="D798" s="61" t="s">
        <v>591</v>
      </c>
      <c r="E798" s="61" t="s">
        <v>594</v>
      </c>
      <c r="F798" s="1" t="s">
        <v>368</v>
      </c>
      <c r="G798" s="62" t="str">
        <f t="shared" si="184"/>
        <v>64528</v>
      </c>
      <c r="H798" s="1">
        <v>10620026</v>
      </c>
      <c r="I798" s="1" t="s">
        <v>387</v>
      </c>
      <c r="J798" s="61">
        <v>11</v>
      </c>
      <c r="K798" s="61">
        <v>7.3</v>
      </c>
      <c r="L798" s="61">
        <v>9</v>
      </c>
      <c r="M798" s="69">
        <f t="shared" ref="M798:M861" si="185">K798*J798/100</f>
        <v>0.80299999999999994</v>
      </c>
      <c r="N798" s="69">
        <f t="shared" ref="N798:N861" si="186">L798*J798/100</f>
        <v>0.99</v>
      </c>
      <c r="O798" s="56">
        <f>INDEX(Rate_Chart!$A$1:$AK$127,MATCH(Data!K798,Rate_Chart!$A$1:$A$127,0),MATCH(Data!L798,Rate_Chart!$A$1:$AK$1,0))</f>
        <v>60.954999999999998</v>
      </c>
      <c r="P798" s="57">
        <f t="shared" ref="P798:P861" si="187">O798*J798</f>
        <v>670.505</v>
      </c>
      <c r="Q798" s="58">
        <f t="shared" ref="Q798:Q861" si="188">O798/(K798%+L798%*2/3)</f>
        <v>458.30827067669168</v>
      </c>
      <c r="R798" s="58">
        <f t="shared" ref="R798:R861" si="189">Q798*2/3</f>
        <v>305.53884711779443</v>
      </c>
      <c r="S798" s="66">
        <f t="shared" ref="S798:S861" si="190">P798*1.75%</f>
        <v>11.733837500000002</v>
      </c>
      <c r="T798" s="64">
        <f t="shared" ref="T798:T861" si="191">J798*3.75</f>
        <v>41.25</v>
      </c>
      <c r="U798" s="66">
        <f t="shared" ref="U798:U861" si="192">S798+T798+P798</f>
        <v>723.48883750000005</v>
      </c>
      <c r="V798" s="68">
        <f t="shared" ref="V798:V861" si="193">U798/J798</f>
        <v>65.771712500000007</v>
      </c>
      <c r="W798" s="68">
        <f t="shared" ref="W798:W861" si="194">V798/(K798%+L798%*2/3)</f>
        <v>494.52415413533839</v>
      </c>
      <c r="X798" s="68">
        <f t="shared" ref="X798:X861" si="195">W798*2/3</f>
        <v>329.68276942355891</v>
      </c>
      <c r="Z798" s="63"/>
      <c r="AA798" s="63"/>
    </row>
    <row r="799" spans="1:27" hidden="1" x14ac:dyDescent="0.25">
      <c r="A799" t="str">
        <f t="shared" si="183"/>
        <v>10620026C28/05/2026E</v>
      </c>
      <c r="B799" s="169" t="s">
        <v>827</v>
      </c>
      <c r="C799" s="61" t="s">
        <v>397</v>
      </c>
      <c r="D799" s="61" t="s">
        <v>591</v>
      </c>
      <c r="E799" s="61" t="s">
        <v>594</v>
      </c>
      <c r="F799" s="1" t="s">
        <v>368</v>
      </c>
      <c r="G799" s="62" t="str">
        <f t="shared" si="184"/>
        <v>64528</v>
      </c>
      <c r="H799" s="1">
        <v>10620026</v>
      </c>
      <c r="I799" s="1" t="s">
        <v>388</v>
      </c>
      <c r="J799" s="61">
        <v>26</v>
      </c>
      <c r="K799" s="61">
        <v>3.6</v>
      </c>
      <c r="L799" s="61">
        <v>8.4</v>
      </c>
      <c r="M799" s="69">
        <f t="shared" si="185"/>
        <v>0.93600000000000005</v>
      </c>
      <c r="N799" s="69">
        <f t="shared" si="186"/>
        <v>2.1840000000000002</v>
      </c>
      <c r="O799" s="56">
        <f>INDEX(Rate_Chart!$A$1:$AK$127,MATCH(Data!K799,Rate_Chart!$A$1:$A$127,0),MATCH(Data!L799,Rate_Chart!$A$1:$AK$1,0))</f>
        <v>38.365167600000007</v>
      </c>
      <c r="P799" s="57">
        <f t="shared" si="187"/>
        <v>997.49435760000017</v>
      </c>
      <c r="Q799" s="58">
        <f t="shared" si="188"/>
        <v>417.01269130434792</v>
      </c>
      <c r="R799" s="58">
        <f t="shared" si="189"/>
        <v>278.00846086956528</v>
      </c>
      <c r="S799" s="66">
        <f t="shared" si="190"/>
        <v>17.456151258000006</v>
      </c>
      <c r="T799" s="64">
        <f t="shared" si="191"/>
        <v>97.5</v>
      </c>
      <c r="U799" s="66">
        <f t="shared" si="192"/>
        <v>1112.4505088580001</v>
      </c>
      <c r="V799" s="68">
        <f t="shared" si="193"/>
        <v>42.786558033000006</v>
      </c>
      <c r="W799" s="68">
        <f t="shared" si="194"/>
        <v>465.07128296739137</v>
      </c>
      <c r="X799" s="68">
        <f t="shared" si="195"/>
        <v>310.04752197826093</v>
      </c>
      <c r="Z799" s="63"/>
      <c r="AA799" s="63"/>
    </row>
    <row r="800" spans="1:27" hidden="1" x14ac:dyDescent="0.25">
      <c r="A800" t="str">
        <f t="shared" si="183"/>
        <v>10620026B28/05/2026M</v>
      </c>
      <c r="B800" s="169" t="s">
        <v>828</v>
      </c>
      <c r="C800" s="61" t="s">
        <v>396</v>
      </c>
      <c r="D800" s="61" t="s">
        <v>591</v>
      </c>
      <c r="E800" s="61" t="s">
        <v>594</v>
      </c>
      <c r="F800" s="1" t="s">
        <v>368</v>
      </c>
      <c r="G800" s="62" t="str">
        <f t="shared" si="184"/>
        <v>64528</v>
      </c>
      <c r="H800" s="1">
        <v>10620026</v>
      </c>
      <c r="I800" s="1" t="s">
        <v>387</v>
      </c>
      <c r="J800" s="61">
        <v>20</v>
      </c>
      <c r="K800" s="61">
        <v>7</v>
      </c>
      <c r="L800" s="61">
        <v>8.8000000000000007</v>
      </c>
      <c r="M800" s="69">
        <f t="shared" si="185"/>
        <v>1.4</v>
      </c>
      <c r="N800" s="69">
        <f t="shared" si="186"/>
        <v>1.76</v>
      </c>
      <c r="O800" s="56">
        <f>INDEX(Rate_Chart!$A$1:$AK$127,MATCH(Data!K800,Rate_Chart!$A$1:$A$127,0),MATCH(Data!L800,Rate_Chart!$A$1:$AK$1,0))</f>
        <v>57.865500000000004</v>
      </c>
      <c r="P800" s="57">
        <f t="shared" si="187"/>
        <v>1157.3100000000002</v>
      </c>
      <c r="Q800" s="58">
        <f t="shared" si="188"/>
        <v>449.73186528497411</v>
      </c>
      <c r="R800" s="58">
        <f t="shared" si="189"/>
        <v>299.82124352331607</v>
      </c>
      <c r="S800" s="66">
        <f t="shared" si="190"/>
        <v>20.252925000000005</v>
      </c>
      <c r="T800" s="64">
        <f t="shared" si="191"/>
        <v>75</v>
      </c>
      <c r="U800" s="66">
        <f t="shared" si="192"/>
        <v>1252.5629250000002</v>
      </c>
      <c r="V800" s="68">
        <f t="shared" si="193"/>
        <v>62.628146250000007</v>
      </c>
      <c r="W800" s="68">
        <f t="shared" si="194"/>
        <v>486.74725064766841</v>
      </c>
      <c r="X800" s="68">
        <f t="shared" si="195"/>
        <v>324.49816709844561</v>
      </c>
      <c r="Z800" s="63"/>
      <c r="AA800" s="63"/>
    </row>
    <row r="801" spans="1:27" hidden="1" x14ac:dyDescent="0.25">
      <c r="A801" t="str">
        <f t="shared" si="183"/>
        <v>10620026C28/05/2026M</v>
      </c>
      <c r="B801" s="169" t="s">
        <v>828</v>
      </c>
      <c r="C801" s="61" t="s">
        <v>396</v>
      </c>
      <c r="D801" s="61" t="s">
        <v>591</v>
      </c>
      <c r="E801" s="61" t="s">
        <v>594</v>
      </c>
      <c r="F801" s="1" t="s">
        <v>368</v>
      </c>
      <c r="G801" s="62" t="str">
        <f t="shared" si="184"/>
        <v>64528</v>
      </c>
      <c r="H801" s="1">
        <v>10620026</v>
      </c>
      <c r="I801" s="1" t="s">
        <v>388</v>
      </c>
      <c r="J801" s="61">
        <v>16</v>
      </c>
      <c r="K801" s="61">
        <v>3.9</v>
      </c>
      <c r="L801" s="61">
        <v>8.1999999999999993</v>
      </c>
      <c r="M801" s="69">
        <f t="shared" si="185"/>
        <v>0.624</v>
      </c>
      <c r="N801" s="69">
        <f t="shared" si="186"/>
        <v>1.3119999999999998</v>
      </c>
      <c r="O801" s="56">
        <f>INDEX(Rate_Chart!$A$1:$AK$127,MATCH(Data!K801,Rate_Chart!$A$1:$A$127,0),MATCH(Data!L801,Rate_Chart!$A$1:$AK$1,0))</f>
        <v>39.060139800000002</v>
      </c>
      <c r="P801" s="57">
        <f t="shared" si="187"/>
        <v>624.96223680000003</v>
      </c>
      <c r="Q801" s="58">
        <f t="shared" si="188"/>
        <v>417.01216868327407</v>
      </c>
      <c r="R801" s="58">
        <f t="shared" si="189"/>
        <v>278.00811245551603</v>
      </c>
      <c r="S801" s="66">
        <f t="shared" si="190"/>
        <v>10.936839144000002</v>
      </c>
      <c r="T801" s="64">
        <f t="shared" si="191"/>
        <v>60</v>
      </c>
      <c r="U801" s="66">
        <f t="shared" si="192"/>
        <v>695.89907594400006</v>
      </c>
      <c r="V801" s="68">
        <f t="shared" si="193"/>
        <v>43.493692246500004</v>
      </c>
      <c r="W801" s="68">
        <f t="shared" si="194"/>
        <v>464.34546882384348</v>
      </c>
      <c r="X801" s="68">
        <f t="shared" si="195"/>
        <v>309.5636458825623</v>
      </c>
      <c r="Z801" s="63"/>
      <c r="AA801" s="63"/>
    </row>
    <row r="802" spans="1:27" hidden="1" x14ac:dyDescent="0.25">
      <c r="A802" t="str">
        <f t="shared" si="183"/>
        <v>10620026B28/05/2026E</v>
      </c>
      <c r="B802" s="169" t="s">
        <v>828</v>
      </c>
      <c r="C802" s="61" t="s">
        <v>397</v>
      </c>
      <c r="D802" s="61" t="s">
        <v>591</v>
      </c>
      <c r="E802" s="61" t="s">
        <v>594</v>
      </c>
      <c r="F802" s="1" t="s">
        <v>368</v>
      </c>
      <c r="G802" s="62" t="str">
        <f t="shared" si="184"/>
        <v>64528</v>
      </c>
      <c r="H802" s="1">
        <v>10620026</v>
      </c>
      <c r="I802" s="1" t="s">
        <v>387</v>
      </c>
      <c r="J802" s="61">
        <v>8</v>
      </c>
      <c r="K802" s="61">
        <v>7</v>
      </c>
      <c r="L802" s="61">
        <v>8.8000000000000007</v>
      </c>
      <c r="M802" s="69">
        <f t="shared" si="185"/>
        <v>0.56000000000000005</v>
      </c>
      <c r="N802" s="69">
        <f t="shared" si="186"/>
        <v>0.70400000000000007</v>
      </c>
      <c r="O802" s="56">
        <f>INDEX(Rate_Chart!$A$1:$AK$127,MATCH(Data!K802,Rate_Chart!$A$1:$A$127,0),MATCH(Data!L802,Rate_Chart!$A$1:$AK$1,0))</f>
        <v>57.865500000000004</v>
      </c>
      <c r="P802" s="57">
        <f t="shared" si="187"/>
        <v>462.92400000000004</v>
      </c>
      <c r="Q802" s="58">
        <f t="shared" si="188"/>
        <v>449.73186528497411</v>
      </c>
      <c r="R802" s="58">
        <f t="shared" si="189"/>
        <v>299.82124352331607</v>
      </c>
      <c r="S802" s="66">
        <f t="shared" si="190"/>
        <v>8.1011700000000015</v>
      </c>
      <c r="T802" s="64">
        <f t="shared" si="191"/>
        <v>30</v>
      </c>
      <c r="U802" s="66">
        <f t="shared" si="192"/>
        <v>501.02517000000006</v>
      </c>
      <c r="V802" s="68">
        <f t="shared" si="193"/>
        <v>62.628146250000007</v>
      </c>
      <c r="W802" s="68">
        <f t="shared" si="194"/>
        <v>486.74725064766841</v>
      </c>
      <c r="X802" s="68">
        <f t="shared" si="195"/>
        <v>324.49816709844561</v>
      </c>
      <c r="Z802" s="63"/>
      <c r="AA802" s="63"/>
    </row>
    <row r="803" spans="1:27" hidden="1" x14ac:dyDescent="0.25">
      <c r="A803" t="str">
        <f t="shared" si="183"/>
        <v>10620026C22/05/2026E</v>
      </c>
      <c r="B803" s="169" t="s">
        <v>828</v>
      </c>
      <c r="C803" s="61" t="s">
        <v>397</v>
      </c>
      <c r="D803" s="61" t="s">
        <v>591</v>
      </c>
      <c r="E803" s="61" t="s">
        <v>594</v>
      </c>
      <c r="F803" s="1" t="s">
        <v>368</v>
      </c>
      <c r="G803" s="62" t="str">
        <f t="shared" si="184"/>
        <v>64528</v>
      </c>
      <c r="H803" s="1">
        <v>10620026</v>
      </c>
      <c r="I803" s="1" t="s">
        <v>388</v>
      </c>
      <c r="J803" s="61">
        <v>38</v>
      </c>
      <c r="K803" s="61">
        <v>3.5</v>
      </c>
      <c r="L803" s="61">
        <v>8.1999999999999993</v>
      </c>
      <c r="M803" s="69">
        <f t="shared" si="185"/>
        <v>1.33</v>
      </c>
      <c r="N803" s="69">
        <f t="shared" si="186"/>
        <v>3.1159999999999997</v>
      </c>
      <c r="O803" s="56">
        <f>INDEX(Rate_Chart!$A$1:$AK$127,MATCH(Data!K803,Rate_Chart!$A$1:$A$127,0),MATCH(Data!L803,Rate_Chart!$A$1:$AK$1,0))</f>
        <v>37.392139800000002</v>
      </c>
      <c r="P803" s="57">
        <f t="shared" si="187"/>
        <v>1420.9013124000001</v>
      </c>
      <c r="Q803" s="58">
        <f t="shared" si="188"/>
        <v>417.01271152416359</v>
      </c>
      <c r="R803" s="58">
        <f t="shared" si="189"/>
        <v>278.00847434944239</v>
      </c>
      <c r="S803" s="66">
        <f t="shared" si="190"/>
        <v>24.865772967000002</v>
      </c>
      <c r="T803" s="64">
        <f t="shared" si="191"/>
        <v>142.5</v>
      </c>
      <c r="U803" s="66">
        <f t="shared" si="192"/>
        <v>1588.2670853670002</v>
      </c>
      <c r="V803" s="68">
        <f t="shared" si="193"/>
        <v>41.796502246500005</v>
      </c>
      <c r="W803" s="68">
        <f t="shared" si="194"/>
        <v>466.13199531412641</v>
      </c>
      <c r="X803" s="68">
        <f t="shared" si="195"/>
        <v>310.75466354275096</v>
      </c>
      <c r="Z803" s="63"/>
      <c r="AA803" s="63"/>
    </row>
    <row r="804" spans="1:27" hidden="1" x14ac:dyDescent="0.25">
      <c r="A804" t="str">
        <f t="shared" si="183"/>
        <v>10620063B22/05/2026M</v>
      </c>
      <c r="B804" s="169" t="s">
        <v>822</v>
      </c>
      <c r="C804" s="61" t="s">
        <v>396</v>
      </c>
      <c r="D804" s="61" t="s">
        <v>591</v>
      </c>
      <c r="E804" s="61" t="s">
        <v>810</v>
      </c>
      <c r="F804" s="1" t="s">
        <v>369</v>
      </c>
      <c r="G804" s="62" t="str">
        <f t="shared" si="184"/>
        <v>64532</v>
      </c>
      <c r="H804" s="1">
        <v>10620063</v>
      </c>
      <c r="I804" s="1" t="s">
        <v>387</v>
      </c>
      <c r="J804" s="61">
        <v>13</v>
      </c>
      <c r="K804" s="61">
        <v>5.7</v>
      </c>
      <c r="L804" s="61">
        <v>8.8000000000000007</v>
      </c>
      <c r="M804" s="69">
        <f t="shared" si="185"/>
        <v>0.7410000000000001</v>
      </c>
      <c r="N804" s="69">
        <f t="shared" si="186"/>
        <v>1.1440000000000001</v>
      </c>
      <c r="O804" s="56">
        <v>47.119050000000001</v>
      </c>
      <c r="P804" s="57">
        <f t="shared" si="187"/>
        <v>612.54764999999998</v>
      </c>
      <c r="Q804" s="58">
        <f t="shared" si="188"/>
        <v>407.3693083573487</v>
      </c>
      <c r="R804" s="58">
        <f t="shared" si="189"/>
        <v>271.57953890489915</v>
      </c>
      <c r="S804" s="66">
        <f t="shared" si="190"/>
        <v>10.719583875000001</v>
      </c>
      <c r="T804" s="64">
        <f t="shared" si="191"/>
        <v>48.75</v>
      </c>
      <c r="U804" s="66">
        <f t="shared" si="192"/>
        <v>672.01723387499999</v>
      </c>
      <c r="V804" s="68">
        <f t="shared" si="193"/>
        <v>51.693633374999997</v>
      </c>
      <c r="W804" s="68">
        <f t="shared" si="194"/>
        <v>446.91902053314118</v>
      </c>
      <c r="X804" s="68">
        <f t="shared" si="195"/>
        <v>297.94601368876079</v>
      </c>
      <c r="Z804" s="63"/>
      <c r="AA804" s="63"/>
    </row>
    <row r="805" spans="1:27" hidden="1" x14ac:dyDescent="0.25">
      <c r="A805" t="str">
        <f t="shared" si="183"/>
        <v>10620063C22/05/2026M</v>
      </c>
      <c r="B805" s="169" t="s">
        <v>822</v>
      </c>
      <c r="C805" s="61" t="s">
        <v>396</v>
      </c>
      <c r="D805" s="61" t="s">
        <v>591</v>
      </c>
      <c r="E805" s="61" t="s">
        <v>810</v>
      </c>
      <c r="F805" s="1" t="s">
        <v>369</v>
      </c>
      <c r="G805" s="62" t="str">
        <f t="shared" si="184"/>
        <v>64532</v>
      </c>
      <c r="H805" s="1">
        <v>10620063</v>
      </c>
      <c r="I805" s="1" t="s">
        <v>388</v>
      </c>
      <c r="J805" s="61">
        <v>8</v>
      </c>
      <c r="K805" s="61">
        <v>3</v>
      </c>
      <c r="L805" s="61">
        <v>8</v>
      </c>
      <c r="M805" s="69">
        <f t="shared" si="185"/>
        <v>0.24</v>
      </c>
      <c r="N805" s="69">
        <f t="shared" si="186"/>
        <v>0.64</v>
      </c>
      <c r="O805" s="56">
        <v>33.001056000000005</v>
      </c>
      <c r="P805" s="57">
        <f t="shared" si="187"/>
        <v>264.00844800000004</v>
      </c>
      <c r="Q805" s="58">
        <f t="shared" si="188"/>
        <v>396.01267200000001</v>
      </c>
      <c r="R805" s="58">
        <f t="shared" si="189"/>
        <v>264.00844799999999</v>
      </c>
      <c r="S805" s="66">
        <f t="shared" si="190"/>
        <v>4.6201478400000013</v>
      </c>
      <c r="T805" s="64">
        <f t="shared" si="191"/>
        <v>30</v>
      </c>
      <c r="U805" s="66">
        <f t="shared" si="192"/>
        <v>298.62859584000006</v>
      </c>
      <c r="V805" s="68">
        <f t="shared" si="193"/>
        <v>37.328574480000007</v>
      </c>
      <c r="W805" s="68">
        <f t="shared" si="194"/>
        <v>447.94289376000006</v>
      </c>
      <c r="X805" s="68">
        <f t="shared" si="195"/>
        <v>298.62859584000006</v>
      </c>
      <c r="Z805" s="63"/>
      <c r="AA805" s="63"/>
    </row>
    <row r="806" spans="1:27" hidden="1" x14ac:dyDescent="0.25">
      <c r="A806" t="str">
        <f t="shared" si="183"/>
        <v>10620063C23/05/2026E</v>
      </c>
      <c r="B806" s="169" t="s">
        <v>822</v>
      </c>
      <c r="C806" s="61" t="s">
        <v>397</v>
      </c>
      <c r="D806" s="61" t="s">
        <v>591</v>
      </c>
      <c r="E806" s="61" t="s">
        <v>810</v>
      </c>
      <c r="F806" s="1" t="s">
        <v>369</v>
      </c>
      <c r="G806" s="62" t="str">
        <f t="shared" si="184"/>
        <v>64532</v>
      </c>
      <c r="H806" s="1">
        <v>10620063</v>
      </c>
      <c r="I806" s="1" t="s">
        <v>388</v>
      </c>
      <c r="J806" s="61">
        <v>25</v>
      </c>
      <c r="K806" s="61">
        <v>4.0999999999999996</v>
      </c>
      <c r="L806" s="61">
        <v>8.1999999999999993</v>
      </c>
      <c r="M806" s="69">
        <f t="shared" si="185"/>
        <v>1.0249999999999999</v>
      </c>
      <c r="N806" s="69">
        <f t="shared" si="186"/>
        <v>2.0499999999999998</v>
      </c>
      <c r="O806" s="56">
        <v>37.885082400000002</v>
      </c>
      <c r="P806" s="57">
        <f t="shared" si="187"/>
        <v>947.12706000000003</v>
      </c>
      <c r="Q806" s="58">
        <f t="shared" si="188"/>
        <v>396.01131428571438</v>
      </c>
      <c r="R806" s="58">
        <f t="shared" si="189"/>
        <v>264.00754285714294</v>
      </c>
      <c r="S806" s="66">
        <f t="shared" si="190"/>
        <v>16.574723550000002</v>
      </c>
      <c r="T806" s="64">
        <f t="shared" si="191"/>
        <v>93.75</v>
      </c>
      <c r="U806" s="66">
        <f t="shared" si="192"/>
        <v>1057.4517835500001</v>
      </c>
      <c r="V806" s="68">
        <f t="shared" si="193"/>
        <v>42.298071342</v>
      </c>
      <c r="W806" s="68">
        <f t="shared" si="194"/>
        <v>442.14011855749135</v>
      </c>
      <c r="X806" s="68">
        <f t="shared" si="195"/>
        <v>294.76007903832755</v>
      </c>
      <c r="Z806" s="63"/>
      <c r="AA806" s="63"/>
    </row>
    <row r="807" spans="1:27" hidden="1" x14ac:dyDescent="0.25">
      <c r="A807" t="str">
        <f t="shared" si="183"/>
        <v>10620063B23/05/2026M</v>
      </c>
      <c r="B807" s="169" t="s">
        <v>823</v>
      </c>
      <c r="C807" s="61" t="s">
        <v>396</v>
      </c>
      <c r="D807" s="61" t="s">
        <v>591</v>
      </c>
      <c r="E807" s="61" t="s">
        <v>810</v>
      </c>
      <c r="F807" s="1" t="s">
        <v>369</v>
      </c>
      <c r="G807" s="62" t="str">
        <f t="shared" si="184"/>
        <v>64532</v>
      </c>
      <c r="H807" s="1">
        <v>10620063</v>
      </c>
      <c r="I807" s="1" t="s">
        <v>387</v>
      </c>
      <c r="J807" s="61">
        <v>14</v>
      </c>
      <c r="K807" s="61">
        <v>5.8</v>
      </c>
      <c r="L807" s="61">
        <v>8.6</v>
      </c>
      <c r="M807" s="69">
        <f t="shared" si="185"/>
        <v>0.81200000000000006</v>
      </c>
      <c r="N807" s="69">
        <f t="shared" si="186"/>
        <v>1.204</v>
      </c>
      <c r="O807" s="56">
        <v>47.461399999999998</v>
      </c>
      <c r="P807" s="57">
        <f t="shared" si="187"/>
        <v>664.45959999999991</v>
      </c>
      <c r="Q807" s="58">
        <f t="shared" si="188"/>
        <v>411.51502890173413</v>
      </c>
      <c r="R807" s="58">
        <f t="shared" si="189"/>
        <v>274.34335260115608</v>
      </c>
      <c r="S807" s="66">
        <f t="shared" si="190"/>
        <v>11.628043</v>
      </c>
      <c r="T807" s="64">
        <f t="shared" si="191"/>
        <v>52.5</v>
      </c>
      <c r="U807" s="66">
        <f t="shared" si="192"/>
        <v>728.58764299999996</v>
      </c>
      <c r="V807" s="68">
        <f t="shared" si="193"/>
        <v>52.041974499999995</v>
      </c>
      <c r="W807" s="68">
        <f t="shared" si="194"/>
        <v>451.23099277456652</v>
      </c>
      <c r="X807" s="68">
        <f t="shared" si="195"/>
        <v>300.82066184971103</v>
      </c>
      <c r="Z807" s="63"/>
      <c r="AA807" s="63"/>
    </row>
    <row r="808" spans="1:27" hidden="1" x14ac:dyDescent="0.25">
      <c r="A808" t="str">
        <f t="shared" si="183"/>
        <v>10620063C23/05/2026M</v>
      </c>
      <c r="B808" s="169" t="s">
        <v>823</v>
      </c>
      <c r="C808" s="61" t="s">
        <v>396</v>
      </c>
      <c r="D808" s="61" t="s">
        <v>591</v>
      </c>
      <c r="E808" s="61" t="s">
        <v>810</v>
      </c>
      <c r="F808" s="1" t="s">
        <v>369</v>
      </c>
      <c r="G808" s="62" t="str">
        <f t="shared" si="184"/>
        <v>64532</v>
      </c>
      <c r="H808" s="1">
        <v>10620063</v>
      </c>
      <c r="I808" s="1" t="s">
        <v>388</v>
      </c>
      <c r="J808" s="61">
        <v>23</v>
      </c>
      <c r="K808" s="61">
        <v>3.5</v>
      </c>
      <c r="L808" s="61">
        <v>8</v>
      </c>
      <c r="M808" s="69">
        <f t="shared" si="185"/>
        <v>0.80500000000000005</v>
      </c>
      <c r="N808" s="69">
        <f t="shared" si="186"/>
        <v>1.84</v>
      </c>
      <c r="O808" s="56">
        <v>34.981056000000002</v>
      </c>
      <c r="P808" s="57">
        <f t="shared" si="187"/>
        <v>804.56428800000003</v>
      </c>
      <c r="Q808" s="58">
        <f t="shared" si="188"/>
        <v>396.01195471698111</v>
      </c>
      <c r="R808" s="58">
        <f t="shared" si="189"/>
        <v>264.00796981132072</v>
      </c>
      <c r="S808" s="66">
        <f t="shared" si="190"/>
        <v>14.079875040000003</v>
      </c>
      <c r="T808" s="64">
        <f t="shared" si="191"/>
        <v>86.25</v>
      </c>
      <c r="U808" s="66">
        <f t="shared" si="192"/>
        <v>904.89416304000008</v>
      </c>
      <c r="V808" s="68">
        <f t="shared" si="193"/>
        <v>39.343224480000003</v>
      </c>
      <c r="W808" s="68">
        <f t="shared" si="194"/>
        <v>445.39499411320753</v>
      </c>
      <c r="X808" s="68">
        <f t="shared" si="195"/>
        <v>296.92999607547171</v>
      </c>
      <c r="Z808" s="63"/>
      <c r="AA808" s="63"/>
    </row>
    <row r="809" spans="1:27" hidden="1" x14ac:dyDescent="0.25">
      <c r="A809" t="str">
        <f t="shared" si="183"/>
        <v>10620063C24/05/2026E</v>
      </c>
      <c r="B809" s="169" t="s">
        <v>823</v>
      </c>
      <c r="C809" s="61" t="s">
        <v>397</v>
      </c>
      <c r="D809" s="61" t="s">
        <v>591</v>
      </c>
      <c r="E809" s="61" t="s">
        <v>810</v>
      </c>
      <c r="F809" s="1" t="s">
        <v>369</v>
      </c>
      <c r="G809" s="62" t="str">
        <f t="shared" si="184"/>
        <v>64532</v>
      </c>
      <c r="H809" s="1">
        <v>10620063</v>
      </c>
      <c r="I809" s="1" t="s">
        <v>388</v>
      </c>
      <c r="J809" s="61">
        <v>23</v>
      </c>
      <c r="K809" s="61">
        <v>3.7</v>
      </c>
      <c r="L809" s="61">
        <v>8.1</v>
      </c>
      <c r="M809" s="69">
        <f t="shared" si="185"/>
        <v>0.85100000000000009</v>
      </c>
      <c r="N809" s="69">
        <f t="shared" si="186"/>
        <v>1.8629999999999998</v>
      </c>
      <c r="O809" s="56">
        <v>36.037069200000005</v>
      </c>
      <c r="P809" s="57">
        <f t="shared" si="187"/>
        <v>828.8525916000001</v>
      </c>
      <c r="Q809" s="58">
        <f t="shared" si="188"/>
        <v>396.01174945054953</v>
      </c>
      <c r="R809" s="58">
        <f t="shared" si="189"/>
        <v>264.00783296703304</v>
      </c>
      <c r="S809" s="66">
        <f t="shared" si="190"/>
        <v>14.504920353000003</v>
      </c>
      <c r="T809" s="64">
        <f t="shared" si="191"/>
        <v>86.25</v>
      </c>
      <c r="U809" s="66">
        <f t="shared" si="192"/>
        <v>929.60751195300008</v>
      </c>
      <c r="V809" s="68">
        <f t="shared" si="193"/>
        <v>40.417717911000004</v>
      </c>
      <c r="W809" s="68">
        <f t="shared" si="194"/>
        <v>444.15074627472535</v>
      </c>
      <c r="X809" s="68">
        <f t="shared" si="195"/>
        <v>296.10049751648359</v>
      </c>
      <c r="Z809" s="63"/>
      <c r="AA809" s="63"/>
    </row>
    <row r="810" spans="1:27" hidden="1" x14ac:dyDescent="0.25">
      <c r="A810" t="str">
        <f t="shared" si="183"/>
        <v>10620063C24/05/2026M</v>
      </c>
      <c r="B810" s="169" t="s">
        <v>824</v>
      </c>
      <c r="C810" s="61" t="s">
        <v>396</v>
      </c>
      <c r="D810" s="61" t="s">
        <v>591</v>
      </c>
      <c r="E810" s="61" t="s">
        <v>810</v>
      </c>
      <c r="F810" s="1" t="s">
        <v>369</v>
      </c>
      <c r="G810" s="62" t="str">
        <f t="shared" si="184"/>
        <v>64532</v>
      </c>
      <c r="H810" s="1">
        <v>10620063</v>
      </c>
      <c r="I810" s="1" t="s">
        <v>388</v>
      </c>
      <c r="J810" s="61">
        <v>19</v>
      </c>
      <c r="K810" s="61">
        <v>3.2</v>
      </c>
      <c r="L810" s="61">
        <v>8</v>
      </c>
      <c r="M810" s="69">
        <f t="shared" si="185"/>
        <v>0.6080000000000001</v>
      </c>
      <c r="N810" s="69">
        <f t="shared" si="186"/>
        <v>1.52</v>
      </c>
      <c r="O810" s="56">
        <v>33.793056000000007</v>
      </c>
      <c r="P810" s="57">
        <f t="shared" si="187"/>
        <v>642.06806400000016</v>
      </c>
      <c r="Q810" s="58">
        <f t="shared" si="188"/>
        <v>396.01237500000002</v>
      </c>
      <c r="R810" s="58">
        <f t="shared" si="189"/>
        <v>264.00825000000003</v>
      </c>
      <c r="S810" s="66">
        <f t="shared" si="190"/>
        <v>11.236191120000004</v>
      </c>
      <c r="T810" s="64">
        <f t="shared" si="191"/>
        <v>71.25</v>
      </c>
      <c r="U810" s="66">
        <f t="shared" si="192"/>
        <v>724.55425512000011</v>
      </c>
      <c r="V810" s="68">
        <f t="shared" si="193"/>
        <v>38.134434480000003</v>
      </c>
      <c r="W810" s="68">
        <f t="shared" si="194"/>
        <v>446.88790406249996</v>
      </c>
      <c r="X810" s="68">
        <f t="shared" si="195"/>
        <v>297.92526937499997</v>
      </c>
      <c r="Z810" s="63"/>
      <c r="AA810" s="63"/>
    </row>
    <row r="811" spans="1:27" hidden="1" x14ac:dyDescent="0.25">
      <c r="A811" t="str">
        <f t="shared" si="183"/>
        <v>10620063C25/05/2026E</v>
      </c>
      <c r="B811" s="169" t="s">
        <v>824</v>
      </c>
      <c r="C811" s="61" t="s">
        <v>397</v>
      </c>
      <c r="D811" s="61" t="s">
        <v>591</v>
      </c>
      <c r="E811" s="61" t="s">
        <v>810</v>
      </c>
      <c r="F811" s="1" t="s">
        <v>369</v>
      </c>
      <c r="G811" s="62" t="str">
        <f t="shared" si="184"/>
        <v>64532</v>
      </c>
      <c r="H811" s="1">
        <v>10620063</v>
      </c>
      <c r="I811" s="1" t="s">
        <v>388</v>
      </c>
      <c r="J811" s="61">
        <v>22</v>
      </c>
      <c r="K811" s="61">
        <v>3.8</v>
      </c>
      <c r="L811" s="61">
        <v>8.1</v>
      </c>
      <c r="M811" s="69">
        <f t="shared" si="185"/>
        <v>0.83599999999999997</v>
      </c>
      <c r="N811" s="69">
        <f t="shared" si="186"/>
        <v>1.7819999999999998</v>
      </c>
      <c r="O811" s="56">
        <v>36.433069200000006</v>
      </c>
      <c r="P811" s="57">
        <f t="shared" si="187"/>
        <v>801.52752240000018</v>
      </c>
      <c r="Q811" s="58">
        <f t="shared" si="188"/>
        <v>396.01162173913048</v>
      </c>
      <c r="R811" s="58">
        <f t="shared" si="189"/>
        <v>264.00774782608698</v>
      </c>
      <c r="S811" s="66">
        <f t="shared" si="190"/>
        <v>14.026731642000005</v>
      </c>
      <c r="T811" s="64">
        <f t="shared" si="191"/>
        <v>82.5</v>
      </c>
      <c r="U811" s="66">
        <f t="shared" si="192"/>
        <v>898.05425404200014</v>
      </c>
      <c r="V811" s="68">
        <f t="shared" si="193"/>
        <v>40.820647911000009</v>
      </c>
      <c r="W811" s="68">
        <f t="shared" si="194"/>
        <v>443.70269468478273</v>
      </c>
      <c r="X811" s="68">
        <f t="shared" si="195"/>
        <v>295.8017964565218</v>
      </c>
      <c r="Z811" s="63"/>
      <c r="AA811" s="63"/>
    </row>
    <row r="812" spans="1:27" hidden="1" x14ac:dyDescent="0.25">
      <c r="A812" t="str">
        <f t="shared" si="183"/>
        <v>10620063C25/05/2026M</v>
      </c>
      <c r="B812" s="169" t="s">
        <v>825</v>
      </c>
      <c r="C812" s="61" t="s">
        <v>396</v>
      </c>
      <c r="D812" s="61" t="s">
        <v>591</v>
      </c>
      <c r="E812" s="61" t="s">
        <v>810</v>
      </c>
      <c r="F812" s="1" t="s">
        <v>369</v>
      </c>
      <c r="G812" s="62" t="str">
        <f t="shared" si="184"/>
        <v>64532</v>
      </c>
      <c r="H812" s="1">
        <v>10620063</v>
      </c>
      <c r="I812" s="1" t="s">
        <v>388</v>
      </c>
      <c r="J812" s="61">
        <v>20</v>
      </c>
      <c r="K812" s="61">
        <v>3.9</v>
      </c>
      <c r="L812" s="61">
        <v>8</v>
      </c>
      <c r="M812" s="69">
        <f t="shared" si="185"/>
        <v>0.78</v>
      </c>
      <c r="N812" s="69">
        <f t="shared" si="186"/>
        <v>1.6</v>
      </c>
      <c r="O812" s="56">
        <v>36.565056000000006</v>
      </c>
      <c r="P812" s="57">
        <f t="shared" si="187"/>
        <v>731.30112000000008</v>
      </c>
      <c r="Q812" s="58">
        <f t="shared" si="188"/>
        <v>396.01143682310476</v>
      </c>
      <c r="R812" s="58">
        <f t="shared" si="189"/>
        <v>264.00762454873649</v>
      </c>
      <c r="S812" s="66">
        <f t="shared" si="190"/>
        <v>12.797769600000002</v>
      </c>
      <c r="T812" s="64">
        <f t="shared" si="191"/>
        <v>75</v>
      </c>
      <c r="U812" s="66">
        <f t="shared" si="192"/>
        <v>819.09888960000012</v>
      </c>
      <c r="V812" s="68">
        <f t="shared" si="193"/>
        <v>40.954944480000009</v>
      </c>
      <c r="W812" s="68">
        <f t="shared" si="194"/>
        <v>443.55535537906144</v>
      </c>
      <c r="X812" s="68">
        <f t="shared" si="195"/>
        <v>295.70357025270761</v>
      </c>
      <c r="Z812" s="63"/>
      <c r="AA812" s="63"/>
    </row>
    <row r="813" spans="1:27" hidden="1" x14ac:dyDescent="0.25">
      <c r="A813" t="str">
        <f t="shared" si="183"/>
        <v>10620063C26/05/2026E</v>
      </c>
      <c r="B813" s="169" t="s">
        <v>825</v>
      </c>
      <c r="C813" s="61" t="s">
        <v>397</v>
      </c>
      <c r="D813" s="61" t="s">
        <v>591</v>
      </c>
      <c r="E813" s="61" t="s">
        <v>810</v>
      </c>
      <c r="F813" s="1" t="s">
        <v>369</v>
      </c>
      <c r="G813" s="62" t="str">
        <f t="shared" si="184"/>
        <v>64532</v>
      </c>
      <c r="H813" s="1">
        <v>10620063</v>
      </c>
      <c r="I813" s="1" t="s">
        <v>388</v>
      </c>
      <c r="J813" s="61">
        <v>20</v>
      </c>
      <c r="K813" s="61">
        <v>3.8</v>
      </c>
      <c r="L813" s="61">
        <v>8.1999999999999993</v>
      </c>
      <c r="M813" s="69">
        <f t="shared" si="185"/>
        <v>0.76</v>
      </c>
      <c r="N813" s="69">
        <f t="shared" si="186"/>
        <v>1.64</v>
      </c>
      <c r="O813" s="56">
        <v>36.697082399999999</v>
      </c>
      <c r="P813" s="57">
        <f t="shared" si="187"/>
        <v>733.94164799999999</v>
      </c>
      <c r="Q813" s="58">
        <f t="shared" si="188"/>
        <v>396.01168057553957</v>
      </c>
      <c r="R813" s="58">
        <f t="shared" si="189"/>
        <v>264.0077870503597</v>
      </c>
      <c r="S813" s="66">
        <f t="shared" si="190"/>
        <v>12.84397884</v>
      </c>
      <c r="T813" s="64">
        <f t="shared" si="191"/>
        <v>75</v>
      </c>
      <c r="U813" s="66">
        <f t="shared" si="192"/>
        <v>821.78562683999996</v>
      </c>
      <c r="V813" s="68">
        <f t="shared" si="193"/>
        <v>41.089281342</v>
      </c>
      <c r="W813" s="68">
        <f t="shared" si="194"/>
        <v>443.40951088489209</v>
      </c>
      <c r="X813" s="68">
        <f t="shared" si="195"/>
        <v>295.60634058992804</v>
      </c>
      <c r="Z813" s="63"/>
      <c r="AA813" s="63"/>
    </row>
    <row r="814" spans="1:27" hidden="1" x14ac:dyDescent="0.25">
      <c r="A814" t="str">
        <f t="shared" si="183"/>
        <v>10620063C27/05/2026M</v>
      </c>
      <c r="B814" s="169" t="s">
        <v>826</v>
      </c>
      <c r="C814" s="61" t="s">
        <v>396</v>
      </c>
      <c r="D814" s="61" t="s">
        <v>591</v>
      </c>
      <c r="E814" s="61" t="s">
        <v>810</v>
      </c>
      <c r="F814" s="1" t="s">
        <v>369</v>
      </c>
      <c r="G814" s="62" t="str">
        <f t="shared" si="184"/>
        <v>64532</v>
      </c>
      <c r="H814" s="1">
        <v>10620063</v>
      </c>
      <c r="I814" s="1" t="s">
        <v>388</v>
      </c>
      <c r="J814" s="61">
        <v>20</v>
      </c>
      <c r="K814" s="61">
        <v>3.6</v>
      </c>
      <c r="L814" s="61">
        <v>8.1999999999999993</v>
      </c>
      <c r="M814" s="69">
        <f t="shared" si="185"/>
        <v>0.72</v>
      </c>
      <c r="N814" s="69">
        <f t="shared" si="186"/>
        <v>1.64</v>
      </c>
      <c r="O814" s="56">
        <f>INDEX(Rate_Chart!$A$1:$AK$127,MATCH(Data!K814,Rate_Chart!$A$1:$A$127,0),MATCH(Data!L814,Rate_Chart!$A$1:$AK$1,0))</f>
        <v>37.809139800000004</v>
      </c>
      <c r="P814" s="57">
        <f t="shared" si="187"/>
        <v>756.18279600000005</v>
      </c>
      <c r="Q814" s="58">
        <f t="shared" si="188"/>
        <v>417.01257132352941</v>
      </c>
      <c r="R814" s="58">
        <f t="shared" si="189"/>
        <v>278.00838088235292</v>
      </c>
      <c r="S814" s="66">
        <f t="shared" si="190"/>
        <v>13.233198930000002</v>
      </c>
      <c r="T814" s="64">
        <f t="shared" si="191"/>
        <v>75</v>
      </c>
      <c r="U814" s="66">
        <f t="shared" si="192"/>
        <v>844.41599493000001</v>
      </c>
      <c r="V814" s="68">
        <f t="shared" si="193"/>
        <v>42.220799746499999</v>
      </c>
      <c r="W814" s="68">
        <f t="shared" si="194"/>
        <v>465.6705854393382</v>
      </c>
      <c r="X814" s="68">
        <f t="shared" si="195"/>
        <v>310.44705695955878</v>
      </c>
      <c r="Z814" s="63"/>
      <c r="AA814" s="63"/>
    </row>
    <row r="815" spans="1:27" hidden="1" x14ac:dyDescent="0.25">
      <c r="A815" t="str">
        <f t="shared" si="183"/>
        <v>10620063B27/05/2026M</v>
      </c>
      <c r="B815" s="169" t="s">
        <v>827</v>
      </c>
      <c r="C815" s="61" t="s">
        <v>396</v>
      </c>
      <c r="D815" s="61" t="s">
        <v>591</v>
      </c>
      <c r="E815" s="61" t="s">
        <v>810</v>
      </c>
      <c r="F815" s="1" t="s">
        <v>369</v>
      </c>
      <c r="G815" s="62" t="str">
        <f t="shared" si="184"/>
        <v>64532</v>
      </c>
      <c r="H815" s="1">
        <v>10620063</v>
      </c>
      <c r="I815" s="1" t="s">
        <v>387</v>
      </c>
      <c r="J815" s="61">
        <v>16</v>
      </c>
      <c r="K815" s="61">
        <v>6.4</v>
      </c>
      <c r="L815" s="61">
        <v>9</v>
      </c>
      <c r="M815" s="69">
        <f t="shared" si="185"/>
        <v>1.024</v>
      </c>
      <c r="N815" s="69">
        <f t="shared" si="186"/>
        <v>1.44</v>
      </c>
      <c r="O815" s="56">
        <f>INDEX(Rate_Chart!$A$1:$AK$127,MATCH(Data!K815,Rate_Chart!$A$1:$A$127,0),MATCH(Data!L815,Rate_Chart!$A$1:$AK$1,0))</f>
        <v>53.44</v>
      </c>
      <c r="P815" s="57">
        <f t="shared" si="187"/>
        <v>855.04</v>
      </c>
      <c r="Q815" s="58">
        <f t="shared" si="188"/>
        <v>430.96774193548384</v>
      </c>
      <c r="R815" s="58">
        <f t="shared" si="189"/>
        <v>287.31182795698925</v>
      </c>
      <c r="S815" s="66">
        <f t="shared" si="190"/>
        <v>14.963200000000001</v>
      </c>
      <c r="T815" s="64">
        <f t="shared" si="191"/>
        <v>60</v>
      </c>
      <c r="U815" s="66">
        <f t="shared" si="192"/>
        <v>930.00319999999999</v>
      </c>
      <c r="V815" s="68">
        <f t="shared" si="193"/>
        <v>58.1252</v>
      </c>
      <c r="W815" s="68">
        <f t="shared" si="194"/>
        <v>468.7516129032258</v>
      </c>
      <c r="X815" s="68">
        <f t="shared" si="195"/>
        <v>312.5010752688172</v>
      </c>
      <c r="Z815" s="63"/>
      <c r="AA815" s="63"/>
    </row>
    <row r="816" spans="1:27" hidden="1" x14ac:dyDescent="0.25">
      <c r="A816" t="str">
        <f t="shared" si="183"/>
        <v>10620063C27/05/2026M</v>
      </c>
      <c r="B816" s="169" t="s">
        <v>827</v>
      </c>
      <c r="C816" s="61" t="s">
        <v>396</v>
      </c>
      <c r="D816" s="61" t="s">
        <v>591</v>
      </c>
      <c r="E816" s="61" t="s">
        <v>810</v>
      </c>
      <c r="F816" s="1" t="s">
        <v>369</v>
      </c>
      <c r="G816" s="62" t="str">
        <f t="shared" si="184"/>
        <v>64532</v>
      </c>
      <c r="H816" s="1">
        <v>10620063</v>
      </c>
      <c r="I816" s="1" t="s">
        <v>388</v>
      </c>
      <c r="J816" s="61">
        <v>17</v>
      </c>
      <c r="K816" s="61">
        <v>3.4</v>
      </c>
      <c r="L816" s="61">
        <v>8.5</v>
      </c>
      <c r="M816" s="69">
        <f t="shared" si="185"/>
        <v>0.57799999999999996</v>
      </c>
      <c r="N816" s="69">
        <f t="shared" si="186"/>
        <v>1.4450000000000001</v>
      </c>
      <c r="O816" s="56">
        <f>INDEX(Rate_Chart!$A$1:$AK$127,MATCH(Data!K816,Rate_Chart!$A$1:$A$127,0),MATCH(Data!L816,Rate_Chart!$A$1:$AK$1,0))</f>
        <v>37.809181500000008</v>
      </c>
      <c r="P816" s="57">
        <f t="shared" si="187"/>
        <v>642.75608550000015</v>
      </c>
      <c r="Q816" s="58">
        <f t="shared" si="188"/>
        <v>417.01303125000004</v>
      </c>
      <c r="R816" s="58">
        <f t="shared" si="189"/>
        <v>278.00868750000001</v>
      </c>
      <c r="S816" s="66">
        <f t="shared" si="190"/>
        <v>11.248231496250003</v>
      </c>
      <c r="T816" s="64">
        <f t="shared" si="191"/>
        <v>63.75</v>
      </c>
      <c r="U816" s="66">
        <f t="shared" si="192"/>
        <v>717.75431699625017</v>
      </c>
      <c r="V816" s="68">
        <f t="shared" si="193"/>
        <v>42.220842176250009</v>
      </c>
      <c r="W816" s="68">
        <f t="shared" si="194"/>
        <v>465.67105341452213</v>
      </c>
      <c r="X816" s="68">
        <f t="shared" si="195"/>
        <v>310.44736894301474</v>
      </c>
      <c r="Z816" s="63"/>
      <c r="AA816" s="63"/>
    </row>
    <row r="817" spans="1:27" hidden="1" x14ac:dyDescent="0.25">
      <c r="A817" t="str">
        <f t="shared" si="183"/>
        <v>10620063C28/05/2026E</v>
      </c>
      <c r="B817" s="169" t="s">
        <v>827</v>
      </c>
      <c r="C817" s="61" t="s">
        <v>397</v>
      </c>
      <c r="D817" s="61" t="s">
        <v>591</v>
      </c>
      <c r="E817" s="61" t="s">
        <v>810</v>
      </c>
      <c r="F817" s="1" t="s">
        <v>369</v>
      </c>
      <c r="G817" s="62" t="str">
        <f t="shared" si="184"/>
        <v>64532</v>
      </c>
      <c r="H817" s="1">
        <v>10620063</v>
      </c>
      <c r="I817" s="1" t="s">
        <v>388</v>
      </c>
      <c r="J817" s="61">
        <v>21</v>
      </c>
      <c r="K817" s="61">
        <v>4.0999999999999996</v>
      </c>
      <c r="L817" s="61">
        <v>8.5</v>
      </c>
      <c r="M817" s="69">
        <f t="shared" si="185"/>
        <v>0.86099999999999999</v>
      </c>
      <c r="N817" s="69">
        <f t="shared" si="186"/>
        <v>1.7849999999999999</v>
      </c>
      <c r="O817" s="56">
        <f>INDEX(Rate_Chart!$A$1:$AK$127,MATCH(Data!K817,Rate_Chart!$A$1:$A$127,0),MATCH(Data!L817,Rate_Chart!$A$1:$AK$1,0))</f>
        <v>40.728181500000005</v>
      </c>
      <c r="P817" s="57">
        <f t="shared" si="187"/>
        <v>855.29181150000011</v>
      </c>
      <c r="Q817" s="58">
        <f t="shared" si="188"/>
        <v>417.01209726962463</v>
      </c>
      <c r="R817" s="58">
        <f t="shared" si="189"/>
        <v>278.0080648464164</v>
      </c>
      <c r="S817" s="66">
        <f t="shared" si="190"/>
        <v>14.967606701250004</v>
      </c>
      <c r="T817" s="64">
        <f t="shared" si="191"/>
        <v>78.75</v>
      </c>
      <c r="U817" s="66">
        <f t="shared" si="192"/>
        <v>949.00941820125013</v>
      </c>
      <c r="V817" s="68">
        <f t="shared" si="193"/>
        <v>45.190924676250006</v>
      </c>
      <c r="W817" s="68">
        <f t="shared" si="194"/>
        <v>462.70571340870316</v>
      </c>
      <c r="X817" s="68">
        <f t="shared" si="195"/>
        <v>308.47047560580211</v>
      </c>
      <c r="Z817" s="63"/>
      <c r="AA817" s="63"/>
    </row>
    <row r="818" spans="1:27" hidden="1" x14ac:dyDescent="0.25">
      <c r="A818" t="str">
        <f t="shared" si="183"/>
        <v>10620063B28/05/2026M</v>
      </c>
      <c r="B818" s="169" t="s">
        <v>828</v>
      </c>
      <c r="C818" s="61" t="s">
        <v>396</v>
      </c>
      <c r="D818" s="61" t="s">
        <v>591</v>
      </c>
      <c r="E818" s="61" t="s">
        <v>810</v>
      </c>
      <c r="F818" s="1" t="s">
        <v>369</v>
      </c>
      <c r="G818" s="62" t="str">
        <f t="shared" si="184"/>
        <v>64532</v>
      </c>
      <c r="H818" s="1">
        <v>10620063</v>
      </c>
      <c r="I818" s="1" t="s">
        <v>387</v>
      </c>
      <c r="J818" s="61">
        <v>10</v>
      </c>
      <c r="K818" s="61">
        <v>5.6</v>
      </c>
      <c r="L818" s="61">
        <v>8.6</v>
      </c>
      <c r="M818" s="69">
        <f t="shared" si="185"/>
        <v>0.56000000000000005</v>
      </c>
      <c r="N818" s="69">
        <f t="shared" si="186"/>
        <v>0.86</v>
      </c>
      <c r="O818" s="56">
        <f>INDEX(Rate_Chart!$A$1:$AK$127,MATCH(Data!K818,Rate_Chart!$A$1:$A$127,0),MATCH(Data!L818,Rate_Chart!$A$1:$AK$1,0))</f>
        <v>45.824799999999996</v>
      </c>
      <c r="P818" s="57">
        <f t="shared" si="187"/>
        <v>458.24799999999993</v>
      </c>
      <c r="Q818" s="58">
        <f t="shared" si="188"/>
        <v>404.33647058823533</v>
      </c>
      <c r="R818" s="58">
        <f t="shared" si="189"/>
        <v>269.55764705882353</v>
      </c>
      <c r="S818" s="66">
        <f t="shared" si="190"/>
        <v>8.0193399999999997</v>
      </c>
      <c r="T818" s="64">
        <f t="shared" si="191"/>
        <v>37.5</v>
      </c>
      <c r="U818" s="66">
        <f t="shared" si="192"/>
        <v>503.76733999999993</v>
      </c>
      <c r="V818" s="68">
        <f t="shared" si="193"/>
        <v>50.376733999999992</v>
      </c>
      <c r="W818" s="68">
        <f t="shared" si="194"/>
        <v>444.50059411764704</v>
      </c>
      <c r="X818" s="68">
        <f t="shared" si="195"/>
        <v>296.33372941176469</v>
      </c>
      <c r="Z818" s="63"/>
      <c r="AA818" s="63"/>
    </row>
    <row r="819" spans="1:27" hidden="1" x14ac:dyDescent="0.25">
      <c r="A819" t="str">
        <f t="shared" si="183"/>
        <v>10620063C28/05/2026M</v>
      </c>
      <c r="B819" s="169" t="s">
        <v>828</v>
      </c>
      <c r="C819" s="61" t="s">
        <v>396</v>
      </c>
      <c r="D819" s="61" t="s">
        <v>591</v>
      </c>
      <c r="E819" s="61" t="s">
        <v>810</v>
      </c>
      <c r="F819" s="1" t="s">
        <v>369</v>
      </c>
      <c r="G819" s="62" t="str">
        <f t="shared" si="184"/>
        <v>64532</v>
      </c>
      <c r="H819" s="1">
        <v>10620063</v>
      </c>
      <c r="I819" s="1" t="s">
        <v>388</v>
      </c>
      <c r="J819" s="61">
        <v>22</v>
      </c>
      <c r="K819" s="61">
        <v>3</v>
      </c>
      <c r="L819" s="61">
        <v>8</v>
      </c>
      <c r="M819" s="69">
        <f t="shared" si="185"/>
        <v>0.66</v>
      </c>
      <c r="N819" s="69">
        <f t="shared" si="186"/>
        <v>1.76</v>
      </c>
      <c r="O819" s="56">
        <f>INDEX(Rate_Chart!$A$1:$AK$127,MATCH(Data!K819,Rate_Chart!$A$1:$A$127,0),MATCH(Data!L819,Rate_Chart!$A$1:$AK$1,0))</f>
        <v>34.751112000000006</v>
      </c>
      <c r="P819" s="57">
        <f t="shared" si="187"/>
        <v>764.52446400000008</v>
      </c>
      <c r="Q819" s="58">
        <f t="shared" si="188"/>
        <v>417.01334400000002</v>
      </c>
      <c r="R819" s="58">
        <f t="shared" si="189"/>
        <v>278.00889599999999</v>
      </c>
      <c r="S819" s="66">
        <f t="shared" si="190"/>
        <v>13.379178120000002</v>
      </c>
      <c r="T819" s="64">
        <f t="shared" si="191"/>
        <v>82.5</v>
      </c>
      <c r="U819" s="66">
        <f t="shared" si="192"/>
        <v>860.40364212000009</v>
      </c>
      <c r="V819" s="68">
        <f t="shared" si="193"/>
        <v>39.109256460000005</v>
      </c>
      <c r="W819" s="68">
        <f t="shared" si="194"/>
        <v>469.31107752000003</v>
      </c>
      <c r="X819" s="68">
        <f t="shared" si="195"/>
        <v>312.87405168000004</v>
      </c>
      <c r="Z819" s="63"/>
      <c r="AA819" s="63"/>
    </row>
    <row r="820" spans="1:27" hidden="1" x14ac:dyDescent="0.25">
      <c r="A820" t="str">
        <f t="shared" si="183"/>
        <v>10620063C22/05/2026E</v>
      </c>
      <c r="B820" s="169" t="s">
        <v>828</v>
      </c>
      <c r="C820" s="61" t="s">
        <v>397</v>
      </c>
      <c r="D820" s="61" t="s">
        <v>591</v>
      </c>
      <c r="E820" s="61" t="s">
        <v>810</v>
      </c>
      <c r="F820" s="1" t="s">
        <v>369</v>
      </c>
      <c r="G820" s="62" t="str">
        <f t="shared" si="184"/>
        <v>64532</v>
      </c>
      <c r="H820" s="1">
        <v>10620063</v>
      </c>
      <c r="I820" s="1" t="s">
        <v>388</v>
      </c>
      <c r="J820" s="61">
        <v>20</v>
      </c>
      <c r="K820" s="61">
        <v>3.5</v>
      </c>
      <c r="L820" s="61">
        <v>8.1999999999999993</v>
      </c>
      <c r="M820" s="69">
        <f t="shared" si="185"/>
        <v>0.7</v>
      </c>
      <c r="N820" s="69">
        <f t="shared" si="186"/>
        <v>1.64</v>
      </c>
      <c r="O820" s="56">
        <f>INDEX(Rate_Chart!$A$1:$AK$127,MATCH(Data!K820,Rate_Chart!$A$1:$A$127,0),MATCH(Data!L820,Rate_Chart!$A$1:$AK$1,0))</f>
        <v>37.392139800000002</v>
      </c>
      <c r="P820" s="57">
        <f t="shared" si="187"/>
        <v>747.84279600000002</v>
      </c>
      <c r="Q820" s="58">
        <f t="shared" si="188"/>
        <v>417.01271152416359</v>
      </c>
      <c r="R820" s="58">
        <f t="shared" si="189"/>
        <v>278.00847434944239</v>
      </c>
      <c r="S820" s="66">
        <f t="shared" si="190"/>
        <v>13.087248930000001</v>
      </c>
      <c r="T820" s="64">
        <f t="shared" si="191"/>
        <v>75</v>
      </c>
      <c r="U820" s="66">
        <f t="shared" si="192"/>
        <v>835.93004493000001</v>
      </c>
      <c r="V820" s="68">
        <f t="shared" si="193"/>
        <v>41.796502246499998</v>
      </c>
      <c r="W820" s="68">
        <f t="shared" si="194"/>
        <v>466.13199531412636</v>
      </c>
      <c r="X820" s="68">
        <f t="shared" si="195"/>
        <v>310.7546635427509</v>
      </c>
      <c r="Z820" s="63"/>
      <c r="AA820" s="63"/>
    </row>
    <row r="821" spans="1:27" hidden="1" x14ac:dyDescent="0.25">
      <c r="A821" t="str">
        <f t="shared" si="183"/>
        <v>10620038B22/05/2026M</v>
      </c>
      <c r="B821" s="169" t="s">
        <v>822</v>
      </c>
      <c r="C821" s="61" t="s">
        <v>396</v>
      </c>
      <c r="D821" s="61" t="s">
        <v>591</v>
      </c>
      <c r="E821" s="61" t="s">
        <v>593</v>
      </c>
      <c r="F821" s="1" t="s">
        <v>370</v>
      </c>
      <c r="G821" s="62" t="str">
        <f t="shared" si="184"/>
        <v>64534</v>
      </c>
      <c r="H821" s="1">
        <v>10620038</v>
      </c>
      <c r="I821" s="1" t="s">
        <v>387</v>
      </c>
      <c r="J821" s="61">
        <v>26</v>
      </c>
      <c r="K821" s="61">
        <v>6.3</v>
      </c>
      <c r="L821" s="61">
        <v>8.8000000000000007</v>
      </c>
      <c r="M821" s="69">
        <f t="shared" si="185"/>
        <v>1.6379999999999999</v>
      </c>
      <c r="N821" s="69">
        <f t="shared" si="186"/>
        <v>2.2880000000000003</v>
      </c>
      <c r="O821" s="56">
        <v>52.078949999999999</v>
      </c>
      <c r="P821" s="57">
        <f t="shared" si="187"/>
        <v>1354.0527</v>
      </c>
      <c r="Q821" s="58">
        <f t="shared" si="188"/>
        <v>428.04616438356163</v>
      </c>
      <c r="R821" s="58">
        <f t="shared" si="189"/>
        <v>285.36410958904111</v>
      </c>
      <c r="S821" s="66">
        <f t="shared" si="190"/>
        <v>23.695922250000002</v>
      </c>
      <c r="T821" s="64">
        <f t="shared" si="191"/>
        <v>97.5</v>
      </c>
      <c r="U821" s="66">
        <f t="shared" si="192"/>
        <v>1475.2486222499999</v>
      </c>
      <c r="V821" s="68">
        <f t="shared" si="193"/>
        <v>56.740331624999996</v>
      </c>
      <c r="W821" s="68">
        <f t="shared" si="194"/>
        <v>466.35889006849311</v>
      </c>
      <c r="X821" s="68">
        <f t="shared" si="195"/>
        <v>310.90592671232872</v>
      </c>
      <c r="Z821" s="63"/>
      <c r="AA821" s="63"/>
    </row>
    <row r="822" spans="1:27" hidden="1" x14ac:dyDescent="0.25">
      <c r="A822" t="str">
        <f t="shared" si="183"/>
        <v>10620038C22/05/2026M</v>
      </c>
      <c r="B822" s="169" t="s">
        <v>822</v>
      </c>
      <c r="C822" s="61" t="s">
        <v>396</v>
      </c>
      <c r="D822" s="61" t="s">
        <v>591</v>
      </c>
      <c r="E822" s="61" t="s">
        <v>593</v>
      </c>
      <c r="F822" s="1" t="s">
        <v>370</v>
      </c>
      <c r="G822" s="62" t="str">
        <f t="shared" si="184"/>
        <v>64534</v>
      </c>
      <c r="H822" s="1">
        <v>10620038</v>
      </c>
      <c r="I822" s="1" t="s">
        <v>388</v>
      </c>
      <c r="J822" s="61">
        <v>13</v>
      </c>
      <c r="K822" s="61">
        <v>3.6</v>
      </c>
      <c r="L822" s="61">
        <v>8</v>
      </c>
      <c r="M822" s="69">
        <f t="shared" si="185"/>
        <v>0.46800000000000003</v>
      </c>
      <c r="N822" s="69">
        <f t="shared" si="186"/>
        <v>1.04</v>
      </c>
      <c r="O822" s="56">
        <v>35.377056000000003</v>
      </c>
      <c r="P822" s="57">
        <f t="shared" si="187"/>
        <v>459.90172800000005</v>
      </c>
      <c r="Q822" s="58">
        <f t="shared" si="188"/>
        <v>396.01182089552236</v>
      </c>
      <c r="R822" s="58">
        <f t="shared" si="189"/>
        <v>264.00788059701489</v>
      </c>
      <c r="S822" s="66">
        <f t="shared" si="190"/>
        <v>8.0482802400000022</v>
      </c>
      <c r="T822" s="64">
        <f t="shared" si="191"/>
        <v>48.75</v>
      </c>
      <c r="U822" s="66">
        <f t="shared" si="192"/>
        <v>516.7000082400001</v>
      </c>
      <c r="V822" s="68">
        <f t="shared" si="193"/>
        <v>39.746154480000008</v>
      </c>
      <c r="W822" s="68">
        <f t="shared" si="194"/>
        <v>444.91963970149254</v>
      </c>
      <c r="X822" s="68">
        <f t="shared" si="195"/>
        <v>296.61309313432838</v>
      </c>
      <c r="Z822" s="63"/>
      <c r="AA822" s="63"/>
    </row>
    <row r="823" spans="1:27" hidden="1" x14ac:dyDescent="0.25">
      <c r="A823" t="str">
        <f t="shared" si="183"/>
        <v>10620038C23/05/2026E</v>
      </c>
      <c r="B823" s="169" t="s">
        <v>822</v>
      </c>
      <c r="C823" s="61" t="s">
        <v>397</v>
      </c>
      <c r="D823" s="61" t="s">
        <v>591</v>
      </c>
      <c r="E823" s="61" t="s">
        <v>593</v>
      </c>
      <c r="F823" s="1" t="s">
        <v>370</v>
      </c>
      <c r="G823" s="62" t="str">
        <f t="shared" si="184"/>
        <v>64534</v>
      </c>
      <c r="H823" s="1">
        <v>10620038</v>
      </c>
      <c r="I823" s="1" t="s">
        <v>388</v>
      </c>
      <c r="J823" s="61">
        <v>13</v>
      </c>
      <c r="K823" s="61">
        <v>3.7</v>
      </c>
      <c r="L823" s="61">
        <v>8.1</v>
      </c>
      <c r="M823" s="69">
        <f t="shared" si="185"/>
        <v>0.48100000000000004</v>
      </c>
      <c r="N823" s="69">
        <f t="shared" si="186"/>
        <v>1.0529999999999999</v>
      </c>
      <c r="O823" s="56">
        <v>36.037069200000005</v>
      </c>
      <c r="P823" s="57">
        <f t="shared" si="187"/>
        <v>468.48189960000008</v>
      </c>
      <c r="Q823" s="58">
        <f t="shared" si="188"/>
        <v>396.01174945054953</v>
      </c>
      <c r="R823" s="58">
        <f t="shared" si="189"/>
        <v>264.00783296703304</v>
      </c>
      <c r="S823" s="66">
        <f t="shared" si="190"/>
        <v>8.198433243000002</v>
      </c>
      <c r="T823" s="64">
        <f t="shared" si="191"/>
        <v>48.75</v>
      </c>
      <c r="U823" s="66">
        <f t="shared" si="192"/>
        <v>525.43033284300009</v>
      </c>
      <c r="V823" s="68">
        <f t="shared" si="193"/>
        <v>40.417717911000004</v>
      </c>
      <c r="W823" s="68">
        <f t="shared" si="194"/>
        <v>444.15074627472535</v>
      </c>
      <c r="X823" s="68">
        <f t="shared" si="195"/>
        <v>296.10049751648359</v>
      </c>
      <c r="Z823" s="63"/>
      <c r="AA823" s="63"/>
    </row>
    <row r="824" spans="1:27" hidden="1" x14ac:dyDescent="0.25">
      <c r="A824" t="str">
        <f t="shared" si="183"/>
        <v>10620038B23/05/2026M</v>
      </c>
      <c r="B824" s="169" t="s">
        <v>823</v>
      </c>
      <c r="C824" s="61" t="s">
        <v>396</v>
      </c>
      <c r="D824" s="61" t="s">
        <v>591</v>
      </c>
      <c r="E824" s="61" t="s">
        <v>593</v>
      </c>
      <c r="F824" s="1" t="s">
        <v>370</v>
      </c>
      <c r="G824" s="62" t="str">
        <f t="shared" si="184"/>
        <v>64534</v>
      </c>
      <c r="H824" s="1">
        <v>10620038</v>
      </c>
      <c r="I824" s="1" t="s">
        <v>387</v>
      </c>
      <c r="J824" s="61">
        <v>23</v>
      </c>
      <c r="K824" s="61">
        <v>6.2</v>
      </c>
      <c r="L824" s="61">
        <v>8.6</v>
      </c>
      <c r="M824" s="69">
        <f t="shared" si="185"/>
        <v>1.4259999999999999</v>
      </c>
      <c r="N824" s="69">
        <f t="shared" si="186"/>
        <v>1.9779999999999998</v>
      </c>
      <c r="O824" s="56">
        <v>50.7346</v>
      </c>
      <c r="P824" s="57">
        <f t="shared" si="187"/>
        <v>1166.8958</v>
      </c>
      <c r="Q824" s="58">
        <f t="shared" si="188"/>
        <v>425.15027932960902</v>
      </c>
      <c r="R824" s="58">
        <f t="shared" si="189"/>
        <v>283.4335195530727</v>
      </c>
      <c r="S824" s="66">
        <f t="shared" si="190"/>
        <v>20.420676500000003</v>
      </c>
      <c r="T824" s="64">
        <f t="shared" si="191"/>
        <v>86.25</v>
      </c>
      <c r="U824" s="66">
        <f t="shared" si="192"/>
        <v>1273.5664764999999</v>
      </c>
      <c r="V824" s="68">
        <f t="shared" si="193"/>
        <v>55.372455499999994</v>
      </c>
      <c r="W824" s="68">
        <f t="shared" si="194"/>
        <v>464.01499022346371</v>
      </c>
      <c r="X824" s="68">
        <f t="shared" si="195"/>
        <v>309.34332681564246</v>
      </c>
      <c r="Z824" s="63"/>
      <c r="AA824" s="63"/>
    </row>
    <row r="825" spans="1:27" hidden="1" x14ac:dyDescent="0.25">
      <c r="A825" t="str">
        <f t="shared" si="183"/>
        <v>10620038C23/05/2026M</v>
      </c>
      <c r="B825" s="169" t="s">
        <v>823</v>
      </c>
      <c r="C825" s="61" t="s">
        <v>396</v>
      </c>
      <c r="D825" s="61" t="s">
        <v>591</v>
      </c>
      <c r="E825" s="61" t="s">
        <v>593</v>
      </c>
      <c r="F825" s="1" t="s">
        <v>370</v>
      </c>
      <c r="G825" s="62" t="str">
        <f t="shared" si="184"/>
        <v>64534</v>
      </c>
      <c r="H825" s="1">
        <v>10620038</v>
      </c>
      <c r="I825" s="1" t="s">
        <v>388</v>
      </c>
      <c r="J825" s="61">
        <v>17</v>
      </c>
      <c r="K825" s="61">
        <v>3.7</v>
      </c>
      <c r="L825" s="61">
        <v>8</v>
      </c>
      <c r="M825" s="69">
        <f t="shared" si="185"/>
        <v>0.629</v>
      </c>
      <c r="N825" s="69">
        <f t="shared" si="186"/>
        <v>1.36</v>
      </c>
      <c r="O825" s="56">
        <v>35.773056000000004</v>
      </c>
      <c r="P825" s="57">
        <f t="shared" si="187"/>
        <v>608.14195200000006</v>
      </c>
      <c r="Q825" s="58">
        <f t="shared" si="188"/>
        <v>396.01169003690035</v>
      </c>
      <c r="R825" s="58">
        <f t="shared" si="189"/>
        <v>264.00779335793356</v>
      </c>
      <c r="S825" s="66">
        <f t="shared" si="190"/>
        <v>10.642484160000002</v>
      </c>
      <c r="T825" s="64">
        <f t="shared" si="191"/>
        <v>63.75</v>
      </c>
      <c r="U825" s="66">
        <f t="shared" si="192"/>
        <v>682.53443616000004</v>
      </c>
      <c r="V825" s="68">
        <f t="shared" si="193"/>
        <v>40.149084479999999</v>
      </c>
      <c r="W825" s="68">
        <f t="shared" si="194"/>
        <v>444.45480974169732</v>
      </c>
      <c r="X825" s="68">
        <f t="shared" si="195"/>
        <v>296.30320649446486</v>
      </c>
      <c r="Z825" s="63"/>
      <c r="AA825" s="63"/>
    </row>
    <row r="826" spans="1:27" hidden="1" x14ac:dyDescent="0.25">
      <c r="A826" t="str">
        <f t="shared" si="183"/>
        <v>10620038C24/05/2026E</v>
      </c>
      <c r="B826" s="169" t="s">
        <v>823</v>
      </c>
      <c r="C826" s="61" t="s">
        <v>397</v>
      </c>
      <c r="D826" s="61" t="s">
        <v>591</v>
      </c>
      <c r="E826" s="61" t="s">
        <v>593</v>
      </c>
      <c r="F826" s="1" t="s">
        <v>370</v>
      </c>
      <c r="G826" s="62" t="str">
        <f t="shared" si="184"/>
        <v>64534</v>
      </c>
      <c r="H826" s="1">
        <v>10620038</v>
      </c>
      <c r="I826" s="1" t="s">
        <v>388</v>
      </c>
      <c r="J826" s="61">
        <v>18</v>
      </c>
      <c r="K826" s="61">
        <v>4.7</v>
      </c>
      <c r="L826" s="61">
        <v>8.3000000000000007</v>
      </c>
      <c r="M826" s="69">
        <f t="shared" si="185"/>
        <v>0.84600000000000009</v>
      </c>
      <c r="N826" s="69">
        <f t="shared" si="186"/>
        <v>1.494</v>
      </c>
      <c r="O826" s="56">
        <v>40.5250956</v>
      </c>
      <c r="P826" s="57">
        <f t="shared" si="187"/>
        <v>729.45172079999998</v>
      </c>
      <c r="Q826" s="58">
        <f t="shared" si="188"/>
        <v>396.0107061889251</v>
      </c>
      <c r="R826" s="58">
        <f t="shared" si="189"/>
        <v>264.0071374592834</v>
      </c>
      <c r="S826" s="66">
        <f t="shared" si="190"/>
        <v>12.765405114</v>
      </c>
      <c r="T826" s="64">
        <f t="shared" si="191"/>
        <v>67.5</v>
      </c>
      <c r="U826" s="66">
        <f t="shared" si="192"/>
        <v>809.71712591400001</v>
      </c>
      <c r="V826" s="68">
        <f t="shared" si="193"/>
        <v>44.984284772999999</v>
      </c>
      <c r="W826" s="68">
        <f t="shared" si="194"/>
        <v>439.5858446872964</v>
      </c>
      <c r="X826" s="68">
        <f t="shared" si="195"/>
        <v>293.05722979153092</v>
      </c>
      <c r="Z826" s="63"/>
      <c r="AA826" s="63"/>
    </row>
    <row r="827" spans="1:27" hidden="1" x14ac:dyDescent="0.25">
      <c r="A827" t="str">
        <f t="shared" si="183"/>
        <v>10620038B24/05/2026M</v>
      </c>
      <c r="B827" s="169" t="s">
        <v>824</v>
      </c>
      <c r="C827" s="61" t="s">
        <v>396</v>
      </c>
      <c r="D827" s="61" t="s">
        <v>591</v>
      </c>
      <c r="E827" s="61" t="s">
        <v>593</v>
      </c>
      <c r="F827" s="1" t="s">
        <v>370</v>
      </c>
      <c r="G827" s="62" t="str">
        <f t="shared" si="184"/>
        <v>64534</v>
      </c>
      <c r="H827" s="1">
        <v>10620038</v>
      </c>
      <c r="I827" s="1" t="s">
        <v>387</v>
      </c>
      <c r="J827" s="61">
        <v>24</v>
      </c>
      <c r="K827" s="61">
        <v>6.1</v>
      </c>
      <c r="L827" s="61">
        <v>8.4</v>
      </c>
      <c r="M827" s="69">
        <f t="shared" si="185"/>
        <v>1.4639999999999997</v>
      </c>
      <c r="N827" s="69">
        <f t="shared" si="186"/>
        <v>2.016</v>
      </c>
      <c r="O827" s="56">
        <v>49.406950000000002</v>
      </c>
      <c r="P827" s="57">
        <f t="shared" si="187"/>
        <v>1185.7668000000001</v>
      </c>
      <c r="Q827" s="58">
        <f t="shared" si="188"/>
        <v>422.28162393162398</v>
      </c>
      <c r="R827" s="58">
        <f t="shared" si="189"/>
        <v>281.52108262108266</v>
      </c>
      <c r="S827" s="66">
        <f t="shared" si="190"/>
        <v>20.750919000000003</v>
      </c>
      <c r="T827" s="64">
        <f t="shared" si="191"/>
        <v>90</v>
      </c>
      <c r="U827" s="66">
        <f t="shared" si="192"/>
        <v>1296.5177190000002</v>
      </c>
      <c r="V827" s="68">
        <f t="shared" si="193"/>
        <v>54.021571625000007</v>
      </c>
      <c r="W827" s="68">
        <f t="shared" si="194"/>
        <v>461.72283440170946</v>
      </c>
      <c r="X827" s="68">
        <f t="shared" si="195"/>
        <v>307.81522293447296</v>
      </c>
      <c r="Z827" s="63"/>
      <c r="AA827" s="63"/>
    </row>
    <row r="828" spans="1:27" hidden="1" x14ac:dyDescent="0.25">
      <c r="A828" t="str">
        <f t="shared" si="183"/>
        <v>10620038C24/05/2026M</v>
      </c>
      <c r="B828" s="169" t="s">
        <v>824</v>
      </c>
      <c r="C828" s="61" t="s">
        <v>396</v>
      </c>
      <c r="D828" s="61" t="s">
        <v>591</v>
      </c>
      <c r="E828" s="61" t="s">
        <v>593</v>
      </c>
      <c r="F828" s="1" t="s">
        <v>370</v>
      </c>
      <c r="G828" s="62" t="str">
        <f t="shared" si="184"/>
        <v>64534</v>
      </c>
      <c r="H828" s="1">
        <v>10620038</v>
      </c>
      <c r="I828" s="1" t="s">
        <v>388</v>
      </c>
      <c r="J828" s="61">
        <v>8</v>
      </c>
      <c r="K828" s="61">
        <v>3</v>
      </c>
      <c r="L828" s="61">
        <v>8</v>
      </c>
      <c r="M828" s="69">
        <f t="shared" si="185"/>
        <v>0.24</v>
      </c>
      <c r="N828" s="69">
        <f t="shared" si="186"/>
        <v>0.64</v>
      </c>
      <c r="O828" s="56">
        <v>33.001056000000005</v>
      </c>
      <c r="P828" s="57">
        <f t="shared" si="187"/>
        <v>264.00844800000004</v>
      </c>
      <c r="Q828" s="58">
        <f t="shared" si="188"/>
        <v>396.01267200000001</v>
      </c>
      <c r="R828" s="58">
        <f t="shared" si="189"/>
        <v>264.00844799999999</v>
      </c>
      <c r="S828" s="66">
        <f t="shared" si="190"/>
        <v>4.6201478400000013</v>
      </c>
      <c r="T828" s="64">
        <f t="shared" si="191"/>
        <v>30</v>
      </c>
      <c r="U828" s="66">
        <f t="shared" si="192"/>
        <v>298.62859584000006</v>
      </c>
      <c r="V828" s="68">
        <f t="shared" si="193"/>
        <v>37.328574480000007</v>
      </c>
      <c r="W828" s="68">
        <f t="shared" si="194"/>
        <v>447.94289376000006</v>
      </c>
      <c r="X828" s="68">
        <f t="shared" si="195"/>
        <v>298.62859584000006</v>
      </c>
      <c r="Z828" s="63"/>
      <c r="AA828" s="63"/>
    </row>
    <row r="829" spans="1:27" hidden="1" x14ac:dyDescent="0.25">
      <c r="A829" t="str">
        <f t="shared" si="183"/>
        <v>10620038C25/05/2026E</v>
      </c>
      <c r="B829" s="169" t="s">
        <v>824</v>
      </c>
      <c r="C829" s="61" t="s">
        <v>397</v>
      </c>
      <c r="D829" s="61" t="s">
        <v>591</v>
      </c>
      <c r="E829" s="61" t="s">
        <v>593</v>
      </c>
      <c r="F829" s="1" t="s">
        <v>370</v>
      </c>
      <c r="G829" s="62" t="str">
        <f t="shared" si="184"/>
        <v>64534</v>
      </c>
      <c r="H829" s="1">
        <v>10620038</v>
      </c>
      <c r="I829" s="1" t="s">
        <v>388</v>
      </c>
      <c r="J829" s="61">
        <v>16</v>
      </c>
      <c r="K829" s="61">
        <v>4.2</v>
      </c>
      <c r="L829" s="61">
        <v>8.3000000000000007</v>
      </c>
      <c r="M829" s="69">
        <f t="shared" si="185"/>
        <v>0.67200000000000004</v>
      </c>
      <c r="N829" s="69">
        <f t="shared" si="186"/>
        <v>1.3280000000000001</v>
      </c>
      <c r="O829" s="56">
        <v>38.54509560000001</v>
      </c>
      <c r="P829" s="57">
        <f t="shared" si="187"/>
        <v>616.72152960000017</v>
      </c>
      <c r="Q829" s="58">
        <f t="shared" si="188"/>
        <v>396.01125616438361</v>
      </c>
      <c r="R829" s="58">
        <f t="shared" si="189"/>
        <v>264.00750410958909</v>
      </c>
      <c r="S829" s="66">
        <f t="shared" si="190"/>
        <v>10.792626768000003</v>
      </c>
      <c r="T829" s="64">
        <f t="shared" si="191"/>
        <v>60</v>
      </c>
      <c r="U829" s="66">
        <f t="shared" si="192"/>
        <v>687.51415636800016</v>
      </c>
      <c r="V829" s="68">
        <f t="shared" si="193"/>
        <v>42.96963477300001</v>
      </c>
      <c r="W829" s="68">
        <f t="shared" si="194"/>
        <v>441.46885040753432</v>
      </c>
      <c r="X829" s="68">
        <f t="shared" si="195"/>
        <v>294.31256693835621</v>
      </c>
      <c r="Z829" s="63"/>
      <c r="AA829" s="63"/>
    </row>
    <row r="830" spans="1:27" hidden="1" x14ac:dyDescent="0.25">
      <c r="A830" t="str">
        <f t="shared" si="183"/>
        <v>10620038B25/05/2026M</v>
      </c>
      <c r="B830" s="169" t="s">
        <v>825</v>
      </c>
      <c r="C830" s="61" t="s">
        <v>396</v>
      </c>
      <c r="D830" s="61" t="s">
        <v>591</v>
      </c>
      <c r="E830" s="61" t="s">
        <v>593</v>
      </c>
      <c r="F830" s="1" t="s">
        <v>370</v>
      </c>
      <c r="G830" s="62" t="str">
        <f t="shared" si="184"/>
        <v>64534</v>
      </c>
      <c r="H830" s="1">
        <v>10620038</v>
      </c>
      <c r="I830" s="1" t="s">
        <v>387</v>
      </c>
      <c r="J830" s="61">
        <v>24</v>
      </c>
      <c r="K830" s="61">
        <v>6.1</v>
      </c>
      <c r="L830" s="61">
        <v>8.4</v>
      </c>
      <c r="M830" s="69">
        <f t="shared" si="185"/>
        <v>1.4639999999999997</v>
      </c>
      <c r="N830" s="69">
        <f t="shared" si="186"/>
        <v>2.016</v>
      </c>
      <c r="O830" s="56">
        <v>49.406950000000002</v>
      </c>
      <c r="P830" s="57">
        <f t="shared" si="187"/>
        <v>1185.7668000000001</v>
      </c>
      <c r="Q830" s="58">
        <f t="shared" si="188"/>
        <v>422.28162393162398</v>
      </c>
      <c r="R830" s="58">
        <f t="shared" si="189"/>
        <v>281.52108262108266</v>
      </c>
      <c r="S830" s="66">
        <f t="shared" si="190"/>
        <v>20.750919000000003</v>
      </c>
      <c r="T830" s="64">
        <f t="shared" si="191"/>
        <v>90</v>
      </c>
      <c r="U830" s="66">
        <f t="shared" si="192"/>
        <v>1296.5177190000002</v>
      </c>
      <c r="V830" s="68">
        <f t="shared" si="193"/>
        <v>54.021571625000007</v>
      </c>
      <c r="W830" s="68">
        <f t="shared" si="194"/>
        <v>461.72283440170946</v>
      </c>
      <c r="X830" s="68">
        <f t="shared" si="195"/>
        <v>307.81522293447296</v>
      </c>
      <c r="Z830" s="63"/>
      <c r="AA830" s="63"/>
    </row>
    <row r="831" spans="1:27" hidden="1" x14ac:dyDescent="0.25">
      <c r="A831" t="str">
        <f t="shared" si="183"/>
        <v>10620038C25/05/2026M</v>
      </c>
      <c r="B831" s="169" t="s">
        <v>825</v>
      </c>
      <c r="C831" s="61" t="s">
        <v>396</v>
      </c>
      <c r="D831" s="61" t="s">
        <v>591</v>
      </c>
      <c r="E831" s="61" t="s">
        <v>593</v>
      </c>
      <c r="F831" s="1" t="s">
        <v>370</v>
      </c>
      <c r="G831" s="62" t="str">
        <f t="shared" si="184"/>
        <v>64534</v>
      </c>
      <c r="H831" s="1">
        <v>10620038</v>
      </c>
      <c r="I831" s="1" t="s">
        <v>388</v>
      </c>
      <c r="J831" s="61">
        <v>11</v>
      </c>
      <c r="K831" s="61">
        <v>3.6</v>
      </c>
      <c r="L831" s="61">
        <v>8</v>
      </c>
      <c r="M831" s="69">
        <f t="shared" si="185"/>
        <v>0.39600000000000002</v>
      </c>
      <c r="N831" s="69">
        <f t="shared" si="186"/>
        <v>0.88</v>
      </c>
      <c r="O831" s="56">
        <v>35.377056000000003</v>
      </c>
      <c r="P831" s="57">
        <f t="shared" si="187"/>
        <v>389.14761600000003</v>
      </c>
      <c r="Q831" s="58">
        <f t="shared" si="188"/>
        <v>396.01182089552236</v>
      </c>
      <c r="R831" s="58">
        <f t="shared" si="189"/>
        <v>264.00788059701489</v>
      </c>
      <c r="S831" s="66">
        <f t="shared" si="190"/>
        <v>6.8100832800000015</v>
      </c>
      <c r="T831" s="64">
        <f t="shared" si="191"/>
        <v>41.25</v>
      </c>
      <c r="U831" s="66">
        <f t="shared" si="192"/>
        <v>437.20769928000004</v>
      </c>
      <c r="V831" s="68">
        <f t="shared" si="193"/>
        <v>39.746154480000001</v>
      </c>
      <c r="W831" s="68">
        <f t="shared" si="194"/>
        <v>444.91963970149249</v>
      </c>
      <c r="X831" s="68">
        <f t="shared" si="195"/>
        <v>296.61309313432832</v>
      </c>
      <c r="Z831" s="63"/>
      <c r="AA831" s="63"/>
    </row>
    <row r="832" spans="1:27" hidden="1" x14ac:dyDescent="0.25">
      <c r="A832" t="str">
        <f t="shared" si="183"/>
        <v>10620038C26/05/2026E</v>
      </c>
      <c r="B832" s="169" t="s">
        <v>825</v>
      </c>
      <c r="C832" s="61" t="s">
        <v>397</v>
      </c>
      <c r="D832" s="61" t="s">
        <v>591</v>
      </c>
      <c r="E832" s="61" t="s">
        <v>593</v>
      </c>
      <c r="F832" s="1" t="s">
        <v>370</v>
      </c>
      <c r="G832" s="62" t="str">
        <f t="shared" si="184"/>
        <v>64534</v>
      </c>
      <c r="H832" s="1">
        <v>10620038</v>
      </c>
      <c r="I832" s="1" t="s">
        <v>388</v>
      </c>
      <c r="J832" s="61">
        <v>21</v>
      </c>
      <c r="K832" s="61">
        <v>4.0999999999999996</v>
      </c>
      <c r="L832" s="61">
        <v>8.1999999999999993</v>
      </c>
      <c r="M832" s="69">
        <f t="shared" si="185"/>
        <v>0.86099999999999999</v>
      </c>
      <c r="N832" s="69">
        <f t="shared" si="186"/>
        <v>1.722</v>
      </c>
      <c r="O832" s="56">
        <v>37.885082400000002</v>
      </c>
      <c r="P832" s="57">
        <f t="shared" si="187"/>
        <v>795.58673040000008</v>
      </c>
      <c r="Q832" s="58">
        <f t="shared" si="188"/>
        <v>396.01131428571438</v>
      </c>
      <c r="R832" s="58">
        <f t="shared" si="189"/>
        <v>264.00754285714294</v>
      </c>
      <c r="S832" s="66">
        <f t="shared" si="190"/>
        <v>13.922767782000003</v>
      </c>
      <c r="T832" s="64">
        <f t="shared" si="191"/>
        <v>78.75</v>
      </c>
      <c r="U832" s="66">
        <f t="shared" si="192"/>
        <v>888.25949818200013</v>
      </c>
      <c r="V832" s="68">
        <f t="shared" si="193"/>
        <v>42.298071342000007</v>
      </c>
      <c r="W832" s="68">
        <f t="shared" si="194"/>
        <v>442.14011855749146</v>
      </c>
      <c r="X832" s="68">
        <f t="shared" si="195"/>
        <v>294.76007903832766</v>
      </c>
      <c r="Z832" s="63"/>
      <c r="AA832" s="63"/>
    </row>
    <row r="833" spans="1:27" hidden="1" x14ac:dyDescent="0.25">
      <c r="A833" t="str">
        <f t="shared" si="183"/>
        <v>10620038B26/05/2026M</v>
      </c>
      <c r="B833" s="169" t="s">
        <v>826</v>
      </c>
      <c r="C833" s="61" t="s">
        <v>396</v>
      </c>
      <c r="D833" s="61" t="s">
        <v>591</v>
      </c>
      <c r="E833" s="61" t="s">
        <v>593</v>
      </c>
      <c r="F833" s="1" t="s">
        <v>370</v>
      </c>
      <c r="G833" s="62" t="str">
        <f t="shared" si="184"/>
        <v>64534</v>
      </c>
      <c r="H833" s="1">
        <v>10620038</v>
      </c>
      <c r="I833" s="1" t="s">
        <v>387</v>
      </c>
      <c r="J833" s="61">
        <v>26</v>
      </c>
      <c r="K833" s="61">
        <v>6.3</v>
      </c>
      <c r="L833" s="61">
        <v>8.8000000000000007</v>
      </c>
      <c r="M833" s="69">
        <f t="shared" si="185"/>
        <v>1.6379999999999999</v>
      </c>
      <c r="N833" s="69">
        <f t="shared" si="186"/>
        <v>2.2880000000000003</v>
      </c>
      <c r="O833" s="56">
        <f>INDEX(Rate_Chart!$A$1:$AK$127,MATCH(Data!K833,Rate_Chart!$A$1:$A$127,0),MATCH(Data!L833,Rate_Chart!$A$1:$AK$1,0))</f>
        <v>52.078949999999999</v>
      </c>
      <c r="P833" s="57">
        <f t="shared" si="187"/>
        <v>1354.0527</v>
      </c>
      <c r="Q833" s="58">
        <f t="shared" si="188"/>
        <v>428.04616438356163</v>
      </c>
      <c r="R833" s="58">
        <f t="shared" si="189"/>
        <v>285.36410958904111</v>
      </c>
      <c r="S833" s="66">
        <f t="shared" si="190"/>
        <v>23.695922250000002</v>
      </c>
      <c r="T833" s="64">
        <f t="shared" si="191"/>
        <v>97.5</v>
      </c>
      <c r="U833" s="66">
        <f t="shared" si="192"/>
        <v>1475.2486222499999</v>
      </c>
      <c r="V833" s="68">
        <f t="shared" si="193"/>
        <v>56.740331624999996</v>
      </c>
      <c r="W833" s="68">
        <f t="shared" si="194"/>
        <v>466.35889006849311</v>
      </c>
      <c r="X833" s="68">
        <f t="shared" si="195"/>
        <v>310.90592671232872</v>
      </c>
      <c r="Z833" s="63"/>
      <c r="AA833" s="63"/>
    </row>
    <row r="834" spans="1:27" hidden="1" x14ac:dyDescent="0.25">
      <c r="A834" t="str">
        <f t="shared" si="183"/>
        <v>10620038C26/05/2026M</v>
      </c>
      <c r="B834" s="169" t="s">
        <v>826</v>
      </c>
      <c r="C834" s="61" t="s">
        <v>396</v>
      </c>
      <c r="D834" s="61" t="s">
        <v>591</v>
      </c>
      <c r="E834" s="61" t="s">
        <v>593</v>
      </c>
      <c r="F834" s="1" t="s">
        <v>370</v>
      </c>
      <c r="G834" s="62" t="str">
        <f t="shared" si="184"/>
        <v>64534</v>
      </c>
      <c r="H834" s="1">
        <v>10620038</v>
      </c>
      <c r="I834" s="1" t="s">
        <v>388</v>
      </c>
      <c r="J834" s="61">
        <v>11</v>
      </c>
      <c r="K834" s="61">
        <v>3.6</v>
      </c>
      <c r="L834" s="61">
        <v>8.1</v>
      </c>
      <c r="M834" s="69">
        <f t="shared" si="185"/>
        <v>0.39600000000000002</v>
      </c>
      <c r="N834" s="69">
        <f t="shared" si="186"/>
        <v>0.8909999999999999</v>
      </c>
      <c r="O834" s="56">
        <f>INDEX(Rate_Chart!$A$1:$AK$127,MATCH(Data!K834,Rate_Chart!$A$1:$A$127,0),MATCH(Data!L834,Rate_Chart!$A$1:$AK$1,0))</f>
        <v>37.531125900000006</v>
      </c>
      <c r="P834" s="57">
        <f t="shared" si="187"/>
        <v>412.84238490000007</v>
      </c>
      <c r="Q834" s="58">
        <f t="shared" si="188"/>
        <v>417.01251000000008</v>
      </c>
      <c r="R834" s="58">
        <f t="shared" si="189"/>
        <v>278.00834000000003</v>
      </c>
      <c r="S834" s="66">
        <f t="shared" si="190"/>
        <v>7.2247417357500021</v>
      </c>
      <c r="T834" s="64">
        <f t="shared" si="191"/>
        <v>41.25</v>
      </c>
      <c r="U834" s="66">
        <f t="shared" si="192"/>
        <v>461.31712663575007</v>
      </c>
      <c r="V834" s="68">
        <f t="shared" si="193"/>
        <v>41.937920603250006</v>
      </c>
      <c r="W834" s="68">
        <f t="shared" si="194"/>
        <v>465.97689559166673</v>
      </c>
      <c r="X834" s="68">
        <f t="shared" si="195"/>
        <v>310.6512637277778</v>
      </c>
      <c r="Z834" s="63"/>
      <c r="AA834" s="63"/>
    </row>
    <row r="835" spans="1:27" hidden="1" x14ac:dyDescent="0.25">
      <c r="A835" t="str">
        <f t="shared" si="183"/>
        <v>10620038C27/05/2026E</v>
      </c>
      <c r="B835" s="169" t="s">
        <v>826</v>
      </c>
      <c r="C835" s="61" t="s">
        <v>397</v>
      </c>
      <c r="D835" s="61" t="s">
        <v>591</v>
      </c>
      <c r="E835" s="61" t="s">
        <v>593</v>
      </c>
      <c r="F835" s="1" t="s">
        <v>370</v>
      </c>
      <c r="G835" s="62" t="str">
        <f t="shared" si="184"/>
        <v>64534</v>
      </c>
      <c r="H835" s="1">
        <v>10620038</v>
      </c>
      <c r="I835" s="1" t="s">
        <v>388</v>
      </c>
      <c r="J835" s="61">
        <v>20</v>
      </c>
      <c r="K835" s="61">
        <v>4.4000000000000004</v>
      </c>
      <c r="L835" s="61">
        <v>8.5</v>
      </c>
      <c r="M835" s="69">
        <f t="shared" si="185"/>
        <v>0.88</v>
      </c>
      <c r="N835" s="69">
        <f t="shared" si="186"/>
        <v>1.7</v>
      </c>
      <c r="O835" s="56">
        <f>INDEX(Rate_Chart!$A$1:$AK$127,MATCH(Data!K835,Rate_Chart!$A$1:$A$127,0),MATCH(Data!L835,Rate_Chart!$A$1:$AK$1,0))</f>
        <v>41.97918150000001</v>
      </c>
      <c r="P835" s="57">
        <f t="shared" si="187"/>
        <v>839.5836300000002</v>
      </c>
      <c r="Q835" s="58">
        <f t="shared" si="188"/>
        <v>417.01173675496693</v>
      </c>
      <c r="R835" s="58">
        <f t="shared" si="189"/>
        <v>278.00782450331127</v>
      </c>
      <c r="S835" s="66">
        <f t="shared" si="190"/>
        <v>14.692713525000006</v>
      </c>
      <c r="T835" s="64">
        <f t="shared" si="191"/>
        <v>75</v>
      </c>
      <c r="U835" s="66">
        <f t="shared" si="192"/>
        <v>929.27634352500024</v>
      </c>
      <c r="V835" s="68">
        <f t="shared" si="193"/>
        <v>46.463817176250011</v>
      </c>
      <c r="W835" s="68">
        <f t="shared" si="194"/>
        <v>461.56109777731791</v>
      </c>
      <c r="X835" s="68">
        <f t="shared" si="195"/>
        <v>307.70739851821196</v>
      </c>
      <c r="Z835" s="63"/>
      <c r="AA835" s="63"/>
    </row>
    <row r="836" spans="1:27" hidden="1" x14ac:dyDescent="0.25">
      <c r="A836" t="str">
        <f t="shared" si="183"/>
        <v>10620038B27/05/2026M</v>
      </c>
      <c r="B836" s="169" t="s">
        <v>827</v>
      </c>
      <c r="C836" s="61" t="s">
        <v>396</v>
      </c>
      <c r="D836" s="61" t="s">
        <v>591</v>
      </c>
      <c r="E836" s="61" t="s">
        <v>593</v>
      </c>
      <c r="F836" s="1" t="s">
        <v>370</v>
      </c>
      <c r="G836" s="62" t="str">
        <f t="shared" si="184"/>
        <v>64534</v>
      </c>
      <c r="H836" s="1">
        <v>10620038</v>
      </c>
      <c r="I836" s="1" t="s">
        <v>387</v>
      </c>
      <c r="J836" s="61">
        <v>26</v>
      </c>
      <c r="K836" s="61">
        <v>6.2</v>
      </c>
      <c r="L836" s="61">
        <v>8.8000000000000007</v>
      </c>
      <c r="M836" s="69">
        <f t="shared" si="185"/>
        <v>1.6120000000000001</v>
      </c>
      <c r="N836" s="69">
        <f t="shared" si="186"/>
        <v>2.2880000000000003</v>
      </c>
      <c r="O836" s="56">
        <f>INDEX(Rate_Chart!$A$1:$AK$127,MATCH(Data!K836,Rate_Chart!$A$1:$A$127,0),MATCH(Data!L836,Rate_Chart!$A$1:$AK$1,0))</f>
        <v>51.252300000000005</v>
      </c>
      <c r="P836" s="57">
        <f t="shared" si="187"/>
        <v>1332.5598000000002</v>
      </c>
      <c r="Q836" s="58">
        <f t="shared" si="188"/>
        <v>424.74281767955802</v>
      </c>
      <c r="R836" s="58">
        <f t="shared" si="189"/>
        <v>283.1618784530387</v>
      </c>
      <c r="S836" s="66">
        <f t="shared" si="190"/>
        <v>23.319796500000006</v>
      </c>
      <c r="T836" s="64">
        <f t="shared" si="191"/>
        <v>97.5</v>
      </c>
      <c r="U836" s="66">
        <f t="shared" si="192"/>
        <v>1453.3795965000002</v>
      </c>
      <c r="V836" s="68">
        <f t="shared" si="193"/>
        <v>55.899215250000005</v>
      </c>
      <c r="W836" s="68">
        <f t="shared" si="194"/>
        <v>463.25316505524864</v>
      </c>
      <c r="X836" s="68">
        <f t="shared" si="195"/>
        <v>308.83544337016576</v>
      </c>
      <c r="Z836" s="63"/>
      <c r="AA836" s="63"/>
    </row>
    <row r="837" spans="1:27" hidden="1" x14ac:dyDescent="0.25">
      <c r="A837" t="str">
        <f t="shared" ref="A837:A900" si="196">CONCATENATE(H837,I837,B838,C837)</f>
        <v>10620038C27/05/2026M</v>
      </c>
      <c r="B837" s="169" t="s">
        <v>827</v>
      </c>
      <c r="C837" s="61" t="s">
        <v>396</v>
      </c>
      <c r="D837" s="61" t="s">
        <v>591</v>
      </c>
      <c r="E837" s="61" t="s">
        <v>593</v>
      </c>
      <c r="F837" s="1" t="s">
        <v>370</v>
      </c>
      <c r="G837" s="62" t="str">
        <f t="shared" si="184"/>
        <v>64534</v>
      </c>
      <c r="H837" s="1">
        <v>10620038</v>
      </c>
      <c r="I837" s="1" t="s">
        <v>388</v>
      </c>
      <c r="J837" s="61">
        <v>12</v>
      </c>
      <c r="K837" s="61">
        <v>3.9</v>
      </c>
      <c r="L837" s="61">
        <v>8.3000000000000007</v>
      </c>
      <c r="M837" s="69">
        <f t="shared" si="185"/>
        <v>0.46799999999999997</v>
      </c>
      <c r="N837" s="69">
        <f t="shared" si="186"/>
        <v>0.99600000000000011</v>
      </c>
      <c r="O837" s="56">
        <f>INDEX(Rate_Chart!$A$1:$AK$127,MATCH(Data!K837,Rate_Chart!$A$1:$A$127,0),MATCH(Data!L837,Rate_Chart!$A$1:$AK$1,0))</f>
        <v>39.338153700000007</v>
      </c>
      <c r="P837" s="57">
        <f t="shared" si="187"/>
        <v>472.05784440000008</v>
      </c>
      <c r="Q837" s="58">
        <f t="shared" si="188"/>
        <v>417.01223003533573</v>
      </c>
      <c r="R837" s="58">
        <f t="shared" si="189"/>
        <v>278.00815335689049</v>
      </c>
      <c r="S837" s="66">
        <f t="shared" si="190"/>
        <v>8.2610122770000025</v>
      </c>
      <c r="T837" s="64">
        <f t="shared" si="191"/>
        <v>45</v>
      </c>
      <c r="U837" s="66">
        <f t="shared" si="192"/>
        <v>525.3188566770001</v>
      </c>
      <c r="V837" s="68">
        <f t="shared" si="193"/>
        <v>43.776571389750011</v>
      </c>
      <c r="W837" s="68">
        <f t="shared" si="194"/>
        <v>464.0625942376326</v>
      </c>
      <c r="X837" s="68">
        <f t="shared" si="195"/>
        <v>309.37506282508838</v>
      </c>
      <c r="Z837" s="63"/>
      <c r="AA837" s="63"/>
    </row>
    <row r="838" spans="1:27" hidden="1" x14ac:dyDescent="0.25">
      <c r="A838" t="str">
        <f t="shared" si="196"/>
        <v>10620038C28/05/2026E</v>
      </c>
      <c r="B838" s="169" t="s">
        <v>827</v>
      </c>
      <c r="C838" s="61" t="s">
        <v>397</v>
      </c>
      <c r="D838" s="61" t="s">
        <v>591</v>
      </c>
      <c r="E838" s="61" t="s">
        <v>593</v>
      </c>
      <c r="F838" s="1" t="s">
        <v>370</v>
      </c>
      <c r="G838" s="62" t="str">
        <f t="shared" ref="G838:G901" si="197">MID(F838,2,5)</f>
        <v>64534</v>
      </c>
      <c r="H838" s="1">
        <v>10620038</v>
      </c>
      <c r="I838" s="1" t="s">
        <v>388</v>
      </c>
      <c r="J838" s="61">
        <v>15</v>
      </c>
      <c r="K838" s="61">
        <v>4.5</v>
      </c>
      <c r="L838" s="61">
        <v>8.5</v>
      </c>
      <c r="M838" s="69">
        <f t="shared" si="185"/>
        <v>0.67500000000000004</v>
      </c>
      <c r="N838" s="69">
        <f t="shared" si="186"/>
        <v>1.2749999999999999</v>
      </c>
      <c r="O838" s="56">
        <f>INDEX(Rate_Chart!$A$1:$AK$127,MATCH(Data!K838,Rate_Chart!$A$1:$A$127,0),MATCH(Data!L838,Rate_Chart!$A$1:$AK$1,0))</f>
        <v>42.396181500000004</v>
      </c>
      <c r="P838" s="57">
        <f t="shared" si="187"/>
        <v>635.94272250000006</v>
      </c>
      <c r="Q838" s="58">
        <f t="shared" si="188"/>
        <v>417.01162131147544</v>
      </c>
      <c r="R838" s="58">
        <f t="shared" si="189"/>
        <v>278.00774754098364</v>
      </c>
      <c r="S838" s="66">
        <f t="shared" si="190"/>
        <v>11.128997643750003</v>
      </c>
      <c r="T838" s="64">
        <f t="shared" si="191"/>
        <v>56.25</v>
      </c>
      <c r="U838" s="66">
        <f t="shared" si="192"/>
        <v>703.3217201437501</v>
      </c>
      <c r="V838" s="68">
        <f t="shared" si="193"/>
        <v>46.888114676250005</v>
      </c>
      <c r="W838" s="68">
        <f t="shared" si="194"/>
        <v>461.19457058606559</v>
      </c>
      <c r="X838" s="68">
        <f t="shared" si="195"/>
        <v>307.46304705737708</v>
      </c>
      <c r="Z838" s="63"/>
      <c r="AA838" s="63"/>
    </row>
    <row r="839" spans="1:27" hidden="1" x14ac:dyDescent="0.25">
      <c r="A839" t="str">
        <f t="shared" si="196"/>
        <v>10620038B28/05/2026M</v>
      </c>
      <c r="B839" s="169" t="s">
        <v>828</v>
      </c>
      <c r="C839" s="61" t="s">
        <v>396</v>
      </c>
      <c r="D839" s="61" t="s">
        <v>591</v>
      </c>
      <c r="E839" s="61" t="s">
        <v>593</v>
      </c>
      <c r="F839" s="1" t="s">
        <v>370</v>
      </c>
      <c r="G839" s="62" t="str">
        <f t="shared" si="197"/>
        <v>64534</v>
      </c>
      <c r="H839" s="1">
        <v>10620038</v>
      </c>
      <c r="I839" s="1" t="s">
        <v>387</v>
      </c>
      <c r="J839" s="61">
        <v>25</v>
      </c>
      <c r="K839" s="61">
        <v>5.9</v>
      </c>
      <c r="L839" s="61">
        <v>8.6</v>
      </c>
      <c r="M839" s="69">
        <f t="shared" si="185"/>
        <v>1.4750000000000001</v>
      </c>
      <c r="N839" s="69">
        <f t="shared" si="186"/>
        <v>2.15</v>
      </c>
      <c r="O839" s="56">
        <f>INDEX(Rate_Chart!$A$1:$AK$127,MATCH(Data!K839,Rate_Chart!$A$1:$A$127,0),MATCH(Data!L839,Rate_Chart!$A$1:$AK$1,0))</f>
        <v>48.279699999999998</v>
      </c>
      <c r="P839" s="57">
        <f t="shared" si="187"/>
        <v>1206.9925000000001</v>
      </c>
      <c r="Q839" s="58">
        <f t="shared" si="188"/>
        <v>415.01174785100284</v>
      </c>
      <c r="R839" s="58">
        <f t="shared" si="189"/>
        <v>276.67449856733521</v>
      </c>
      <c r="S839" s="66">
        <f t="shared" si="190"/>
        <v>21.122368750000003</v>
      </c>
      <c r="T839" s="64">
        <f t="shared" si="191"/>
        <v>93.75</v>
      </c>
      <c r="U839" s="66">
        <f t="shared" si="192"/>
        <v>1321.8648687500001</v>
      </c>
      <c r="V839" s="68">
        <f t="shared" si="193"/>
        <v>52.874594750000007</v>
      </c>
      <c r="W839" s="68">
        <f t="shared" si="194"/>
        <v>454.50941045845281</v>
      </c>
      <c r="X839" s="68">
        <f t="shared" si="195"/>
        <v>303.00627363896854</v>
      </c>
      <c r="Z839" s="63"/>
      <c r="AA839" s="63"/>
    </row>
    <row r="840" spans="1:27" hidden="1" x14ac:dyDescent="0.25">
      <c r="A840" t="str">
        <f t="shared" si="196"/>
        <v>10620038C28/05/2026M</v>
      </c>
      <c r="B840" s="169" t="s">
        <v>828</v>
      </c>
      <c r="C840" s="61" t="s">
        <v>396</v>
      </c>
      <c r="D840" s="61" t="s">
        <v>591</v>
      </c>
      <c r="E840" s="61" t="s">
        <v>593</v>
      </c>
      <c r="F840" s="1" t="s">
        <v>370</v>
      </c>
      <c r="G840" s="62" t="str">
        <f t="shared" si="197"/>
        <v>64534</v>
      </c>
      <c r="H840" s="1">
        <v>10620038</v>
      </c>
      <c r="I840" s="1" t="s">
        <v>388</v>
      </c>
      <c r="J840" s="61">
        <v>14</v>
      </c>
      <c r="K840" s="61">
        <v>3.2</v>
      </c>
      <c r="L840" s="61">
        <v>8.1</v>
      </c>
      <c r="M840" s="69">
        <f t="shared" si="185"/>
        <v>0.44800000000000006</v>
      </c>
      <c r="N840" s="69">
        <f t="shared" si="186"/>
        <v>1.1339999999999999</v>
      </c>
      <c r="O840" s="56">
        <f>INDEX(Rate_Chart!$A$1:$AK$127,MATCH(Data!K840,Rate_Chart!$A$1:$A$127,0),MATCH(Data!L840,Rate_Chart!$A$1:$AK$1,0))</f>
        <v>35.8631259</v>
      </c>
      <c r="P840" s="57">
        <f t="shared" si="187"/>
        <v>502.0837626</v>
      </c>
      <c r="Q840" s="58">
        <f t="shared" si="188"/>
        <v>417.01309186046512</v>
      </c>
      <c r="R840" s="58">
        <f t="shared" si="189"/>
        <v>278.00872790697673</v>
      </c>
      <c r="S840" s="66">
        <f t="shared" si="190"/>
        <v>8.7864658455000004</v>
      </c>
      <c r="T840" s="64">
        <f t="shared" si="191"/>
        <v>52.5</v>
      </c>
      <c r="U840" s="66">
        <f t="shared" si="192"/>
        <v>563.37022844550006</v>
      </c>
      <c r="V840" s="68">
        <f t="shared" si="193"/>
        <v>40.240730603250007</v>
      </c>
      <c r="W840" s="68">
        <f t="shared" si="194"/>
        <v>467.91547213081407</v>
      </c>
      <c r="X840" s="68">
        <f t="shared" si="195"/>
        <v>311.9436480872094</v>
      </c>
      <c r="Z840" s="63"/>
      <c r="AA840" s="63"/>
    </row>
    <row r="841" spans="1:27" hidden="1" x14ac:dyDescent="0.25">
      <c r="A841" t="str">
        <f t="shared" si="196"/>
        <v>10620038C22/05/2026E</v>
      </c>
      <c r="B841" s="169" t="s">
        <v>828</v>
      </c>
      <c r="C841" s="61" t="s">
        <v>397</v>
      </c>
      <c r="D841" s="61" t="s">
        <v>591</v>
      </c>
      <c r="E841" s="61" t="s">
        <v>593</v>
      </c>
      <c r="F841" s="1" t="s">
        <v>370</v>
      </c>
      <c r="G841" s="62" t="str">
        <f t="shared" si="197"/>
        <v>64534</v>
      </c>
      <c r="H841" s="1">
        <v>10620038</v>
      </c>
      <c r="I841" s="1" t="s">
        <v>388</v>
      </c>
      <c r="J841" s="61">
        <v>15</v>
      </c>
      <c r="K841" s="61">
        <v>4.5</v>
      </c>
      <c r="L841" s="61">
        <v>8.3000000000000007</v>
      </c>
      <c r="M841" s="69">
        <f t="shared" si="185"/>
        <v>0.67500000000000004</v>
      </c>
      <c r="N841" s="69">
        <f t="shared" si="186"/>
        <v>1.2450000000000001</v>
      </c>
      <c r="O841" s="56">
        <f>INDEX(Rate_Chart!$A$1:$AK$127,MATCH(Data!K841,Rate_Chart!$A$1:$A$127,0),MATCH(Data!L841,Rate_Chart!$A$1:$AK$1,0))</f>
        <v>41.840153700000002</v>
      </c>
      <c r="P841" s="57">
        <f t="shared" si="187"/>
        <v>627.60230550000006</v>
      </c>
      <c r="Q841" s="58">
        <f t="shared" si="188"/>
        <v>417.01149867109638</v>
      </c>
      <c r="R841" s="58">
        <f t="shared" si="189"/>
        <v>278.00766578073092</v>
      </c>
      <c r="S841" s="66">
        <f t="shared" si="190"/>
        <v>10.983040346250002</v>
      </c>
      <c r="T841" s="64">
        <f t="shared" si="191"/>
        <v>56.25</v>
      </c>
      <c r="U841" s="66">
        <f t="shared" si="192"/>
        <v>694.83534584625011</v>
      </c>
      <c r="V841" s="68">
        <f t="shared" si="193"/>
        <v>46.322356389750006</v>
      </c>
      <c r="W841" s="68">
        <f t="shared" si="194"/>
        <v>461.68461518023264</v>
      </c>
      <c r="X841" s="68">
        <f t="shared" si="195"/>
        <v>307.78974345348843</v>
      </c>
      <c r="Z841" s="63"/>
      <c r="AA841" s="63"/>
    </row>
    <row r="842" spans="1:27" hidden="1" x14ac:dyDescent="0.25">
      <c r="A842" t="str">
        <f t="shared" si="196"/>
        <v>10620015B22/05/2026M</v>
      </c>
      <c r="B842" s="169" t="s">
        <v>822</v>
      </c>
      <c r="C842" s="61" t="s">
        <v>396</v>
      </c>
      <c r="D842" s="61" t="s">
        <v>591</v>
      </c>
      <c r="E842" s="61" t="s">
        <v>595</v>
      </c>
      <c r="F842" s="1" t="s">
        <v>371</v>
      </c>
      <c r="G842" s="62" t="str">
        <f t="shared" si="197"/>
        <v>64537</v>
      </c>
      <c r="H842" s="1">
        <v>10620015</v>
      </c>
      <c r="I842" s="1" t="s">
        <v>387</v>
      </c>
      <c r="J842" s="61">
        <v>27</v>
      </c>
      <c r="K842" s="61">
        <v>7.1</v>
      </c>
      <c r="L842" s="61">
        <v>8.8000000000000007</v>
      </c>
      <c r="M842" s="69">
        <f t="shared" si="185"/>
        <v>1.9169999999999998</v>
      </c>
      <c r="N842" s="69">
        <f t="shared" si="186"/>
        <v>2.3760000000000003</v>
      </c>
      <c r="O842" s="56">
        <v>58.692149999999998</v>
      </c>
      <c r="P842" s="57">
        <f t="shared" si="187"/>
        <v>1584.68805</v>
      </c>
      <c r="Q842" s="58">
        <f t="shared" si="188"/>
        <v>452.63868894601546</v>
      </c>
      <c r="R842" s="58">
        <f t="shared" si="189"/>
        <v>301.75912596401031</v>
      </c>
      <c r="S842" s="66">
        <f t="shared" si="190"/>
        <v>27.732040875000003</v>
      </c>
      <c r="T842" s="64">
        <f t="shared" si="191"/>
        <v>101.25</v>
      </c>
      <c r="U842" s="66">
        <f t="shared" si="192"/>
        <v>1713.6700908749999</v>
      </c>
      <c r="V842" s="68">
        <f t="shared" si="193"/>
        <v>63.469262624999999</v>
      </c>
      <c r="W842" s="68">
        <f t="shared" si="194"/>
        <v>489.48017448586126</v>
      </c>
      <c r="X842" s="68">
        <f t="shared" si="195"/>
        <v>326.32011632390748</v>
      </c>
      <c r="Z842" s="63"/>
      <c r="AA842" s="63"/>
    </row>
    <row r="843" spans="1:27" hidden="1" x14ac:dyDescent="0.25">
      <c r="A843" t="str">
        <f t="shared" si="196"/>
        <v>10620015C22/05/2026M</v>
      </c>
      <c r="B843" s="169" t="s">
        <v>822</v>
      </c>
      <c r="C843" s="61" t="s">
        <v>396</v>
      </c>
      <c r="D843" s="61" t="s">
        <v>591</v>
      </c>
      <c r="E843" s="61" t="s">
        <v>595</v>
      </c>
      <c r="F843" s="1" t="s">
        <v>371</v>
      </c>
      <c r="G843" s="62" t="str">
        <f t="shared" si="197"/>
        <v>64537</v>
      </c>
      <c r="H843" s="1">
        <v>10620015</v>
      </c>
      <c r="I843" s="1" t="s">
        <v>388</v>
      </c>
      <c r="J843" s="61">
        <v>40</v>
      </c>
      <c r="K843" s="61">
        <v>3.4</v>
      </c>
      <c r="L843" s="61">
        <v>8.1</v>
      </c>
      <c r="M843" s="69">
        <f t="shared" si="185"/>
        <v>1.36</v>
      </c>
      <c r="N843" s="69">
        <f t="shared" si="186"/>
        <v>3.24</v>
      </c>
      <c r="O843" s="56">
        <v>34.849069200000002</v>
      </c>
      <c r="P843" s="57">
        <f t="shared" si="187"/>
        <v>1393.9627680000001</v>
      </c>
      <c r="Q843" s="58">
        <f t="shared" si="188"/>
        <v>396.01215000000008</v>
      </c>
      <c r="R843" s="58">
        <f t="shared" si="189"/>
        <v>264.00810000000007</v>
      </c>
      <c r="S843" s="66">
        <f t="shared" si="190"/>
        <v>24.394348440000005</v>
      </c>
      <c r="T843" s="64">
        <f t="shared" si="191"/>
        <v>150</v>
      </c>
      <c r="U843" s="66">
        <f t="shared" si="192"/>
        <v>1568.35711644</v>
      </c>
      <c r="V843" s="68">
        <f t="shared" si="193"/>
        <v>39.208927911000004</v>
      </c>
      <c r="W843" s="68">
        <f t="shared" si="194"/>
        <v>445.55599898863642</v>
      </c>
      <c r="X843" s="68">
        <f t="shared" si="195"/>
        <v>297.03733265909096</v>
      </c>
      <c r="Z843" s="63"/>
      <c r="AA843" s="63"/>
    </row>
    <row r="844" spans="1:27" hidden="1" x14ac:dyDescent="0.25">
      <c r="A844" t="str">
        <f t="shared" si="196"/>
        <v>10620015C23/05/2026E</v>
      </c>
      <c r="B844" s="169" t="s">
        <v>822</v>
      </c>
      <c r="C844" s="61" t="s">
        <v>397</v>
      </c>
      <c r="D844" s="61" t="s">
        <v>591</v>
      </c>
      <c r="E844" s="61" t="s">
        <v>595</v>
      </c>
      <c r="F844" s="1" t="s">
        <v>371</v>
      </c>
      <c r="G844" s="62" t="str">
        <f t="shared" si="197"/>
        <v>64537</v>
      </c>
      <c r="H844" s="1">
        <v>10620015</v>
      </c>
      <c r="I844" s="1" t="s">
        <v>388</v>
      </c>
      <c r="J844" s="61">
        <v>28</v>
      </c>
      <c r="K844" s="61">
        <v>4.5</v>
      </c>
      <c r="L844" s="61">
        <v>8.3000000000000007</v>
      </c>
      <c r="M844" s="69">
        <f t="shared" si="185"/>
        <v>1.26</v>
      </c>
      <c r="N844" s="69">
        <f t="shared" si="186"/>
        <v>2.3240000000000003</v>
      </c>
      <c r="O844" s="56">
        <v>39.733095600000006</v>
      </c>
      <c r="P844" s="57">
        <f t="shared" si="187"/>
        <v>1112.5266768000001</v>
      </c>
      <c r="Q844" s="58">
        <f t="shared" si="188"/>
        <v>396.01091960132896</v>
      </c>
      <c r="R844" s="58">
        <f t="shared" si="189"/>
        <v>264.00727973421931</v>
      </c>
      <c r="S844" s="66">
        <f t="shared" si="190"/>
        <v>19.469216844000005</v>
      </c>
      <c r="T844" s="64">
        <f t="shared" si="191"/>
        <v>105</v>
      </c>
      <c r="U844" s="66">
        <f t="shared" si="192"/>
        <v>1236.995893644</v>
      </c>
      <c r="V844" s="68">
        <f t="shared" si="193"/>
        <v>44.178424773000003</v>
      </c>
      <c r="W844" s="68">
        <f t="shared" si="194"/>
        <v>440.31652597674423</v>
      </c>
      <c r="X844" s="68">
        <f t="shared" si="195"/>
        <v>293.5443506511628</v>
      </c>
      <c r="Z844" s="63"/>
      <c r="AA844" s="63"/>
    </row>
    <row r="845" spans="1:27" hidden="1" x14ac:dyDescent="0.25">
      <c r="A845" t="str">
        <f t="shared" si="196"/>
        <v>10620015B23/05/2026M</v>
      </c>
      <c r="B845" s="169" t="s">
        <v>823</v>
      </c>
      <c r="C845" s="61" t="s">
        <v>396</v>
      </c>
      <c r="D845" s="61" t="s">
        <v>591</v>
      </c>
      <c r="E845" s="61" t="s">
        <v>595</v>
      </c>
      <c r="F845" s="1" t="s">
        <v>371</v>
      </c>
      <c r="G845" s="62" t="str">
        <f t="shared" si="197"/>
        <v>64537</v>
      </c>
      <c r="H845" s="1">
        <v>10620015</v>
      </c>
      <c r="I845" s="1" t="s">
        <v>387</v>
      </c>
      <c r="J845" s="61">
        <v>29</v>
      </c>
      <c r="K845" s="61">
        <v>7.2</v>
      </c>
      <c r="L845" s="61">
        <v>8.8000000000000007</v>
      </c>
      <c r="M845" s="69">
        <f t="shared" si="185"/>
        <v>2.0880000000000001</v>
      </c>
      <c r="N845" s="69">
        <f t="shared" si="186"/>
        <v>2.552</v>
      </c>
      <c r="O845" s="56">
        <v>59.518800000000006</v>
      </c>
      <c r="P845" s="57">
        <f t="shared" si="187"/>
        <v>1726.0452000000002</v>
      </c>
      <c r="Q845" s="58">
        <f t="shared" si="188"/>
        <v>455.50102040816324</v>
      </c>
      <c r="R845" s="58">
        <f t="shared" si="189"/>
        <v>303.66734693877549</v>
      </c>
      <c r="S845" s="66">
        <f t="shared" si="190"/>
        <v>30.205791000000008</v>
      </c>
      <c r="T845" s="64">
        <f t="shared" si="191"/>
        <v>108.75</v>
      </c>
      <c r="U845" s="66">
        <f t="shared" si="192"/>
        <v>1865.0009910000003</v>
      </c>
      <c r="V845" s="68">
        <f t="shared" si="193"/>
        <v>64.310379000000012</v>
      </c>
      <c r="W845" s="68">
        <f t="shared" si="194"/>
        <v>492.17126785714288</v>
      </c>
      <c r="X845" s="68">
        <f t="shared" si="195"/>
        <v>328.11417857142857</v>
      </c>
      <c r="Z845" s="63"/>
      <c r="AA845" s="63"/>
    </row>
    <row r="846" spans="1:27" hidden="1" x14ac:dyDescent="0.25">
      <c r="A846" t="str">
        <f t="shared" si="196"/>
        <v>10620015C23/05/2026M</v>
      </c>
      <c r="B846" s="169" t="s">
        <v>823</v>
      </c>
      <c r="C846" s="61" t="s">
        <v>396</v>
      </c>
      <c r="D846" s="61" t="s">
        <v>591</v>
      </c>
      <c r="E846" s="61" t="s">
        <v>595</v>
      </c>
      <c r="F846" s="1" t="s">
        <v>371</v>
      </c>
      <c r="G846" s="62" t="str">
        <f t="shared" si="197"/>
        <v>64537</v>
      </c>
      <c r="H846" s="1">
        <v>10620015</v>
      </c>
      <c r="I846" s="1" t="s">
        <v>388</v>
      </c>
      <c r="J846" s="61">
        <v>38</v>
      </c>
      <c r="K846" s="61">
        <v>3.7</v>
      </c>
      <c r="L846" s="61">
        <v>8</v>
      </c>
      <c r="M846" s="69">
        <f t="shared" si="185"/>
        <v>1.4059999999999999</v>
      </c>
      <c r="N846" s="69">
        <f t="shared" si="186"/>
        <v>3.04</v>
      </c>
      <c r="O846" s="56">
        <v>35.773056000000004</v>
      </c>
      <c r="P846" s="57">
        <f t="shared" si="187"/>
        <v>1359.3761280000001</v>
      </c>
      <c r="Q846" s="58">
        <f t="shared" si="188"/>
        <v>396.01169003690035</v>
      </c>
      <c r="R846" s="58">
        <f t="shared" si="189"/>
        <v>264.00779335793356</v>
      </c>
      <c r="S846" s="66">
        <f t="shared" si="190"/>
        <v>23.789082240000003</v>
      </c>
      <c r="T846" s="64">
        <f t="shared" si="191"/>
        <v>142.5</v>
      </c>
      <c r="U846" s="66">
        <f t="shared" si="192"/>
        <v>1525.6652102400001</v>
      </c>
      <c r="V846" s="68">
        <f t="shared" si="193"/>
        <v>40.149084479999999</v>
      </c>
      <c r="W846" s="68">
        <f t="shared" si="194"/>
        <v>444.45480974169732</v>
      </c>
      <c r="X846" s="68">
        <f t="shared" si="195"/>
        <v>296.30320649446486</v>
      </c>
      <c r="Z846" s="63"/>
      <c r="AA846" s="63"/>
    </row>
    <row r="847" spans="1:27" hidden="1" x14ac:dyDescent="0.25">
      <c r="A847" t="str">
        <f t="shared" si="196"/>
        <v>10620015C24/05/2026E</v>
      </c>
      <c r="B847" s="169" t="s">
        <v>823</v>
      </c>
      <c r="C847" s="61" t="s">
        <v>397</v>
      </c>
      <c r="D847" s="61" t="s">
        <v>591</v>
      </c>
      <c r="E847" s="61" t="s">
        <v>595</v>
      </c>
      <c r="F847" s="1" t="s">
        <v>371</v>
      </c>
      <c r="G847" s="62" t="str">
        <f t="shared" si="197"/>
        <v>64537</v>
      </c>
      <c r="H847" s="1">
        <v>10620015</v>
      </c>
      <c r="I847" s="1" t="s">
        <v>388</v>
      </c>
      <c r="J847" s="61">
        <v>21</v>
      </c>
      <c r="K847" s="61">
        <v>4.8</v>
      </c>
      <c r="L847" s="61">
        <v>8.1999999999999993</v>
      </c>
      <c r="M847" s="69">
        <f t="shared" si="185"/>
        <v>1.008</v>
      </c>
      <c r="N847" s="69">
        <f t="shared" si="186"/>
        <v>1.722</v>
      </c>
      <c r="O847" s="56">
        <v>40.6570824</v>
      </c>
      <c r="P847" s="57">
        <f t="shared" si="187"/>
        <v>853.79873039999995</v>
      </c>
      <c r="Q847" s="58">
        <f t="shared" si="188"/>
        <v>396.01054285714292</v>
      </c>
      <c r="R847" s="58">
        <f t="shared" si="189"/>
        <v>264.00702857142863</v>
      </c>
      <c r="S847" s="66">
        <f t="shared" si="190"/>
        <v>14.941477782</v>
      </c>
      <c r="T847" s="64">
        <f t="shared" si="191"/>
        <v>78.75</v>
      </c>
      <c r="U847" s="66">
        <f t="shared" si="192"/>
        <v>947.49020818199995</v>
      </c>
      <c r="V847" s="68">
        <f t="shared" si="193"/>
        <v>45.118581341999999</v>
      </c>
      <c r="W847" s="68">
        <f t="shared" si="194"/>
        <v>439.46670138311691</v>
      </c>
      <c r="X847" s="68">
        <f t="shared" si="195"/>
        <v>292.97780092207796</v>
      </c>
      <c r="Z847" s="63"/>
      <c r="AA847" s="63"/>
    </row>
    <row r="848" spans="1:27" hidden="1" x14ac:dyDescent="0.25">
      <c r="A848" t="str">
        <f t="shared" si="196"/>
        <v>10620015B24/05/2026M</v>
      </c>
      <c r="B848" s="169" t="s">
        <v>824</v>
      </c>
      <c r="C848" s="61" t="s">
        <v>396</v>
      </c>
      <c r="D848" s="61" t="s">
        <v>591</v>
      </c>
      <c r="E848" s="61" t="s">
        <v>595</v>
      </c>
      <c r="F848" s="1" t="s">
        <v>371</v>
      </c>
      <c r="G848" s="62" t="str">
        <f t="shared" si="197"/>
        <v>64537</v>
      </c>
      <c r="H848" s="1">
        <v>10620015</v>
      </c>
      <c r="I848" s="1" t="s">
        <v>387</v>
      </c>
      <c r="J848" s="61">
        <v>32</v>
      </c>
      <c r="K848" s="61">
        <v>6.7</v>
      </c>
      <c r="L848" s="61">
        <v>8.8000000000000007</v>
      </c>
      <c r="M848" s="69">
        <f t="shared" si="185"/>
        <v>2.1440000000000001</v>
      </c>
      <c r="N848" s="69">
        <f t="shared" si="186"/>
        <v>2.8160000000000003</v>
      </c>
      <c r="O848" s="56">
        <v>55.385550000000002</v>
      </c>
      <c r="P848" s="57">
        <f t="shared" si="187"/>
        <v>1772.3376000000001</v>
      </c>
      <c r="Q848" s="58">
        <f t="shared" si="188"/>
        <v>440.73381962864721</v>
      </c>
      <c r="R848" s="58">
        <f t="shared" si="189"/>
        <v>293.82254641909816</v>
      </c>
      <c r="S848" s="66">
        <f t="shared" si="190"/>
        <v>31.015908000000003</v>
      </c>
      <c r="T848" s="64">
        <f t="shared" si="191"/>
        <v>120</v>
      </c>
      <c r="U848" s="66">
        <f t="shared" si="192"/>
        <v>1923.3535080000001</v>
      </c>
      <c r="V848" s="68">
        <f t="shared" si="193"/>
        <v>60.104797125000005</v>
      </c>
      <c r="W848" s="68">
        <f t="shared" si="194"/>
        <v>478.28751027851456</v>
      </c>
      <c r="X848" s="68">
        <f t="shared" si="195"/>
        <v>318.85834018567635</v>
      </c>
      <c r="Z848" s="63"/>
      <c r="AA848" s="63"/>
    </row>
    <row r="849" spans="1:27" hidden="1" x14ac:dyDescent="0.25">
      <c r="A849" t="str">
        <f t="shared" si="196"/>
        <v>10620015C24/05/2026M</v>
      </c>
      <c r="B849" s="169" t="s">
        <v>824</v>
      </c>
      <c r="C849" s="61" t="s">
        <v>396</v>
      </c>
      <c r="D849" s="61" t="s">
        <v>591</v>
      </c>
      <c r="E849" s="61" t="s">
        <v>595</v>
      </c>
      <c r="F849" s="1" t="s">
        <v>371</v>
      </c>
      <c r="G849" s="62" t="str">
        <f t="shared" si="197"/>
        <v>64537</v>
      </c>
      <c r="H849" s="1">
        <v>10620015</v>
      </c>
      <c r="I849" s="1" t="s">
        <v>388</v>
      </c>
      <c r="J849" s="61">
        <v>41</v>
      </c>
      <c r="K849" s="61">
        <v>3.4</v>
      </c>
      <c r="L849" s="61">
        <v>8</v>
      </c>
      <c r="M849" s="69">
        <f t="shared" si="185"/>
        <v>1.3940000000000001</v>
      </c>
      <c r="N849" s="69">
        <f t="shared" si="186"/>
        <v>3.28</v>
      </c>
      <c r="O849" s="56">
        <v>34.585056000000002</v>
      </c>
      <c r="P849" s="57">
        <f t="shared" si="187"/>
        <v>1417.987296</v>
      </c>
      <c r="Q849" s="58">
        <f t="shared" si="188"/>
        <v>396.01209160305342</v>
      </c>
      <c r="R849" s="58">
        <f t="shared" si="189"/>
        <v>264.00806106870226</v>
      </c>
      <c r="S849" s="66">
        <f t="shared" si="190"/>
        <v>24.814777680000002</v>
      </c>
      <c r="T849" s="64">
        <f t="shared" si="191"/>
        <v>153.75</v>
      </c>
      <c r="U849" s="66">
        <f t="shared" si="192"/>
        <v>1596.5520736799999</v>
      </c>
      <c r="V849" s="68">
        <f t="shared" si="193"/>
        <v>38.940294479999999</v>
      </c>
      <c r="W849" s="68">
        <f t="shared" si="194"/>
        <v>445.8812345038167</v>
      </c>
      <c r="X849" s="68">
        <f t="shared" si="195"/>
        <v>297.25415633587778</v>
      </c>
      <c r="Z849" s="63"/>
      <c r="AA849" s="63"/>
    </row>
    <row r="850" spans="1:27" hidden="1" x14ac:dyDescent="0.25">
      <c r="A850" t="str">
        <f t="shared" si="196"/>
        <v>10620015C25/05/2026E</v>
      </c>
      <c r="B850" s="169" t="s">
        <v>824</v>
      </c>
      <c r="C850" s="61" t="s">
        <v>397</v>
      </c>
      <c r="D850" s="61" t="s">
        <v>591</v>
      </c>
      <c r="E850" s="61" t="s">
        <v>595</v>
      </c>
      <c r="F850" s="1" t="s">
        <v>371</v>
      </c>
      <c r="G850" s="62" t="str">
        <f t="shared" si="197"/>
        <v>64537</v>
      </c>
      <c r="H850" s="1">
        <v>10620015</v>
      </c>
      <c r="I850" s="1" t="s">
        <v>388</v>
      </c>
      <c r="J850" s="61">
        <v>17</v>
      </c>
      <c r="K850" s="61">
        <v>4.5</v>
      </c>
      <c r="L850" s="61">
        <v>8.1</v>
      </c>
      <c r="M850" s="69">
        <f t="shared" si="185"/>
        <v>0.76500000000000001</v>
      </c>
      <c r="N850" s="69">
        <f t="shared" si="186"/>
        <v>1.3769999999999998</v>
      </c>
      <c r="O850" s="56">
        <v>39.205069200000004</v>
      </c>
      <c r="P850" s="57">
        <f t="shared" si="187"/>
        <v>666.48617640000009</v>
      </c>
      <c r="Q850" s="58">
        <f t="shared" si="188"/>
        <v>396.01080000000002</v>
      </c>
      <c r="R850" s="58">
        <f t="shared" si="189"/>
        <v>264.00720000000001</v>
      </c>
      <c r="S850" s="66">
        <f t="shared" si="190"/>
        <v>11.663508087000002</v>
      </c>
      <c r="T850" s="64">
        <f t="shared" si="191"/>
        <v>63.75</v>
      </c>
      <c r="U850" s="66">
        <f t="shared" si="192"/>
        <v>741.89968448700006</v>
      </c>
      <c r="V850" s="68">
        <f t="shared" si="193"/>
        <v>43.641157911000001</v>
      </c>
      <c r="W850" s="68">
        <f t="shared" si="194"/>
        <v>440.81977687878788</v>
      </c>
      <c r="X850" s="68">
        <f t="shared" si="195"/>
        <v>293.87985125252527</v>
      </c>
      <c r="Z850" s="63"/>
      <c r="AA850" s="63"/>
    </row>
    <row r="851" spans="1:27" hidden="1" x14ac:dyDescent="0.25">
      <c r="A851" t="str">
        <f t="shared" si="196"/>
        <v>10620015B25/05/2026M</v>
      </c>
      <c r="B851" s="169" t="s">
        <v>825</v>
      </c>
      <c r="C851" s="61" t="s">
        <v>396</v>
      </c>
      <c r="D851" s="61" t="s">
        <v>591</v>
      </c>
      <c r="E851" s="61" t="s">
        <v>595</v>
      </c>
      <c r="F851" s="1" t="s">
        <v>371</v>
      </c>
      <c r="G851" s="62" t="str">
        <f t="shared" si="197"/>
        <v>64537</v>
      </c>
      <c r="H851" s="1">
        <v>10620015</v>
      </c>
      <c r="I851" s="1" t="s">
        <v>387</v>
      </c>
      <c r="J851" s="61">
        <v>25</v>
      </c>
      <c r="K851" s="61">
        <v>7.3</v>
      </c>
      <c r="L851" s="61">
        <v>8.8000000000000007</v>
      </c>
      <c r="M851" s="69">
        <f t="shared" si="185"/>
        <v>1.825</v>
      </c>
      <c r="N851" s="69">
        <f t="shared" si="186"/>
        <v>2.2000000000000002</v>
      </c>
      <c r="O851" s="56">
        <v>60.34545</v>
      </c>
      <c r="P851" s="57">
        <f t="shared" si="187"/>
        <v>1508.63625</v>
      </c>
      <c r="Q851" s="58">
        <f t="shared" si="188"/>
        <v>458.31987341772157</v>
      </c>
      <c r="R851" s="58">
        <f t="shared" si="189"/>
        <v>305.54658227848103</v>
      </c>
      <c r="S851" s="66">
        <f t="shared" si="190"/>
        <v>26.401134375000002</v>
      </c>
      <c r="T851" s="64">
        <f t="shared" si="191"/>
        <v>93.75</v>
      </c>
      <c r="U851" s="66">
        <f t="shared" si="192"/>
        <v>1628.7873843750001</v>
      </c>
      <c r="V851" s="68">
        <f t="shared" si="193"/>
        <v>65.15149537500001</v>
      </c>
      <c r="W851" s="68">
        <f t="shared" si="194"/>
        <v>494.8214838607596</v>
      </c>
      <c r="X851" s="68">
        <f t="shared" si="195"/>
        <v>329.88098924050638</v>
      </c>
      <c r="Z851" s="63"/>
      <c r="AA851" s="63"/>
    </row>
    <row r="852" spans="1:27" hidden="1" x14ac:dyDescent="0.25">
      <c r="A852" t="str">
        <f t="shared" si="196"/>
        <v>10620015C25/05/2026M</v>
      </c>
      <c r="B852" s="169" t="s">
        <v>825</v>
      </c>
      <c r="C852" s="61" t="s">
        <v>396</v>
      </c>
      <c r="D852" s="61" t="s">
        <v>591</v>
      </c>
      <c r="E852" s="61" t="s">
        <v>595</v>
      </c>
      <c r="F852" s="1" t="s">
        <v>371</v>
      </c>
      <c r="G852" s="62" t="str">
        <f t="shared" si="197"/>
        <v>64537</v>
      </c>
      <c r="H852" s="1">
        <v>10620015</v>
      </c>
      <c r="I852" s="1" t="s">
        <v>388</v>
      </c>
      <c r="J852" s="61">
        <v>38</v>
      </c>
      <c r="K852" s="61">
        <v>3.4</v>
      </c>
      <c r="L852" s="61">
        <v>8</v>
      </c>
      <c r="M852" s="69">
        <f t="shared" si="185"/>
        <v>1.2919999999999998</v>
      </c>
      <c r="N852" s="69">
        <f t="shared" si="186"/>
        <v>3.04</v>
      </c>
      <c r="O852" s="56">
        <v>34.585056000000002</v>
      </c>
      <c r="P852" s="57">
        <f t="shared" si="187"/>
        <v>1314.2321280000001</v>
      </c>
      <c r="Q852" s="58">
        <f t="shared" si="188"/>
        <v>396.01209160305342</v>
      </c>
      <c r="R852" s="58">
        <f t="shared" si="189"/>
        <v>264.00806106870226</v>
      </c>
      <c r="S852" s="66">
        <f t="shared" si="190"/>
        <v>22.999062240000004</v>
      </c>
      <c r="T852" s="64">
        <f t="shared" si="191"/>
        <v>142.5</v>
      </c>
      <c r="U852" s="66">
        <f t="shared" si="192"/>
        <v>1479.7311902400002</v>
      </c>
      <c r="V852" s="68">
        <f t="shared" si="193"/>
        <v>38.940294480000006</v>
      </c>
      <c r="W852" s="68">
        <f t="shared" si="194"/>
        <v>445.88123450381681</v>
      </c>
      <c r="X852" s="68">
        <f t="shared" si="195"/>
        <v>297.25415633587789</v>
      </c>
      <c r="Z852" s="63"/>
      <c r="AA852" s="63"/>
    </row>
    <row r="853" spans="1:27" hidden="1" x14ac:dyDescent="0.25">
      <c r="A853" t="str">
        <f t="shared" si="196"/>
        <v>10620015C26/05/2026E</v>
      </c>
      <c r="B853" s="169" t="s">
        <v>825</v>
      </c>
      <c r="C853" s="61" t="s">
        <v>397</v>
      </c>
      <c r="D853" s="61" t="s">
        <v>591</v>
      </c>
      <c r="E853" s="61" t="s">
        <v>595</v>
      </c>
      <c r="F853" s="1" t="s">
        <v>371</v>
      </c>
      <c r="G853" s="62" t="str">
        <f t="shared" si="197"/>
        <v>64537</v>
      </c>
      <c r="H853" s="1">
        <v>10620015</v>
      </c>
      <c r="I853" s="1" t="s">
        <v>388</v>
      </c>
      <c r="J853" s="61">
        <v>26</v>
      </c>
      <c r="K853" s="61">
        <v>4.9000000000000004</v>
      </c>
      <c r="L853" s="61">
        <v>8.4</v>
      </c>
      <c r="M853" s="69">
        <f t="shared" si="185"/>
        <v>1.274</v>
      </c>
      <c r="N853" s="69">
        <f t="shared" si="186"/>
        <v>2.1840000000000002</v>
      </c>
      <c r="O853" s="56">
        <v>41.58110880000001</v>
      </c>
      <c r="P853" s="57">
        <f t="shared" si="187"/>
        <v>1081.1088288000003</v>
      </c>
      <c r="Q853" s="58">
        <f t="shared" si="188"/>
        <v>396.01056000000005</v>
      </c>
      <c r="R853" s="58">
        <f t="shared" si="189"/>
        <v>264.00704000000002</v>
      </c>
      <c r="S853" s="66">
        <f t="shared" si="190"/>
        <v>18.919404504000006</v>
      </c>
      <c r="T853" s="64">
        <f t="shared" si="191"/>
        <v>97.5</v>
      </c>
      <c r="U853" s="66">
        <f t="shared" si="192"/>
        <v>1197.5282333040004</v>
      </c>
      <c r="V853" s="68">
        <f t="shared" si="193"/>
        <v>46.058778204000014</v>
      </c>
      <c r="W853" s="68">
        <f t="shared" si="194"/>
        <v>438.65503051428578</v>
      </c>
      <c r="X853" s="68">
        <f t="shared" si="195"/>
        <v>292.43668700952384</v>
      </c>
      <c r="Z853" s="63"/>
      <c r="AA853" s="63"/>
    </row>
    <row r="854" spans="1:27" hidden="1" x14ac:dyDescent="0.25">
      <c r="A854" t="str">
        <f t="shared" si="196"/>
        <v>10620015B26/05/2026M</v>
      </c>
      <c r="B854" s="169" t="s">
        <v>826</v>
      </c>
      <c r="C854" s="61" t="s">
        <v>396</v>
      </c>
      <c r="D854" s="61" t="s">
        <v>591</v>
      </c>
      <c r="E854" s="61" t="s">
        <v>595</v>
      </c>
      <c r="F854" s="1" t="s">
        <v>371</v>
      </c>
      <c r="G854" s="62" t="str">
        <f t="shared" si="197"/>
        <v>64537</v>
      </c>
      <c r="H854" s="1">
        <v>10620015</v>
      </c>
      <c r="I854" s="1" t="s">
        <v>387</v>
      </c>
      <c r="J854" s="61">
        <v>28</v>
      </c>
      <c r="K854" s="61">
        <v>7.1</v>
      </c>
      <c r="L854" s="61">
        <v>9</v>
      </c>
      <c r="M854" s="69">
        <f t="shared" si="185"/>
        <v>1.9879999999999998</v>
      </c>
      <c r="N854" s="69">
        <f t="shared" si="186"/>
        <v>2.52</v>
      </c>
      <c r="O854" s="56">
        <f>INDEX(Rate_Chart!$A$1:$AK$127,MATCH(Data!K854,Rate_Chart!$A$1:$A$127,0),MATCH(Data!L854,Rate_Chart!$A$1:$AK$1,0))</f>
        <v>59.284999999999997</v>
      </c>
      <c r="P854" s="57">
        <f t="shared" si="187"/>
        <v>1659.98</v>
      </c>
      <c r="Q854" s="58">
        <f t="shared" si="188"/>
        <v>452.55725190839689</v>
      </c>
      <c r="R854" s="58">
        <f t="shared" si="189"/>
        <v>301.70483460559791</v>
      </c>
      <c r="S854" s="66">
        <f t="shared" si="190"/>
        <v>29.049650000000003</v>
      </c>
      <c r="T854" s="64">
        <f t="shared" si="191"/>
        <v>105</v>
      </c>
      <c r="U854" s="66">
        <f t="shared" si="192"/>
        <v>1794.0296499999999</v>
      </c>
      <c r="V854" s="68">
        <f t="shared" si="193"/>
        <v>64.072487499999994</v>
      </c>
      <c r="W854" s="68">
        <f t="shared" si="194"/>
        <v>489.10295801526712</v>
      </c>
      <c r="X854" s="68">
        <f t="shared" si="195"/>
        <v>326.06863867684473</v>
      </c>
      <c r="Z854" s="63"/>
      <c r="AA854" s="63"/>
    </row>
    <row r="855" spans="1:27" hidden="1" x14ac:dyDescent="0.25">
      <c r="A855" t="str">
        <f t="shared" si="196"/>
        <v>10620015C26/05/2026M</v>
      </c>
      <c r="B855" s="169" t="s">
        <v>826</v>
      </c>
      <c r="C855" s="61" t="s">
        <v>396</v>
      </c>
      <c r="D855" s="61" t="s">
        <v>591</v>
      </c>
      <c r="E855" s="61" t="s">
        <v>595</v>
      </c>
      <c r="F855" s="1" t="s">
        <v>371</v>
      </c>
      <c r="G855" s="62" t="str">
        <f t="shared" si="197"/>
        <v>64537</v>
      </c>
      <c r="H855" s="1">
        <v>10620015</v>
      </c>
      <c r="I855" s="1" t="s">
        <v>388</v>
      </c>
      <c r="J855" s="61">
        <v>40</v>
      </c>
      <c r="K855" s="61">
        <v>3.3</v>
      </c>
      <c r="L855" s="61">
        <v>8.1999999999999993</v>
      </c>
      <c r="M855" s="69">
        <f t="shared" si="185"/>
        <v>1.32</v>
      </c>
      <c r="N855" s="69">
        <f t="shared" si="186"/>
        <v>3.28</v>
      </c>
      <c r="O855" s="56">
        <f>INDEX(Rate_Chart!$A$1:$AK$127,MATCH(Data!K855,Rate_Chart!$A$1:$A$127,0),MATCH(Data!L855,Rate_Chart!$A$1:$AK$1,0))</f>
        <v>36.558139799999999</v>
      </c>
      <c r="P855" s="57">
        <f t="shared" si="187"/>
        <v>1462.3255919999999</v>
      </c>
      <c r="Q855" s="58">
        <f t="shared" si="188"/>
        <v>417.0130015209125</v>
      </c>
      <c r="R855" s="58">
        <f t="shared" si="189"/>
        <v>278.00866768060831</v>
      </c>
      <c r="S855" s="66">
        <f t="shared" si="190"/>
        <v>25.590697860000002</v>
      </c>
      <c r="T855" s="64">
        <f t="shared" si="191"/>
        <v>150</v>
      </c>
      <c r="U855" s="66">
        <f t="shared" si="192"/>
        <v>1637.91628986</v>
      </c>
      <c r="V855" s="68">
        <f t="shared" si="193"/>
        <v>40.947907246500002</v>
      </c>
      <c r="W855" s="68">
        <f t="shared" si="194"/>
        <v>467.08639444676805</v>
      </c>
      <c r="X855" s="68">
        <f t="shared" si="195"/>
        <v>311.39092963117872</v>
      </c>
      <c r="Z855" s="63"/>
      <c r="AA855" s="63"/>
    </row>
    <row r="856" spans="1:27" hidden="1" x14ac:dyDescent="0.25">
      <c r="A856" t="str">
        <f t="shared" si="196"/>
        <v>10620015C27/05/2026E</v>
      </c>
      <c r="B856" s="169" t="s">
        <v>826</v>
      </c>
      <c r="C856" s="61" t="s">
        <v>397</v>
      </c>
      <c r="D856" s="61" t="s">
        <v>591</v>
      </c>
      <c r="E856" s="61" t="s">
        <v>595</v>
      </c>
      <c r="F856" s="1" t="s">
        <v>371</v>
      </c>
      <c r="G856" s="62" t="str">
        <f t="shared" si="197"/>
        <v>64537</v>
      </c>
      <c r="H856" s="1">
        <v>10620015</v>
      </c>
      <c r="I856" s="1" t="s">
        <v>388</v>
      </c>
      <c r="J856" s="61">
        <v>28</v>
      </c>
      <c r="K856" s="61">
        <v>4.4000000000000004</v>
      </c>
      <c r="L856" s="61">
        <v>8.5</v>
      </c>
      <c r="M856" s="69">
        <f t="shared" si="185"/>
        <v>1.2320000000000002</v>
      </c>
      <c r="N856" s="69">
        <f t="shared" si="186"/>
        <v>2.38</v>
      </c>
      <c r="O856" s="56">
        <f>INDEX(Rate_Chart!$A$1:$AK$127,MATCH(Data!K856,Rate_Chart!$A$1:$A$127,0),MATCH(Data!L856,Rate_Chart!$A$1:$AK$1,0))</f>
        <v>41.97918150000001</v>
      </c>
      <c r="P856" s="57">
        <f t="shared" si="187"/>
        <v>1175.4170820000004</v>
      </c>
      <c r="Q856" s="58">
        <f t="shared" si="188"/>
        <v>417.01173675496693</v>
      </c>
      <c r="R856" s="58">
        <f t="shared" si="189"/>
        <v>278.00782450331127</v>
      </c>
      <c r="S856" s="66">
        <f t="shared" si="190"/>
        <v>20.569798935000009</v>
      </c>
      <c r="T856" s="64">
        <f t="shared" si="191"/>
        <v>105</v>
      </c>
      <c r="U856" s="66">
        <f t="shared" si="192"/>
        <v>1300.9868809350005</v>
      </c>
      <c r="V856" s="68">
        <f t="shared" si="193"/>
        <v>46.463817176250018</v>
      </c>
      <c r="W856" s="68">
        <f t="shared" si="194"/>
        <v>461.56109777731797</v>
      </c>
      <c r="X856" s="68">
        <f t="shared" si="195"/>
        <v>307.70739851821196</v>
      </c>
      <c r="Z856" s="63"/>
      <c r="AA856" s="63"/>
    </row>
    <row r="857" spans="1:27" hidden="1" x14ac:dyDescent="0.25">
      <c r="A857" t="str">
        <f t="shared" si="196"/>
        <v>10620015B27/05/2026M</v>
      </c>
      <c r="B857" s="169" t="s">
        <v>827</v>
      </c>
      <c r="C857" s="61" t="s">
        <v>396</v>
      </c>
      <c r="D857" s="61" t="s">
        <v>591</v>
      </c>
      <c r="E857" s="61" t="s">
        <v>595</v>
      </c>
      <c r="F857" s="1" t="s">
        <v>371</v>
      </c>
      <c r="G857" s="62" t="str">
        <f t="shared" si="197"/>
        <v>64537</v>
      </c>
      <c r="H857" s="1">
        <v>10620015</v>
      </c>
      <c r="I857" s="1" t="s">
        <v>387</v>
      </c>
      <c r="J857" s="61">
        <v>29</v>
      </c>
      <c r="K857" s="61">
        <v>6.8</v>
      </c>
      <c r="L857" s="61">
        <v>9</v>
      </c>
      <c r="M857" s="69">
        <f t="shared" si="185"/>
        <v>1.972</v>
      </c>
      <c r="N857" s="69">
        <f t="shared" si="186"/>
        <v>2.61</v>
      </c>
      <c r="O857" s="56">
        <f>INDEX(Rate_Chart!$A$1:$AK$127,MATCH(Data!K857,Rate_Chart!$A$1:$A$127,0),MATCH(Data!L857,Rate_Chart!$A$1:$AK$1,0))</f>
        <v>56.78</v>
      </c>
      <c r="P857" s="57">
        <f t="shared" si="187"/>
        <v>1646.6200000000001</v>
      </c>
      <c r="Q857" s="58">
        <f t="shared" si="188"/>
        <v>443.59375</v>
      </c>
      <c r="R857" s="58">
        <f t="shared" si="189"/>
        <v>295.72916666666669</v>
      </c>
      <c r="S857" s="66">
        <f t="shared" si="190"/>
        <v>28.815850000000005</v>
      </c>
      <c r="T857" s="64">
        <f t="shared" si="191"/>
        <v>108.75</v>
      </c>
      <c r="U857" s="66">
        <f t="shared" si="192"/>
        <v>1784.1858500000001</v>
      </c>
      <c r="V857" s="68">
        <f t="shared" si="193"/>
        <v>61.523650000000004</v>
      </c>
      <c r="W857" s="68">
        <f t="shared" si="194"/>
        <v>480.65351562500001</v>
      </c>
      <c r="X857" s="68">
        <f t="shared" si="195"/>
        <v>320.43567708333336</v>
      </c>
      <c r="Z857" s="63"/>
      <c r="AA857" s="63"/>
    </row>
    <row r="858" spans="1:27" hidden="1" x14ac:dyDescent="0.25">
      <c r="A858" t="str">
        <f t="shared" si="196"/>
        <v>10620015C27/05/2026M</v>
      </c>
      <c r="B858" s="169" t="s">
        <v>827</v>
      </c>
      <c r="C858" s="61" t="s">
        <v>396</v>
      </c>
      <c r="D858" s="61" t="s">
        <v>591</v>
      </c>
      <c r="E858" s="61" t="s">
        <v>595</v>
      </c>
      <c r="F858" s="1" t="s">
        <v>371</v>
      </c>
      <c r="G858" s="62" t="str">
        <f t="shared" si="197"/>
        <v>64537</v>
      </c>
      <c r="H858" s="1">
        <v>10620015</v>
      </c>
      <c r="I858" s="1" t="s">
        <v>388</v>
      </c>
      <c r="J858" s="61">
        <v>39</v>
      </c>
      <c r="K858" s="61">
        <v>3.2</v>
      </c>
      <c r="L858" s="61">
        <v>8.1</v>
      </c>
      <c r="M858" s="69">
        <f t="shared" si="185"/>
        <v>1.2480000000000002</v>
      </c>
      <c r="N858" s="69">
        <f t="shared" si="186"/>
        <v>3.1589999999999998</v>
      </c>
      <c r="O858" s="56">
        <f>INDEX(Rate_Chart!$A$1:$AK$127,MATCH(Data!K858,Rate_Chart!$A$1:$A$127,0),MATCH(Data!L858,Rate_Chart!$A$1:$AK$1,0))</f>
        <v>35.8631259</v>
      </c>
      <c r="P858" s="57">
        <f t="shared" si="187"/>
        <v>1398.6619101000001</v>
      </c>
      <c r="Q858" s="58">
        <f t="shared" si="188"/>
        <v>417.01309186046512</v>
      </c>
      <c r="R858" s="58">
        <f t="shared" si="189"/>
        <v>278.00872790697673</v>
      </c>
      <c r="S858" s="66">
        <f t="shared" si="190"/>
        <v>24.476583426750004</v>
      </c>
      <c r="T858" s="64">
        <f t="shared" si="191"/>
        <v>146.25</v>
      </c>
      <c r="U858" s="66">
        <f t="shared" si="192"/>
        <v>1569.3884935267502</v>
      </c>
      <c r="V858" s="68">
        <f t="shared" si="193"/>
        <v>40.240730603250007</v>
      </c>
      <c r="W858" s="68">
        <f t="shared" si="194"/>
        <v>467.91547213081407</v>
      </c>
      <c r="X858" s="68">
        <f t="shared" si="195"/>
        <v>311.9436480872094</v>
      </c>
      <c r="Z858" s="63"/>
      <c r="AA858" s="63"/>
    </row>
    <row r="859" spans="1:27" hidden="1" x14ac:dyDescent="0.25">
      <c r="A859" t="str">
        <f t="shared" si="196"/>
        <v>10620015C28/05/2026E</v>
      </c>
      <c r="B859" s="169" t="s">
        <v>827</v>
      </c>
      <c r="C859" s="61" t="s">
        <v>397</v>
      </c>
      <c r="D859" s="61" t="s">
        <v>591</v>
      </c>
      <c r="E859" s="61" t="s">
        <v>595</v>
      </c>
      <c r="F859" s="1" t="s">
        <v>371</v>
      </c>
      <c r="G859" s="62" t="str">
        <f t="shared" si="197"/>
        <v>64537</v>
      </c>
      <c r="H859" s="1">
        <v>10620015</v>
      </c>
      <c r="I859" s="1" t="s">
        <v>388</v>
      </c>
      <c r="J859" s="61">
        <v>22</v>
      </c>
      <c r="K859" s="61">
        <v>4.3</v>
      </c>
      <c r="L859" s="61">
        <v>8.5</v>
      </c>
      <c r="M859" s="69">
        <f t="shared" si="185"/>
        <v>0.94599999999999995</v>
      </c>
      <c r="N859" s="69">
        <f t="shared" si="186"/>
        <v>1.87</v>
      </c>
      <c r="O859" s="56">
        <f>INDEX(Rate_Chart!$A$1:$AK$127,MATCH(Data!K859,Rate_Chart!$A$1:$A$127,0),MATCH(Data!L859,Rate_Chart!$A$1:$AK$1,0))</f>
        <v>41.562181500000001</v>
      </c>
      <c r="P859" s="57">
        <f t="shared" si="187"/>
        <v>914.36799300000007</v>
      </c>
      <c r="Q859" s="58">
        <f t="shared" si="188"/>
        <v>417.01185451505017</v>
      </c>
      <c r="R859" s="58">
        <f t="shared" si="189"/>
        <v>278.00790301003343</v>
      </c>
      <c r="S859" s="66">
        <f t="shared" si="190"/>
        <v>16.001439877500001</v>
      </c>
      <c r="T859" s="64">
        <f t="shared" si="191"/>
        <v>82.5</v>
      </c>
      <c r="U859" s="66">
        <f t="shared" si="192"/>
        <v>1012.8694328775001</v>
      </c>
      <c r="V859" s="68">
        <f t="shared" si="193"/>
        <v>46.039519676250002</v>
      </c>
      <c r="W859" s="68">
        <f t="shared" si="194"/>
        <v>461.93498002926424</v>
      </c>
      <c r="X859" s="68">
        <f t="shared" si="195"/>
        <v>307.95665335284281</v>
      </c>
      <c r="Z859" s="63"/>
      <c r="AA859" s="63"/>
    </row>
    <row r="860" spans="1:27" hidden="1" x14ac:dyDescent="0.25">
      <c r="A860" t="str">
        <f t="shared" si="196"/>
        <v>10620015B28/05/2026M</v>
      </c>
      <c r="B860" s="169" t="s">
        <v>828</v>
      </c>
      <c r="C860" s="61" t="s">
        <v>396</v>
      </c>
      <c r="D860" s="61" t="s">
        <v>591</v>
      </c>
      <c r="E860" s="61" t="s">
        <v>595</v>
      </c>
      <c r="F860" s="1" t="s">
        <v>371</v>
      </c>
      <c r="G860" s="62" t="str">
        <f t="shared" si="197"/>
        <v>64537</v>
      </c>
      <c r="H860" s="1">
        <v>10620015</v>
      </c>
      <c r="I860" s="1" t="s">
        <v>387</v>
      </c>
      <c r="J860" s="61">
        <v>22</v>
      </c>
      <c r="K860" s="61">
        <v>7.2</v>
      </c>
      <c r="L860" s="61">
        <v>8.8000000000000007</v>
      </c>
      <c r="M860" s="69">
        <f t="shared" si="185"/>
        <v>1.5840000000000001</v>
      </c>
      <c r="N860" s="69">
        <f t="shared" si="186"/>
        <v>1.9360000000000002</v>
      </c>
      <c r="O860" s="56">
        <f>INDEX(Rate_Chart!$A$1:$AK$127,MATCH(Data!K860,Rate_Chart!$A$1:$A$127,0),MATCH(Data!L860,Rate_Chart!$A$1:$AK$1,0))</f>
        <v>59.518800000000006</v>
      </c>
      <c r="P860" s="57">
        <f t="shared" si="187"/>
        <v>1309.4136000000001</v>
      </c>
      <c r="Q860" s="58">
        <f t="shared" si="188"/>
        <v>455.50102040816324</v>
      </c>
      <c r="R860" s="58">
        <f t="shared" si="189"/>
        <v>303.66734693877549</v>
      </c>
      <c r="S860" s="66">
        <f t="shared" si="190"/>
        <v>22.914738000000003</v>
      </c>
      <c r="T860" s="64">
        <f t="shared" si="191"/>
        <v>82.5</v>
      </c>
      <c r="U860" s="66">
        <f t="shared" si="192"/>
        <v>1414.828338</v>
      </c>
      <c r="V860" s="68">
        <f t="shared" si="193"/>
        <v>64.310378999999998</v>
      </c>
      <c r="W860" s="68">
        <f t="shared" si="194"/>
        <v>492.17126785714277</v>
      </c>
      <c r="X860" s="68">
        <f t="shared" si="195"/>
        <v>328.11417857142851</v>
      </c>
      <c r="Z860" s="63"/>
      <c r="AA860" s="63"/>
    </row>
    <row r="861" spans="1:27" hidden="1" x14ac:dyDescent="0.25">
      <c r="A861" t="str">
        <f t="shared" si="196"/>
        <v>10620015C28/05/2026M</v>
      </c>
      <c r="B861" s="169" t="s">
        <v>828</v>
      </c>
      <c r="C861" s="61" t="s">
        <v>396</v>
      </c>
      <c r="D861" s="61" t="s">
        <v>591</v>
      </c>
      <c r="E861" s="61" t="s">
        <v>595</v>
      </c>
      <c r="F861" s="1" t="s">
        <v>371</v>
      </c>
      <c r="G861" s="62" t="str">
        <f t="shared" si="197"/>
        <v>64537</v>
      </c>
      <c r="H861" s="1">
        <v>10620015</v>
      </c>
      <c r="I861" s="1" t="s">
        <v>388</v>
      </c>
      <c r="J861" s="61">
        <v>36</v>
      </c>
      <c r="K861" s="61">
        <v>3.3</v>
      </c>
      <c r="L861" s="61">
        <v>8.1</v>
      </c>
      <c r="M861" s="69">
        <f t="shared" si="185"/>
        <v>1.1879999999999999</v>
      </c>
      <c r="N861" s="69">
        <f t="shared" si="186"/>
        <v>2.9159999999999995</v>
      </c>
      <c r="O861" s="56">
        <f>INDEX(Rate_Chart!$A$1:$AK$127,MATCH(Data!K861,Rate_Chart!$A$1:$A$127,0),MATCH(Data!L861,Rate_Chart!$A$1:$AK$1,0))</f>
        <v>36.280125900000002</v>
      </c>
      <c r="P861" s="57">
        <f t="shared" si="187"/>
        <v>1306.0845324000002</v>
      </c>
      <c r="Q861" s="58">
        <f t="shared" si="188"/>
        <v>417.0129413793104</v>
      </c>
      <c r="R861" s="58">
        <f t="shared" si="189"/>
        <v>278.00862758620696</v>
      </c>
      <c r="S861" s="66">
        <f t="shared" si="190"/>
        <v>22.856479317000005</v>
      </c>
      <c r="T861" s="64">
        <f t="shared" si="191"/>
        <v>135</v>
      </c>
      <c r="U861" s="66">
        <f t="shared" si="192"/>
        <v>1463.9410117170003</v>
      </c>
      <c r="V861" s="68">
        <f t="shared" si="193"/>
        <v>40.665028103250009</v>
      </c>
      <c r="W861" s="68">
        <f t="shared" si="194"/>
        <v>467.41411612931046</v>
      </c>
      <c r="X861" s="68">
        <f t="shared" si="195"/>
        <v>311.60941075287366</v>
      </c>
      <c r="Z861" s="63"/>
      <c r="AA861" s="63"/>
    </row>
    <row r="862" spans="1:27" hidden="1" x14ac:dyDescent="0.25">
      <c r="A862" t="str">
        <f t="shared" si="196"/>
        <v>10620015C22/05/2026E</v>
      </c>
      <c r="B862" s="169" t="s">
        <v>828</v>
      </c>
      <c r="C862" s="61" t="s">
        <v>397</v>
      </c>
      <c r="D862" s="61" t="s">
        <v>591</v>
      </c>
      <c r="E862" s="61" t="s">
        <v>595</v>
      </c>
      <c r="F862" s="1" t="s">
        <v>371</v>
      </c>
      <c r="G862" s="62" t="str">
        <f t="shared" si="197"/>
        <v>64537</v>
      </c>
      <c r="H862" s="1">
        <v>10620015</v>
      </c>
      <c r="I862" s="1" t="s">
        <v>388</v>
      </c>
      <c r="J862" s="61">
        <v>20</v>
      </c>
      <c r="K862" s="61">
        <v>3.9</v>
      </c>
      <c r="L862" s="61">
        <v>8.1999999999999993</v>
      </c>
      <c r="M862" s="69">
        <f t="shared" ref="M862:M925" si="198">K862*J862/100</f>
        <v>0.78</v>
      </c>
      <c r="N862" s="69">
        <f t="shared" ref="N862:N925" si="199">L862*J862/100</f>
        <v>1.64</v>
      </c>
      <c r="O862" s="56">
        <f>INDEX(Rate_Chart!$A$1:$AK$127,MATCH(Data!K862,Rate_Chart!$A$1:$A$127,0),MATCH(Data!L862,Rate_Chart!$A$1:$AK$1,0))</f>
        <v>39.060139800000002</v>
      </c>
      <c r="P862" s="57">
        <f t="shared" ref="P862:P925" si="200">O862*J862</f>
        <v>781.20279600000003</v>
      </c>
      <c r="Q862" s="58">
        <f t="shared" ref="Q862:Q925" si="201">O862/(K862%+L862%*2/3)</f>
        <v>417.01216868327407</v>
      </c>
      <c r="R862" s="58">
        <f t="shared" ref="R862:R925" si="202">Q862*2/3</f>
        <v>278.00811245551603</v>
      </c>
      <c r="S862" s="66">
        <f t="shared" ref="S862:S925" si="203">P862*1.75%</f>
        <v>13.671048930000001</v>
      </c>
      <c r="T862" s="64">
        <f t="shared" ref="T862:T925" si="204">J862*3.75</f>
        <v>75</v>
      </c>
      <c r="U862" s="66">
        <f t="shared" ref="U862:U925" si="205">S862+T862+P862</f>
        <v>869.87384493000002</v>
      </c>
      <c r="V862" s="68">
        <f t="shared" ref="V862:V925" si="206">U862/J862</f>
        <v>43.493692246500004</v>
      </c>
      <c r="W862" s="68">
        <f t="shared" ref="W862:W925" si="207">V862/(K862%+L862%*2/3)</f>
        <v>464.34546882384348</v>
      </c>
      <c r="X862" s="68">
        <f t="shared" ref="X862:X925" si="208">W862*2/3</f>
        <v>309.5636458825623</v>
      </c>
      <c r="Z862" s="63"/>
      <c r="AA862" s="63"/>
    </row>
    <row r="863" spans="1:27" hidden="1" x14ac:dyDescent="0.25">
      <c r="A863" t="str">
        <f t="shared" si="196"/>
        <v>10620068B22/05/2026M</v>
      </c>
      <c r="B863" s="169" t="s">
        <v>822</v>
      </c>
      <c r="C863" s="61" t="s">
        <v>396</v>
      </c>
      <c r="D863" s="61" t="s">
        <v>591</v>
      </c>
      <c r="E863" s="61" t="s">
        <v>592</v>
      </c>
      <c r="F863" s="1" t="s">
        <v>372</v>
      </c>
      <c r="G863" s="62" t="str">
        <f t="shared" si="197"/>
        <v>64539</v>
      </c>
      <c r="H863" s="1">
        <v>10620068</v>
      </c>
      <c r="I863" s="1" t="s">
        <v>387</v>
      </c>
      <c r="J863" s="61">
        <v>40</v>
      </c>
      <c r="K863" s="61">
        <v>6.4</v>
      </c>
      <c r="L863" s="61">
        <v>8.8000000000000007</v>
      </c>
      <c r="M863" s="69">
        <f t="shared" si="198"/>
        <v>2.56</v>
      </c>
      <c r="N863" s="69">
        <f t="shared" si="199"/>
        <v>3.52</v>
      </c>
      <c r="O863" s="56">
        <v>52.9056</v>
      </c>
      <c r="P863" s="57">
        <f t="shared" si="200"/>
        <v>2116.2240000000002</v>
      </c>
      <c r="Q863" s="58">
        <f t="shared" si="201"/>
        <v>431.29565217391303</v>
      </c>
      <c r="R863" s="58">
        <f t="shared" si="202"/>
        <v>287.53043478260867</v>
      </c>
      <c r="S863" s="66">
        <f t="shared" si="203"/>
        <v>37.033920000000009</v>
      </c>
      <c r="T863" s="64">
        <f t="shared" si="204"/>
        <v>150</v>
      </c>
      <c r="U863" s="66">
        <f t="shared" si="205"/>
        <v>2303.25792</v>
      </c>
      <c r="V863" s="68">
        <f t="shared" si="206"/>
        <v>57.581448000000002</v>
      </c>
      <c r="W863" s="68">
        <f t="shared" si="207"/>
        <v>469.41397826086956</v>
      </c>
      <c r="X863" s="68">
        <f t="shared" si="208"/>
        <v>312.94265217391302</v>
      </c>
      <c r="Z863" s="63"/>
      <c r="AA863" s="63"/>
    </row>
    <row r="864" spans="1:27" hidden="1" x14ac:dyDescent="0.25">
      <c r="A864" t="str">
        <f t="shared" si="196"/>
        <v>10620068C22/05/2026M</v>
      </c>
      <c r="B864" s="169" t="s">
        <v>822</v>
      </c>
      <c r="C864" s="61" t="s">
        <v>396</v>
      </c>
      <c r="D864" s="61" t="s">
        <v>591</v>
      </c>
      <c r="E864" s="61" t="s">
        <v>592</v>
      </c>
      <c r="F864" s="1" t="s">
        <v>372</v>
      </c>
      <c r="G864" s="62" t="str">
        <f t="shared" si="197"/>
        <v>64539</v>
      </c>
      <c r="H864" s="1">
        <v>10620068</v>
      </c>
      <c r="I864" s="1" t="s">
        <v>388</v>
      </c>
      <c r="J864" s="61">
        <v>40</v>
      </c>
      <c r="K864" s="61">
        <v>3.1</v>
      </c>
      <c r="L864" s="61">
        <v>8</v>
      </c>
      <c r="M864" s="69">
        <f t="shared" si="198"/>
        <v>1.24</v>
      </c>
      <c r="N864" s="69">
        <f t="shared" si="199"/>
        <v>3.2</v>
      </c>
      <c r="O864" s="56">
        <v>33.397056000000006</v>
      </c>
      <c r="P864" s="57">
        <f t="shared" si="200"/>
        <v>1335.8822400000004</v>
      </c>
      <c r="Q864" s="58">
        <f t="shared" si="201"/>
        <v>396.01252173913048</v>
      </c>
      <c r="R864" s="58">
        <f t="shared" si="202"/>
        <v>264.008347826087</v>
      </c>
      <c r="S864" s="66">
        <f t="shared" si="203"/>
        <v>23.377939200000007</v>
      </c>
      <c r="T864" s="64">
        <f t="shared" si="204"/>
        <v>150</v>
      </c>
      <c r="U864" s="66">
        <f t="shared" si="205"/>
        <v>1509.2601792000005</v>
      </c>
      <c r="V864" s="68">
        <f t="shared" si="206"/>
        <v>37.731504480000012</v>
      </c>
      <c r="W864" s="68">
        <f t="shared" si="207"/>
        <v>447.40914403162066</v>
      </c>
      <c r="X864" s="68">
        <f t="shared" si="208"/>
        <v>298.2727626877471</v>
      </c>
      <c r="Z864" s="63"/>
      <c r="AA864" s="63"/>
    </row>
    <row r="865" spans="1:27" hidden="1" x14ac:dyDescent="0.25">
      <c r="A865" t="str">
        <f t="shared" si="196"/>
        <v>10620068B22/05/2026E</v>
      </c>
      <c r="B865" s="169" t="s">
        <v>822</v>
      </c>
      <c r="C865" s="61" t="s">
        <v>397</v>
      </c>
      <c r="D865" s="61" t="s">
        <v>591</v>
      </c>
      <c r="E865" s="61" t="s">
        <v>592</v>
      </c>
      <c r="F865" s="1" t="s">
        <v>372</v>
      </c>
      <c r="G865" s="62" t="str">
        <f t="shared" si="197"/>
        <v>64539</v>
      </c>
      <c r="H865" s="1">
        <v>10620068</v>
      </c>
      <c r="I865" s="1" t="s">
        <v>387</v>
      </c>
      <c r="J865" s="61">
        <v>44</v>
      </c>
      <c r="K865" s="61">
        <v>5.9</v>
      </c>
      <c r="L865" s="61">
        <v>8.4</v>
      </c>
      <c r="M865" s="69">
        <f t="shared" si="198"/>
        <v>2.5960000000000001</v>
      </c>
      <c r="N865" s="69">
        <f t="shared" si="199"/>
        <v>3.6960000000000002</v>
      </c>
      <c r="O865" s="56">
        <v>47.787050000000001</v>
      </c>
      <c r="P865" s="57">
        <f t="shared" si="200"/>
        <v>2102.6302000000001</v>
      </c>
      <c r="Q865" s="58">
        <f t="shared" si="201"/>
        <v>415.53956521739127</v>
      </c>
      <c r="R865" s="58">
        <f t="shared" si="202"/>
        <v>277.02637681159416</v>
      </c>
      <c r="S865" s="66">
        <f t="shared" si="203"/>
        <v>36.796028500000006</v>
      </c>
      <c r="T865" s="64">
        <f t="shared" si="204"/>
        <v>165</v>
      </c>
      <c r="U865" s="66">
        <f t="shared" si="205"/>
        <v>2304.4262285</v>
      </c>
      <c r="V865" s="68">
        <f t="shared" si="206"/>
        <v>52.373323374999998</v>
      </c>
      <c r="W865" s="68">
        <f t="shared" si="207"/>
        <v>455.42020326086953</v>
      </c>
      <c r="X865" s="68">
        <f t="shared" si="208"/>
        <v>303.61346884057969</v>
      </c>
      <c r="Z865" s="63"/>
      <c r="AA865" s="63"/>
    </row>
    <row r="866" spans="1:27" hidden="1" x14ac:dyDescent="0.25">
      <c r="A866" t="str">
        <f t="shared" si="196"/>
        <v>10620068C23/05/2026E</v>
      </c>
      <c r="B866" s="169" t="s">
        <v>822</v>
      </c>
      <c r="C866" s="61" t="s">
        <v>397</v>
      </c>
      <c r="D866" s="61" t="s">
        <v>591</v>
      </c>
      <c r="E866" s="61" t="s">
        <v>592</v>
      </c>
      <c r="F866" s="1" t="s">
        <v>372</v>
      </c>
      <c r="G866" s="62" t="str">
        <f t="shared" si="197"/>
        <v>64539</v>
      </c>
      <c r="H866" s="1">
        <v>10620068</v>
      </c>
      <c r="I866" s="1" t="s">
        <v>388</v>
      </c>
      <c r="J866" s="61">
        <v>40</v>
      </c>
      <c r="K866" s="61">
        <v>3.4</v>
      </c>
      <c r="L866" s="61">
        <v>8.1</v>
      </c>
      <c r="M866" s="69">
        <f t="shared" si="198"/>
        <v>1.36</v>
      </c>
      <c r="N866" s="69">
        <f t="shared" si="199"/>
        <v>3.24</v>
      </c>
      <c r="O866" s="56">
        <v>34.849069200000002</v>
      </c>
      <c r="P866" s="57">
        <f t="shared" si="200"/>
        <v>1393.9627680000001</v>
      </c>
      <c r="Q866" s="58">
        <f t="shared" si="201"/>
        <v>396.01215000000008</v>
      </c>
      <c r="R866" s="58">
        <f t="shared" si="202"/>
        <v>264.00810000000007</v>
      </c>
      <c r="S866" s="66">
        <f t="shared" si="203"/>
        <v>24.394348440000005</v>
      </c>
      <c r="T866" s="64">
        <f t="shared" si="204"/>
        <v>150</v>
      </c>
      <c r="U866" s="66">
        <f t="shared" si="205"/>
        <v>1568.35711644</v>
      </c>
      <c r="V866" s="68">
        <f t="shared" si="206"/>
        <v>39.208927911000004</v>
      </c>
      <c r="W866" s="68">
        <f t="shared" si="207"/>
        <v>445.55599898863642</v>
      </c>
      <c r="X866" s="68">
        <f t="shared" si="208"/>
        <v>297.03733265909096</v>
      </c>
      <c r="Z866" s="63"/>
      <c r="AA866" s="63"/>
    </row>
    <row r="867" spans="1:27" hidden="1" x14ac:dyDescent="0.25">
      <c r="A867" t="str">
        <f t="shared" si="196"/>
        <v>10620068B23/05/2026M</v>
      </c>
      <c r="B867" s="169" t="s">
        <v>823</v>
      </c>
      <c r="C867" s="61" t="s">
        <v>396</v>
      </c>
      <c r="D867" s="61" t="s">
        <v>591</v>
      </c>
      <c r="E867" s="61" t="s">
        <v>592</v>
      </c>
      <c r="F867" s="1" t="s">
        <v>372</v>
      </c>
      <c r="G867" s="62" t="str">
        <f t="shared" si="197"/>
        <v>64539</v>
      </c>
      <c r="H867" s="1">
        <v>10620068</v>
      </c>
      <c r="I867" s="1" t="s">
        <v>387</v>
      </c>
      <c r="J867" s="61">
        <v>40</v>
      </c>
      <c r="K867" s="61">
        <v>7.2</v>
      </c>
      <c r="L867" s="61">
        <v>8.8000000000000007</v>
      </c>
      <c r="M867" s="69">
        <f t="shared" si="198"/>
        <v>2.88</v>
      </c>
      <c r="N867" s="69">
        <f t="shared" si="199"/>
        <v>3.52</v>
      </c>
      <c r="O867" s="56">
        <v>59.518800000000006</v>
      </c>
      <c r="P867" s="57">
        <f t="shared" si="200"/>
        <v>2380.7520000000004</v>
      </c>
      <c r="Q867" s="58">
        <f t="shared" si="201"/>
        <v>455.50102040816324</v>
      </c>
      <c r="R867" s="58">
        <f t="shared" si="202"/>
        <v>303.66734693877549</v>
      </c>
      <c r="S867" s="66">
        <f t="shared" si="203"/>
        <v>41.663160000000012</v>
      </c>
      <c r="T867" s="64">
        <f t="shared" si="204"/>
        <v>150</v>
      </c>
      <c r="U867" s="66">
        <f t="shared" si="205"/>
        <v>2572.4151600000005</v>
      </c>
      <c r="V867" s="68">
        <f t="shared" si="206"/>
        <v>64.310379000000012</v>
      </c>
      <c r="W867" s="68">
        <f t="shared" si="207"/>
        <v>492.17126785714288</v>
      </c>
      <c r="X867" s="68">
        <f t="shared" si="208"/>
        <v>328.11417857142857</v>
      </c>
      <c r="Z867" s="63"/>
      <c r="AA867" s="63"/>
    </row>
    <row r="868" spans="1:27" hidden="1" x14ac:dyDescent="0.25">
      <c r="A868" t="str">
        <f t="shared" si="196"/>
        <v>10620068C23/05/2026M</v>
      </c>
      <c r="B868" s="169" t="s">
        <v>823</v>
      </c>
      <c r="C868" s="61" t="s">
        <v>396</v>
      </c>
      <c r="D868" s="61" t="s">
        <v>591</v>
      </c>
      <c r="E868" s="61" t="s">
        <v>592</v>
      </c>
      <c r="F868" s="1" t="s">
        <v>372</v>
      </c>
      <c r="G868" s="62" t="str">
        <f t="shared" si="197"/>
        <v>64539</v>
      </c>
      <c r="H868" s="1">
        <v>10620068</v>
      </c>
      <c r="I868" s="1" t="s">
        <v>388</v>
      </c>
      <c r="J868" s="61">
        <v>59</v>
      </c>
      <c r="K868" s="61">
        <v>3.5</v>
      </c>
      <c r="L868" s="61">
        <v>8</v>
      </c>
      <c r="M868" s="69">
        <f t="shared" si="198"/>
        <v>2.0649999999999999</v>
      </c>
      <c r="N868" s="69">
        <f t="shared" si="199"/>
        <v>4.72</v>
      </c>
      <c r="O868" s="56">
        <v>34.981056000000002</v>
      </c>
      <c r="P868" s="57">
        <f t="shared" si="200"/>
        <v>2063.8823040000002</v>
      </c>
      <c r="Q868" s="58">
        <f t="shared" si="201"/>
        <v>396.01195471698111</v>
      </c>
      <c r="R868" s="58">
        <f t="shared" si="202"/>
        <v>264.00796981132072</v>
      </c>
      <c r="S868" s="66">
        <f t="shared" si="203"/>
        <v>36.11794032000001</v>
      </c>
      <c r="T868" s="64">
        <f t="shared" si="204"/>
        <v>221.25</v>
      </c>
      <c r="U868" s="66">
        <f t="shared" si="205"/>
        <v>2321.2502443200001</v>
      </c>
      <c r="V868" s="68">
        <f t="shared" si="206"/>
        <v>39.343224480000003</v>
      </c>
      <c r="W868" s="68">
        <f t="shared" si="207"/>
        <v>445.39499411320753</v>
      </c>
      <c r="X868" s="68">
        <f t="shared" si="208"/>
        <v>296.92999607547171</v>
      </c>
      <c r="Z868" s="63"/>
      <c r="AA868" s="63"/>
    </row>
    <row r="869" spans="1:27" hidden="1" x14ac:dyDescent="0.25">
      <c r="A869" t="str">
        <f t="shared" si="196"/>
        <v>10620068B23/05/2026E</v>
      </c>
      <c r="B869" s="169" t="s">
        <v>823</v>
      </c>
      <c r="C869" s="61" t="s">
        <v>397</v>
      </c>
      <c r="D869" s="61" t="s">
        <v>591</v>
      </c>
      <c r="E869" s="61" t="s">
        <v>592</v>
      </c>
      <c r="F869" s="1" t="s">
        <v>372</v>
      </c>
      <c r="G869" s="62" t="str">
        <f t="shared" si="197"/>
        <v>64539</v>
      </c>
      <c r="H869" s="1">
        <v>10620068</v>
      </c>
      <c r="I869" s="1" t="s">
        <v>387</v>
      </c>
      <c r="J869" s="61">
        <v>27</v>
      </c>
      <c r="K869" s="61">
        <v>6.7</v>
      </c>
      <c r="L869" s="61">
        <v>8.8000000000000007</v>
      </c>
      <c r="M869" s="69">
        <f t="shared" si="198"/>
        <v>1.8090000000000002</v>
      </c>
      <c r="N869" s="69">
        <f t="shared" si="199"/>
        <v>2.3760000000000003</v>
      </c>
      <c r="O869" s="56">
        <v>55.385550000000002</v>
      </c>
      <c r="P869" s="57">
        <f t="shared" si="200"/>
        <v>1495.40985</v>
      </c>
      <c r="Q869" s="58">
        <f t="shared" si="201"/>
        <v>440.73381962864721</v>
      </c>
      <c r="R869" s="58">
        <f t="shared" si="202"/>
        <v>293.82254641909816</v>
      </c>
      <c r="S869" s="66">
        <f t="shared" si="203"/>
        <v>26.169672375000001</v>
      </c>
      <c r="T869" s="64">
        <f t="shared" si="204"/>
        <v>101.25</v>
      </c>
      <c r="U869" s="66">
        <f t="shared" si="205"/>
        <v>1622.8295223750001</v>
      </c>
      <c r="V869" s="68">
        <f t="shared" si="206"/>
        <v>60.104797125000005</v>
      </c>
      <c r="W869" s="68">
        <f t="shared" si="207"/>
        <v>478.28751027851456</v>
      </c>
      <c r="X869" s="68">
        <f t="shared" si="208"/>
        <v>318.85834018567635</v>
      </c>
      <c r="Z869" s="63"/>
      <c r="AA869" s="63"/>
    </row>
    <row r="870" spans="1:27" hidden="1" x14ac:dyDescent="0.25">
      <c r="A870" t="str">
        <f t="shared" si="196"/>
        <v>10620068C24/05/2026E</v>
      </c>
      <c r="B870" s="169" t="s">
        <v>823</v>
      </c>
      <c r="C870" s="61" t="s">
        <v>397</v>
      </c>
      <c r="D870" s="61" t="s">
        <v>591</v>
      </c>
      <c r="E870" s="61" t="s">
        <v>592</v>
      </c>
      <c r="F870" s="1" t="s">
        <v>372</v>
      </c>
      <c r="G870" s="62" t="str">
        <f t="shared" si="197"/>
        <v>64539</v>
      </c>
      <c r="H870" s="1">
        <v>10620068</v>
      </c>
      <c r="I870" s="1" t="s">
        <v>388</v>
      </c>
      <c r="J870" s="61">
        <v>47</v>
      </c>
      <c r="K870" s="61">
        <v>3.4</v>
      </c>
      <c r="L870" s="61">
        <v>8</v>
      </c>
      <c r="M870" s="69">
        <f t="shared" si="198"/>
        <v>1.5979999999999999</v>
      </c>
      <c r="N870" s="69">
        <f t="shared" si="199"/>
        <v>3.76</v>
      </c>
      <c r="O870" s="56">
        <v>34.585056000000002</v>
      </c>
      <c r="P870" s="57">
        <f t="shared" si="200"/>
        <v>1625.4976320000001</v>
      </c>
      <c r="Q870" s="58">
        <f t="shared" si="201"/>
        <v>396.01209160305342</v>
      </c>
      <c r="R870" s="58">
        <f t="shared" si="202"/>
        <v>264.00806106870226</v>
      </c>
      <c r="S870" s="66">
        <f t="shared" si="203"/>
        <v>28.446208560000002</v>
      </c>
      <c r="T870" s="64">
        <f t="shared" si="204"/>
        <v>176.25</v>
      </c>
      <c r="U870" s="66">
        <f t="shared" si="205"/>
        <v>1830.1938405600001</v>
      </c>
      <c r="V870" s="68">
        <f t="shared" si="206"/>
        <v>38.940294480000006</v>
      </c>
      <c r="W870" s="68">
        <f t="shared" si="207"/>
        <v>445.88123450381681</v>
      </c>
      <c r="X870" s="68">
        <f t="shared" si="208"/>
        <v>297.25415633587789</v>
      </c>
      <c r="Z870" s="63"/>
      <c r="AA870" s="63"/>
    </row>
    <row r="871" spans="1:27" hidden="1" x14ac:dyDescent="0.25">
      <c r="A871" t="str">
        <f t="shared" si="196"/>
        <v>10620068B24/05/2026M</v>
      </c>
      <c r="B871" s="169" t="s">
        <v>824</v>
      </c>
      <c r="C871" s="61" t="s">
        <v>396</v>
      </c>
      <c r="D871" s="61" t="s">
        <v>591</v>
      </c>
      <c r="E871" s="61" t="s">
        <v>592</v>
      </c>
      <c r="F871" s="1" t="s">
        <v>372</v>
      </c>
      <c r="G871" s="62" t="str">
        <f t="shared" si="197"/>
        <v>64539</v>
      </c>
      <c r="H871" s="1">
        <v>10620068</v>
      </c>
      <c r="I871" s="1" t="s">
        <v>387</v>
      </c>
      <c r="J871" s="61">
        <v>35</v>
      </c>
      <c r="K871" s="61">
        <v>7.1</v>
      </c>
      <c r="L871" s="61">
        <v>8.6</v>
      </c>
      <c r="M871" s="69">
        <f t="shared" si="198"/>
        <v>2.4849999999999999</v>
      </c>
      <c r="N871" s="69">
        <f t="shared" si="199"/>
        <v>3.01</v>
      </c>
      <c r="O871" s="56">
        <v>58.099299999999992</v>
      </c>
      <c r="P871" s="57">
        <f t="shared" si="200"/>
        <v>2033.4754999999998</v>
      </c>
      <c r="Q871" s="58">
        <f t="shared" si="201"/>
        <v>452.72181818181815</v>
      </c>
      <c r="R871" s="58">
        <f t="shared" si="202"/>
        <v>301.81454545454545</v>
      </c>
      <c r="S871" s="66">
        <f t="shared" si="203"/>
        <v>35.585821250000002</v>
      </c>
      <c r="T871" s="64">
        <f t="shared" si="204"/>
        <v>131.25</v>
      </c>
      <c r="U871" s="66">
        <f t="shared" si="205"/>
        <v>2200.3113212499998</v>
      </c>
      <c r="V871" s="68">
        <f t="shared" si="206"/>
        <v>62.866037749999997</v>
      </c>
      <c r="W871" s="68">
        <f t="shared" si="207"/>
        <v>489.86522922077921</v>
      </c>
      <c r="X871" s="68">
        <f t="shared" si="208"/>
        <v>326.57681948051948</v>
      </c>
      <c r="Z871" s="63"/>
      <c r="AA871" s="63"/>
    </row>
    <row r="872" spans="1:27" hidden="1" x14ac:dyDescent="0.25">
      <c r="A872" t="str">
        <f t="shared" si="196"/>
        <v>10620068C24/05/2026M</v>
      </c>
      <c r="B872" s="169" t="s">
        <v>824</v>
      </c>
      <c r="C872" s="61" t="s">
        <v>396</v>
      </c>
      <c r="D872" s="61" t="s">
        <v>591</v>
      </c>
      <c r="E872" s="61" t="s">
        <v>592</v>
      </c>
      <c r="F872" s="1" t="s">
        <v>372</v>
      </c>
      <c r="G872" s="62" t="str">
        <f t="shared" si="197"/>
        <v>64539</v>
      </c>
      <c r="H872" s="1">
        <v>10620068</v>
      </c>
      <c r="I872" s="1" t="s">
        <v>388</v>
      </c>
      <c r="J872" s="61">
        <v>53</v>
      </c>
      <c r="K872" s="61">
        <v>3.3</v>
      </c>
      <c r="L872" s="61">
        <v>8</v>
      </c>
      <c r="M872" s="69">
        <f t="shared" si="198"/>
        <v>1.7489999999999997</v>
      </c>
      <c r="N872" s="69">
        <f t="shared" si="199"/>
        <v>4.24</v>
      </c>
      <c r="O872" s="56">
        <v>34.189056000000008</v>
      </c>
      <c r="P872" s="57">
        <f t="shared" si="200"/>
        <v>1812.0199680000005</v>
      </c>
      <c r="Q872" s="58">
        <f t="shared" si="201"/>
        <v>396.01223166023169</v>
      </c>
      <c r="R872" s="58">
        <f t="shared" si="202"/>
        <v>264.00815444015444</v>
      </c>
      <c r="S872" s="66">
        <f t="shared" si="203"/>
        <v>31.710349440000012</v>
      </c>
      <c r="T872" s="64">
        <f t="shared" si="204"/>
        <v>198.75</v>
      </c>
      <c r="U872" s="66">
        <f t="shared" si="205"/>
        <v>2042.4803174400006</v>
      </c>
      <c r="V872" s="68">
        <f t="shared" si="206"/>
        <v>38.537364480000008</v>
      </c>
      <c r="W872" s="68">
        <f t="shared" si="207"/>
        <v>446.37873915057918</v>
      </c>
      <c r="X872" s="68">
        <f t="shared" si="208"/>
        <v>297.5858261003861</v>
      </c>
      <c r="Z872" s="63"/>
      <c r="AA872" s="63"/>
    </row>
    <row r="873" spans="1:27" hidden="1" x14ac:dyDescent="0.25">
      <c r="A873" t="str">
        <f t="shared" si="196"/>
        <v>10620068B24/05/2026E</v>
      </c>
      <c r="B873" s="169" t="s">
        <v>824</v>
      </c>
      <c r="C873" s="61" t="s">
        <v>397</v>
      </c>
      <c r="D873" s="61" t="s">
        <v>591</v>
      </c>
      <c r="E873" s="61" t="s">
        <v>592</v>
      </c>
      <c r="F873" s="1" t="s">
        <v>372</v>
      </c>
      <c r="G873" s="62" t="str">
        <f t="shared" si="197"/>
        <v>64539</v>
      </c>
      <c r="H873" s="1">
        <v>10620068</v>
      </c>
      <c r="I873" s="1" t="s">
        <v>387</v>
      </c>
      <c r="J873" s="61">
        <v>31</v>
      </c>
      <c r="K873" s="61">
        <v>6.5</v>
      </c>
      <c r="L873" s="61">
        <v>8.8000000000000007</v>
      </c>
      <c r="M873" s="69">
        <f t="shared" si="198"/>
        <v>2.0150000000000001</v>
      </c>
      <c r="N873" s="69">
        <f t="shared" si="199"/>
        <v>2.7280000000000002</v>
      </c>
      <c r="O873" s="56">
        <v>53.732250000000001</v>
      </c>
      <c r="P873" s="57">
        <f t="shared" si="200"/>
        <v>1665.69975</v>
      </c>
      <c r="Q873" s="58">
        <f t="shared" si="201"/>
        <v>434.49258760107813</v>
      </c>
      <c r="R873" s="58">
        <f t="shared" si="202"/>
        <v>289.66172506738542</v>
      </c>
      <c r="S873" s="66">
        <f t="shared" si="203"/>
        <v>29.149745625000001</v>
      </c>
      <c r="T873" s="64">
        <f t="shared" si="204"/>
        <v>116.25</v>
      </c>
      <c r="U873" s="66">
        <f t="shared" si="205"/>
        <v>1811.0994956249999</v>
      </c>
      <c r="V873" s="68">
        <f t="shared" si="206"/>
        <v>58.422564375</v>
      </c>
      <c r="W873" s="68">
        <f t="shared" si="207"/>
        <v>472.41965801886789</v>
      </c>
      <c r="X873" s="68">
        <f t="shared" si="208"/>
        <v>314.94643867924526</v>
      </c>
      <c r="Z873" s="63"/>
      <c r="AA873" s="63"/>
    </row>
    <row r="874" spans="1:27" hidden="1" x14ac:dyDescent="0.25">
      <c r="A874" t="str">
        <f t="shared" si="196"/>
        <v>10620068C25/05/2026E</v>
      </c>
      <c r="B874" s="169" t="s">
        <v>824</v>
      </c>
      <c r="C874" s="61" t="s">
        <v>397</v>
      </c>
      <c r="D874" s="61" t="s">
        <v>591</v>
      </c>
      <c r="E874" s="61" t="s">
        <v>592</v>
      </c>
      <c r="F874" s="1" t="s">
        <v>372</v>
      </c>
      <c r="G874" s="62" t="str">
        <f t="shared" si="197"/>
        <v>64539</v>
      </c>
      <c r="H874" s="1">
        <v>10620068</v>
      </c>
      <c r="I874" s="1" t="s">
        <v>388</v>
      </c>
      <c r="J874" s="61">
        <v>62</v>
      </c>
      <c r="K874" s="61">
        <v>3</v>
      </c>
      <c r="L874" s="61">
        <v>8</v>
      </c>
      <c r="M874" s="69">
        <f t="shared" si="198"/>
        <v>1.86</v>
      </c>
      <c r="N874" s="69">
        <f t="shared" si="199"/>
        <v>4.96</v>
      </c>
      <c r="O874" s="56">
        <v>33.001056000000005</v>
      </c>
      <c r="P874" s="57">
        <f t="shared" si="200"/>
        <v>2046.0654720000002</v>
      </c>
      <c r="Q874" s="58">
        <f t="shared" si="201"/>
        <v>396.01267200000001</v>
      </c>
      <c r="R874" s="58">
        <f t="shared" si="202"/>
        <v>264.00844799999999</v>
      </c>
      <c r="S874" s="66">
        <f t="shared" si="203"/>
        <v>35.806145760000007</v>
      </c>
      <c r="T874" s="64">
        <f t="shared" si="204"/>
        <v>232.5</v>
      </c>
      <c r="U874" s="66">
        <f t="shared" si="205"/>
        <v>2314.3716177600004</v>
      </c>
      <c r="V874" s="68">
        <f t="shared" si="206"/>
        <v>37.328574480000007</v>
      </c>
      <c r="W874" s="68">
        <f t="shared" si="207"/>
        <v>447.94289376000006</v>
      </c>
      <c r="X874" s="68">
        <f t="shared" si="208"/>
        <v>298.62859584000006</v>
      </c>
      <c r="Z874" s="63"/>
      <c r="AA874" s="63"/>
    </row>
    <row r="875" spans="1:27" hidden="1" x14ac:dyDescent="0.25">
      <c r="A875" t="str">
        <f t="shared" si="196"/>
        <v>10620068B25/05/2026M</v>
      </c>
      <c r="B875" s="169" t="s">
        <v>825</v>
      </c>
      <c r="C875" s="61" t="s">
        <v>396</v>
      </c>
      <c r="D875" s="61" t="s">
        <v>591</v>
      </c>
      <c r="E875" s="61" t="s">
        <v>592</v>
      </c>
      <c r="F875" s="1" t="s">
        <v>372</v>
      </c>
      <c r="G875" s="62" t="str">
        <f t="shared" si="197"/>
        <v>64539</v>
      </c>
      <c r="H875" s="1">
        <v>10620068</v>
      </c>
      <c r="I875" s="1" t="s">
        <v>387</v>
      </c>
      <c r="J875" s="61">
        <v>40</v>
      </c>
      <c r="K875" s="61">
        <v>6.9</v>
      </c>
      <c r="L875" s="61">
        <v>8.8000000000000007</v>
      </c>
      <c r="M875" s="69">
        <f t="shared" si="198"/>
        <v>2.76</v>
      </c>
      <c r="N875" s="69">
        <f t="shared" si="199"/>
        <v>3.52</v>
      </c>
      <c r="O875" s="56">
        <v>57.038850000000004</v>
      </c>
      <c r="P875" s="57">
        <f t="shared" si="200"/>
        <v>2281.5540000000001</v>
      </c>
      <c r="Q875" s="58">
        <f t="shared" si="201"/>
        <v>446.77950391644907</v>
      </c>
      <c r="R875" s="58">
        <f t="shared" si="202"/>
        <v>297.85300261096603</v>
      </c>
      <c r="S875" s="66">
        <f t="shared" si="203"/>
        <v>39.927195000000005</v>
      </c>
      <c r="T875" s="64">
        <f t="shared" si="204"/>
        <v>150</v>
      </c>
      <c r="U875" s="66">
        <f t="shared" si="205"/>
        <v>2471.4811950000003</v>
      </c>
      <c r="V875" s="68">
        <f t="shared" si="206"/>
        <v>61.787029875000009</v>
      </c>
      <c r="W875" s="68">
        <f t="shared" si="207"/>
        <v>483.97151338120108</v>
      </c>
      <c r="X875" s="68">
        <f t="shared" si="208"/>
        <v>322.6476755874674</v>
      </c>
      <c r="Z875" s="63"/>
      <c r="AA875" s="63"/>
    </row>
    <row r="876" spans="1:27" hidden="1" x14ac:dyDescent="0.25">
      <c r="A876" t="str">
        <f t="shared" si="196"/>
        <v>10620068B25/05/2026E</v>
      </c>
      <c r="B876" s="169" t="s">
        <v>825</v>
      </c>
      <c r="C876" s="61" t="s">
        <v>397</v>
      </c>
      <c r="D876" s="61" t="s">
        <v>591</v>
      </c>
      <c r="E876" s="61" t="s">
        <v>592</v>
      </c>
      <c r="F876" s="1" t="s">
        <v>372</v>
      </c>
      <c r="G876" s="62" t="str">
        <f t="shared" si="197"/>
        <v>64539</v>
      </c>
      <c r="H876" s="1">
        <v>10620068</v>
      </c>
      <c r="I876" s="1" t="s">
        <v>387</v>
      </c>
      <c r="J876" s="61">
        <v>28</v>
      </c>
      <c r="K876" s="61">
        <v>5.9</v>
      </c>
      <c r="L876" s="61">
        <v>8.8000000000000007</v>
      </c>
      <c r="M876" s="69">
        <f t="shared" si="198"/>
        <v>1.6520000000000001</v>
      </c>
      <c r="N876" s="69">
        <f t="shared" si="199"/>
        <v>2.4640000000000004</v>
      </c>
      <c r="O876" s="56">
        <v>48.772350000000003</v>
      </c>
      <c r="P876" s="57">
        <f t="shared" si="200"/>
        <v>1365.6258</v>
      </c>
      <c r="Q876" s="58">
        <f t="shared" si="201"/>
        <v>414.49589235127479</v>
      </c>
      <c r="R876" s="58">
        <f t="shared" si="202"/>
        <v>276.33059490084986</v>
      </c>
      <c r="S876" s="66">
        <f t="shared" si="203"/>
        <v>23.898451500000004</v>
      </c>
      <c r="T876" s="64">
        <f t="shared" si="204"/>
        <v>105</v>
      </c>
      <c r="U876" s="66">
        <f t="shared" si="205"/>
        <v>1494.5242515</v>
      </c>
      <c r="V876" s="68">
        <f t="shared" si="206"/>
        <v>53.375866125000002</v>
      </c>
      <c r="W876" s="68">
        <f t="shared" si="207"/>
        <v>453.61925885269125</v>
      </c>
      <c r="X876" s="68">
        <f t="shared" si="208"/>
        <v>302.41283923512748</v>
      </c>
      <c r="Z876" s="63"/>
      <c r="AA876" s="63"/>
    </row>
    <row r="877" spans="1:27" hidden="1" x14ac:dyDescent="0.25">
      <c r="A877" t="str">
        <f t="shared" si="196"/>
        <v>10620068C26/05/2026E</v>
      </c>
      <c r="B877" s="169" t="s">
        <v>825</v>
      </c>
      <c r="C877" s="61" t="s">
        <v>397</v>
      </c>
      <c r="D877" s="61" t="s">
        <v>591</v>
      </c>
      <c r="E877" s="61" t="s">
        <v>592</v>
      </c>
      <c r="F877" s="1" t="s">
        <v>372</v>
      </c>
      <c r="G877" s="62" t="str">
        <f t="shared" si="197"/>
        <v>64539</v>
      </c>
      <c r="H877" s="1">
        <v>10620068</v>
      </c>
      <c r="I877" s="1" t="s">
        <v>388</v>
      </c>
      <c r="J877" s="61">
        <v>41</v>
      </c>
      <c r="K877" s="61">
        <v>3.3</v>
      </c>
      <c r="L877" s="61">
        <v>8.1999999999999993</v>
      </c>
      <c r="M877" s="69">
        <f t="shared" si="198"/>
        <v>1.3529999999999998</v>
      </c>
      <c r="N877" s="69">
        <f t="shared" si="199"/>
        <v>3.3620000000000001</v>
      </c>
      <c r="O877" s="56">
        <v>34.717082400000002</v>
      </c>
      <c r="P877" s="57">
        <f t="shared" si="200"/>
        <v>1423.4003784000001</v>
      </c>
      <c r="Q877" s="58">
        <f t="shared" si="201"/>
        <v>396.01234676806087</v>
      </c>
      <c r="R877" s="58">
        <f t="shared" si="202"/>
        <v>264.00823117870726</v>
      </c>
      <c r="S877" s="66">
        <f t="shared" si="203"/>
        <v>24.909506622000006</v>
      </c>
      <c r="T877" s="64">
        <f t="shared" si="204"/>
        <v>153.75</v>
      </c>
      <c r="U877" s="66">
        <f t="shared" si="205"/>
        <v>1602.0598850220001</v>
      </c>
      <c r="V877" s="68">
        <f t="shared" si="206"/>
        <v>39.074631342000004</v>
      </c>
      <c r="W877" s="68">
        <f t="shared" si="207"/>
        <v>445.71822823574149</v>
      </c>
      <c r="X877" s="68">
        <f t="shared" si="208"/>
        <v>297.14548549049431</v>
      </c>
      <c r="Z877" s="63"/>
      <c r="AA877" s="63"/>
    </row>
    <row r="878" spans="1:27" hidden="1" x14ac:dyDescent="0.25">
      <c r="A878" t="str">
        <f t="shared" si="196"/>
        <v>10620068C26/05/2026M</v>
      </c>
      <c r="B878" s="169" t="s">
        <v>826</v>
      </c>
      <c r="C878" s="61" t="s">
        <v>396</v>
      </c>
      <c r="D878" s="61" t="s">
        <v>591</v>
      </c>
      <c r="E878" s="61" t="s">
        <v>592</v>
      </c>
      <c r="F878" s="1" t="s">
        <v>372</v>
      </c>
      <c r="G878" s="62" t="str">
        <f t="shared" si="197"/>
        <v>64539</v>
      </c>
      <c r="H878" s="1">
        <v>10620068</v>
      </c>
      <c r="I878" s="1" t="s">
        <v>388</v>
      </c>
      <c r="J878" s="61">
        <v>52</v>
      </c>
      <c r="K878" s="61">
        <v>3.6</v>
      </c>
      <c r="L878" s="61">
        <v>8.1999999999999993</v>
      </c>
      <c r="M878" s="69">
        <f t="shared" si="198"/>
        <v>1.8720000000000001</v>
      </c>
      <c r="N878" s="69">
        <f t="shared" si="199"/>
        <v>4.2639999999999993</v>
      </c>
      <c r="O878" s="56">
        <f>INDEX(Rate_Chart!$A$1:$AK$127,MATCH(Data!K878,Rate_Chart!$A$1:$A$127,0),MATCH(Data!L878,Rate_Chart!$A$1:$AK$1,0))</f>
        <v>37.809139800000004</v>
      </c>
      <c r="P878" s="57">
        <f t="shared" si="200"/>
        <v>1966.0752696000002</v>
      </c>
      <c r="Q878" s="58">
        <f t="shared" si="201"/>
        <v>417.01257132352941</v>
      </c>
      <c r="R878" s="58">
        <f t="shared" si="202"/>
        <v>278.00838088235292</v>
      </c>
      <c r="S878" s="66">
        <f t="shared" si="203"/>
        <v>34.406317218000005</v>
      </c>
      <c r="T878" s="64">
        <f t="shared" si="204"/>
        <v>195</v>
      </c>
      <c r="U878" s="66">
        <f t="shared" si="205"/>
        <v>2195.4815868180003</v>
      </c>
      <c r="V878" s="68">
        <f t="shared" si="206"/>
        <v>42.220799746500006</v>
      </c>
      <c r="W878" s="68">
        <f t="shared" si="207"/>
        <v>465.67058543933825</v>
      </c>
      <c r="X878" s="68">
        <f t="shared" si="208"/>
        <v>310.44705695955884</v>
      </c>
      <c r="Z878" s="63"/>
      <c r="AA878" s="63"/>
    </row>
    <row r="879" spans="1:27" hidden="1" x14ac:dyDescent="0.25">
      <c r="A879" t="str">
        <f t="shared" si="196"/>
        <v>10620068B26/05/2026E</v>
      </c>
      <c r="B879" s="169" t="s">
        <v>826</v>
      </c>
      <c r="C879" s="61" t="s">
        <v>397</v>
      </c>
      <c r="D879" s="61" t="s">
        <v>591</v>
      </c>
      <c r="E879" s="61" t="s">
        <v>592</v>
      </c>
      <c r="F879" s="1" t="s">
        <v>372</v>
      </c>
      <c r="G879" s="62" t="str">
        <f t="shared" si="197"/>
        <v>64539</v>
      </c>
      <c r="H879" s="1">
        <v>10620068</v>
      </c>
      <c r="I879" s="1" t="s">
        <v>387</v>
      </c>
      <c r="J879" s="61">
        <v>22</v>
      </c>
      <c r="K879" s="61">
        <v>6.8</v>
      </c>
      <c r="L879" s="61">
        <v>9</v>
      </c>
      <c r="M879" s="69">
        <f t="shared" si="198"/>
        <v>1.496</v>
      </c>
      <c r="N879" s="69">
        <f t="shared" si="199"/>
        <v>1.98</v>
      </c>
      <c r="O879" s="56">
        <f>INDEX(Rate_Chart!$A$1:$AK$127,MATCH(Data!K879,Rate_Chart!$A$1:$A$127,0),MATCH(Data!L879,Rate_Chart!$A$1:$AK$1,0))</f>
        <v>56.78</v>
      </c>
      <c r="P879" s="57">
        <f t="shared" si="200"/>
        <v>1249.1600000000001</v>
      </c>
      <c r="Q879" s="58">
        <f t="shared" si="201"/>
        <v>443.59375</v>
      </c>
      <c r="R879" s="58">
        <f t="shared" si="202"/>
        <v>295.72916666666669</v>
      </c>
      <c r="S879" s="66">
        <f t="shared" si="203"/>
        <v>21.860300000000002</v>
      </c>
      <c r="T879" s="64">
        <f t="shared" si="204"/>
        <v>82.5</v>
      </c>
      <c r="U879" s="66">
        <f t="shared" si="205"/>
        <v>1353.5203000000001</v>
      </c>
      <c r="V879" s="68">
        <f t="shared" si="206"/>
        <v>61.523650000000004</v>
      </c>
      <c r="W879" s="68">
        <f t="shared" si="207"/>
        <v>480.65351562500001</v>
      </c>
      <c r="X879" s="68">
        <f t="shared" si="208"/>
        <v>320.43567708333336</v>
      </c>
      <c r="Z879" s="63"/>
      <c r="AA879" s="63"/>
    </row>
    <row r="880" spans="1:27" hidden="1" x14ac:dyDescent="0.25">
      <c r="A880" t="str">
        <f t="shared" si="196"/>
        <v>10620068C27/05/2026E</v>
      </c>
      <c r="B880" s="169" t="s">
        <v>826</v>
      </c>
      <c r="C880" s="61" t="s">
        <v>397</v>
      </c>
      <c r="D880" s="61" t="s">
        <v>591</v>
      </c>
      <c r="E880" s="61" t="s">
        <v>592</v>
      </c>
      <c r="F880" s="1" t="s">
        <v>372</v>
      </c>
      <c r="G880" s="62" t="str">
        <f t="shared" si="197"/>
        <v>64539</v>
      </c>
      <c r="H880" s="1">
        <v>10620068</v>
      </c>
      <c r="I880" s="1" t="s">
        <v>388</v>
      </c>
      <c r="J880" s="61">
        <v>47</v>
      </c>
      <c r="K880" s="61">
        <v>3.2</v>
      </c>
      <c r="L880" s="61">
        <v>8.1999999999999993</v>
      </c>
      <c r="M880" s="69">
        <f t="shared" si="198"/>
        <v>1.504</v>
      </c>
      <c r="N880" s="69">
        <f t="shared" si="199"/>
        <v>3.8539999999999996</v>
      </c>
      <c r="O880" s="56">
        <f>INDEX(Rate_Chart!$A$1:$AK$127,MATCH(Data!K880,Rate_Chart!$A$1:$A$127,0),MATCH(Data!L880,Rate_Chart!$A$1:$AK$1,0))</f>
        <v>36.141139799999998</v>
      </c>
      <c r="P880" s="57">
        <f t="shared" si="200"/>
        <v>1698.6335706</v>
      </c>
      <c r="Q880" s="58">
        <f t="shared" si="201"/>
        <v>417.0131515384615</v>
      </c>
      <c r="R880" s="58">
        <f t="shared" si="202"/>
        <v>278.00876769230769</v>
      </c>
      <c r="S880" s="66">
        <f t="shared" si="203"/>
        <v>29.726087485500003</v>
      </c>
      <c r="T880" s="64">
        <f t="shared" si="204"/>
        <v>176.25</v>
      </c>
      <c r="U880" s="66">
        <f t="shared" si="205"/>
        <v>1904.6096580855001</v>
      </c>
      <c r="V880" s="68">
        <f t="shared" si="206"/>
        <v>40.5236097465</v>
      </c>
      <c r="W880" s="68">
        <f t="shared" si="207"/>
        <v>467.58011245961535</v>
      </c>
      <c r="X880" s="68">
        <f t="shared" si="208"/>
        <v>311.72007497307692</v>
      </c>
      <c r="Z880" s="63"/>
      <c r="AA880" s="63"/>
    </row>
    <row r="881" spans="1:27" hidden="1" x14ac:dyDescent="0.25">
      <c r="A881" t="str">
        <f t="shared" si="196"/>
        <v>10620068B27/05/2026M</v>
      </c>
      <c r="B881" s="169" t="s">
        <v>827</v>
      </c>
      <c r="C881" s="61" t="s">
        <v>396</v>
      </c>
      <c r="D881" s="61" t="s">
        <v>591</v>
      </c>
      <c r="E881" s="61" t="s">
        <v>592</v>
      </c>
      <c r="F881" s="1" t="s">
        <v>372</v>
      </c>
      <c r="G881" s="62" t="str">
        <f t="shared" si="197"/>
        <v>64539</v>
      </c>
      <c r="H881" s="1">
        <v>10620068</v>
      </c>
      <c r="I881" s="1" t="s">
        <v>387</v>
      </c>
      <c r="J881" s="61">
        <v>40</v>
      </c>
      <c r="K881" s="61">
        <v>7.3</v>
      </c>
      <c r="L881" s="61">
        <v>9</v>
      </c>
      <c r="M881" s="69">
        <f t="shared" si="198"/>
        <v>2.92</v>
      </c>
      <c r="N881" s="69">
        <f t="shared" si="199"/>
        <v>3.6</v>
      </c>
      <c r="O881" s="56">
        <f>INDEX(Rate_Chart!$A$1:$AK$127,MATCH(Data!K881,Rate_Chart!$A$1:$A$127,0),MATCH(Data!L881,Rate_Chart!$A$1:$AK$1,0))</f>
        <v>60.954999999999998</v>
      </c>
      <c r="P881" s="57">
        <f t="shared" si="200"/>
        <v>2438.1999999999998</v>
      </c>
      <c r="Q881" s="58">
        <f t="shared" si="201"/>
        <v>458.30827067669168</v>
      </c>
      <c r="R881" s="58">
        <f t="shared" si="202"/>
        <v>305.53884711779443</v>
      </c>
      <c r="S881" s="66">
        <f t="shared" si="203"/>
        <v>42.668500000000002</v>
      </c>
      <c r="T881" s="64">
        <f t="shared" si="204"/>
        <v>150</v>
      </c>
      <c r="U881" s="66">
        <f t="shared" si="205"/>
        <v>2630.8684999999996</v>
      </c>
      <c r="V881" s="68">
        <f t="shared" si="206"/>
        <v>65.771712499999992</v>
      </c>
      <c r="W881" s="68">
        <f t="shared" si="207"/>
        <v>494.52415413533828</v>
      </c>
      <c r="X881" s="68">
        <f t="shared" si="208"/>
        <v>329.68276942355885</v>
      </c>
      <c r="Z881" s="63"/>
      <c r="AA881" s="63"/>
    </row>
    <row r="882" spans="1:27" hidden="1" x14ac:dyDescent="0.25">
      <c r="A882" t="str">
        <f t="shared" si="196"/>
        <v>10620068C27/05/2026M</v>
      </c>
      <c r="B882" s="169" t="s">
        <v>827</v>
      </c>
      <c r="C882" s="61" t="s">
        <v>396</v>
      </c>
      <c r="D882" s="61" t="s">
        <v>591</v>
      </c>
      <c r="E882" s="61" t="s">
        <v>592</v>
      </c>
      <c r="F882" s="1" t="s">
        <v>372</v>
      </c>
      <c r="G882" s="62" t="str">
        <f t="shared" si="197"/>
        <v>64539</v>
      </c>
      <c r="H882" s="1">
        <v>10620068</v>
      </c>
      <c r="I882" s="1" t="s">
        <v>388</v>
      </c>
      <c r="J882" s="61">
        <v>46</v>
      </c>
      <c r="K882" s="61">
        <v>3.9</v>
      </c>
      <c r="L882" s="61">
        <v>8.1999999999999993</v>
      </c>
      <c r="M882" s="69">
        <f t="shared" si="198"/>
        <v>1.794</v>
      </c>
      <c r="N882" s="69">
        <f t="shared" si="199"/>
        <v>3.7719999999999998</v>
      </c>
      <c r="O882" s="56">
        <f>INDEX(Rate_Chart!$A$1:$AK$127,MATCH(Data!K882,Rate_Chart!$A$1:$A$127,0),MATCH(Data!L882,Rate_Chart!$A$1:$AK$1,0))</f>
        <v>39.060139800000002</v>
      </c>
      <c r="P882" s="57">
        <f t="shared" si="200"/>
        <v>1796.7664308000001</v>
      </c>
      <c r="Q882" s="58">
        <f t="shared" si="201"/>
        <v>417.01216868327407</v>
      </c>
      <c r="R882" s="58">
        <f t="shared" si="202"/>
        <v>278.00811245551603</v>
      </c>
      <c r="S882" s="66">
        <f t="shared" si="203"/>
        <v>31.443412539000004</v>
      </c>
      <c r="T882" s="64">
        <f t="shared" si="204"/>
        <v>172.5</v>
      </c>
      <c r="U882" s="66">
        <f t="shared" si="205"/>
        <v>2000.7098433390001</v>
      </c>
      <c r="V882" s="68">
        <f t="shared" si="206"/>
        <v>43.493692246500004</v>
      </c>
      <c r="W882" s="68">
        <f t="shared" si="207"/>
        <v>464.34546882384348</v>
      </c>
      <c r="X882" s="68">
        <f t="shared" si="208"/>
        <v>309.5636458825623</v>
      </c>
      <c r="Z882" s="63"/>
      <c r="AA882" s="63"/>
    </row>
    <row r="883" spans="1:27" hidden="1" x14ac:dyDescent="0.25">
      <c r="A883" t="str">
        <f t="shared" si="196"/>
        <v>10620068B28/05/2026E</v>
      </c>
      <c r="B883" s="169" t="s">
        <v>827</v>
      </c>
      <c r="C883" s="61" t="s">
        <v>397</v>
      </c>
      <c r="D883" s="61" t="s">
        <v>591</v>
      </c>
      <c r="E883" s="61" t="s">
        <v>592</v>
      </c>
      <c r="F883" s="1" t="s">
        <v>372</v>
      </c>
      <c r="G883" s="62" t="str">
        <f t="shared" si="197"/>
        <v>64539</v>
      </c>
      <c r="H883" s="1">
        <v>10620068</v>
      </c>
      <c r="I883" s="1" t="s">
        <v>387</v>
      </c>
      <c r="J883" s="61">
        <v>12</v>
      </c>
      <c r="K883" s="61">
        <v>6.7</v>
      </c>
      <c r="L883" s="61">
        <v>8.5</v>
      </c>
      <c r="M883" s="69">
        <f t="shared" si="198"/>
        <v>0.80400000000000005</v>
      </c>
      <c r="N883" s="69">
        <f t="shared" si="199"/>
        <v>1.02</v>
      </c>
      <c r="O883" s="56">
        <f>INDEX(Rate_Chart!$A$1:$AK$127,MATCH(Data!K883,Rate_Chart!$A$1:$A$127,0),MATCH(Data!L883,Rate_Chart!$A$1:$AK$1,0))</f>
        <v>54.266649999999998</v>
      </c>
      <c r="P883" s="57">
        <f t="shared" si="200"/>
        <v>651.19979999999998</v>
      </c>
      <c r="Q883" s="58">
        <f t="shared" si="201"/>
        <v>438.81388140161721</v>
      </c>
      <c r="R883" s="58">
        <f t="shared" si="202"/>
        <v>292.54258760107814</v>
      </c>
      <c r="S883" s="66">
        <f t="shared" si="203"/>
        <v>11.395996500000001</v>
      </c>
      <c r="T883" s="64">
        <f t="shared" si="204"/>
        <v>45</v>
      </c>
      <c r="U883" s="66">
        <f t="shared" si="205"/>
        <v>707.59579650000001</v>
      </c>
      <c r="V883" s="68">
        <f t="shared" si="206"/>
        <v>58.966316374999998</v>
      </c>
      <c r="W883" s="68">
        <f t="shared" si="207"/>
        <v>476.8165744609164</v>
      </c>
      <c r="X883" s="68">
        <f t="shared" si="208"/>
        <v>317.87771630727758</v>
      </c>
      <c r="Z883" s="63"/>
      <c r="AA883" s="63"/>
    </row>
    <row r="884" spans="1:27" hidden="1" x14ac:dyDescent="0.25">
      <c r="A884" t="str">
        <f t="shared" si="196"/>
        <v>10620068B28/05/2026M</v>
      </c>
      <c r="B884" s="169" t="s">
        <v>828</v>
      </c>
      <c r="C884" s="61" t="s">
        <v>396</v>
      </c>
      <c r="D884" s="61" t="s">
        <v>591</v>
      </c>
      <c r="E884" s="61" t="s">
        <v>592</v>
      </c>
      <c r="F884" s="1" t="s">
        <v>372</v>
      </c>
      <c r="G884" s="62" t="str">
        <f t="shared" si="197"/>
        <v>64539</v>
      </c>
      <c r="H884" s="1">
        <v>10620068</v>
      </c>
      <c r="I884" s="1" t="s">
        <v>387</v>
      </c>
      <c r="J884" s="61">
        <v>8</v>
      </c>
      <c r="K884" s="61">
        <v>5.6</v>
      </c>
      <c r="L884" s="61">
        <v>8.4</v>
      </c>
      <c r="M884" s="69">
        <f t="shared" si="198"/>
        <v>0.44799999999999995</v>
      </c>
      <c r="N884" s="69">
        <f t="shared" si="199"/>
        <v>0.67200000000000004</v>
      </c>
      <c r="O884" s="56">
        <f>INDEX(Rate_Chart!$A$1:$AK$127,MATCH(Data!K884,Rate_Chart!$A$1:$A$127,0),MATCH(Data!L884,Rate_Chart!$A$1:$AK$1,0))</f>
        <v>45.357199999999999</v>
      </c>
      <c r="P884" s="57">
        <f t="shared" si="200"/>
        <v>362.85759999999999</v>
      </c>
      <c r="Q884" s="58">
        <f t="shared" si="201"/>
        <v>404.97500000000002</v>
      </c>
      <c r="R884" s="58">
        <f t="shared" si="202"/>
        <v>269.98333333333335</v>
      </c>
      <c r="S884" s="66">
        <f t="shared" si="203"/>
        <v>6.3500080000000008</v>
      </c>
      <c r="T884" s="64">
        <f t="shared" si="204"/>
        <v>30</v>
      </c>
      <c r="U884" s="66">
        <f t="shared" si="205"/>
        <v>399.20760799999999</v>
      </c>
      <c r="V884" s="68">
        <f t="shared" si="206"/>
        <v>49.900950999999999</v>
      </c>
      <c r="W884" s="68">
        <f t="shared" si="207"/>
        <v>445.54420535714291</v>
      </c>
      <c r="X884" s="68">
        <f t="shared" si="208"/>
        <v>297.02947023809526</v>
      </c>
      <c r="Z884" s="63"/>
      <c r="AA884" s="63"/>
    </row>
    <row r="885" spans="1:27" hidden="1" x14ac:dyDescent="0.25">
      <c r="A885" t="str">
        <f t="shared" si="196"/>
        <v>10620068B28/05/2026E</v>
      </c>
      <c r="B885" s="169" t="s">
        <v>828</v>
      </c>
      <c r="C885" s="61" t="s">
        <v>397</v>
      </c>
      <c r="D885" s="61" t="s">
        <v>591</v>
      </c>
      <c r="E885" s="61" t="s">
        <v>592</v>
      </c>
      <c r="F885" s="1" t="s">
        <v>372</v>
      </c>
      <c r="G885" s="62" t="str">
        <f t="shared" si="197"/>
        <v>64539</v>
      </c>
      <c r="H885" s="1">
        <v>10620068</v>
      </c>
      <c r="I885" s="1" t="s">
        <v>387</v>
      </c>
      <c r="J885" s="61">
        <v>40</v>
      </c>
      <c r="K885" s="61">
        <v>6</v>
      </c>
      <c r="L885" s="61">
        <v>9</v>
      </c>
      <c r="M885" s="69">
        <f t="shared" si="198"/>
        <v>2.4</v>
      </c>
      <c r="N885" s="69">
        <f t="shared" si="199"/>
        <v>3.6</v>
      </c>
      <c r="O885" s="56">
        <f>INDEX(Rate_Chart!$A$1:$AK$127,MATCH(Data!K885,Rate_Chart!$A$1:$A$127,0),MATCH(Data!L885,Rate_Chart!$A$1:$AK$1,0))</f>
        <v>50.1</v>
      </c>
      <c r="P885" s="57">
        <f t="shared" si="200"/>
        <v>2004</v>
      </c>
      <c r="Q885" s="58">
        <f t="shared" si="201"/>
        <v>417.5</v>
      </c>
      <c r="R885" s="58">
        <f t="shared" si="202"/>
        <v>278.33333333333331</v>
      </c>
      <c r="S885" s="66">
        <f t="shared" si="203"/>
        <v>35.07</v>
      </c>
      <c r="T885" s="64">
        <f t="shared" si="204"/>
        <v>150</v>
      </c>
      <c r="U885" s="66">
        <f t="shared" si="205"/>
        <v>2189.0700000000002</v>
      </c>
      <c r="V885" s="68">
        <f t="shared" si="206"/>
        <v>54.726750000000003</v>
      </c>
      <c r="W885" s="68">
        <f t="shared" si="207"/>
        <v>456.05625000000003</v>
      </c>
      <c r="X885" s="68">
        <f t="shared" si="208"/>
        <v>304.03750000000002</v>
      </c>
      <c r="Z885" s="63"/>
      <c r="AA885" s="63"/>
    </row>
    <row r="886" spans="1:27" hidden="1" x14ac:dyDescent="0.25">
      <c r="A886" t="str">
        <f t="shared" si="196"/>
        <v>10620068C22/05/2026E</v>
      </c>
      <c r="B886" s="169" t="s">
        <v>828</v>
      </c>
      <c r="C886" s="61" t="s">
        <v>397</v>
      </c>
      <c r="D886" s="61" t="s">
        <v>591</v>
      </c>
      <c r="E886" s="61" t="s">
        <v>592</v>
      </c>
      <c r="F886" s="1" t="s">
        <v>372</v>
      </c>
      <c r="G886" s="62" t="str">
        <f t="shared" si="197"/>
        <v>64539</v>
      </c>
      <c r="H886" s="1">
        <v>10620068</v>
      </c>
      <c r="I886" s="1" t="s">
        <v>388</v>
      </c>
      <c r="J886" s="61">
        <v>40</v>
      </c>
      <c r="K886" s="61">
        <v>3</v>
      </c>
      <c r="L886" s="61">
        <v>8</v>
      </c>
      <c r="M886" s="69">
        <f t="shared" si="198"/>
        <v>1.2</v>
      </c>
      <c r="N886" s="69">
        <f t="shared" si="199"/>
        <v>3.2</v>
      </c>
      <c r="O886" s="56">
        <f>INDEX(Rate_Chart!$A$1:$AK$127,MATCH(Data!K886,Rate_Chart!$A$1:$A$127,0),MATCH(Data!L886,Rate_Chart!$A$1:$AK$1,0))</f>
        <v>34.751112000000006</v>
      </c>
      <c r="P886" s="57">
        <f t="shared" si="200"/>
        <v>1390.0444800000002</v>
      </c>
      <c r="Q886" s="58">
        <f t="shared" si="201"/>
        <v>417.01334400000002</v>
      </c>
      <c r="R886" s="58">
        <f t="shared" si="202"/>
        <v>278.00889599999999</v>
      </c>
      <c r="S886" s="66">
        <f t="shared" si="203"/>
        <v>24.325778400000008</v>
      </c>
      <c r="T886" s="64">
        <f t="shared" si="204"/>
        <v>150</v>
      </c>
      <c r="U886" s="66">
        <f t="shared" si="205"/>
        <v>1564.3702584000002</v>
      </c>
      <c r="V886" s="68">
        <f t="shared" si="206"/>
        <v>39.109256460000005</v>
      </c>
      <c r="W886" s="68">
        <f t="shared" si="207"/>
        <v>469.31107752000003</v>
      </c>
      <c r="X886" s="68">
        <f t="shared" si="208"/>
        <v>312.87405168000004</v>
      </c>
      <c r="Z886" s="63"/>
      <c r="AA886" s="63"/>
    </row>
    <row r="887" spans="1:27" hidden="1" x14ac:dyDescent="0.25">
      <c r="A887" t="str">
        <f t="shared" si="196"/>
        <v>10620058C22/05/2026M</v>
      </c>
      <c r="B887" s="169" t="s">
        <v>822</v>
      </c>
      <c r="C887" s="61" t="s">
        <v>396</v>
      </c>
      <c r="D887" s="61" t="s">
        <v>591</v>
      </c>
      <c r="E887" s="61" t="s">
        <v>595</v>
      </c>
      <c r="F887" s="1" t="s">
        <v>373</v>
      </c>
      <c r="G887" s="62" t="str">
        <f t="shared" si="197"/>
        <v>64541</v>
      </c>
      <c r="H887" s="1">
        <v>10620058</v>
      </c>
      <c r="I887" s="1" t="s">
        <v>388</v>
      </c>
      <c r="J887" s="61">
        <v>15</v>
      </c>
      <c r="K887" s="61">
        <v>3.8</v>
      </c>
      <c r="L887" s="61">
        <v>8.1</v>
      </c>
      <c r="M887" s="69">
        <f t="shared" si="198"/>
        <v>0.56999999999999995</v>
      </c>
      <c r="N887" s="69">
        <f t="shared" si="199"/>
        <v>1.2150000000000001</v>
      </c>
      <c r="O887" s="56">
        <v>36.433069200000006</v>
      </c>
      <c r="P887" s="57">
        <f t="shared" si="200"/>
        <v>546.49603800000011</v>
      </c>
      <c r="Q887" s="58">
        <f t="shared" si="201"/>
        <v>396.01162173913048</v>
      </c>
      <c r="R887" s="58">
        <f t="shared" si="202"/>
        <v>264.00774782608698</v>
      </c>
      <c r="S887" s="66">
        <f t="shared" si="203"/>
        <v>9.5636806650000032</v>
      </c>
      <c r="T887" s="64">
        <f t="shared" si="204"/>
        <v>56.25</v>
      </c>
      <c r="U887" s="66">
        <f t="shared" si="205"/>
        <v>612.3097186650001</v>
      </c>
      <c r="V887" s="68">
        <f t="shared" si="206"/>
        <v>40.820647911000009</v>
      </c>
      <c r="W887" s="68">
        <f t="shared" si="207"/>
        <v>443.70269468478273</v>
      </c>
      <c r="X887" s="68">
        <f t="shared" si="208"/>
        <v>295.8017964565218</v>
      </c>
      <c r="Z887" s="63"/>
      <c r="AA887" s="63"/>
    </row>
    <row r="888" spans="1:27" hidden="1" x14ac:dyDescent="0.25">
      <c r="A888" t="str">
        <f t="shared" si="196"/>
        <v>10620058B22/05/2026E</v>
      </c>
      <c r="B888" s="169" t="s">
        <v>822</v>
      </c>
      <c r="C888" s="61" t="s">
        <v>397</v>
      </c>
      <c r="D888" s="61" t="s">
        <v>591</v>
      </c>
      <c r="E888" s="61" t="s">
        <v>595</v>
      </c>
      <c r="F888" s="1" t="s">
        <v>373</v>
      </c>
      <c r="G888" s="62" t="str">
        <f t="shared" si="197"/>
        <v>64541</v>
      </c>
      <c r="H888" s="1">
        <v>10620058</v>
      </c>
      <c r="I888" s="1" t="s">
        <v>387</v>
      </c>
      <c r="J888" s="61">
        <v>4</v>
      </c>
      <c r="K888" s="61">
        <v>8</v>
      </c>
      <c r="L888" s="61">
        <v>9</v>
      </c>
      <c r="M888" s="69">
        <f t="shared" si="198"/>
        <v>0.32</v>
      </c>
      <c r="N888" s="69">
        <f t="shared" si="199"/>
        <v>0.36</v>
      </c>
      <c r="O888" s="56">
        <v>66.8</v>
      </c>
      <c r="P888" s="57">
        <f t="shared" si="200"/>
        <v>267.2</v>
      </c>
      <c r="Q888" s="58">
        <f t="shared" si="201"/>
        <v>477.14285714285705</v>
      </c>
      <c r="R888" s="58">
        <f t="shared" si="202"/>
        <v>318.09523809523802</v>
      </c>
      <c r="S888" s="66">
        <f t="shared" si="203"/>
        <v>4.6760000000000002</v>
      </c>
      <c r="T888" s="64">
        <f t="shared" si="204"/>
        <v>15</v>
      </c>
      <c r="U888" s="66">
        <f t="shared" si="205"/>
        <v>286.87599999999998</v>
      </c>
      <c r="V888" s="68">
        <f t="shared" si="206"/>
        <v>71.718999999999994</v>
      </c>
      <c r="W888" s="68">
        <f t="shared" si="207"/>
        <v>512.27857142857135</v>
      </c>
      <c r="X888" s="68">
        <f t="shared" si="208"/>
        <v>341.51904761904757</v>
      </c>
      <c r="Z888" s="63"/>
      <c r="AA888" s="63"/>
    </row>
    <row r="889" spans="1:27" hidden="1" x14ac:dyDescent="0.25">
      <c r="A889" t="str">
        <f t="shared" si="196"/>
        <v>10620058C23/05/2026E</v>
      </c>
      <c r="B889" s="169" t="s">
        <v>822</v>
      </c>
      <c r="C889" s="61" t="s">
        <v>397</v>
      </c>
      <c r="D889" s="61" t="s">
        <v>591</v>
      </c>
      <c r="E889" s="61" t="s">
        <v>595</v>
      </c>
      <c r="F889" s="1" t="s">
        <v>373</v>
      </c>
      <c r="G889" s="62" t="str">
        <f t="shared" si="197"/>
        <v>64541</v>
      </c>
      <c r="H889" s="1">
        <v>10620058</v>
      </c>
      <c r="I889" s="1" t="s">
        <v>388</v>
      </c>
      <c r="J889" s="61">
        <v>12</v>
      </c>
      <c r="K889" s="61">
        <v>3.1</v>
      </c>
      <c r="L889" s="61">
        <v>8</v>
      </c>
      <c r="M889" s="69">
        <f t="shared" si="198"/>
        <v>0.37200000000000005</v>
      </c>
      <c r="N889" s="69">
        <f t="shared" si="199"/>
        <v>0.96</v>
      </c>
      <c r="O889" s="56">
        <v>33.397056000000006</v>
      </c>
      <c r="P889" s="57">
        <f t="shared" si="200"/>
        <v>400.76467200000008</v>
      </c>
      <c r="Q889" s="58">
        <f t="shared" si="201"/>
        <v>396.01252173913048</v>
      </c>
      <c r="R889" s="58">
        <f t="shared" si="202"/>
        <v>264.008347826087</v>
      </c>
      <c r="S889" s="66">
        <f t="shared" si="203"/>
        <v>7.0133817600000024</v>
      </c>
      <c r="T889" s="64">
        <f t="shared" si="204"/>
        <v>45</v>
      </c>
      <c r="U889" s="66">
        <f t="shared" si="205"/>
        <v>452.77805376000009</v>
      </c>
      <c r="V889" s="68">
        <f t="shared" si="206"/>
        <v>37.731504480000005</v>
      </c>
      <c r="W889" s="68">
        <f t="shared" si="207"/>
        <v>447.40914403162054</v>
      </c>
      <c r="X889" s="68">
        <f t="shared" si="208"/>
        <v>298.27276268774705</v>
      </c>
      <c r="Z889" s="63"/>
      <c r="AA889" s="63"/>
    </row>
    <row r="890" spans="1:27" hidden="1" x14ac:dyDescent="0.25">
      <c r="A890" t="str">
        <f t="shared" si="196"/>
        <v>10620058C23/05/2026M</v>
      </c>
      <c r="B890" s="169" t="s">
        <v>823</v>
      </c>
      <c r="C890" s="61" t="s">
        <v>396</v>
      </c>
      <c r="D890" s="61" t="s">
        <v>591</v>
      </c>
      <c r="E890" s="61" t="s">
        <v>595</v>
      </c>
      <c r="F890" s="1" t="s">
        <v>373</v>
      </c>
      <c r="G890" s="62" t="str">
        <f t="shared" si="197"/>
        <v>64541</v>
      </c>
      <c r="H890" s="1">
        <v>10620058</v>
      </c>
      <c r="I890" s="1" t="s">
        <v>388</v>
      </c>
      <c r="J890" s="61">
        <v>20</v>
      </c>
      <c r="K890" s="61">
        <v>3.7</v>
      </c>
      <c r="L890" s="61">
        <v>8</v>
      </c>
      <c r="M890" s="69">
        <f t="shared" si="198"/>
        <v>0.74</v>
      </c>
      <c r="N890" s="69">
        <f t="shared" si="199"/>
        <v>1.6</v>
      </c>
      <c r="O890" s="56">
        <v>35.773056000000004</v>
      </c>
      <c r="P890" s="57">
        <f t="shared" si="200"/>
        <v>715.46112000000005</v>
      </c>
      <c r="Q890" s="58">
        <f t="shared" si="201"/>
        <v>396.01169003690035</v>
      </c>
      <c r="R890" s="58">
        <f t="shared" si="202"/>
        <v>264.00779335793356</v>
      </c>
      <c r="S890" s="66">
        <f t="shared" si="203"/>
        <v>12.520569600000002</v>
      </c>
      <c r="T890" s="64">
        <f t="shared" si="204"/>
        <v>75</v>
      </c>
      <c r="U890" s="66">
        <f t="shared" si="205"/>
        <v>802.9816896000001</v>
      </c>
      <c r="V890" s="68">
        <f t="shared" si="206"/>
        <v>40.149084480000006</v>
      </c>
      <c r="W890" s="68">
        <f t="shared" si="207"/>
        <v>444.45480974169743</v>
      </c>
      <c r="X890" s="68">
        <f t="shared" si="208"/>
        <v>296.30320649446497</v>
      </c>
      <c r="Z890" s="63"/>
      <c r="AA890" s="63"/>
    </row>
    <row r="891" spans="1:27" hidden="1" x14ac:dyDescent="0.25">
      <c r="A891" t="str">
        <f t="shared" si="196"/>
        <v>10620058B23/05/2026E</v>
      </c>
      <c r="B891" s="169" t="s">
        <v>823</v>
      </c>
      <c r="C891" s="61" t="s">
        <v>397</v>
      </c>
      <c r="D891" s="61" t="s">
        <v>591</v>
      </c>
      <c r="E891" s="61" t="s">
        <v>595</v>
      </c>
      <c r="F891" s="1" t="s">
        <v>373</v>
      </c>
      <c r="G891" s="62" t="str">
        <f t="shared" si="197"/>
        <v>64541</v>
      </c>
      <c r="H891" s="1">
        <v>10620058</v>
      </c>
      <c r="I891" s="1" t="s">
        <v>387</v>
      </c>
      <c r="J891" s="61">
        <v>7</v>
      </c>
      <c r="K891" s="61">
        <v>6.8</v>
      </c>
      <c r="L891" s="61">
        <v>8.8000000000000007</v>
      </c>
      <c r="M891" s="69">
        <f t="shared" si="198"/>
        <v>0.47600000000000003</v>
      </c>
      <c r="N891" s="69">
        <f t="shared" si="199"/>
        <v>0.6160000000000001</v>
      </c>
      <c r="O891" s="56">
        <v>56.212200000000003</v>
      </c>
      <c r="P891" s="57">
        <f t="shared" si="200"/>
        <v>393.48540000000003</v>
      </c>
      <c r="Q891" s="58">
        <f t="shared" si="201"/>
        <v>443.78052631578947</v>
      </c>
      <c r="R891" s="58">
        <f t="shared" si="202"/>
        <v>295.8536842105263</v>
      </c>
      <c r="S891" s="66">
        <f t="shared" si="203"/>
        <v>6.8859945000000007</v>
      </c>
      <c r="T891" s="64">
        <f t="shared" si="204"/>
        <v>26.25</v>
      </c>
      <c r="U891" s="66">
        <f t="shared" si="205"/>
        <v>426.62139450000001</v>
      </c>
      <c r="V891" s="68">
        <f t="shared" si="206"/>
        <v>60.945913500000003</v>
      </c>
      <c r="W891" s="68">
        <f t="shared" si="207"/>
        <v>481.15194868421054</v>
      </c>
      <c r="X891" s="68">
        <f t="shared" si="208"/>
        <v>320.76796578947369</v>
      </c>
      <c r="Z891" s="63"/>
      <c r="AA891" s="63"/>
    </row>
    <row r="892" spans="1:27" hidden="1" x14ac:dyDescent="0.25">
      <c r="A892" t="str">
        <f t="shared" si="196"/>
        <v>10620058C24/05/2026E</v>
      </c>
      <c r="B892" s="169" t="s">
        <v>823</v>
      </c>
      <c r="C892" s="61" t="s">
        <v>397</v>
      </c>
      <c r="D892" s="61" t="s">
        <v>591</v>
      </c>
      <c r="E892" s="61" t="s">
        <v>595</v>
      </c>
      <c r="F892" s="1" t="s">
        <v>373</v>
      </c>
      <c r="G892" s="62" t="str">
        <f t="shared" si="197"/>
        <v>64541</v>
      </c>
      <c r="H892" s="1">
        <v>10620058</v>
      </c>
      <c r="I892" s="1" t="s">
        <v>388</v>
      </c>
      <c r="J892" s="61">
        <v>10</v>
      </c>
      <c r="K892" s="61">
        <v>3.3</v>
      </c>
      <c r="L892" s="61">
        <v>8</v>
      </c>
      <c r="M892" s="69">
        <f t="shared" si="198"/>
        <v>0.33</v>
      </c>
      <c r="N892" s="69">
        <f t="shared" si="199"/>
        <v>0.8</v>
      </c>
      <c r="O892" s="56">
        <v>34.189056000000008</v>
      </c>
      <c r="P892" s="57">
        <f t="shared" si="200"/>
        <v>341.89056000000005</v>
      </c>
      <c r="Q892" s="58">
        <f t="shared" si="201"/>
        <v>396.01223166023169</v>
      </c>
      <c r="R892" s="58">
        <f t="shared" si="202"/>
        <v>264.00815444015444</v>
      </c>
      <c r="S892" s="66">
        <f t="shared" si="203"/>
        <v>5.9830848000000012</v>
      </c>
      <c r="T892" s="64">
        <f t="shared" si="204"/>
        <v>37.5</v>
      </c>
      <c r="U892" s="66">
        <f t="shared" si="205"/>
        <v>385.37364480000008</v>
      </c>
      <c r="V892" s="68">
        <f t="shared" si="206"/>
        <v>38.537364480000008</v>
      </c>
      <c r="W892" s="68">
        <f t="shared" si="207"/>
        <v>446.37873915057918</v>
      </c>
      <c r="X892" s="68">
        <f t="shared" si="208"/>
        <v>297.5858261003861</v>
      </c>
      <c r="Z892" s="63"/>
      <c r="AA892" s="63"/>
    </row>
    <row r="893" spans="1:27" hidden="1" x14ac:dyDescent="0.25">
      <c r="A893" t="str">
        <f t="shared" si="196"/>
        <v>10620058C24/05/2026M</v>
      </c>
      <c r="B893" s="169" t="s">
        <v>824</v>
      </c>
      <c r="C893" s="61" t="s">
        <v>396</v>
      </c>
      <c r="D893" s="61" t="s">
        <v>591</v>
      </c>
      <c r="E893" s="61" t="s">
        <v>595</v>
      </c>
      <c r="F893" s="1" t="s">
        <v>373</v>
      </c>
      <c r="G893" s="62" t="str">
        <f t="shared" si="197"/>
        <v>64541</v>
      </c>
      <c r="H893" s="1">
        <v>10620058</v>
      </c>
      <c r="I893" s="1" t="s">
        <v>388</v>
      </c>
      <c r="J893" s="61">
        <v>18</v>
      </c>
      <c r="K893" s="61">
        <v>3.4</v>
      </c>
      <c r="L893" s="61">
        <v>8</v>
      </c>
      <c r="M893" s="69">
        <f t="shared" si="198"/>
        <v>0.61199999999999999</v>
      </c>
      <c r="N893" s="69">
        <f t="shared" si="199"/>
        <v>1.44</v>
      </c>
      <c r="O893" s="56">
        <v>34.585056000000002</v>
      </c>
      <c r="P893" s="57">
        <f t="shared" si="200"/>
        <v>622.53100800000004</v>
      </c>
      <c r="Q893" s="58">
        <f t="shared" si="201"/>
        <v>396.01209160305342</v>
      </c>
      <c r="R893" s="58">
        <f t="shared" si="202"/>
        <v>264.00806106870226</v>
      </c>
      <c r="S893" s="66">
        <f t="shared" si="203"/>
        <v>10.894292640000002</v>
      </c>
      <c r="T893" s="64">
        <f t="shared" si="204"/>
        <v>67.5</v>
      </c>
      <c r="U893" s="66">
        <f t="shared" si="205"/>
        <v>700.92530064000005</v>
      </c>
      <c r="V893" s="68">
        <f t="shared" si="206"/>
        <v>38.940294480000006</v>
      </c>
      <c r="W893" s="68">
        <f t="shared" si="207"/>
        <v>445.88123450381681</v>
      </c>
      <c r="X893" s="68">
        <f t="shared" si="208"/>
        <v>297.25415633587789</v>
      </c>
      <c r="Z893" s="63"/>
      <c r="AA893" s="63"/>
    </row>
    <row r="894" spans="1:27" hidden="1" x14ac:dyDescent="0.25">
      <c r="A894" t="str">
        <f t="shared" si="196"/>
        <v>10620058B24/05/2026E</v>
      </c>
      <c r="B894" s="169" t="s">
        <v>824</v>
      </c>
      <c r="C894" s="61" t="s">
        <v>397</v>
      </c>
      <c r="D894" s="61" t="s">
        <v>591</v>
      </c>
      <c r="E894" s="61" t="s">
        <v>595</v>
      </c>
      <c r="F894" s="1" t="s">
        <v>373</v>
      </c>
      <c r="G894" s="62" t="str">
        <f t="shared" si="197"/>
        <v>64541</v>
      </c>
      <c r="H894" s="1">
        <v>10620058</v>
      </c>
      <c r="I894" s="1" t="s">
        <v>387</v>
      </c>
      <c r="J894" s="61">
        <v>4</v>
      </c>
      <c r="K894" s="61">
        <v>6.7</v>
      </c>
      <c r="L894" s="61">
        <v>8.8000000000000007</v>
      </c>
      <c r="M894" s="69">
        <f t="shared" si="198"/>
        <v>0.26800000000000002</v>
      </c>
      <c r="N894" s="69">
        <f t="shared" si="199"/>
        <v>0.35200000000000004</v>
      </c>
      <c r="O894" s="56">
        <v>55.385550000000002</v>
      </c>
      <c r="P894" s="57">
        <f t="shared" si="200"/>
        <v>221.54220000000001</v>
      </c>
      <c r="Q894" s="58">
        <f t="shared" si="201"/>
        <v>440.73381962864721</v>
      </c>
      <c r="R894" s="58">
        <f t="shared" si="202"/>
        <v>293.82254641909816</v>
      </c>
      <c r="S894" s="66">
        <f t="shared" si="203"/>
        <v>3.8769885000000004</v>
      </c>
      <c r="T894" s="64">
        <f t="shared" si="204"/>
        <v>15</v>
      </c>
      <c r="U894" s="66">
        <f t="shared" si="205"/>
        <v>240.41918850000002</v>
      </c>
      <c r="V894" s="68">
        <f t="shared" si="206"/>
        <v>60.104797125000005</v>
      </c>
      <c r="W894" s="68">
        <f t="shared" si="207"/>
        <v>478.28751027851456</v>
      </c>
      <c r="X894" s="68">
        <f t="shared" si="208"/>
        <v>318.85834018567635</v>
      </c>
      <c r="Z894" s="63"/>
      <c r="AA894" s="63"/>
    </row>
    <row r="895" spans="1:27" hidden="1" x14ac:dyDescent="0.25">
      <c r="A895" t="str">
        <f t="shared" si="196"/>
        <v>10620058C25/05/2026E</v>
      </c>
      <c r="B895" s="169" t="s">
        <v>824</v>
      </c>
      <c r="C895" s="61" t="s">
        <v>397</v>
      </c>
      <c r="D895" s="61" t="s">
        <v>591</v>
      </c>
      <c r="E895" s="61" t="s">
        <v>595</v>
      </c>
      <c r="F895" s="1" t="s">
        <v>373</v>
      </c>
      <c r="G895" s="62" t="str">
        <f t="shared" si="197"/>
        <v>64541</v>
      </c>
      <c r="H895" s="1">
        <v>10620058</v>
      </c>
      <c r="I895" s="1" t="s">
        <v>388</v>
      </c>
      <c r="J895" s="61">
        <v>10</v>
      </c>
      <c r="K895" s="61">
        <v>3</v>
      </c>
      <c r="L895" s="61">
        <v>8</v>
      </c>
      <c r="M895" s="69">
        <f t="shared" si="198"/>
        <v>0.3</v>
      </c>
      <c r="N895" s="69">
        <f t="shared" si="199"/>
        <v>0.8</v>
      </c>
      <c r="O895" s="56">
        <v>33.001056000000005</v>
      </c>
      <c r="P895" s="57">
        <f t="shared" si="200"/>
        <v>330.01056000000005</v>
      </c>
      <c r="Q895" s="58">
        <f t="shared" si="201"/>
        <v>396.01267200000001</v>
      </c>
      <c r="R895" s="58">
        <f t="shared" si="202"/>
        <v>264.00844799999999</v>
      </c>
      <c r="S895" s="66">
        <f t="shared" si="203"/>
        <v>5.7751848000000017</v>
      </c>
      <c r="T895" s="64">
        <f t="shared" si="204"/>
        <v>37.5</v>
      </c>
      <c r="U895" s="66">
        <f t="shared" si="205"/>
        <v>373.28574480000009</v>
      </c>
      <c r="V895" s="68">
        <f t="shared" si="206"/>
        <v>37.328574480000007</v>
      </c>
      <c r="W895" s="68">
        <f t="shared" si="207"/>
        <v>447.94289376000006</v>
      </c>
      <c r="X895" s="68">
        <f t="shared" si="208"/>
        <v>298.62859584000006</v>
      </c>
      <c r="Z895" s="63"/>
      <c r="AA895" s="63"/>
    </row>
    <row r="896" spans="1:27" hidden="1" x14ac:dyDescent="0.25">
      <c r="A896" t="str">
        <f t="shared" si="196"/>
        <v>10620058C25/05/2026M</v>
      </c>
      <c r="B896" s="169" t="s">
        <v>825</v>
      </c>
      <c r="C896" s="61" t="s">
        <v>396</v>
      </c>
      <c r="D896" s="61" t="s">
        <v>591</v>
      </c>
      <c r="E896" s="61" t="s">
        <v>595</v>
      </c>
      <c r="F896" s="1" t="s">
        <v>373</v>
      </c>
      <c r="G896" s="62" t="str">
        <f t="shared" si="197"/>
        <v>64541</v>
      </c>
      <c r="H896" s="1">
        <v>10620058</v>
      </c>
      <c r="I896" s="1" t="s">
        <v>388</v>
      </c>
      <c r="J896" s="61">
        <v>17</v>
      </c>
      <c r="K896" s="61">
        <v>3.2</v>
      </c>
      <c r="L896" s="61">
        <v>8</v>
      </c>
      <c r="M896" s="69">
        <f t="shared" si="198"/>
        <v>0.54400000000000004</v>
      </c>
      <c r="N896" s="69">
        <f t="shared" si="199"/>
        <v>1.36</v>
      </c>
      <c r="O896" s="56">
        <v>33.793056000000007</v>
      </c>
      <c r="P896" s="57">
        <f t="shared" si="200"/>
        <v>574.48195200000009</v>
      </c>
      <c r="Q896" s="58">
        <f t="shared" si="201"/>
        <v>396.01237500000002</v>
      </c>
      <c r="R896" s="58">
        <f t="shared" si="202"/>
        <v>264.00825000000003</v>
      </c>
      <c r="S896" s="66">
        <f t="shared" si="203"/>
        <v>10.053434160000002</v>
      </c>
      <c r="T896" s="64">
        <f t="shared" si="204"/>
        <v>63.75</v>
      </c>
      <c r="U896" s="66">
        <f t="shared" si="205"/>
        <v>648.28538616000014</v>
      </c>
      <c r="V896" s="68">
        <f t="shared" si="206"/>
        <v>38.13443448000001</v>
      </c>
      <c r="W896" s="68">
        <f t="shared" si="207"/>
        <v>446.88790406250007</v>
      </c>
      <c r="X896" s="68">
        <f t="shared" si="208"/>
        <v>297.92526937500003</v>
      </c>
      <c r="Z896" s="63"/>
      <c r="AA896" s="63"/>
    </row>
    <row r="897" spans="1:27" hidden="1" x14ac:dyDescent="0.25">
      <c r="A897" t="str">
        <f t="shared" si="196"/>
        <v>10620058B26/05/2026E</v>
      </c>
      <c r="B897" s="169" t="s">
        <v>825</v>
      </c>
      <c r="C897" s="61" t="s">
        <v>397</v>
      </c>
      <c r="D897" s="61" t="s">
        <v>591</v>
      </c>
      <c r="E897" s="61" t="s">
        <v>595</v>
      </c>
      <c r="F897" s="1" t="s">
        <v>373</v>
      </c>
      <c r="G897" s="62" t="str">
        <f t="shared" si="197"/>
        <v>64541</v>
      </c>
      <c r="H897" s="1">
        <v>10620058</v>
      </c>
      <c r="I897" s="1" t="s">
        <v>387</v>
      </c>
      <c r="J897" s="61">
        <v>13</v>
      </c>
      <c r="K897" s="61">
        <v>5.6</v>
      </c>
      <c r="L897" s="61">
        <v>8.4</v>
      </c>
      <c r="M897" s="69">
        <f t="shared" si="198"/>
        <v>0.72799999999999998</v>
      </c>
      <c r="N897" s="69">
        <f t="shared" si="199"/>
        <v>1.0920000000000001</v>
      </c>
      <c r="O897" s="56">
        <v>45.357199999999999</v>
      </c>
      <c r="P897" s="57">
        <f t="shared" si="200"/>
        <v>589.64359999999999</v>
      </c>
      <c r="Q897" s="58">
        <f t="shared" si="201"/>
        <v>404.97500000000002</v>
      </c>
      <c r="R897" s="58">
        <f t="shared" si="202"/>
        <v>269.98333333333335</v>
      </c>
      <c r="S897" s="66">
        <f t="shared" si="203"/>
        <v>10.318763000000001</v>
      </c>
      <c r="T897" s="64">
        <f t="shared" si="204"/>
        <v>48.75</v>
      </c>
      <c r="U897" s="66">
        <f t="shared" si="205"/>
        <v>648.71236299999998</v>
      </c>
      <c r="V897" s="68">
        <f t="shared" si="206"/>
        <v>49.900950999999999</v>
      </c>
      <c r="W897" s="68">
        <f t="shared" si="207"/>
        <v>445.54420535714291</v>
      </c>
      <c r="X897" s="68">
        <f t="shared" si="208"/>
        <v>297.02947023809526</v>
      </c>
      <c r="Z897" s="63"/>
      <c r="AA897" s="63"/>
    </row>
    <row r="898" spans="1:27" hidden="1" x14ac:dyDescent="0.25">
      <c r="A898" t="str">
        <f t="shared" si="196"/>
        <v>10620058C26/05/2026M</v>
      </c>
      <c r="B898" s="169" t="s">
        <v>826</v>
      </c>
      <c r="C898" s="61" t="s">
        <v>396</v>
      </c>
      <c r="D898" s="61" t="s">
        <v>591</v>
      </c>
      <c r="E898" s="61" t="s">
        <v>595</v>
      </c>
      <c r="F898" s="1" t="s">
        <v>373</v>
      </c>
      <c r="G898" s="62" t="str">
        <f t="shared" si="197"/>
        <v>64541</v>
      </c>
      <c r="H898" s="1">
        <v>10620058</v>
      </c>
      <c r="I898" s="1" t="s">
        <v>388</v>
      </c>
      <c r="J898" s="61">
        <v>14</v>
      </c>
      <c r="K898" s="61">
        <v>3.5</v>
      </c>
      <c r="L898" s="61">
        <v>8.1999999999999993</v>
      </c>
      <c r="M898" s="69">
        <f t="shared" si="198"/>
        <v>0.49</v>
      </c>
      <c r="N898" s="69">
        <f t="shared" si="199"/>
        <v>1.1479999999999999</v>
      </c>
      <c r="O898" s="56">
        <f>INDEX(Rate_Chart!$A$1:$AK$127,MATCH(Data!K898,Rate_Chart!$A$1:$A$127,0),MATCH(Data!L898,Rate_Chart!$A$1:$AK$1,0))</f>
        <v>37.392139800000002</v>
      </c>
      <c r="P898" s="57">
        <f t="shared" si="200"/>
        <v>523.48995720000005</v>
      </c>
      <c r="Q898" s="58">
        <f t="shared" si="201"/>
        <v>417.01271152416359</v>
      </c>
      <c r="R898" s="58">
        <f t="shared" si="202"/>
        <v>278.00847434944239</v>
      </c>
      <c r="S898" s="66">
        <f t="shared" si="203"/>
        <v>9.1610742510000023</v>
      </c>
      <c r="T898" s="64">
        <f t="shared" si="204"/>
        <v>52.5</v>
      </c>
      <c r="U898" s="66">
        <f t="shared" si="205"/>
        <v>585.15103145100011</v>
      </c>
      <c r="V898" s="68">
        <f t="shared" si="206"/>
        <v>41.796502246500005</v>
      </c>
      <c r="W898" s="68">
        <f t="shared" si="207"/>
        <v>466.13199531412641</v>
      </c>
      <c r="X898" s="68">
        <f t="shared" si="208"/>
        <v>310.75466354275096</v>
      </c>
      <c r="Z898" s="63"/>
      <c r="AA898" s="63"/>
    </row>
    <row r="899" spans="1:27" hidden="1" x14ac:dyDescent="0.25">
      <c r="A899" t="str">
        <f t="shared" si="196"/>
        <v>10620058B26/05/2026E</v>
      </c>
      <c r="B899" s="169" t="s">
        <v>826</v>
      </c>
      <c r="C899" s="61" t="s">
        <v>397</v>
      </c>
      <c r="D899" s="61" t="s">
        <v>591</v>
      </c>
      <c r="E899" s="61" t="s">
        <v>595</v>
      </c>
      <c r="F899" s="1" t="s">
        <v>373</v>
      </c>
      <c r="G899" s="62" t="str">
        <f t="shared" si="197"/>
        <v>64541</v>
      </c>
      <c r="H899" s="1">
        <v>10620058</v>
      </c>
      <c r="I899" s="1" t="s">
        <v>387</v>
      </c>
      <c r="J899" s="61">
        <v>6</v>
      </c>
      <c r="K899" s="61">
        <v>6.7</v>
      </c>
      <c r="L899" s="61">
        <v>9</v>
      </c>
      <c r="M899" s="69">
        <f t="shared" si="198"/>
        <v>0.40200000000000002</v>
      </c>
      <c r="N899" s="69">
        <f t="shared" si="199"/>
        <v>0.54</v>
      </c>
      <c r="O899" s="56">
        <f>INDEX(Rate_Chart!$A$1:$AK$127,MATCH(Data!K899,Rate_Chart!$A$1:$A$127,0),MATCH(Data!L899,Rate_Chart!$A$1:$AK$1,0))</f>
        <v>55.945</v>
      </c>
      <c r="P899" s="57">
        <f t="shared" si="200"/>
        <v>335.67</v>
      </c>
      <c r="Q899" s="58">
        <f t="shared" si="201"/>
        <v>440.51181102362204</v>
      </c>
      <c r="R899" s="58">
        <f t="shared" si="202"/>
        <v>293.67454068241472</v>
      </c>
      <c r="S899" s="66">
        <f t="shared" si="203"/>
        <v>5.8742250000000009</v>
      </c>
      <c r="T899" s="64">
        <f t="shared" si="204"/>
        <v>22.5</v>
      </c>
      <c r="U899" s="66">
        <f t="shared" si="205"/>
        <v>364.04422500000004</v>
      </c>
      <c r="V899" s="68">
        <f t="shared" si="206"/>
        <v>60.674037500000004</v>
      </c>
      <c r="W899" s="68">
        <f t="shared" si="207"/>
        <v>477.74832677165358</v>
      </c>
      <c r="X899" s="68">
        <f t="shared" si="208"/>
        <v>318.4988845144357</v>
      </c>
      <c r="Z899" s="63"/>
      <c r="AA899" s="63"/>
    </row>
    <row r="900" spans="1:27" hidden="1" x14ac:dyDescent="0.25">
      <c r="A900" t="str">
        <f t="shared" si="196"/>
        <v>10620058C27/05/2026E</v>
      </c>
      <c r="B900" s="169" t="s">
        <v>826</v>
      </c>
      <c r="C900" s="61" t="s">
        <v>397</v>
      </c>
      <c r="D900" s="61" t="s">
        <v>591</v>
      </c>
      <c r="E900" s="61" t="s">
        <v>595</v>
      </c>
      <c r="F900" s="1" t="s">
        <v>373</v>
      </c>
      <c r="G900" s="62" t="str">
        <f t="shared" si="197"/>
        <v>64541</v>
      </c>
      <c r="H900" s="1">
        <v>10620058</v>
      </c>
      <c r="I900" s="1" t="s">
        <v>388</v>
      </c>
      <c r="J900" s="61">
        <v>11</v>
      </c>
      <c r="K900" s="61">
        <v>3.2</v>
      </c>
      <c r="L900" s="61">
        <v>8.4</v>
      </c>
      <c r="M900" s="69">
        <f t="shared" si="198"/>
        <v>0.35200000000000004</v>
      </c>
      <c r="N900" s="69">
        <f t="shared" si="199"/>
        <v>0.92400000000000004</v>
      </c>
      <c r="O900" s="56">
        <f>INDEX(Rate_Chart!$A$1:$AK$127,MATCH(Data!K900,Rate_Chart!$A$1:$A$127,0),MATCH(Data!L900,Rate_Chart!$A$1:$AK$1,0))</f>
        <v>36.697167600000007</v>
      </c>
      <c r="P900" s="57">
        <f t="shared" si="200"/>
        <v>403.66884360000006</v>
      </c>
      <c r="Q900" s="58">
        <f t="shared" si="201"/>
        <v>417.01326818181826</v>
      </c>
      <c r="R900" s="58">
        <f t="shared" si="202"/>
        <v>278.00884545454551</v>
      </c>
      <c r="S900" s="66">
        <f t="shared" si="203"/>
        <v>7.064204763000002</v>
      </c>
      <c r="T900" s="64">
        <f t="shared" si="204"/>
        <v>41.25</v>
      </c>
      <c r="U900" s="66">
        <f t="shared" si="205"/>
        <v>451.98304836300008</v>
      </c>
      <c r="V900" s="68">
        <f t="shared" si="206"/>
        <v>41.089368033000007</v>
      </c>
      <c r="W900" s="68">
        <f t="shared" si="207"/>
        <v>466.92463673863648</v>
      </c>
      <c r="X900" s="68">
        <f t="shared" si="208"/>
        <v>311.28309115909099</v>
      </c>
      <c r="Z900" s="63"/>
      <c r="AA900" s="63"/>
    </row>
    <row r="901" spans="1:27" hidden="1" x14ac:dyDescent="0.25">
      <c r="A901" t="str">
        <f t="shared" ref="A901:A964" si="209">CONCATENATE(H901,I901,B902,C901)</f>
        <v>10620058C27/05/2026M</v>
      </c>
      <c r="B901" s="169" t="s">
        <v>827</v>
      </c>
      <c r="C901" s="61" t="s">
        <v>396</v>
      </c>
      <c r="D901" s="61" t="s">
        <v>591</v>
      </c>
      <c r="E901" s="61" t="s">
        <v>595</v>
      </c>
      <c r="F901" s="1" t="s">
        <v>373</v>
      </c>
      <c r="G901" s="62" t="str">
        <f t="shared" si="197"/>
        <v>64541</v>
      </c>
      <c r="H901" s="1">
        <v>10620058</v>
      </c>
      <c r="I901" s="1" t="s">
        <v>388</v>
      </c>
      <c r="J901" s="61">
        <v>12</v>
      </c>
      <c r="K901" s="61">
        <v>4.4000000000000004</v>
      </c>
      <c r="L901" s="61">
        <v>8.4</v>
      </c>
      <c r="M901" s="69">
        <f t="shared" si="198"/>
        <v>0.52800000000000002</v>
      </c>
      <c r="N901" s="69">
        <f t="shared" si="199"/>
        <v>1.008</v>
      </c>
      <c r="O901" s="56">
        <f>INDEX(Rate_Chart!$A$1:$AK$127,MATCH(Data!K901,Rate_Chart!$A$1:$A$127,0),MATCH(Data!L901,Rate_Chart!$A$1:$AK$1,0))</f>
        <v>41.701167600000005</v>
      </c>
      <c r="P901" s="57">
        <f t="shared" si="200"/>
        <v>500.41401120000006</v>
      </c>
      <c r="Q901" s="58">
        <f t="shared" si="201"/>
        <v>417.01167600000002</v>
      </c>
      <c r="R901" s="58">
        <f t="shared" si="202"/>
        <v>278.00778400000002</v>
      </c>
      <c r="S901" s="66">
        <f t="shared" si="203"/>
        <v>8.7572451960000013</v>
      </c>
      <c r="T901" s="64">
        <f t="shared" si="204"/>
        <v>45</v>
      </c>
      <c r="U901" s="66">
        <f t="shared" si="205"/>
        <v>554.1712563960001</v>
      </c>
      <c r="V901" s="68">
        <f t="shared" si="206"/>
        <v>46.180938033000011</v>
      </c>
      <c r="W901" s="68">
        <f t="shared" si="207"/>
        <v>461.80938033000007</v>
      </c>
      <c r="X901" s="68">
        <f t="shared" si="208"/>
        <v>307.87292022000003</v>
      </c>
      <c r="Z901" s="63"/>
      <c r="AA901" s="63"/>
    </row>
    <row r="902" spans="1:27" hidden="1" x14ac:dyDescent="0.25">
      <c r="A902" t="str">
        <f t="shared" si="209"/>
        <v>10620058B28/05/2026E</v>
      </c>
      <c r="B902" s="169" t="s">
        <v>827</v>
      </c>
      <c r="C902" s="61" t="s">
        <v>397</v>
      </c>
      <c r="D902" s="61" t="s">
        <v>591</v>
      </c>
      <c r="E902" s="61" t="s">
        <v>595</v>
      </c>
      <c r="F902" s="1" t="s">
        <v>373</v>
      </c>
      <c r="G902" s="62" t="str">
        <f t="shared" ref="G902:G950" si="210">MID(F902,2,5)</f>
        <v>64541</v>
      </c>
      <c r="H902" s="1">
        <v>10620058</v>
      </c>
      <c r="I902" s="1" t="s">
        <v>387</v>
      </c>
      <c r="J902" s="61">
        <v>9</v>
      </c>
      <c r="K902" s="61">
        <v>6.4</v>
      </c>
      <c r="L902" s="61">
        <v>9</v>
      </c>
      <c r="M902" s="69">
        <f t="shared" si="198"/>
        <v>0.57600000000000007</v>
      </c>
      <c r="N902" s="69">
        <f t="shared" si="199"/>
        <v>0.81</v>
      </c>
      <c r="O902" s="56">
        <f>INDEX(Rate_Chart!$A$1:$AK$127,MATCH(Data!K902,Rate_Chart!$A$1:$A$127,0),MATCH(Data!L902,Rate_Chart!$A$1:$AK$1,0))</f>
        <v>53.44</v>
      </c>
      <c r="P902" s="57">
        <f t="shared" si="200"/>
        <v>480.96</v>
      </c>
      <c r="Q902" s="58">
        <f t="shared" si="201"/>
        <v>430.96774193548384</v>
      </c>
      <c r="R902" s="58">
        <f t="shared" si="202"/>
        <v>287.31182795698925</v>
      </c>
      <c r="S902" s="66">
        <f t="shared" si="203"/>
        <v>8.4168000000000003</v>
      </c>
      <c r="T902" s="64">
        <f t="shared" si="204"/>
        <v>33.75</v>
      </c>
      <c r="U902" s="66">
        <f t="shared" si="205"/>
        <v>523.1268</v>
      </c>
      <c r="V902" s="68">
        <f t="shared" si="206"/>
        <v>58.1252</v>
      </c>
      <c r="W902" s="68">
        <f t="shared" si="207"/>
        <v>468.7516129032258</v>
      </c>
      <c r="X902" s="68">
        <f t="shared" si="208"/>
        <v>312.5010752688172</v>
      </c>
      <c r="Z902" s="63"/>
      <c r="AA902" s="63"/>
    </row>
    <row r="903" spans="1:27" hidden="1" x14ac:dyDescent="0.25">
      <c r="A903" t="str">
        <f t="shared" si="209"/>
        <v>10620058C28/05/2026M</v>
      </c>
      <c r="B903" s="169" t="s">
        <v>828</v>
      </c>
      <c r="C903" s="61" t="s">
        <v>396</v>
      </c>
      <c r="D903" s="61" t="s">
        <v>591</v>
      </c>
      <c r="E903" s="61" t="s">
        <v>595</v>
      </c>
      <c r="F903" s="1" t="s">
        <v>373</v>
      </c>
      <c r="G903" s="62" t="str">
        <f t="shared" si="210"/>
        <v>64541</v>
      </c>
      <c r="H903" s="1">
        <v>10620058</v>
      </c>
      <c r="I903" s="1" t="s">
        <v>388</v>
      </c>
      <c r="J903" s="61">
        <v>8</v>
      </c>
      <c r="K903" s="61">
        <v>3.5</v>
      </c>
      <c r="L903" s="61">
        <v>8.1</v>
      </c>
      <c r="M903" s="69">
        <f t="shared" si="198"/>
        <v>0.28000000000000003</v>
      </c>
      <c r="N903" s="69">
        <f t="shared" si="199"/>
        <v>0.64800000000000002</v>
      </c>
      <c r="O903" s="56">
        <f>INDEX(Rate_Chart!$A$1:$AK$127,MATCH(Data!K903,Rate_Chart!$A$1:$A$127,0),MATCH(Data!L903,Rate_Chart!$A$1:$AK$1,0))</f>
        <v>37.114125900000005</v>
      </c>
      <c r="P903" s="57">
        <f t="shared" si="200"/>
        <v>296.91300720000004</v>
      </c>
      <c r="Q903" s="58">
        <f t="shared" si="201"/>
        <v>417.01265056179784</v>
      </c>
      <c r="R903" s="58">
        <f t="shared" si="202"/>
        <v>278.00843370786521</v>
      </c>
      <c r="S903" s="66">
        <f t="shared" si="203"/>
        <v>5.1959776260000012</v>
      </c>
      <c r="T903" s="64">
        <f t="shared" si="204"/>
        <v>30</v>
      </c>
      <c r="U903" s="66">
        <f t="shared" si="205"/>
        <v>332.10898482600004</v>
      </c>
      <c r="V903" s="68">
        <f t="shared" si="206"/>
        <v>41.513623103250005</v>
      </c>
      <c r="W903" s="68">
        <f t="shared" si="207"/>
        <v>466.44520340730344</v>
      </c>
      <c r="X903" s="68">
        <f t="shared" si="208"/>
        <v>310.96346893820231</v>
      </c>
      <c r="Z903" s="63"/>
      <c r="AA903" s="63"/>
    </row>
    <row r="904" spans="1:27" hidden="1" x14ac:dyDescent="0.25">
      <c r="A904" t="str">
        <f t="shared" si="209"/>
        <v>10620058C22/05/2026E</v>
      </c>
      <c r="B904" s="169" t="s">
        <v>828</v>
      </c>
      <c r="C904" s="61" t="s">
        <v>397</v>
      </c>
      <c r="D904" s="61" t="s">
        <v>591</v>
      </c>
      <c r="E904" s="61" t="s">
        <v>595</v>
      </c>
      <c r="F904" s="1" t="s">
        <v>373</v>
      </c>
      <c r="G904" s="62" t="str">
        <f t="shared" si="210"/>
        <v>64541</v>
      </c>
      <c r="H904" s="1">
        <v>10620058</v>
      </c>
      <c r="I904" s="1" t="s">
        <v>388</v>
      </c>
      <c r="J904" s="61">
        <v>13</v>
      </c>
      <c r="K904" s="61">
        <v>5.2</v>
      </c>
      <c r="L904" s="61">
        <v>8.5</v>
      </c>
      <c r="M904" s="69">
        <f t="shared" si="198"/>
        <v>0.67600000000000005</v>
      </c>
      <c r="N904" s="69">
        <f t="shared" si="199"/>
        <v>1.105</v>
      </c>
      <c r="O904" s="56">
        <f>INDEX(Rate_Chart!$A$1:$AK$127,MATCH(Data!K904,Rate_Chart!$A$1:$A$127,0),MATCH(Data!L904,Rate_Chart!$A$1:$AK$1,0))</f>
        <v>45.315181500000008</v>
      </c>
      <c r="P904" s="57">
        <f t="shared" si="200"/>
        <v>589.09735950000015</v>
      </c>
      <c r="Q904" s="58">
        <f t="shared" si="201"/>
        <v>417.01087269938654</v>
      </c>
      <c r="R904" s="58">
        <f t="shared" si="202"/>
        <v>278.00724846625769</v>
      </c>
      <c r="S904" s="66">
        <f t="shared" si="203"/>
        <v>10.309203791250004</v>
      </c>
      <c r="T904" s="64">
        <f t="shared" si="204"/>
        <v>48.75</v>
      </c>
      <c r="U904" s="66">
        <f t="shared" si="205"/>
        <v>648.15656329125011</v>
      </c>
      <c r="V904" s="68">
        <f t="shared" si="206"/>
        <v>49.858197176250009</v>
      </c>
      <c r="W904" s="68">
        <f t="shared" si="207"/>
        <v>458.81776542561352</v>
      </c>
      <c r="X904" s="68">
        <f t="shared" si="208"/>
        <v>305.87851028374234</v>
      </c>
      <c r="Z904" s="63"/>
      <c r="AA904" s="63"/>
    </row>
    <row r="905" spans="1:27" hidden="1" x14ac:dyDescent="0.25">
      <c r="A905" t="str">
        <f t="shared" si="209"/>
        <v>10620075B22/05/2026M</v>
      </c>
      <c r="B905" s="169" t="s">
        <v>822</v>
      </c>
      <c r="C905" s="61" t="s">
        <v>396</v>
      </c>
      <c r="D905" s="61" t="s">
        <v>591</v>
      </c>
      <c r="E905" s="61" t="s">
        <v>592</v>
      </c>
      <c r="F905" s="1" t="s">
        <v>817</v>
      </c>
      <c r="G905" s="62" t="str">
        <f t="shared" si="210"/>
        <v>64542</v>
      </c>
      <c r="H905" s="1">
        <v>10620075</v>
      </c>
      <c r="I905" s="1" t="s">
        <v>387</v>
      </c>
      <c r="J905" s="61">
        <v>28</v>
      </c>
      <c r="K905" s="61">
        <v>7.7</v>
      </c>
      <c r="L905" s="61">
        <v>9</v>
      </c>
      <c r="M905" s="69">
        <f t="shared" si="198"/>
        <v>2.1560000000000001</v>
      </c>
      <c r="N905" s="69">
        <f t="shared" si="199"/>
        <v>2.52</v>
      </c>
      <c r="O905" s="56">
        <v>64.295000000000002</v>
      </c>
      <c r="P905" s="57">
        <f t="shared" si="200"/>
        <v>1800.26</v>
      </c>
      <c r="Q905" s="58">
        <f t="shared" si="201"/>
        <v>469.30656934306569</v>
      </c>
      <c r="R905" s="58">
        <f t="shared" si="202"/>
        <v>312.87104622871044</v>
      </c>
      <c r="S905" s="66">
        <f t="shared" si="203"/>
        <v>31.504550000000002</v>
      </c>
      <c r="T905" s="64">
        <f t="shared" si="204"/>
        <v>105</v>
      </c>
      <c r="U905" s="66">
        <f t="shared" si="205"/>
        <v>1936.7645499999999</v>
      </c>
      <c r="V905" s="68">
        <f t="shared" si="206"/>
        <v>69.170162499999989</v>
      </c>
      <c r="W905" s="68">
        <f t="shared" si="207"/>
        <v>504.89169708029186</v>
      </c>
      <c r="X905" s="68">
        <f t="shared" si="208"/>
        <v>336.59446472019459</v>
      </c>
      <c r="Z905" s="63"/>
      <c r="AA905" s="63"/>
    </row>
    <row r="906" spans="1:27" hidden="1" x14ac:dyDescent="0.25">
      <c r="A906" t="str">
        <f t="shared" si="209"/>
        <v>10620075B23/05/2026E</v>
      </c>
      <c r="B906" s="169" t="s">
        <v>822</v>
      </c>
      <c r="C906" s="61" t="s">
        <v>397</v>
      </c>
      <c r="D906" s="61" t="s">
        <v>591</v>
      </c>
      <c r="E906" s="61" t="s">
        <v>592</v>
      </c>
      <c r="F906" s="1" t="s">
        <v>817</v>
      </c>
      <c r="G906" s="62" t="str">
        <f t="shared" si="210"/>
        <v>64542</v>
      </c>
      <c r="H906" s="1">
        <v>10620075</v>
      </c>
      <c r="I906" s="1" t="s">
        <v>387</v>
      </c>
      <c r="J906" s="61">
        <v>13</v>
      </c>
      <c r="K906" s="61">
        <v>7.8</v>
      </c>
      <c r="L906" s="61">
        <v>9</v>
      </c>
      <c r="M906" s="69">
        <f t="shared" si="198"/>
        <v>1.014</v>
      </c>
      <c r="N906" s="69">
        <f t="shared" si="199"/>
        <v>1.17</v>
      </c>
      <c r="O906" s="56">
        <v>65.13</v>
      </c>
      <c r="P906" s="57">
        <f t="shared" si="200"/>
        <v>846.68999999999994</v>
      </c>
      <c r="Q906" s="58">
        <f t="shared" si="201"/>
        <v>471.95652173913038</v>
      </c>
      <c r="R906" s="58">
        <f t="shared" si="202"/>
        <v>314.63768115942025</v>
      </c>
      <c r="S906" s="66">
        <f t="shared" si="203"/>
        <v>14.817075000000001</v>
      </c>
      <c r="T906" s="64">
        <f t="shared" si="204"/>
        <v>48.75</v>
      </c>
      <c r="U906" s="66">
        <f t="shared" si="205"/>
        <v>910.25707499999999</v>
      </c>
      <c r="V906" s="68">
        <f t="shared" si="206"/>
        <v>70.019774999999996</v>
      </c>
      <c r="W906" s="68">
        <f t="shared" si="207"/>
        <v>507.3896739130434</v>
      </c>
      <c r="X906" s="68">
        <f t="shared" si="208"/>
        <v>338.25978260869562</v>
      </c>
      <c r="Z906" s="63"/>
      <c r="AA906" s="63"/>
    </row>
    <row r="907" spans="1:27" hidden="1" x14ac:dyDescent="0.25">
      <c r="A907" t="str">
        <f t="shared" si="209"/>
        <v>10620075B23/05/2026M</v>
      </c>
      <c r="B907" s="169" t="s">
        <v>823</v>
      </c>
      <c r="C907" s="61" t="s">
        <v>396</v>
      </c>
      <c r="D907" s="61" t="s">
        <v>591</v>
      </c>
      <c r="E907" s="61" t="s">
        <v>592</v>
      </c>
      <c r="F907" s="1" t="s">
        <v>817</v>
      </c>
      <c r="G907" s="62" t="str">
        <f t="shared" si="210"/>
        <v>64542</v>
      </c>
      <c r="H907" s="1">
        <v>10620075</v>
      </c>
      <c r="I907" s="1" t="s">
        <v>387</v>
      </c>
      <c r="J907" s="61">
        <v>21</v>
      </c>
      <c r="K907" s="61">
        <v>7.6</v>
      </c>
      <c r="L907" s="61">
        <v>9</v>
      </c>
      <c r="M907" s="69">
        <f t="shared" si="198"/>
        <v>1.5959999999999999</v>
      </c>
      <c r="N907" s="69">
        <f t="shared" si="199"/>
        <v>1.89</v>
      </c>
      <c r="O907" s="56">
        <v>63.46</v>
      </c>
      <c r="P907" s="57">
        <f t="shared" si="200"/>
        <v>1332.66</v>
      </c>
      <c r="Q907" s="58">
        <f t="shared" si="201"/>
        <v>466.61764705882348</v>
      </c>
      <c r="R907" s="58">
        <f t="shared" si="202"/>
        <v>311.07843137254901</v>
      </c>
      <c r="S907" s="66">
        <f t="shared" si="203"/>
        <v>23.321550000000002</v>
      </c>
      <c r="T907" s="64">
        <f t="shared" si="204"/>
        <v>78.75</v>
      </c>
      <c r="U907" s="66">
        <f t="shared" si="205"/>
        <v>1434.73155</v>
      </c>
      <c r="V907" s="68">
        <f t="shared" si="206"/>
        <v>68.320549999999997</v>
      </c>
      <c r="W907" s="68">
        <f t="shared" si="207"/>
        <v>502.35698529411758</v>
      </c>
      <c r="X907" s="68">
        <f t="shared" si="208"/>
        <v>334.90465686274507</v>
      </c>
      <c r="Z907" s="63"/>
      <c r="AA907" s="63"/>
    </row>
    <row r="908" spans="1:27" hidden="1" x14ac:dyDescent="0.25">
      <c r="A908" t="str">
        <f t="shared" si="209"/>
        <v>10620075B24/05/2026E</v>
      </c>
      <c r="B908" s="169" t="s">
        <v>823</v>
      </c>
      <c r="C908" s="61" t="s">
        <v>397</v>
      </c>
      <c r="D908" s="61" t="s">
        <v>591</v>
      </c>
      <c r="E908" s="61" t="s">
        <v>592</v>
      </c>
      <c r="F908" s="1" t="s">
        <v>817</v>
      </c>
      <c r="G908" s="62" t="str">
        <f t="shared" si="210"/>
        <v>64542</v>
      </c>
      <c r="H908" s="1">
        <v>10620075</v>
      </c>
      <c r="I908" s="1" t="s">
        <v>387</v>
      </c>
      <c r="J908" s="61">
        <v>18</v>
      </c>
      <c r="K908" s="61">
        <v>7.8</v>
      </c>
      <c r="L908" s="61">
        <v>9</v>
      </c>
      <c r="M908" s="69">
        <f t="shared" si="198"/>
        <v>1.4040000000000001</v>
      </c>
      <c r="N908" s="69">
        <f t="shared" si="199"/>
        <v>1.62</v>
      </c>
      <c r="O908" s="56">
        <v>65.13</v>
      </c>
      <c r="P908" s="57">
        <f t="shared" si="200"/>
        <v>1172.3399999999999</v>
      </c>
      <c r="Q908" s="58">
        <f t="shared" si="201"/>
        <v>471.95652173913038</v>
      </c>
      <c r="R908" s="58">
        <f t="shared" si="202"/>
        <v>314.63768115942025</v>
      </c>
      <c r="S908" s="66">
        <f t="shared" si="203"/>
        <v>20.51595</v>
      </c>
      <c r="T908" s="64">
        <f t="shared" si="204"/>
        <v>67.5</v>
      </c>
      <c r="U908" s="66">
        <f t="shared" si="205"/>
        <v>1260.3559499999999</v>
      </c>
      <c r="V908" s="68">
        <f t="shared" si="206"/>
        <v>70.019774999999996</v>
      </c>
      <c r="W908" s="68">
        <f t="shared" si="207"/>
        <v>507.3896739130434</v>
      </c>
      <c r="X908" s="68">
        <f t="shared" si="208"/>
        <v>338.25978260869562</v>
      </c>
      <c r="Z908" s="63"/>
      <c r="AA908" s="63"/>
    </row>
    <row r="909" spans="1:27" hidden="1" x14ac:dyDescent="0.25">
      <c r="A909" t="str">
        <f t="shared" si="209"/>
        <v>10620075B24/05/2026M</v>
      </c>
      <c r="B909" s="169" t="s">
        <v>824</v>
      </c>
      <c r="C909" s="61" t="s">
        <v>396</v>
      </c>
      <c r="D909" s="61" t="s">
        <v>591</v>
      </c>
      <c r="E909" s="61" t="s">
        <v>592</v>
      </c>
      <c r="F909" s="1" t="s">
        <v>817</v>
      </c>
      <c r="G909" s="62" t="str">
        <f t="shared" si="210"/>
        <v>64542</v>
      </c>
      <c r="H909" s="1">
        <v>10620075</v>
      </c>
      <c r="I909" s="1" t="s">
        <v>387</v>
      </c>
      <c r="J909" s="61">
        <v>23</v>
      </c>
      <c r="K909" s="61">
        <v>7.6</v>
      </c>
      <c r="L909" s="61">
        <v>9</v>
      </c>
      <c r="M909" s="69">
        <f t="shared" si="198"/>
        <v>1.7479999999999998</v>
      </c>
      <c r="N909" s="69">
        <f t="shared" si="199"/>
        <v>2.0699999999999998</v>
      </c>
      <c r="O909" s="56">
        <v>63.46</v>
      </c>
      <c r="P909" s="57">
        <f t="shared" si="200"/>
        <v>1459.58</v>
      </c>
      <c r="Q909" s="58">
        <f t="shared" si="201"/>
        <v>466.61764705882348</v>
      </c>
      <c r="R909" s="58">
        <f t="shared" si="202"/>
        <v>311.07843137254901</v>
      </c>
      <c r="S909" s="66">
        <f t="shared" si="203"/>
        <v>25.542650000000002</v>
      </c>
      <c r="T909" s="64">
        <f t="shared" si="204"/>
        <v>86.25</v>
      </c>
      <c r="U909" s="66">
        <f t="shared" si="205"/>
        <v>1571.37265</v>
      </c>
      <c r="V909" s="68">
        <f t="shared" si="206"/>
        <v>68.320549999999997</v>
      </c>
      <c r="W909" s="68">
        <f t="shared" si="207"/>
        <v>502.35698529411758</v>
      </c>
      <c r="X909" s="68">
        <f t="shared" si="208"/>
        <v>334.90465686274507</v>
      </c>
      <c r="Z909" s="63"/>
      <c r="AA909" s="63"/>
    </row>
    <row r="910" spans="1:27" hidden="1" x14ac:dyDescent="0.25">
      <c r="A910" t="str">
        <f t="shared" si="209"/>
        <v>10620075B25/05/2026E</v>
      </c>
      <c r="B910" s="169" t="s">
        <v>824</v>
      </c>
      <c r="C910" s="61" t="s">
        <v>397</v>
      </c>
      <c r="D910" s="61" t="s">
        <v>591</v>
      </c>
      <c r="E910" s="61" t="s">
        <v>592</v>
      </c>
      <c r="F910" s="1" t="s">
        <v>817</v>
      </c>
      <c r="G910" s="62" t="str">
        <f t="shared" si="210"/>
        <v>64542</v>
      </c>
      <c r="H910" s="1">
        <v>10620075</v>
      </c>
      <c r="I910" s="1" t="s">
        <v>387</v>
      </c>
      <c r="J910" s="61">
        <v>15</v>
      </c>
      <c r="K910" s="61">
        <v>7.5</v>
      </c>
      <c r="L910" s="61">
        <v>9</v>
      </c>
      <c r="M910" s="69">
        <f t="shared" si="198"/>
        <v>1.125</v>
      </c>
      <c r="N910" s="69">
        <f t="shared" si="199"/>
        <v>1.35</v>
      </c>
      <c r="O910" s="56">
        <v>62.625</v>
      </c>
      <c r="P910" s="57">
        <f t="shared" si="200"/>
        <v>939.375</v>
      </c>
      <c r="Q910" s="58">
        <f t="shared" si="201"/>
        <v>463.88888888888886</v>
      </c>
      <c r="R910" s="58">
        <f t="shared" si="202"/>
        <v>309.25925925925924</v>
      </c>
      <c r="S910" s="66">
        <f t="shared" si="203"/>
        <v>16.439062500000002</v>
      </c>
      <c r="T910" s="64">
        <f t="shared" si="204"/>
        <v>56.25</v>
      </c>
      <c r="U910" s="66">
        <f t="shared" si="205"/>
        <v>1012.0640625</v>
      </c>
      <c r="V910" s="68">
        <f t="shared" si="206"/>
        <v>67.470937500000005</v>
      </c>
      <c r="W910" s="68">
        <f t="shared" si="207"/>
        <v>499.78472222222223</v>
      </c>
      <c r="X910" s="68">
        <f t="shared" si="208"/>
        <v>333.18981481481484</v>
      </c>
      <c r="Z910" s="63"/>
      <c r="AA910" s="63"/>
    </row>
    <row r="911" spans="1:27" hidden="1" x14ac:dyDescent="0.25">
      <c r="A911" t="str">
        <f t="shared" si="209"/>
        <v>10620075B25/05/2026M</v>
      </c>
      <c r="B911" s="169" t="s">
        <v>825</v>
      </c>
      <c r="C911" s="61" t="s">
        <v>396</v>
      </c>
      <c r="D911" s="61" t="s">
        <v>591</v>
      </c>
      <c r="E911" s="61" t="s">
        <v>592</v>
      </c>
      <c r="F911" s="1" t="s">
        <v>817</v>
      </c>
      <c r="G911" s="62" t="str">
        <f t="shared" si="210"/>
        <v>64542</v>
      </c>
      <c r="H911" s="1">
        <v>10620075</v>
      </c>
      <c r="I911" s="1" t="s">
        <v>387</v>
      </c>
      <c r="J911" s="61">
        <v>29</v>
      </c>
      <c r="K911" s="61">
        <v>7.9</v>
      </c>
      <c r="L911" s="61">
        <v>9</v>
      </c>
      <c r="M911" s="69">
        <f t="shared" si="198"/>
        <v>2.2910000000000004</v>
      </c>
      <c r="N911" s="69">
        <f t="shared" si="199"/>
        <v>2.61</v>
      </c>
      <c r="O911" s="56">
        <v>65.965000000000003</v>
      </c>
      <c r="P911" s="57">
        <f t="shared" si="200"/>
        <v>1912.9850000000001</v>
      </c>
      <c r="Q911" s="58">
        <f t="shared" si="201"/>
        <v>474.56834532374097</v>
      </c>
      <c r="R911" s="58">
        <f t="shared" si="202"/>
        <v>316.37889688249396</v>
      </c>
      <c r="S911" s="66">
        <f t="shared" si="203"/>
        <v>33.477237500000008</v>
      </c>
      <c r="T911" s="64">
        <f t="shared" si="204"/>
        <v>108.75</v>
      </c>
      <c r="U911" s="66">
        <f t="shared" si="205"/>
        <v>2055.2122374999999</v>
      </c>
      <c r="V911" s="68">
        <f t="shared" si="206"/>
        <v>70.869387500000002</v>
      </c>
      <c r="W911" s="68">
        <f t="shared" si="207"/>
        <v>509.85170863309349</v>
      </c>
      <c r="X911" s="68">
        <f t="shared" si="208"/>
        <v>339.901139088729</v>
      </c>
      <c r="Z911" s="63"/>
      <c r="AA911" s="63"/>
    </row>
    <row r="912" spans="1:27" hidden="1" x14ac:dyDescent="0.25">
      <c r="A912" t="str">
        <f t="shared" si="209"/>
        <v>10620075B26/05/2026E</v>
      </c>
      <c r="B912" s="169" t="s">
        <v>825</v>
      </c>
      <c r="C912" s="61" t="s">
        <v>397</v>
      </c>
      <c r="D912" s="61" t="s">
        <v>591</v>
      </c>
      <c r="E912" s="61" t="s">
        <v>592</v>
      </c>
      <c r="F912" s="1" t="s">
        <v>817</v>
      </c>
      <c r="G912" s="62" t="str">
        <f t="shared" si="210"/>
        <v>64542</v>
      </c>
      <c r="H912" s="1">
        <v>10620075</v>
      </c>
      <c r="I912" s="1" t="s">
        <v>387</v>
      </c>
      <c r="J912" s="61">
        <v>12</v>
      </c>
      <c r="K912" s="61">
        <v>7.5</v>
      </c>
      <c r="L912" s="61">
        <v>9</v>
      </c>
      <c r="M912" s="69">
        <f t="shared" si="198"/>
        <v>0.9</v>
      </c>
      <c r="N912" s="69">
        <f t="shared" si="199"/>
        <v>1.08</v>
      </c>
      <c r="O912" s="56">
        <v>62.625</v>
      </c>
      <c r="P912" s="57">
        <f t="shared" si="200"/>
        <v>751.5</v>
      </c>
      <c r="Q912" s="58">
        <f t="shared" si="201"/>
        <v>463.88888888888886</v>
      </c>
      <c r="R912" s="58">
        <f t="shared" si="202"/>
        <v>309.25925925925924</v>
      </c>
      <c r="S912" s="66">
        <f t="shared" si="203"/>
        <v>13.151250000000001</v>
      </c>
      <c r="T912" s="64">
        <f t="shared" si="204"/>
        <v>45</v>
      </c>
      <c r="U912" s="66">
        <f t="shared" si="205"/>
        <v>809.65125</v>
      </c>
      <c r="V912" s="68">
        <f t="shared" si="206"/>
        <v>67.470937500000005</v>
      </c>
      <c r="W912" s="68">
        <f t="shared" si="207"/>
        <v>499.78472222222223</v>
      </c>
      <c r="X912" s="68">
        <f t="shared" si="208"/>
        <v>333.18981481481484</v>
      </c>
      <c r="Z912" s="63"/>
      <c r="AA912" s="63"/>
    </row>
    <row r="913" spans="1:27" hidden="1" x14ac:dyDescent="0.25">
      <c r="A913" t="str">
        <f t="shared" si="209"/>
        <v>10620075B26/05/2026M</v>
      </c>
      <c r="B913" s="169" t="s">
        <v>826</v>
      </c>
      <c r="C913" s="61" t="s">
        <v>396</v>
      </c>
      <c r="D913" s="61" t="s">
        <v>591</v>
      </c>
      <c r="E913" s="61" t="s">
        <v>592</v>
      </c>
      <c r="F913" s="1" t="s">
        <v>817</v>
      </c>
      <c r="G913" s="62" t="str">
        <f t="shared" si="210"/>
        <v>64542</v>
      </c>
      <c r="H913" s="1">
        <v>10620075</v>
      </c>
      <c r="I913" s="1" t="s">
        <v>387</v>
      </c>
      <c r="J913" s="61">
        <v>27</v>
      </c>
      <c r="K913" s="61">
        <v>8.1</v>
      </c>
      <c r="L913" s="61">
        <v>9</v>
      </c>
      <c r="M913" s="69">
        <f t="shared" si="198"/>
        <v>2.1869999999999998</v>
      </c>
      <c r="N913" s="69">
        <f t="shared" si="199"/>
        <v>2.4300000000000002</v>
      </c>
      <c r="O913" s="56">
        <f>INDEX(Rate_Chart!$A$1:$AK$127,MATCH(Data!K913,Rate_Chart!$A$1:$A$127,0),MATCH(Data!L913,Rate_Chart!$A$1:$AK$1,0))</f>
        <v>67.635000000000005</v>
      </c>
      <c r="P913" s="57">
        <f t="shared" si="200"/>
        <v>1826.1450000000002</v>
      </c>
      <c r="Q913" s="58">
        <f t="shared" si="201"/>
        <v>479.68085106382978</v>
      </c>
      <c r="R913" s="58">
        <f t="shared" si="202"/>
        <v>319.78723404255317</v>
      </c>
      <c r="S913" s="66">
        <f t="shared" si="203"/>
        <v>31.957537500000008</v>
      </c>
      <c r="T913" s="64">
        <f t="shared" si="204"/>
        <v>101.25</v>
      </c>
      <c r="U913" s="66">
        <f t="shared" si="205"/>
        <v>1959.3525375000002</v>
      </c>
      <c r="V913" s="68">
        <f t="shared" si="206"/>
        <v>72.5686125</v>
      </c>
      <c r="W913" s="68">
        <f t="shared" si="207"/>
        <v>514.67101063829784</v>
      </c>
      <c r="X913" s="68">
        <f t="shared" si="208"/>
        <v>343.11400709219856</v>
      </c>
      <c r="Z913" s="63"/>
      <c r="AA913" s="63"/>
    </row>
    <row r="914" spans="1:27" hidden="1" x14ac:dyDescent="0.25">
      <c r="A914" t="str">
        <f t="shared" si="209"/>
        <v>10620075B27/05/2026E</v>
      </c>
      <c r="B914" s="169" t="s">
        <v>826</v>
      </c>
      <c r="C914" s="61" t="s">
        <v>397</v>
      </c>
      <c r="D914" s="61" t="s">
        <v>591</v>
      </c>
      <c r="E914" s="61" t="s">
        <v>592</v>
      </c>
      <c r="F914" s="1" t="s">
        <v>817</v>
      </c>
      <c r="G914" s="62" t="str">
        <f t="shared" si="210"/>
        <v>64542</v>
      </c>
      <c r="H914" s="1">
        <v>10620075</v>
      </c>
      <c r="I914" s="1" t="s">
        <v>387</v>
      </c>
      <c r="J914" s="61">
        <v>11</v>
      </c>
      <c r="K914" s="61">
        <v>7.8</v>
      </c>
      <c r="L914" s="61">
        <v>9</v>
      </c>
      <c r="M914" s="69">
        <f t="shared" si="198"/>
        <v>0.85799999999999998</v>
      </c>
      <c r="N914" s="69">
        <f t="shared" si="199"/>
        <v>0.99</v>
      </c>
      <c r="O914" s="56">
        <f>INDEX(Rate_Chart!$A$1:$AK$127,MATCH(Data!K914,Rate_Chart!$A$1:$A$127,0),MATCH(Data!L914,Rate_Chart!$A$1:$AK$1,0))</f>
        <v>65.13</v>
      </c>
      <c r="P914" s="57">
        <f t="shared" si="200"/>
        <v>716.43</v>
      </c>
      <c r="Q914" s="58">
        <f t="shared" si="201"/>
        <v>471.95652173913038</v>
      </c>
      <c r="R914" s="58">
        <f t="shared" si="202"/>
        <v>314.63768115942025</v>
      </c>
      <c r="S914" s="66">
        <f t="shared" si="203"/>
        <v>12.537525</v>
      </c>
      <c r="T914" s="64">
        <f t="shared" si="204"/>
        <v>41.25</v>
      </c>
      <c r="U914" s="66">
        <f t="shared" si="205"/>
        <v>770.21752499999991</v>
      </c>
      <c r="V914" s="68">
        <f t="shared" si="206"/>
        <v>70.019774999999996</v>
      </c>
      <c r="W914" s="68">
        <f t="shared" si="207"/>
        <v>507.3896739130434</v>
      </c>
      <c r="X914" s="68">
        <f t="shared" si="208"/>
        <v>338.25978260869562</v>
      </c>
      <c r="Z914" s="63"/>
      <c r="AA914" s="63"/>
    </row>
    <row r="915" spans="1:27" hidden="1" x14ac:dyDescent="0.25">
      <c r="A915" t="str">
        <f t="shared" si="209"/>
        <v>10620075B27/05/2026M</v>
      </c>
      <c r="B915" s="169" t="s">
        <v>827</v>
      </c>
      <c r="C915" s="61" t="s">
        <v>396</v>
      </c>
      <c r="D915" s="61" t="s">
        <v>591</v>
      </c>
      <c r="E915" s="61" t="s">
        <v>592</v>
      </c>
      <c r="F915" s="1" t="s">
        <v>817</v>
      </c>
      <c r="G915" s="62" t="str">
        <f t="shared" si="210"/>
        <v>64542</v>
      </c>
      <c r="H915" s="1">
        <v>10620075</v>
      </c>
      <c r="I915" s="1" t="s">
        <v>387</v>
      </c>
      <c r="J915" s="61">
        <v>22</v>
      </c>
      <c r="K915" s="61">
        <v>8.3000000000000007</v>
      </c>
      <c r="L915" s="61">
        <v>9</v>
      </c>
      <c r="M915" s="69">
        <f t="shared" si="198"/>
        <v>1.8260000000000003</v>
      </c>
      <c r="N915" s="69">
        <f t="shared" si="199"/>
        <v>1.98</v>
      </c>
      <c r="O915" s="56">
        <f>INDEX(Rate_Chart!$A$1:$AK$127,MATCH(Data!K915,Rate_Chart!$A$1:$A$127,0),MATCH(Data!L915,Rate_Chart!$A$1:$AK$1,0))</f>
        <v>69.305000000000007</v>
      </c>
      <c r="P915" s="57">
        <f t="shared" si="200"/>
        <v>1524.71</v>
      </c>
      <c r="Q915" s="58">
        <f t="shared" si="201"/>
        <v>484.65034965034965</v>
      </c>
      <c r="R915" s="58">
        <f t="shared" si="202"/>
        <v>323.10023310023308</v>
      </c>
      <c r="S915" s="66">
        <f t="shared" si="203"/>
        <v>26.682425000000002</v>
      </c>
      <c r="T915" s="64">
        <f t="shared" si="204"/>
        <v>82.5</v>
      </c>
      <c r="U915" s="66">
        <f t="shared" si="205"/>
        <v>1633.892425</v>
      </c>
      <c r="V915" s="68">
        <f t="shared" si="206"/>
        <v>74.267837499999999</v>
      </c>
      <c r="W915" s="68">
        <f t="shared" si="207"/>
        <v>519.35550699300688</v>
      </c>
      <c r="X915" s="68">
        <f t="shared" si="208"/>
        <v>346.23700466200461</v>
      </c>
      <c r="Z915" s="63"/>
      <c r="AA915" s="63"/>
    </row>
    <row r="916" spans="1:27" hidden="1" x14ac:dyDescent="0.25">
      <c r="A916" t="str">
        <f t="shared" si="209"/>
        <v>10620075B27/05/2026E</v>
      </c>
      <c r="B916" s="169" t="s">
        <v>827</v>
      </c>
      <c r="C916" s="61" t="s">
        <v>397</v>
      </c>
      <c r="D916" s="61" t="s">
        <v>591</v>
      </c>
      <c r="E916" s="61" t="s">
        <v>592</v>
      </c>
      <c r="F916" s="1" t="s">
        <v>817</v>
      </c>
      <c r="G916" s="62" t="str">
        <f t="shared" si="210"/>
        <v>64542</v>
      </c>
      <c r="H916" s="1">
        <v>10620075</v>
      </c>
      <c r="I916" s="1" t="s">
        <v>387</v>
      </c>
      <c r="J916" s="61">
        <v>13</v>
      </c>
      <c r="K916" s="61">
        <v>8.3000000000000007</v>
      </c>
      <c r="L916" s="61">
        <v>9</v>
      </c>
      <c r="M916" s="69">
        <f t="shared" si="198"/>
        <v>1.079</v>
      </c>
      <c r="N916" s="69">
        <f t="shared" si="199"/>
        <v>1.17</v>
      </c>
      <c r="O916" s="56">
        <f>INDEX(Rate_Chart!$A$1:$AK$127,MATCH(Data!K916,Rate_Chart!$A$1:$A$127,0),MATCH(Data!L916,Rate_Chart!$A$1:$AK$1,0))</f>
        <v>69.305000000000007</v>
      </c>
      <c r="P916" s="57">
        <f t="shared" si="200"/>
        <v>900.96500000000015</v>
      </c>
      <c r="Q916" s="58">
        <f t="shared" si="201"/>
        <v>484.65034965034965</v>
      </c>
      <c r="R916" s="58">
        <f t="shared" si="202"/>
        <v>323.10023310023308</v>
      </c>
      <c r="S916" s="66">
        <f t="shared" si="203"/>
        <v>15.766887500000005</v>
      </c>
      <c r="T916" s="64">
        <f t="shared" si="204"/>
        <v>48.75</v>
      </c>
      <c r="U916" s="66">
        <f t="shared" si="205"/>
        <v>965.4818875000002</v>
      </c>
      <c r="V916" s="68">
        <f t="shared" si="206"/>
        <v>74.267837500000013</v>
      </c>
      <c r="W916" s="68">
        <f t="shared" si="207"/>
        <v>519.355506993007</v>
      </c>
      <c r="X916" s="68">
        <f t="shared" si="208"/>
        <v>346.23700466200467</v>
      </c>
      <c r="Z916" s="63"/>
      <c r="AA916" s="63"/>
    </row>
    <row r="917" spans="1:27" hidden="1" x14ac:dyDescent="0.25">
      <c r="A917" t="str">
        <f t="shared" si="209"/>
        <v>10620075C28/05/2026E</v>
      </c>
      <c r="B917" s="169" t="s">
        <v>827</v>
      </c>
      <c r="C917" s="61" t="s">
        <v>397</v>
      </c>
      <c r="D917" s="61" t="s">
        <v>591</v>
      </c>
      <c r="E917" s="61" t="s">
        <v>592</v>
      </c>
      <c r="F917" s="1" t="s">
        <v>817</v>
      </c>
      <c r="G917" s="62" t="str">
        <f t="shared" si="210"/>
        <v>64542</v>
      </c>
      <c r="H917" s="1">
        <v>10620075</v>
      </c>
      <c r="I917" s="1" t="s">
        <v>388</v>
      </c>
      <c r="J917" s="61">
        <v>33</v>
      </c>
      <c r="K917" s="61">
        <v>4.0999999999999996</v>
      </c>
      <c r="L917" s="61">
        <v>8.5</v>
      </c>
      <c r="M917" s="69">
        <f t="shared" si="198"/>
        <v>1.3529999999999998</v>
      </c>
      <c r="N917" s="69">
        <f t="shared" si="199"/>
        <v>2.8050000000000002</v>
      </c>
      <c r="O917" s="56">
        <f>INDEX(Rate_Chart!$A$1:$AK$127,MATCH(Data!K917,Rate_Chart!$A$1:$A$127,0),MATCH(Data!L917,Rate_Chart!$A$1:$AK$1,0))</f>
        <v>40.728181500000005</v>
      </c>
      <c r="P917" s="57">
        <f t="shared" si="200"/>
        <v>1344.0299895000003</v>
      </c>
      <c r="Q917" s="58">
        <f t="shared" si="201"/>
        <v>417.01209726962463</v>
      </c>
      <c r="R917" s="58">
        <f t="shared" si="202"/>
        <v>278.0080648464164</v>
      </c>
      <c r="S917" s="66">
        <f t="shared" si="203"/>
        <v>23.520524816250006</v>
      </c>
      <c r="T917" s="64">
        <f t="shared" si="204"/>
        <v>123.75</v>
      </c>
      <c r="U917" s="66">
        <f t="shared" si="205"/>
        <v>1491.3005143162502</v>
      </c>
      <c r="V917" s="68">
        <f t="shared" si="206"/>
        <v>45.190924676250006</v>
      </c>
      <c r="W917" s="68">
        <f t="shared" si="207"/>
        <v>462.70571340870316</v>
      </c>
      <c r="X917" s="68">
        <f t="shared" si="208"/>
        <v>308.47047560580211</v>
      </c>
      <c r="Z917" s="63"/>
      <c r="AA917" s="63"/>
    </row>
    <row r="918" spans="1:27" hidden="1" x14ac:dyDescent="0.25">
      <c r="A918" t="str">
        <f t="shared" si="209"/>
        <v>10620075B28/05/2026M</v>
      </c>
      <c r="B918" s="169" t="s">
        <v>828</v>
      </c>
      <c r="C918" s="61" t="s">
        <v>396</v>
      </c>
      <c r="D918" s="61" t="s">
        <v>591</v>
      </c>
      <c r="E918" s="61" t="s">
        <v>592</v>
      </c>
      <c r="F918" s="1" t="s">
        <v>817</v>
      </c>
      <c r="G918" s="62" t="str">
        <f t="shared" si="210"/>
        <v>64542</v>
      </c>
      <c r="H918" s="1">
        <v>10620075</v>
      </c>
      <c r="I918" s="1" t="s">
        <v>387</v>
      </c>
      <c r="J918" s="61">
        <v>22</v>
      </c>
      <c r="K918" s="61">
        <v>8</v>
      </c>
      <c r="L918" s="61">
        <v>9</v>
      </c>
      <c r="M918" s="69">
        <f t="shared" si="198"/>
        <v>1.76</v>
      </c>
      <c r="N918" s="69">
        <f t="shared" si="199"/>
        <v>1.98</v>
      </c>
      <c r="O918" s="56">
        <f>INDEX(Rate_Chart!$A$1:$AK$127,MATCH(Data!K918,Rate_Chart!$A$1:$A$127,0),MATCH(Data!L918,Rate_Chart!$A$1:$AK$1,0))</f>
        <v>66.8</v>
      </c>
      <c r="P918" s="57">
        <f t="shared" si="200"/>
        <v>1469.6</v>
      </c>
      <c r="Q918" s="58">
        <f t="shared" si="201"/>
        <v>477.14285714285705</v>
      </c>
      <c r="R918" s="58">
        <f t="shared" si="202"/>
        <v>318.09523809523802</v>
      </c>
      <c r="S918" s="66">
        <f t="shared" si="203"/>
        <v>25.718</v>
      </c>
      <c r="T918" s="64">
        <f t="shared" si="204"/>
        <v>82.5</v>
      </c>
      <c r="U918" s="66">
        <f t="shared" si="205"/>
        <v>1577.818</v>
      </c>
      <c r="V918" s="68">
        <f t="shared" si="206"/>
        <v>71.718999999999994</v>
      </c>
      <c r="W918" s="68">
        <f t="shared" si="207"/>
        <v>512.27857142857135</v>
      </c>
      <c r="X918" s="68">
        <f t="shared" si="208"/>
        <v>341.51904761904757</v>
      </c>
      <c r="Z918" s="63"/>
      <c r="AA918" s="63"/>
    </row>
    <row r="919" spans="1:27" hidden="1" x14ac:dyDescent="0.25">
      <c r="A919" t="str">
        <f t="shared" si="209"/>
        <v>10620075C28/05/2026M</v>
      </c>
      <c r="B919" s="169" t="s">
        <v>828</v>
      </c>
      <c r="C919" s="61" t="s">
        <v>396</v>
      </c>
      <c r="D919" s="61" t="s">
        <v>591</v>
      </c>
      <c r="E919" s="61" t="s">
        <v>592</v>
      </c>
      <c r="F919" s="1" t="s">
        <v>817</v>
      </c>
      <c r="G919" s="62" t="str">
        <f t="shared" si="210"/>
        <v>64542</v>
      </c>
      <c r="H919" s="1">
        <v>10620075</v>
      </c>
      <c r="I919" s="1" t="s">
        <v>388</v>
      </c>
      <c r="J919" s="61">
        <v>32</v>
      </c>
      <c r="K919" s="61">
        <v>4.3</v>
      </c>
      <c r="L919" s="61">
        <v>8.5</v>
      </c>
      <c r="M919" s="69">
        <f t="shared" si="198"/>
        <v>1.3759999999999999</v>
      </c>
      <c r="N919" s="69">
        <f t="shared" si="199"/>
        <v>2.72</v>
      </c>
      <c r="O919" s="56">
        <f>INDEX(Rate_Chart!$A$1:$AK$127,MATCH(Data!K919,Rate_Chart!$A$1:$A$127,0),MATCH(Data!L919,Rate_Chart!$A$1:$AK$1,0))</f>
        <v>41.562181500000001</v>
      </c>
      <c r="P919" s="57">
        <f t="shared" si="200"/>
        <v>1329.989808</v>
      </c>
      <c r="Q919" s="58">
        <f t="shared" si="201"/>
        <v>417.01185451505017</v>
      </c>
      <c r="R919" s="58">
        <f t="shared" si="202"/>
        <v>278.00790301003343</v>
      </c>
      <c r="S919" s="66">
        <f t="shared" si="203"/>
        <v>23.274821640000003</v>
      </c>
      <c r="T919" s="64">
        <f t="shared" si="204"/>
        <v>120</v>
      </c>
      <c r="U919" s="66">
        <f t="shared" si="205"/>
        <v>1473.2646296400001</v>
      </c>
      <c r="V919" s="68">
        <f t="shared" si="206"/>
        <v>46.039519676250002</v>
      </c>
      <c r="W919" s="68">
        <f t="shared" si="207"/>
        <v>461.93498002926424</v>
      </c>
      <c r="X919" s="68">
        <f t="shared" si="208"/>
        <v>307.95665335284281</v>
      </c>
      <c r="Z919" s="63"/>
      <c r="AA919" s="63"/>
    </row>
    <row r="920" spans="1:27" hidden="1" x14ac:dyDescent="0.25">
      <c r="A920" t="str">
        <f t="shared" si="209"/>
        <v>10620075B28/05/2026E</v>
      </c>
      <c r="B920" s="169" t="s">
        <v>828</v>
      </c>
      <c r="C920" s="61" t="s">
        <v>397</v>
      </c>
      <c r="D920" s="61" t="s">
        <v>591</v>
      </c>
      <c r="E920" s="61" t="s">
        <v>592</v>
      </c>
      <c r="F920" s="1" t="s">
        <v>817</v>
      </c>
      <c r="G920" s="62" t="str">
        <f t="shared" si="210"/>
        <v>64542</v>
      </c>
      <c r="H920" s="1">
        <v>10620075</v>
      </c>
      <c r="I920" s="1" t="s">
        <v>387</v>
      </c>
      <c r="J920" s="61">
        <v>13</v>
      </c>
      <c r="K920" s="61">
        <v>7.8</v>
      </c>
      <c r="L920" s="61">
        <v>9</v>
      </c>
      <c r="M920" s="69">
        <f t="shared" si="198"/>
        <v>1.014</v>
      </c>
      <c r="N920" s="69">
        <f t="shared" si="199"/>
        <v>1.17</v>
      </c>
      <c r="O920" s="56">
        <f>INDEX(Rate_Chart!$A$1:$AK$127,MATCH(Data!K920,Rate_Chart!$A$1:$A$127,0),MATCH(Data!L920,Rate_Chart!$A$1:$AK$1,0))</f>
        <v>65.13</v>
      </c>
      <c r="P920" s="57">
        <f t="shared" si="200"/>
        <v>846.68999999999994</v>
      </c>
      <c r="Q920" s="58">
        <f t="shared" si="201"/>
        <v>471.95652173913038</v>
      </c>
      <c r="R920" s="58">
        <f t="shared" si="202"/>
        <v>314.63768115942025</v>
      </c>
      <c r="S920" s="66">
        <f t="shared" si="203"/>
        <v>14.817075000000001</v>
      </c>
      <c r="T920" s="64">
        <f t="shared" si="204"/>
        <v>48.75</v>
      </c>
      <c r="U920" s="66">
        <f t="shared" si="205"/>
        <v>910.25707499999999</v>
      </c>
      <c r="V920" s="68">
        <f t="shared" si="206"/>
        <v>70.019774999999996</v>
      </c>
      <c r="W920" s="68">
        <f t="shared" si="207"/>
        <v>507.3896739130434</v>
      </c>
      <c r="X920" s="68">
        <f t="shared" si="208"/>
        <v>338.25978260869562</v>
      </c>
      <c r="Z920" s="63"/>
      <c r="AA920" s="63"/>
    </row>
    <row r="921" spans="1:27" hidden="1" x14ac:dyDescent="0.25">
      <c r="A921" t="str">
        <f t="shared" si="209"/>
        <v>10620075C22/05/2026E</v>
      </c>
      <c r="B921" s="169" t="s">
        <v>828</v>
      </c>
      <c r="C921" s="61" t="s">
        <v>397</v>
      </c>
      <c r="D921" s="61" t="s">
        <v>591</v>
      </c>
      <c r="E921" s="61" t="s">
        <v>592</v>
      </c>
      <c r="F921" s="1" t="s">
        <v>817</v>
      </c>
      <c r="G921" s="62" t="str">
        <f t="shared" si="210"/>
        <v>64542</v>
      </c>
      <c r="H921" s="1">
        <v>10620075</v>
      </c>
      <c r="I921" s="1" t="s">
        <v>388</v>
      </c>
      <c r="J921" s="61">
        <v>37</v>
      </c>
      <c r="K921" s="61">
        <v>3.9</v>
      </c>
      <c r="L921" s="61">
        <v>8.5</v>
      </c>
      <c r="M921" s="69">
        <f t="shared" si="198"/>
        <v>1.4429999999999998</v>
      </c>
      <c r="N921" s="69">
        <f t="shared" si="199"/>
        <v>3.145</v>
      </c>
      <c r="O921" s="56">
        <f>INDEX(Rate_Chart!$A$1:$AK$127,MATCH(Data!K921,Rate_Chart!$A$1:$A$127,0),MATCH(Data!L921,Rate_Chart!$A$1:$AK$1,0))</f>
        <v>39.894181500000002</v>
      </c>
      <c r="P921" s="57">
        <f t="shared" si="200"/>
        <v>1476.0847155000001</v>
      </c>
      <c r="Q921" s="58">
        <f t="shared" si="201"/>
        <v>417.01235017421601</v>
      </c>
      <c r="R921" s="58">
        <f t="shared" si="202"/>
        <v>278.00823344947736</v>
      </c>
      <c r="S921" s="66">
        <f t="shared" si="203"/>
        <v>25.831482521250006</v>
      </c>
      <c r="T921" s="64">
        <f t="shared" si="204"/>
        <v>138.75</v>
      </c>
      <c r="U921" s="66">
        <f t="shared" si="205"/>
        <v>1640.6661980212502</v>
      </c>
      <c r="V921" s="68">
        <f t="shared" si="206"/>
        <v>44.342329676250003</v>
      </c>
      <c r="W921" s="68">
        <f t="shared" si="207"/>
        <v>463.50867257404178</v>
      </c>
      <c r="X921" s="68">
        <f t="shared" si="208"/>
        <v>309.00578171602785</v>
      </c>
      <c r="Z921" s="63"/>
      <c r="AA921" s="63"/>
    </row>
    <row r="922" spans="1:27" x14ac:dyDescent="0.25">
      <c r="A922" t="str">
        <f t="shared" si="209"/>
        <v>10620051B22/05/2026M</v>
      </c>
      <c r="B922" s="169" t="s">
        <v>822</v>
      </c>
      <c r="C922" s="61" t="s">
        <v>396</v>
      </c>
      <c r="D922" s="61" t="s">
        <v>591</v>
      </c>
      <c r="E922" s="61" t="s">
        <v>592</v>
      </c>
      <c r="F922" s="1" t="s">
        <v>374</v>
      </c>
      <c r="G922" s="62" t="str">
        <f t="shared" si="210"/>
        <v>64543</v>
      </c>
      <c r="H922" s="1">
        <v>10620051</v>
      </c>
      <c r="I922" s="1" t="s">
        <v>387</v>
      </c>
      <c r="J922" s="61">
        <v>60</v>
      </c>
      <c r="K922" s="61">
        <v>7</v>
      </c>
      <c r="L922" s="61">
        <v>9</v>
      </c>
      <c r="M922" s="69">
        <f t="shared" si="198"/>
        <v>4.2</v>
      </c>
      <c r="N922" s="69">
        <f t="shared" si="199"/>
        <v>5.4</v>
      </c>
      <c r="O922" s="56">
        <v>58.45</v>
      </c>
      <c r="P922" s="57">
        <f t="shared" si="200"/>
        <v>3507</v>
      </c>
      <c r="Q922" s="58">
        <f t="shared" si="201"/>
        <v>449.61538461538464</v>
      </c>
      <c r="R922" s="58">
        <f t="shared" si="202"/>
        <v>299.74358974358978</v>
      </c>
      <c r="S922" s="66">
        <f t="shared" si="203"/>
        <v>61.372500000000009</v>
      </c>
      <c r="T922" s="64">
        <f t="shared" si="204"/>
        <v>225</v>
      </c>
      <c r="U922" s="66">
        <f t="shared" si="205"/>
        <v>3793.3724999999999</v>
      </c>
      <c r="V922" s="68">
        <f t="shared" si="206"/>
        <v>63.222875000000002</v>
      </c>
      <c r="W922" s="68">
        <f t="shared" si="207"/>
        <v>486.32980769230767</v>
      </c>
      <c r="X922" s="68">
        <f t="shared" si="208"/>
        <v>324.21987179487178</v>
      </c>
      <c r="Z922" s="63"/>
      <c r="AA922" s="63"/>
    </row>
    <row r="923" spans="1:27" x14ac:dyDescent="0.25">
      <c r="A923" t="str">
        <f t="shared" si="209"/>
        <v>10620051B23/05/2026E</v>
      </c>
      <c r="B923" s="169" t="s">
        <v>822</v>
      </c>
      <c r="C923" s="61" t="s">
        <v>397</v>
      </c>
      <c r="D923" s="61" t="s">
        <v>591</v>
      </c>
      <c r="E923" s="61" t="s">
        <v>592</v>
      </c>
      <c r="F923" s="1" t="s">
        <v>374</v>
      </c>
      <c r="G923" s="62" t="str">
        <f t="shared" si="210"/>
        <v>64543</v>
      </c>
      <c r="H923" s="1">
        <v>10620051</v>
      </c>
      <c r="I923" s="1" t="s">
        <v>387</v>
      </c>
      <c r="J923" s="61">
        <v>60</v>
      </c>
      <c r="K923" s="61">
        <v>6.8</v>
      </c>
      <c r="L923" s="61">
        <v>9</v>
      </c>
      <c r="M923" s="69">
        <f t="shared" si="198"/>
        <v>4.08</v>
      </c>
      <c r="N923" s="69">
        <f t="shared" si="199"/>
        <v>5.4</v>
      </c>
      <c r="O923" s="56">
        <v>56.78</v>
      </c>
      <c r="P923" s="57">
        <f t="shared" si="200"/>
        <v>3406.8</v>
      </c>
      <c r="Q923" s="58">
        <f t="shared" si="201"/>
        <v>443.59375</v>
      </c>
      <c r="R923" s="58">
        <f t="shared" si="202"/>
        <v>295.72916666666669</v>
      </c>
      <c r="S923" s="66">
        <f t="shared" si="203"/>
        <v>59.619000000000007</v>
      </c>
      <c r="T923" s="64">
        <f t="shared" si="204"/>
        <v>225</v>
      </c>
      <c r="U923" s="66">
        <f t="shared" si="205"/>
        <v>3691.4190000000003</v>
      </c>
      <c r="V923" s="68">
        <f t="shared" si="206"/>
        <v>61.523650000000004</v>
      </c>
      <c r="W923" s="68">
        <f t="shared" si="207"/>
        <v>480.65351562500001</v>
      </c>
      <c r="X923" s="68">
        <f t="shared" si="208"/>
        <v>320.43567708333336</v>
      </c>
      <c r="Z923" s="63"/>
      <c r="AA923" s="63"/>
    </row>
    <row r="924" spans="1:27" x14ac:dyDescent="0.25">
      <c r="A924" t="str">
        <f t="shared" si="209"/>
        <v>10620051B23/05/2026M</v>
      </c>
      <c r="B924" s="169" t="s">
        <v>823</v>
      </c>
      <c r="C924" s="61" t="s">
        <v>396</v>
      </c>
      <c r="D924" s="61" t="s">
        <v>591</v>
      </c>
      <c r="E924" s="61" t="s">
        <v>592</v>
      </c>
      <c r="F924" s="1" t="s">
        <v>374</v>
      </c>
      <c r="G924" s="62" t="str">
        <f t="shared" si="210"/>
        <v>64543</v>
      </c>
      <c r="H924" s="1">
        <v>10620051</v>
      </c>
      <c r="I924" s="1" t="s">
        <v>387</v>
      </c>
      <c r="J924" s="61">
        <v>60</v>
      </c>
      <c r="K924" s="61">
        <v>7</v>
      </c>
      <c r="L924" s="61">
        <v>9</v>
      </c>
      <c r="M924" s="69">
        <f t="shared" si="198"/>
        <v>4.2</v>
      </c>
      <c r="N924" s="69">
        <f t="shared" si="199"/>
        <v>5.4</v>
      </c>
      <c r="O924" s="56">
        <v>58.45</v>
      </c>
      <c r="P924" s="57">
        <f t="shared" si="200"/>
        <v>3507</v>
      </c>
      <c r="Q924" s="58">
        <f t="shared" si="201"/>
        <v>449.61538461538464</v>
      </c>
      <c r="R924" s="58">
        <f t="shared" si="202"/>
        <v>299.74358974358978</v>
      </c>
      <c r="S924" s="66">
        <f t="shared" si="203"/>
        <v>61.372500000000009</v>
      </c>
      <c r="T924" s="64">
        <f t="shared" si="204"/>
        <v>225</v>
      </c>
      <c r="U924" s="66">
        <f t="shared" si="205"/>
        <v>3793.3724999999999</v>
      </c>
      <c r="V924" s="68">
        <f t="shared" si="206"/>
        <v>63.222875000000002</v>
      </c>
      <c r="W924" s="68">
        <f t="shared" si="207"/>
        <v>486.32980769230767</v>
      </c>
      <c r="X924" s="68">
        <f t="shared" si="208"/>
        <v>324.21987179487178</v>
      </c>
      <c r="Z924" s="63"/>
      <c r="AA924" s="63"/>
    </row>
    <row r="925" spans="1:27" x14ac:dyDescent="0.25">
      <c r="A925" t="str">
        <f t="shared" si="209"/>
        <v>10620051B24/05/2026E</v>
      </c>
      <c r="B925" s="169" t="s">
        <v>823</v>
      </c>
      <c r="C925" s="61" t="s">
        <v>397</v>
      </c>
      <c r="D925" s="61" t="s">
        <v>591</v>
      </c>
      <c r="E925" s="61" t="s">
        <v>592</v>
      </c>
      <c r="F925" s="1" t="s">
        <v>374</v>
      </c>
      <c r="G925" s="62" t="str">
        <f t="shared" si="210"/>
        <v>64543</v>
      </c>
      <c r="H925" s="1">
        <v>10620051</v>
      </c>
      <c r="I925" s="1" t="s">
        <v>387</v>
      </c>
      <c r="J925" s="61">
        <v>80</v>
      </c>
      <c r="K925" s="61">
        <v>7</v>
      </c>
      <c r="L925" s="61">
        <v>9</v>
      </c>
      <c r="M925" s="69">
        <f t="shared" si="198"/>
        <v>5.6</v>
      </c>
      <c r="N925" s="69">
        <f t="shared" si="199"/>
        <v>7.2</v>
      </c>
      <c r="O925" s="56">
        <v>58.45</v>
      </c>
      <c r="P925" s="57">
        <f t="shared" si="200"/>
        <v>4676</v>
      </c>
      <c r="Q925" s="58">
        <f t="shared" si="201"/>
        <v>449.61538461538464</v>
      </c>
      <c r="R925" s="58">
        <f t="shared" si="202"/>
        <v>299.74358974358978</v>
      </c>
      <c r="S925" s="66">
        <f t="shared" si="203"/>
        <v>81.830000000000013</v>
      </c>
      <c r="T925" s="64">
        <f t="shared" si="204"/>
        <v>300</v>
      </c>
      <c r="U925" s="66">
        <f t="shared" si="205"/>
        <v>5057.83</v>
      </c>
      <c r="V925" s="68">
        <f t="shared" si="206"/>
        <v>63.222875000000002</v>
      </c>
      <c r="W925" s="68">
        <f t="shared" si="207"/>
        <v>486.32980769230767</v>
      </c>
      <c r="X925" s="68">
        <f t="shared" si="208"/>
        <v>324.21987179487178</v>
      </c>
      <c r="Z925" s="63"/>
      <c r="AA925" s="63"/>
    </row>
    <row r="926" spans="1:27" x14ac:dyDescent="0.25">
      <c r="A926" t="str">
        <f t="shared" si="209"/>
        <v>10620051B24/05/2026M</v>
      </c>
      <c r="B926" s="169" t="s">
        <v>824</v>
      </c>
      <c r="C926" s="61" t="s">
        <v>396</v>
      </c>
      <c r="D926" s="61" t="s">
        <v>591</v>
      </c>
      <c r="E926" s="61" t="s">
        <v>592</v>
      </c>
      <c r="F926" s="1" t="s">
        <v>374</v>
      </c>
      <c r="G926" s="62" t="str">
        <f t="shared" si="210"/>
        <v>64543</v>
      </c>
      <c r="H926" s="1">
        <v>10620051</v>
      </c>
      <c r="I926" s="1" t="s">
        <v>387</v>
      </c>
      <c r="J926" s="61">
        <v>70</v>
      </c>
      <c r="K926" s="61">
        <v>7</v>
      </c>
      <c r="L926" s="61">
        <v>9</v>
      </c>
      <c r="M926" s="69">
        <f t="shared" ref="M926:M944" si="211">K926*J926/100</f>
        <v>4.9000000000000004</v>
      </c>
      <c r="N926" s="69">
        <f t="shared" ref="N926:N944" si="212">L926*J926/100</f>
        <v>6.3</v>
      </c>
      <c r="O926" s="56">
        <v>58.45</v>
      </c>
      <c r="P926" s="57">
        <f t="shared" ref="P926:P944" si="213">O926*J926</f>
        <v>4091.5</v>
      </c>
      <c r="Q926" s="58">
        <f t="shared" ref="Q926:Q944" si="214">O926/(K926%+L926%*2/3)</f>
        <v>449.61538461538464</v>
      </c>
      <c r="R926" s="58">
        <f t="shared" ref="R926:R944" si="215">Q926*2/3</f>
        <v>299.74358974358978</v>
      </c>
      <c r="S926" s="66">
        <f t="shared" ref="S926:S944" si="216">P926*1.75%</f>
        <v>71.601250000000007</v>
      </c>
      <c r="T926" s="64">
        <f t="shared" ref="T926:T944" si="217">J926*3.75</f>
        <v>262.5</v>
      </c>
      <c r="U926" s="66">
        <f t="shared" ref="U926:U944" si="218">S926+T926+P926</f>
        <v>4425.6012499999997</v>
      </c>
      <c r="V926" s="68">
        <f t="shared" ref="V926:V944" si="219">U926/J926</f>
        <v>63.222874999999995</v>
      </c>
      <c r="W926" s="68">
        <f t="shared" ref="W926:W944" si="220">V926/(K926%+L926%*2/3)</f>
        <v>486.32980769230761</v>
      </c>
      <c r="X926" s="68">
        <f t="shared" ref="X926:X944" si="221">W926*2/3</f>
        <v>324.21987179487172</v>
      </c>
      <c r="Z926" s="63"/>
      <c r="AA926" s="63"/>
    </row>
    <row r="927" spans="1:27" x14ac:dyDescent="0.25">
      <c r="A927" t="str">
        <f t="shared" si="209"/>
        <v>10620051B24/05/2026E</v>
      </c>
      <c r="B927" s="169" t="s">
        <v>824</v>
      </c>
      <c r="C927" s="61" t="s">
        <v>397</v>
      </c>
      <c r="D927" s="61" t="s">
        <v>591</v>
      </c>
      <c r="E927" s="61" t="s">
        <v>592</v>
      </c>
      <c r="F927" s="1" t="s">
        <v>374</v>
      </c>
      <c r="G927" s="62" t="str">
        <f t="shared" si="210"/>
        <v>64543</v>
      </c>
      <c r="H927" s="1">
        <v>10620051</v>
      </c>
      <c r="I927" s="1" t="s">
        <v>387</v>
      </c>
      <c r="J927" s="61">
        <v>60</v>
      </c>
      <c r="K927" s="61">
        <v>7</v>
      </c>
      <c r="L927" s="61">
        <v>9</v>
      </c>
      <c r="M927" s="69">
        <f t="shared" si="211"/>
        <v>4.2</v>
      </c>
      <c r="N927" s="69">
        <f t="shared" si="212"/>
        <v>5.4</v>
      </c>
      <c r="O927" s="56">
        <v>58.45</v>
      </c>
      <c r="P927" s="57">
        <f t="shared" si="213"/>
        <v>3507</v>
      </c>
      <c r="Q927" s="58">
        <f t="shared" si="214"/>
        <v>449.61538461538464</v>
      </c>
      <c r="R927" s="58">
        <f t="shared" si="215"/>
        <v>299.74358974358978</v>
      </c>
      <c r="S927" s="66">
        <f t="shared" si="216"/>
        <v>61.372500000000009</v>
      </c>
      <c r="T927" s="64">
        <f t="shared" si="217"/>
        <v>225</v>
      </c>
      <c r="U927" s="66">
        <f t="shared" si="218"/>
        <v>3793.3724999999999</v>
      </c>
      <c r="V927" s="68">
        <f t="shared" si="219"/>
        <v>63.222875000000002</v>
      </c>
      <c r="W927" s="68">
        <f t="shared" si="220"/>
        <v>486.32980769230767</v>
      </c>
      <c r="X927" s="68">
        <f t="shared" si="221"/>
        <v>324.21987179487178</v>
      </c>
      <c r="Z927" s="63"/>
      <c r="AA927" s="63"/>
    </row>
    <row r="928" spans="1:27" x14ac:dyDescent="0.25">
      <c r="A928" t="str">
        <f t="shared" si="209"/>
        <v>10620051C25/05/2026E</v>
      </c>
      <c r="B928" s="169" t="s">
        <v>824</v>
      </c>
      <c r="C928" s="61" t="s">
        <v>397</v>
      </c>
      <c r="D928" s="61" t="s">
        <v>591</v>
      </c>
      <c r="E928" s="61" t="s">
        <v>592</v>
      </c>
      <c r="F928" s="1" t="s">
        <v>374</v>
      </c>
      <c r="G928" s="62" t="str">
        <f t="shared" si="210"/>
        <v>64543</v>
      </c>
      <c r="H928" s="1">
        <v>10620051</v>
      </c>
      <c r="I928" s="1" t="s">
        <v>388</v>
      </c>
      <c r="J928" s="61">
        <v>6000</v>
      </c>
      <c r="K928" s="61">
        <v>3.8</v>
      </c>
      <c r="L928" s="61">
        <v>8</v>
      </c>
      <c r="M928" s="69">
        <f t="shared" si="211"/>
        <v>228</v>
      </c>
      <c r="N928" s="69">
        <f t="shared" si="212"/>
        <v>480</v>
      </c>
      <c r="O928" s="56">
        <v>36.169056000000005</v>
      </c>
      <c r="P928" s="57">
        <f t="shared" si="213"/>
        <v>217014.33600000004</v>
      </c>
      <c r="Q928" s="58">
        <f t="shared" si="214"/>
        <v>396.01156204379566</v>
      </c>
      <c r="R928" s="58">
        <f t="shared" si="215"/>
        <v>264.00770802919709</v>
      </c>
      <c r="S928" s="66">
        <f t="shared" si="216"/>
        <v>3797.750880000001</v>
      </c>
      <c r="T928" s="64">
        <f t="shared" si="217"/>
        <v>22500</v>
      </c>
      <c r="U928" s="66">
        <f t="shared" si="218"/>
        <v>243312.08688000005</v>
      </c>
      <c r="V928" s="68">
        <f t="shared" si="219"/>
        <v>40.552014480000011</v>
      </c>
      <c r="W928" s="68">
        <f t="shared" si="220"/>
        <v>444.00015854014612</v>
      </c>
      <c r="X928" s="68">
        <f t="shared" si="221"/>
        <v>296.00010569343073</v>
      </c>
      <c r="Z928" s="63"/>
      <c r="AA928" s="63"/>
    </row>
    <row r="929" spans="1:27" x14ac:dyDescent="0.25">
      <c r="A929" t="str">
        <f t="shared" si="209"/>
        <v>10620051B25/05/2026M</v>
      </c>
      <c r="B929" s="169" t="s">
        <v>825</v>
      </c>
      <c r="C929" s="61" t="s">
        <v>396</v>
      </c>
      <c r="D929" s="61" t="s">
        <v>591</v>
      </c>
      <c r="E929" s="61" t="s">
        <v>592</v>
      </c>
      <c r="F929" s="1" t="s">
        <v>374</v>
      </c>
      <c r="G929" s="62" t="str">
        <f t="shared" si="210"/>
        <v>64543</v>
      </c>
      <c r="H929" s="1">
        <v>10620051</v>
      </c>
      <c r="I929" s="1" t="s">
        <v>387</v>
      </c>
      <c r="J929" s="61">
        <v>65</v>
      </c>
      <c r="K929" s="61">
        <v>7</v>
      </c>
      <c r="L929" s="61">
        <v>9</v>
      </c>
      <c r="M929" s="69">
        <f t="shared" si="211"/>
        <v>4.55</v>
      </c>
      <c r="N929" s="69">
        <f t="shared" si="212"/>
        <v>5.85</v>
      </c>
      <c r="O929" s="56">
        <v>58.45</v>
      </c>
      <c r="P929" s="57">
        <f t="shared" si="213"/>
        <v>3799.25</v>
      </c>
      <c r="Q929" s="58">
        <f t="shared" si="214"/>
        <v>449.61538461538464</v>
      </c>
      <c r="R929" s="58">
        <f t="shared" si="215"/>
        <v>299.74358974358978</v>
      </c>
      <c r="S929" s="66">
        <f t="shared" si="216"/>
        <v>66.486875000000012</v>
      </c>
      <c r="T929" s="64">
        <f t="shared" si="217"/>
        <v>243.75</v>
      </c>
      <c r="U929" s="66">
        <f t="shared" si="218"/>
        <v>4109.4868749999996</v>
      </c>
      <c r="V929" s="68">
        <f t="shared" si="219"/>
        <v>63.222874999999995</v>
      </c>
      <c r="W929" s="68">
        <f t="shared" si="220"/>
        <v>486.32980769230761</v>
      </c>
      <c r="X929" s="68">
        <f t="shared" si="221"/>
        <v>324.21987179487172</v>
      </c>
      <c r="Z929" s="63"/>
      <c r="AA929" s="63"/>
    </row>
    <row r="930" spans="1:27" x14ac:dyDescent="0.25">
      <c r="A930" t="str">
        <f t="shared" si="209"/>
        <v>10620051C25/05/2026M</v>
      </c>
      <c r="B930" s="169" t="s">
        <v>825</v>
      </c>
      <c r="C930" s="61" t="s">
        <v>396</v>
      </c>
      <c r="D930" s="61" t="s">
        <v>591</v>
      </c>
      <c r="E930" s="61" t="s">
        <v>592</v>
      </c>
      <c r="F930" s="1" t="s">
        <v>374</v>
      </c>
      <c r="G930" s="62" t="str">
        <f t="shared" si="210"/>
        <v>64543</v>
      </c>
      <c r="H930" s="1">
        <v>10620051</v>
      </c>
      <c r="I930" s="1" t="s">
        <v>388</v>
      </c>
      <c r="J930" s="61">
        <v>6000</v>
      </c>
      <c r="K930" s="61">
        <v>3.8</v>
      </c>
      <c r="L930" s="61">
        <v>8</v>
      </c>
      <c r="M930" s="69">
        <f t="shared" si="211"/>
        <v>228</v>
      </c>
      <c r="N930" s="69">
        <f t="shared" si="212"/>
        <v>480</v>
      </c>
      <c r="O930" s="56">
        <v>36.169056000000005</v>
      </c>
      <c r="P930" s="57">
        <f t="shared" si="213"/>
        <v>217014.33600000004</v>
      </c>
      <c r="Q930" s="58">
        <f t="shared" si="214"/>
        <v>396.01156204379566</v>
      </c>
      <c r="R930" s="58">
        <f t="shared" si="215"/>
        <v>264.00770802919709</v>
      </c>
      <c r="S930" s="66">
        <f t="shared" si="216"/>
        <v>3797.750880000001</v>
      </c>
      <c r="T930" s="64">
        <f t="shared" si="217"/>
        <v>22500</v>
      </c>
      <c r="U930" s="66">
        <f t="shared" si="218"/>
        <v>243312.08688000005</v>
      </c>
      <c r="V930" s="68">
        <f t="shared" si="219"/>
        <v>40.552014480000011</v>
      </c>
      <c r="W930" s="68">
        <f t="shared" si="220"/>
        <v>444.00015854014612</v>
      </c>
      <c r="X930" s="68">
        <f t="shared" si="221"/>
        <v>296.00010569343073</v>
      </c>
      <c r="Z930" s="63"/>
      <c r="AA930" s="63"/>
    </row>
    <row r="931" spans="1:27" x14ac:dyDescent="0.25">
      <c r="A931" t="str">
        <f t="shared" si="209"/>
        <v>10620051B25/05/2026E</v>
      </c>
      <c r="B931" s="169" t="s">
        <v>825</v>
      </c>
      <c r="C931" s="61" t="s">
        <v>397</v>
      </c>
      <c r="D931" s="61" t="s">
        <v>591</v>
      </c>
      <c r="E931" s="61" t="s">
        <v>592</v>
      </c>
      <c r="F931" s="1" t="s">
        <v>374</v>
      </c>
      <c r="G931" s="62" t="str">
        <f t="shared" si="210"/>
        <v>64543</v>
      </c>
      <c r="H931" s="1">
        <v>10620051</v>
      </c>
      <c r="I931" s="1" t="s">
        <v>387</v>
      </c>
      <c r="J931" s="61">
        <v>60</v>
      </c>
      <c r="K931" s="61">
        <v>7</v>
      </c>
      <c r="L931" s="61">
        <v>9</v>
      </c>
      <c r="M931" s="69">
        <f t="shared" si="211"/>
        <v>4.2</v>
      </c>
      <c r="N931" s="69">
        <f t="shared" si="212"/>
        <v>5.4</v>
      </c>
      <c r="O931" s="56">
        <v>58.45</v>
      </c>
      <c r="P931" s="57">
        <f t="shared" si="213"/>
        <v>3507</v>
      </c>
      <c r="Q931" s="58">
        <f t="shared" si="214"/>
        <v>449.61538461538464</v>
      </c>
      <c r="R931" s="58">
        <f t="shared" si="215"/>
        <v>299.74358974358978</v>
      </c>
      <c r="S931" s="66">
        <f t="shared" si="216"/>
        <v>61.372500000000009</v>
      </c>
      <c r="T931" s="64">
        <f t="shared" si="217"/>
        <v>225</v>
      </c>
      <c r="U931" s="66">
        <f t="shared" si="218"/>
        <v>3793.3724999999999</v>
      </c>
      <c r="V931" s="68">
        <f t="shared" si="219"/>
        <v>63.222875000000002</v>
      </c>
      <c r="W931" s="68">
        <f t="shared" si="220"/>
        <v>486.32980769230767</v>
      </c>
      <c r="X931" s="68">
        <f t="shared" si="221"/>
        <v>324.21987179487178</v>
      </c>
      <c r="Z931" s="63"/>
      <c r="AA931" s="63"/>
    </row>
    <row r="932" spans="1:27" x14ac:dyDescent="0.25">
      <c r="A932" t="str">
        <f t="shared" si="209"/>
        <v>10620051C26/05/2026E</v>
      </c>
      <c r="B932" s="169" t="s">
        <v>825</v>
      </c>
      <c r="C932" s="61" t="s">
        <v>397</v>
      </c>
      <c r="D932" s="61" t="s">
        <v>591</v>
      </c>
      <c r="E932" s="61" t="s">
        <v>592</v>
      </c>
      <c r="F932" s="1" t="s">
        <v>374</v>
      </c>
      <c r="G932" s="62" t="str">
        <f t="shared" si="210"/>
        <v>64543</v>
      </c>
      <c r="H932" s="1">
        <v>10620051</v>
      </c>
      <c r="I932" s="1" t="s">
        <v>388</v>
      </c>
      <c r="J932" s="61">
        <v>4000</v>
      </c>
      <c r="K932" s="61">
        <v>3.8</v>
      </c>
      <c r="L932" s="61">
        <v>8</v>
      </c>
      <c r="M932" s="69">
        <f t="shared" si="211"/>
        <v>152</v>
      </c>
      <c r="N932" s="69">
        <f t="shared" si="212"/>
        <v>320</v>
      </c>
      <c r="O932" s="56">
        <v>36.169056000000005</v>
      </c>
      <c r="P932" s="57">
        <f t="shared" si="213"/>
        <v>144676.22400000002</v>
      </c>
      <c r="Q932" s="58">
        <f t="shared" si="214"/>
        <v>396.01156204379566</v>
      </c>
      <c r="R932" s="58">
        <f t="shared" si="215"/>
        <v>264.00770802919709</v>
      </c>
      <c r="S932" s="66">
        <f t="shared" si="216"/>
        <v>2531.8339200000005</v>
      </c>
      <c r="T932" s="64">
        <f t="shared" si="217"/>
        <v>15000</v>
      </c>
      <c r="U932" s="66">
        <f t="shared" si="218"/>
        <v>162208.05792000002</v>
      </c>
      <c r="V932" s="68">
        <f t="shared" si="219"/>
        <v>40.552014480000004</v>
      </c>
      <c r="W932" s="68">
        <f t="shared" si="220"/>
        <v>444.000158540146</v>
      </c>
      <c r="X932" s="68">
        <f t="shared" si="221"/>
        <v>296.00010569343067</v>
      </c>
      <c r="Z932" s="63"/>
      <c r="AA932" s="63"/>
    </row>
    <row r="933" spans="1:27" x14ac:dyDescent="0.25">
      <c r="A933" t="str">
        <f t="shared" si="209"/>
        <v>10620051B26/05/2026M</v>
      </c>
      <c r="B933" s="169" t="s">
        <v>826</v>
      </c>
      <c r="C933" s="61" t="s">
        <v>396</v>
      </c>
      <c r="D933" s="61" t="s">
        <v>591</v>
      </c>
      <c r="E933" s="61" t="s">
        <v>592</v>
      </c>
      <c r="F933" s="1" t="s">
        <v>374</v>
      </c>
      <c r="G933" s="62" t="str">
        <f t="shared" si="210"/>
        <v>64543</v>
      </c>
      <c r="H933" s="1">
        <v>10620051</v>
      </c>
      <c r="I933" s="1" t="s">
        <v>387</v>
      </c>
      <c r="J933" s="61">
        <v>65</v>
      </c>
      <c r="K933" s="61">
        <v>7</v>
      </c>
      <c r="L933" s="61">
        <v>9</v>
      </c>
      <c r="M933" s="69">
        <f t="shared" si="211"/>
        <v>4.55</v>
      </c>
      <c r="N933" s="69">
        <f t="shared" si="212"/>
        <v>5.85</v>
      </c>
      <c r="O933" s="56">
        <f>INDEX(Rate_Chart!$A$1:$AK$127,MATCH(Data!K933,Rate_Chart!$A$1:$A$127,0),MATCH(Data!L933,Rate_Chart!$A$1:$AK$1,0))</f>
        <v>58.45</v>
      </c>
      <c r="P933" s="57">
        <f t="shared" si="213"/>
        <v>3799.25</v>
      </c>
      <c r="Q933" s="58">
        <f t="shared" si="214"/>
        <v>449.61538461538464</v>
      </c>
      <c r="R933" s="58">
        <f t="shared" si="215"/>
        <v>299.74358974358978</v>
      </c>
      <c r="S933" s="66">
        <f t="shared" si="216"/>
        <v>66.486875000000012</v>
      </c>
      <c r="T933" s="64">
        <f t="shared" si="217"/>
        <v>243.75</v>
      </c>
      <c r="U933" s="66">
        <f t="shared" si="218"/>
        <v>4109.4868749999996</v>
      </c>
      <c r="V933" s="68">
        <f t="shared" si="219"/>
        <v>63.222874999999995</v>
      </c>
      <c r="W933" s="68">
        <f t="shared" si="220"/>
        <v>486.32980769230761</v>
      </c>
      <c r="X933" s="68">
        <f t="shared" si="221"/>
        <v>324.21987179487172</v>
      </c>
      <c r="Z933" s="63"/>
      <c r="AA933" s="63"/>
    </row>
    <row r="934" spans="1:27" x14ac:dyDescent="0.25">
      <c r="A934" t="str">
        <f t="shared" si="209"/>
        <v>10620051C26/05/2026M</v>
      </c>
      <c r="B934" s="169" t="s">
        <v>826</v>
      </c>
      <c r="C934" s="61" t="s">
        <v>396</v>
      </c>
      <c r="D934" s="61" t="s">
        <v>591</v>
      </c>
      <c r="E934" s="61" t="s">
        <v>592</v>
      </c>
      <c r="F934" s="1" t="s">
        <v>374</v>
      </c>
      <c r="G934" s="62" t="str">
        <f t="shared" si="210"/>
        <v>64543</v>
      </c>
      <c r="H934" s="1">
        <v>10620051</v>
      </c>
      <c r="I934" s="1" t="s">
        <v>388</v>
      </c>
      <c r="J934" s="61">
        <v>2000</v>
      </c>
      <c r="K934" s="61">
        <v>3.8</v>
      </c>
      <c r="L934" s="61">
        <v>8</v>
      </c>
      <c r="M934" s="69">
        <f t="shared" si="211"/>
        <v>76</v>
      </c>
      <c r="N934" s="69">
        <f t="shared" si="212"/>
        <v>160</v>
      </c>
      <c r="O934" s="56">
        <f>INDEX(Rate_Chart!$A$1:$AK$127,MATCH(Data!K934,Rate_Chart!$A$1:$A$127,0),MATCH(Data!L934,Rate_Chart!$A$1:$AK$1,0))</f>
        <v>38.087112000000005</v>
      </c>
      <c r="P934" s="57">
        <f t="shared" si="213"/>
        <v>76174.224000000017</v>
      </c>
      <c r="Q934" s="58">
        <f t="shared" si="214"/>
        <v>417.01217518248177</v>
      </c>
      <c r="R934" s="58">
        <f t="shared" si="215"/>
        <v>278.00811678832116</v>
      </c>
      <c r="S934" s="66">
        <f t="shared" si="216"/>
        <v>1333.0489200000004</v>
      </c>
      <c r="T934" s="64">
        <f t="shared" si="217"/>
        <v>7500</v>
      </c>
      <c r="U934" s="66">
        <f t="shared" si="218"/>
        <v>85007.272920000018</v>
      </c>
      <c r="V934" s="68">
        <f t="shared" si="219"/>
        <v>42.50363646000001</v>
      </c>
      <c r="W934" s="68">
        <f t="shared" si="220"/>
        <v>465.36828240875923</v>
      </c>
      <c r="X934" s="68">
        <f t="shared" si="221"/>
        <v>310.24552160583949</v>
      </c>
      <c r="Z934" s="63"/>
      <c r="AA934" s="63"/>
    </row>
    <row r="935" spans="1:27" x14ac:dyDescent="0.25">
      <c r="A935" t="str">
        <f t="shared" si="209"/>
        <v>10620051B27/05/2026E</v>
      </c>
      <c r="B935" s="169" t="s">
        <v>826</v>
      </c>
      <c r="C935" s="61" t="s">
        <v>397</v>
      </c>
      <c r="D935" s="61" t="s">
        <v>591</v>
      </c>
      <c r="E935" s="61" t="s">
        <v>592</v>
      </c>
      <c r="F935" s="1" t="s">
        <v>374</v>
      </c>
      <c r="G935" s="62" t="str">
        <f t="shared" si="210"/>
        <v>64543</v>
      </c>
      <c r="H935" s="1">
        <v>10620051</v>
      </c>
      <c r="I935" s="1" t="s">
        <v>387</v>
      </c>
      <c r="J935" s="61">
        <v>70</v>
      </c>
      <c r="K935" s="61">
        <v>7</v>
      </c>
      <c r="L935" s="61">
        <v>9</v>
      </c>
      <c r="M935" s="69">
        <f t="shared" si="211"/>
        <v>4.9000000000000004</v>
      </c>
      <c r="N935" s="69">
        <f t="shared" si="212"/>
        <v>6.3</v>
      </c>
      <c r="O935" s="56">
        <f>INDEX(Rate_Chart!$A$1:$AK$127,MATCH(Data!K935,Rate_Chart!$A$1:$A$127,0),MATCH(Data!L935,Rate_Chart!$A$1:$AK$1,0))</f>
        <v>58.45</v>
      </c>
      <c r="P935" s="57">
        <f t="shared" si="213"/>
        <v>4091.5</v>
      </c>
      <c r="Q935" s="58">
        <f t="shared" si="214"/>
        <v>449.61538461538464</v>
      </c>
      <c r="R935" s="58">
        <f t="shared" si="215"/>
        <v>299.74358974358978</v>
      </c>
      <c r="S935" s="66">
        <f t="shared" si="216"/>
        <v>71.601250000000007</v>
      </c>
      <c r="T935" s="64">
        <f t="shared" si="217"/>
        <v>262.5</v>
      </c>
      <c r="U935" s="66">
        <f t="shared" si="218"/>
        <v>4425.6012499999997</v>
      </c>
      <c r="V935" s="68">
        <f t="shared" si="219"/>
        <v>63.222874999999995</v>
      </c>
      <c r="W935" s="68">
        <f t="shared" si="220"/>
        <v>486.32980769230761</v>
      </c>
      <c r="X935" s="68">
        <f t="shared" si="221"/>
        <v>324.21987179487172</v>
      </c>
      <c r="Z935" s="63"/>
      <c r="AA935" s="63"/>
    </row>
    <row r="936" spans="1:27" x14ac:dyDescent="0.25">
      <c r="A936" t="str">
        <f t="shared" si="209"/>
        <v>10620051B27/05/2026M</v>
      </c>
      <c r="B936" s="169" t="s">
        <v>827</v>
      </c>
      <c r="C936" s="61" t="s">
        <v>396</v>
      </c>
      <c r="D936" s="61" t="s">
        <v>591</v>
      </c>
      <c r="E936" s="61" t="s">
        <v>592</v>
      </c>
      <c r="F936" s="1" t="s">
        <v>374</v>
      </c>
      <c r="G936" s="62" t="str">
        <f t="shared" si="210"/>
        <v>64543</v>
      </c>
      <c r="H936" s="1">
        <v>10620051</v>
      </c>
      <c r="I936" s="1" t="s">
        <v>387</v>
      </c>
      <c r="J936" s="61">
        <v>70</v>
      </c>
      <c r="K936" s="61">
        <v>7</v>
      </c>
      <c r="L936" s="61">
        <v>9</v>
      </c>
      <c r="M936" s="69">
        <f t="shared" si="211"/>
        <v>4.9000000000000004</v>
      </c>
      <c r="N936" s="69">
        <f t="shared" si="212"/>
        <v>6.3</v>
      </c>
      <c r="O936" s="56">
        <f>INDEX(Rate_Chart!$A$1:$AK$127,MATCH(Data!K936,Rate_Chart!$A$1:$A$127,0),MATCH(Data!L936,Rate_Chart!$A$1:$AK$1,0))</f>
        <v>58.45</v>
      </c>
      <c r="P936" s="57">
        <f t="shared" si="213"/>
        <v>4091.5</v>
      </c>
      <c r="Q936" s="58">
        <f t="shared" si="214"/>
        <v>449.61538461538464</v>
      </c>
      <c r="R936" s="58">
        <f t="shared" si="215"/>
        <v>299.74358974358978</v>
      </c>
      <c r="S936" s="66">
        <f t="shared" si="216"/>
        <v>71.601250000000007</v>
      </c>
      <c r="T936" s="64">
        <f t="shared" si="217"/>
        <v>262.5</v>
      </c>
      <c r="U936" s="66">
        <f t="shared" si="218"/>
        <v>4425.6012499999997</v>
      </c>
      <c r="V936" s="68">
        <f t="shared" si="219"/>
        <v>63.222874999999995</v>
      </c>
      <c r="W936" s="68">
        <f t="shared" si="220"/>
        <v>486.32980769230761</v>
      </c>
      <c r="X936" s="68">
        <f t="shared" si="221"/>
        <v>324.21987179487172</v>
      </c>
      <c r="Z936" s="63"/>
      <c r="AA936" s="63"/>
    </row>
    <row r="937" spans="1:27" x14ac:dyDescent="0.25">
      <c r="A937" t="str">
        <f t="shared" si="209"/>
        <v>10620051B27/05/2026E</v>
      </c>
      <c r="B937" s="240" t="s">
        <v>827</v>
      </c>
      <c r="C937" s="241" t="s">
        <v>397</v>
      </c>
      <c r="D937" s="241" t="s">
        <v>591</v>
      </c>
      <c r="E937" s="241" t="s">
        <v>592</v>
      </c>
      <c r="F937" s="242" t="s">
        <v>374</v>
      </c>
      <c r="G937" s="243" t="str">
        <f t="shared" si="210"/>
        <v>64543</v>
      </c>
      <c r="H937" s="242">
        <v>10620051</v>
      </c>
      <c r="I937" s="242" t="s">
        <v>387</v>
      </c>
      <c r="J937" s="241">
        <v>70</v>
      </c>
      <c r="K937" s="241">
        <v>7</v>
      </c>
      <c r="L937" s="241">
        <v>9</v>
      </c>
      <c r="M937" s="244">
        <f t="shared" si="211"/>
        <v>4.9000000000000004</v>
      </c>
      <c r="N937" s="244">
        <f t="shared" si="212"/>
        <v>6.3</v>
      </c>
      <c r="O937" s="245">
        <f>INDEX(Rate_Chart!$A$1:$AK$127,MATCH(Data!K937,Rate_Chart!$A$1:$A$127,0),MATCH(Data!L937,Rate_Chart!$A$1:$AK$1,0))</f>
        <v>58.45</v>
      </c>
      <c r="P937" s="246">
        <f t="shared" si="213"/>
        <v>4091.5</v>
      </c>
      <c r="Q937" s="247">
        <f t="shared" si="214"/>
        <v>449.61538461538464</v>
      </c>
      <c r="R937" s="247">
        <f t="shared" si="215"/>
        <v>299.74358974358978</v>
      </c>
      <c r="S937" s="248">
        <f t="shared" si="216"/>
        <v>71.601250000000007</v>
      </c>
      <c r="T937" s="249">
        <f t="shared" si="217"/>
        <v>262.5</v>
      </c>
      <c r="U937" s="248">
        <f t="shared" si="218"/>
        <v>4425.6012499999997</v>
      </c>
      <c r="V937" s="250">
        <f t="shared" si="219"/>
        <v>63.222874999999995</v>
      </c>
      <c r="W937" s="250">
        <f t="shared" si="220"/>
        <v>486.32980769230761</v>
      </c>
      <c r="X937" s="250">
        <f t="shared" si="221"/>
        <v>324.21987179487172</v>
      </c>
      <c r="Z937" s="63"/>
      <c r="AA937" s="63"/>
    </row>
    <row r="938" spans="1:27" x14ac:dyDescent="0.25">
      <c r="A938" t="str">
        <f t="shared" si="209"/>
        <v>10620051C28/05/2026E</v>
      </c>
      <c r="B938" s="240" t="s">
        <v>827</v>
      </c>
      <c r="C938" s="241" t="s">
        <v>397</v>
      </c>
      <c r="D938" s="241" t="s">
        <v>591</v>
      </c>
      <c r="E938" s="241" t="s">
        <v>592</v>
      </c>
      <c r="F938" s="242" t="s">
        <v>374</v>
      </c>
      <c r="G938" s="243" t="str">
        <f t="shared" ref="G938" si="222">MID(F938,2,5)</f>
        <v>64543</v>
      </c>
      <c r="H938" s="242">
        <v>10620051</v>
      </c>
      <c r="I938" s="242" t="s">
        <v>388</v>
      </c>
      <c r="J938" s="241">
        <v>7260</v>
      </c>
      <c r="K938" s="241">
        <v>3.9</v>
      </c>
      <c r="L938" s="241">
        <v>8.1</v>
      </c>
      <c r="M938" s="244">
        <f t="shared" ref="M938" si="223">K938*J938/100</f>
        <v>283.14</v>
      </c>
      <c r="N938" s="244">
        <f t="shared" ref="N938" si="224">L938*J938/100</f>
        <v>588.05999999999995</v>
      </c>
      <c r="O938" s="245">
        <f>INDEX(Rate_Chart!$A$1:$AK$127,MATCH(Data!K938,Rate_Chart!$A$1:$A$127,0),MATCH(Data!L938,Rate_Chart!$A$1:$AK$1,0))</f>
        <v>38.782125900000004</v>
      </c>
      <c r="P938" s="246">
        <f t="shared" ref="P938" si="225">O938*J938</f>
        <v>281558.23403400002</v>
      </c>
      <c r="Q938" s="247">
        <f t="shared" ref="Q938" si="226">O938/(K938%+L938%*2/3)</f>
        <v>417.01210645161296</v>
      </c>
      <c r="R938" s="247">
        <f t="shared" ref="R938" si="227">Q938*2/3</f>
        <v>278.00807096774196</v>
      </c>
      <c r="S938" s="248">
        <f t="shared" ref="S938" si="228">P938*1.75%</f>
        <v>4927.2690955950011</v>
      </c>
      <c r="T938" s="249">
        <f t="shared" ref="T938" si="229">J938*3.75</f>
        <v>27225</v>
      </c>
      <c r="U938" s="248">
        <f t="shared" ref="U938" si="230">S938+T938+P938</f>
        <v>313710.50312959502</v>
      </c>
      <c r="V938" s="250">
        <f t="shared" ref="V938" si="231">U938/J938</f>
        <v>43.210813103250004</v>
      </c>
      <c r="W938" s="250">
        <f t="shared" ref="W938" si="232">V938/(K938%+L938%*2/3)</f>
        <v>464.63239895967746</v>
      </c>
      <c r="X938" s="250">
        <f t="shared" ref="X938" si="233">W938*2/3</f>
        <v>309.75493263978495</v>
      </c>
      <c r="Z938" s="63"/>
      <c r="AA938" s="63"/>
    </row>
    <row r="939" spans="1:27" x14ac:dyDescent="0.25">
      <c r="A939" t="str">
        <f t="shared" si="209"/>
        <v>10620051B28/05/2026M</v>
      </c>
      <c r="B939" s="169" t="s">
        <v>828</v>
      </c>
      <c r="C939" s="61" t="s">
        <v>396</v>
      </c>
      <c r="D939" s="61" t="s">
        <v>591</v>
      </c>
      <c r="E939" s="61" t="s">
        <v>592</v>
      </c>
      <c r="F939" s="1" t="s">
        <v>374</v>
      </c>
      <c r="G939" s="62" t="str">
        <f t="shared" si="210"/>
        <v>64543</v>
      </c>
      <c r="H939" s="1">
        <v>10620051</v>
      </c>
      <c r="I939" s="1" t="s">
        <v>387</v>
      </c>
      <c r="J939" s="61">
        <v>65</v>
      </c>
      <c r="K939" s="61">
        <v>6.9</v>
      </c>
      <c r="L939" s="61">
        <v>9</v>
      </c>
      <c r="M939" s="69">
        <f t="shared" si="211"/>
        <v>4.4850000000000003</v>
      </c>
      <c r="N939" s="69">
        <f t="shared" si="212"/>
        <v>5.85</v>
      </c>
      <c r="O939" s="56">
        <f>INDEX(Rate_Chart!$A$1:$AK$127,MATCH(Data!K939,Rate_Chart!$A$1:$A$127,0),MATCH(Data!L939,Rate_Chart!$A$1:$AK$1,0))</f>
        <v>57.615000000000002</v>
      </c>
      <c r="P939" s="57">
        <f t="shared" si="213"/>
        <v>3744.9749999999999</v>
      </c>
      <c r="Q939" s="58">
        <f t="shared" si="214"/>
        <v>446.62790697674421</v>
      </c>
      <c r="R939" s="58">
        <f t="shared" si="215"/>
        <v>297.75193798449612</v>
      </c>
      <c r="S939" s="66">
        <f t="shared" si="216"/>
        <v>65.537062500000005</v>
      </c>
      <c r="T939" s="64">
        <f t="shared" si="217"/>
        <v>243.75</v>
      </c>
      <c r="U939" s="66">
        <f t="shared" si="218"/>
        <v>4054.2620625</v>
      </c>
      <c r="V939" s="68">
        <f t="shared" si="219"/>
        <v>62.373262500000003</v>
      </c>
      <c r="W939" s="68">
        <f t="shared" si="220"/>
        <v>483.51366279069771</v>
      </c>
      <c r="X939" s="68">
        <f t="shared" si="221"/>
        <v>322.34244186046516</v>
      </c>
      <c r="Z939" s="63"/>
      <c r="AA939" s="63"/>
    </row>
    <row r="940" spans="1:27" x14ac:dyDescent="0.25">
      <c r="A940" t="str">
        <f t="shared" si="209"/>
        <v>10620051C28/05/2026M</v>
      </c>
      <c r="B940" s="169" t="s">
        <v>828</v>
      </c>
      <c r="C940" s="61" t="s">
        <v>396</v>
      </c>
      <c r="D940" s="61" t="s">
        <v>591</v>
      </c>
      <c r="E940" s="61" t="s">
        <v>592</v>
      </c>
      <c r="F940" s="1" t="s">
        <v>374</v>
      </c>
      <c r="G940" s="62" t="str">
        <f t="shared" si="210"/>
        <v>64543</v>
      </c>
      <c r="H940" s="1">
        <v>10620051</v>
      </c>
      <c r="I940" s="1" t="s">
        <v>388</v>
      </c>
      <c r="J940" s="61">
        <v>7000</v>
      </c>
      <c r="K940" s="61">
        <v>4.0999999999999996</v>
      </c>
      <c r="L940" s="61">
        <v>8</v>
      </c>
      <c r="M940" s="69">
        <f t="shared" si="211"/>
        <v>286.99999999999994</v>
      </c>
      <c r="N940" s="69">
        <f t="shared" si="212"/>
        <v>560</v>
      </c>
      <c r="O940" s="56">
        <f>INDEX(Rate_Chart!$A$1:$AK$127,MATCH(Data!K940,Rate_Chart!$A$1:$A$127,0),MATCH(Data!L940,Rate_Chart!$A$1:$AK$1,0))</f>
        <v>39.338112000000002</v>
      </c>
      <c r="P940" s="57">
        <f t="shared" si="213"/>
        <v>275366.78400000004</v>
      </c>
      <c r="Q940" s="58">
        <f t="shared" si="214"/>
        <v>417.01178798586579</v>
      </c>
      <c r="R940" s="58">
        <f t="shared" si="215"/>
        <v>278.00785865724384</v>
      </c>
      <c r="S940" s="66">
        <f t="shared" si="216"/>
        <v>4818.9187200000015</v>
      </c>
      <c r="T940" s="64">
        <f t="shared" si="217"/>
        <v>26250</v>
      </c>
      <c r="U940" s="66">
        <f t="shared" si="218"/>
        <v>306435.70272000006</v>
      </c>
      <c r="V940" s="68">
        <f t="shared" si="219"/>
        <v>43.776528960000007</v>
      </c>
      <c r="W940" s="68">
        <f t="shared" si="220"/>
        <v>464.06214445229693</v>
      </c>
      <c r="X940" s="68">
        <f t="shared" si="221"/>
        <v>309.37476296819796</v>
      </c>
      <c r="Z940" s="63"/>
      <c r="AA940" s="63"/>
    </row>
    <row r="941" spans="1:27" x14ac:dyDescent="0.25">
      <c r="A941" t="str">
        <f t="shared" si="209"/>
        <v>10620051B28/05/2026E</v>
      </c>
      <c r="B941" s="169" t="s">
        <v>828</v>
      </c>
      <c r="C941" s="61" t="s">
        <v>397</v>
      </c>
      <c r="D941" s="61" t="s">
        <v>591</v>
      </c>
      <c r="E941" s="61" t="s">
        <v>592</v>
      </c>
      <c r="F941" s="1" t="s">
        <v>374</v>
      </c>
      <c r="G941" s="62" t="str">
        <f t="shared" si="210"/>
        <v>64543</v>
      </c>
      <c r="H941" s="1">
        <v>10620051</v>
      </c>
      <c r="I941" s="1" t="s">
        <v>387</v>
      </c>
      <c r="J941" s="61">
        <v>70</v>
      </c>
      <c r="K941" s="61">
        <v>7</v>
      </c>
      <c r="L941" s="61">
        <v>9</v>
      </c>
      <c r="M941" s="69">
        <f t="shared" si="211"/>
        <v>4.9000000000000004</v>
      </c>
      <c r="N941" s="69">
        <f t="shared" si="212"/>
        <v>6.3</v>
      </c>
      <c r="O941" s="56">
        <f>INDEX(Rate_Chart!$A$1:$AK$127,MATCH(Data!K941,Rate_Chart!$A$1:$A$127,0),MATCH(Data!L941,Rate_Chart!$A$1:$AK$1,0))</f>
        <v>58.45</v>
      </c>
      <c r="P941" s="57">
        <f t="shared" si="213"/>
        <v>4091.5</v>
      </c>
      <c r="Q941" s="58">
        <f t="shared" si="214"/>
        <v>449.61538461538464</v>
      </c>
      <c r="R941" s="58">
        <f t="shared" si="215"/>
        <v>299.74358974358978</v>
      </c>
      <c r="S941" s="66">
        <f t="shared" si="216"/>
        <v>71.601250000000007</v>
      </c>
      <c r="T941" s="64">
        <f t="shared" si="217"/>
        <v>262.5</v>
      </c>
      <c r="U941" s="66">
        <f t="shared" si="218"/>
        <v>4425.6012499999997</v>
      </c>
      <c r="V941" s="68">
        <f t="shared" si="219"/>
        <v>63.222874999999995</v>
      </c>
      <c r="W941" s="68">
        <f t="shared" si="220"/>
        <v>486.32980769230761</v>
      </c>
      <c r="X941" s="68">
        <f t="shared" si="221"/>
        <v>324.21987179487172</v>
      </c>
      <c r="Z941" s="63"/>
      <c r="AA941" s="63"/>
    </row>
    <row r="942" spans="1:27" x14ac:dyDescent="0.25">
      <c r="A942" t="str">
        <f t="shared" si="209"/>
        <v>10620051C22/05/2026E</v>
      </c>
      <c r="B942" s="169" t="s">
        <v>828</v>
      </c>
      <c r="C942" s="61" t="s">
        <v>397</v>
      </c>
      <c r="D942" s="61" t="s">
        <v>591</v>
      </c>
      <c r="E942" s="61" t="s">
        <v>592</v>
      </c>
      <c r="F942" s="1" t="s">
        <v>374</v>
      </c>
      <c r="G942" s="62" t="str">
        <f t="shared" si="210"/>
        <v>64543</v>
      </c>
      <c r="H942" s="1">
        <v>10620051</v>
      </c>
      <c r="I942" s="1" t="s">
        <v>388</v>
      </c>
      <c r="J942" s="61">
        <v>8220</v>
      </c>
      <c r="K942" s="61">
        <v>3.8</v>
      </c>
      <c r="L942" s="61">
        <v>8</v>
      </c>
      <c r="M942" s="69">
        <f t="shared" si="211"/>
        <v>312.36</v>
      </c>
      <c r="N942" s="69">
        <f t="shared" si="212"/>
        <v>657.6</v>
      </c>
      <c r="O942" s="56">
        <f>INDEX(Rate_Chart!$A$1:$AK$127,MATCH(Data!K942,Rate_Chart!$A$1:$A$127,0),MATCH(Data!L942,Rate_Chart!$A$1:$AK$1,0))</f>
        <v>38.087112000000005</v>
      </c>
      <c r="P942" s="57">
        <f t="shared" si="213"/>
        <v>313076.06064000004</v>
      </c>
      <c r="Q942" s="58">
        <f t="shared" si="214"/>
        <v>417.01217518248177</v>
      </c>
      <c r="R942" s="58">
        <f t="shared" si="215"/>
        <v>278.00811678832116</v>
      </c>
      <c r="S942" s="66">
        <f t="shared" si="216"/>
        <v>5478.8310612000014</v>
      </c>
      <c r="T942" s="64">
        <f t="shared" si="217"/>
        <v>30825</v>
      </c>
      <c r="U942" s="66">
        <f t="shared" si="218"/>
        <v>349379.89170120005</v>
      </c>
      <c r="V942" s="68">
        <f t="shared" si="219"/>
        <v>42.503636460000003</v>
      </c>
      <c r="W942" s="68">
        <f t="shared" si="220"/>
        <v>465.36828240875911</v>
      </c>
      <c r="X942" s="68">
        <f t="shared" si="221"/>
        <v>310.24552160583943</v>
      </c>
      <c r="Z942" s="63"/>
      <c r="AA942" s="63"/>
    </row>
    <row r="943" spans="1:27" hidden="1" x14ac:dyDescent="0.25">
      <c r="A943" t="str">
        <f t="shared" si="209"/>
        <v>10620029B22/05/2026M</v>
      </c>
      <c r="B943" s="169" t="s">
        <v>822</v>
      </c>
      <c r="C943" s="61" t="s">
        <v>396</v>
      </c>
      <c r="D943" s="61" t="s">
        <v>591</v>
      </c>
      <c r="E943" s="61" t="s">
        <v>594</v>
      </c>
      <c r="F943" s="1" t="s">
        <v>375</v>
      </c>
      <c r="G943" s="62" t="str">
        <f t="shared" si="210"/>
        <v>64547</v>
      </c>
      <c r="H943" s="1">
        <v>10620029</v>
      </c>
      <c r="I943" s="1" t="s">
        <v>387</v>
      </c>
      <c r="J943" s="61">
        <v>60</v>
      </c>
      <c r="K943" s="61">
        <v>6.6</v>
      </c>
      <c r="L943" s="61">
        <v>8.8000000000000007</v>
      </c>
      <c r="M943" s="69">
        <f t="shared" si="211"/>
        <v>3.96</v>
      </c>
      <c r="N943" s="69">
        <f t="shared" si="212"/>
        <v>5.28</v>
      </c>
      <c r="O943" s="56">
        <v>54.558900000000001</v>
      </c>
      <c r="P943" s="57">
        <f t="shared" si="213"/>
        <v>3273.5340000000001</v>
      </c>
      <c r="Q943" s="58">
        <f t="shared" si="214"/>
        <v>437.63823529411764</v>
      </c>
      <c r="R943" s="58">
        <f t="shared" si="215"/>
        <v>291.75882352941176</v>
      </c>
      <c r="S943" s="66">
        <f t="shared" si="216"/>
        <v>57.286845000000007</v>
      </c>
      <c r="T943" s="64">
        <f t="shared" si="217"/>
        <v>225</v>
      </c>
      <c r="U943" s="66">
        <f t="shared" si="218"/>
        <v>3555.8208450000002</v>
      </c>
      <c r="V943" s="68">
        <f t="shared" si="219"/>
        <v>59.263680750000006</v>
      </c>
      <c r="W943" s="68">
        <f t="shared" si="220"/>
        <v>475.37711831550803</v>
      </c>
      <c r="X943" s="68">
        <f t="shared" si="221"/>
        <v>316.91807887700537</v>
      </c>
      <c r="Z943" s="63"/>
      <c r="AA943" s="63"/>
    </row>
    <row r="944" spans="1:27" hidden="1" x14ac:dyDescent="0.25">
      <c r="A944" t="str">
        <f t="shared" si="209"/>
        <v>10620029C22/05/2026M</v>
      </c>
      <c r="B944" s="169" t="s">
        <v>822</v>
      </c>
      <c r="C944" s="61" t="s">
        <v>396</v>
      </c>
      <c r="D944" s="61" t="s">
        <v>591</v>
      </c>
      <c r="E944" s="61" t="s">
        <v>594</v>
      </c>
      <c r="F944" s="1" t="s">
        <v>375</v>
      </c>
      <c r="G944" s="62" t="str">
        <f t="shared" si="210"/>
        <v>64547</v>
      </c>
      <c r="H944" s="1">
        <v>10620029</v>
      </c>
      <c r="I944" s="1" t="s">
        <v>388</v>
      </c>
      <c r="J944" s="61">
        <v>18</v>
      </c>
      <c r="K944" s="61">
        <v>3.2</v>
      </c>
      <c r="L944" s="61">
        <v>8</v>
      </c>
      <c r="M944" s="69">
        <f t="shared" si="211"/>
        <v>0.57600000000000007</v>
      </c>
      <c r="N944" s="69">
        <f t="shared" si="212"/>
        <v>1.44</v>
      </c>
      <c r="O944" s="56">
        <v>33.793056000000007</v>
      </c>
      <c r="P944" s="57">
        <f t="shared" si="213"/>
        <v>608.27500800000007</v>
      </c>
      <c r="Q944" s="58">
        <f t="shared" si="214"/>
        <v>396.01237500000002</v>
      </c>
      <c r="R944" s="58">
        <f t="shared" si="215"/>
        <v>264.00825000000003</v>
      </c>
      <c r="S944" s="66">
        <f t="shared" si="216"/>
        <v>10.644812640000001</v>
      </c>
      <c r="T944" s="64">
        <f t="shared" si="217"/>
        <v>67.5</v>
      </c>
      <c r="U944" s="66">
        <f t="shared" si="218"/>
        <v>686.41982064000013</v>
      </c>
      <c r="V944" s="68">
        <f t="shared" si="219"/>
        <v>38.13443448000001</v>
      </c>
      <c r="W944" s="68">
        <f t="shared" si="220"/>
        <v>446.88790406250007</v>
      </c>
      <c r="X944" s="68">
        <f t="shared" si="221"/>
        <v>297.92526937500003</v>
      </c>
      <c r="Z944" s="63"/>
      <c r="AA944" s="63"/>
    </row>
    <row r="945" spans="1:27" hidden="1" x14ac:dyDescent="0.25">
      <c r="A945" t="str">
        <f t="shared" si="209"/>
        <v>10620029B22/05/2026E</v>
      </c>
      <c r="B945" s="169" t="s">
        <v>822</v>
      </c>
      <c r="C945" s="61" t="s">
        <v>397</v>
      </c>
      <c r="D945" s="61" t="s">
        <v>591</v>
      </c>
      <c r="E945" s="61" t="s">
        <v>594</v>
      </c>
      <c r="F945" s="1" t="s">
        <v>375</v>
      </c>
      <c r="G945" s="62" t="str">
        <f t="shared" si="210"/>
        <v>64547</v>
      </c>
      <c r="H945" s="1">
        <v>10620029</v>
      </c>
      <c r="I945" s="1" t="s">
        <v>387</v>
      </c>
      <c r="J945" s="61">
        <v>99</v>
      </c>
      <c r="K945" s="61">
        <v>5.8</v>
      </c>
      <c r="L945" s="61">
        <v>8.4</v>
      </c>
      <c r="M945" s="69">
        <f t="shared" ref="M945:M950" si="234">K945*J945/100</f>
        <v>5.7419999999999991</v>
      </c>
      <c r="N945" s="69">
        <f t="shared" ref="N945:N950" si="235">L945*J945/100</f>
        <v>8.3160000000000007</v>
      </c>
      <c r="O945" s="56">
        <v>46.9771</v>
      </c>
      <c r="P945" s="57">
        <f t="shared" ref="P945:P950" si="236">O945*J945</f>
        <v>4650.7329</v>
      </c>
      <c r="Q945" s="58">
        <f t="shared" ref="Q945:Q950" si="237">O945/(K945%+L945%*2/3)</f>
        <v>412.07982456140354</v>
      </c>
      <c r="R945" s="58">
        <f t="shared" ref="R945:R950" si="238">Q945*2/3</f>
        <v>274.71988304093571</v>
      </c>
      <c r="S945" s="66">
        <f t="shared" ref="S945:S950" si="239">P945*1.75%</f>
        <v>81.387825750000005</v>
      </c>
      <c r="T945" s="64">
        <f t="shared" ref="T945:T950" si="240">J945*3.75</f>
        <v>371.25</v>
      </c>
      <c r="U945" s="66">
        <f t="shared" ref="U945:U950" si="241">S945+T945+P945</f>
        <v>5103.37072575</v>
      </c>
      <c r="V945" s="68">
        <f t="shared" ref="V945:V950" si="242">U945/J945</f>
        <v>51.549199250000001</v>
      </c>
      <c r="W945" s="68">
        <f t="shared" ref="W945:W950" si="243">V945/(K945%+L945%*2/3)</f>
        <v>452.18595833333336</v>
      </c>
      <c r="X945" s="68">
        <f t="shared" ref="X945:X950" si="244">W945*2/3</f>
        <v>301.45730555555559</v>
      </c>
      <c r="Z945" s="63"/>
      <c r="AA945" s="63"/>
    </row>
    <row r="946" spans="1:27" hidden="1" x14ac:dyDescent="0.25">
      <c r="A946" t="str">
        <f t="shared" si="209"/>
        <v>10620029C23/05/2026E</v>
      </c>
      <c r="B946" s="169" t="s">
        <v>822</v>
      </c>
      <c r="C946" s="61" t="s">
        <v>397</v>
      </c>
      <c r="D946" s="61" t="s">
        <v>591</v>
      </c>
      <c r="E946" s="61" t="s">
        <v>594</v>
      </c>
      <c r="F946" s="1" t="s">
        <v>375</v>
      </c>
      <c r="G946" s="62" t="str">
        <f t="shared" si="210"/>
        <v>64547</v>
      </c>
      <c r="H946" s="1">
        <v>10620029</v>
      </c>
      <c r="I946" s="1" t="s">
        <v>388</v>
      </c>
      <c r="J946" s="61">
        <v>27</v>
      </c>
      <c r="K946" s="61">
        <v>3.1</v>
      </c>
      <c r="L946" s="61">
        <v>8</v>
      </c>
      <c r="M946" s="69">
        <f t="shared" si="234"/>
        <v>0.83700000000000008</v>
      </c>
      <c r="N946" s="69">
        <f t="shared" si="235"/>
        <v>2.16</v>
      </c>
      <c r="O946" s="56">
        <v>33.397056000000006</v>
      </c>
      <c r="P946" s="57">
        <f t="shared" si="236"/>
        <v>901.72051200000021</v>
      </c>
      <c r="Q946" s="58">
        <f t="shared" si="237"/>
        <v>396.01252173913048</v>
      </c>
      <c r="R946" s="58">
        <f t="shared" si="238"/>
        <v>264.008347826087</v>
      </c>
      <c r="S946" s="66">
        <f t="shared" si="239"/>
        <v>15.780108960000005</v>
      </c>
      <c r="T946" s="64">
        <f t="shared" si="240"/>
        <v>101.25</v>
      </c>
      <c r="U946" s="66">
        <f t="shared" si="241"/>
        <v>1018.7506209600002</v>
      </c>
      <c r="V946" s="68">
        <f t="shared" si="242"/>
        <v>37.731504480000005</v>
      </c>
      <c r="W946" s="68">
        <f t="shared" si="243"/>
        <v>447.40914403162054</v>
      </c>
      <c r="X946" s="68">
        <f t="shared" si="244"/>
        <v>298.27276268774705</v>
      </c>
      <c r="Z946" s="63"/>
      <c r="AA946" s="63"/>
    </row>
    <row r="947" spans="1:27" hidden="1" x14ac:dyDescent="0.25">
      <c r="A947" t="str">
        <f t="shared" si="209"/>
        <v>10620029B23/05/2026M</v>
      </c>
      <c r="B947" s="169" t="s">
        <v>823</v>
      </c>
      <c r="C947" s="61" t="s">
        <v>396</v>
      </c>
      <c r="D947" s="61" t="s">
        <v>591</v>
      </c>
      <c r="E947" s="61" t="s">
        <v>594</v>
      </c>
      <c r="F947" s="1" t="s">
        <v>375</v>
      </c>
      <c r="G947" s="62" t="str">
        <f t="shared" si="210"/>
        <v>64547</v>
      </c>
      <c r="H947" s="1">
        <v>10620029</v>
      </c>
      <c r="I947" s="1" t="s">
        <v>387</v>
      </c>
      <c r="J947" s="61">
        <v>40</v>
      </c>
      <c r="K947" s="61">
        <v>6.7</v>
      </c>
      <c r="L947" s="61">
        <v>8.6</v>
      </c>
      <c r="M947" s="69">
        <f t="shared" si="234"/>
        <v>2.68</v>
      </c>
      <c r="N947" s="69">
        <f t="shared" si="235"/>
        <v>3.44</v>
      </c>
      <c r="O947" s="56">
        <v>54.826099999999997</v>
      </c>
      <c r="P947" s="57">
        <f t="shared" si="236"/>
        <v>2193.0439999999999</v>
      </c>
      <c r="Q947" s="58">
        <f t="shared" si="237"/>
        <v>440.96058981233244</v>
      </c>
      <c r="R947" s="58">
        <f t="shared" si="238"/>
        <v>293.97372654155498</v>
      </c>
      <c r="S947" s="66">
        <f t="shared" si="239"/>
        <v>38.378270000000001</v>
      </c>
      <c r="T947" s="64">
        <f t="shared" si="240"/>
        <v>150</v>
      </c>
      <c r="U947" s="66">
        <f t="shared" si="241"/>
        <v>2381.42227</v>
      </c>
      <c r="V947" s="68">
        <f t="shared" si="242"/>
        <v>59.535556749999998</v>
      </c>
      <c r="W947" s="68">
        <f t="shared" si="243"/>
        <v>478.83825804289546</v>
      </c>
      <c r="X947" s="68">
        <f t="shared" si="244"/>
        <v>319.22550536193029</v>
      </c>
      <c r="Z947" s="63"/>
      <c r="AA947" s="63"/>
    </row>
    <row r="948" spans="1:27" hidden="1" x14ac:dyDescent="0.25">
      <c r="A948" t="str">
        <f t="shared" si="209"/>
        <v>10620029C23/05/2026M</v>
      </c>
      <c r="B948" s="169" t="s">
        <v>823</v>
      </c>
      <c r="C948" s="61" t="s">
        <v>396</v>
      </c>
      <c r="D948" s="61" t="s">
        <v>591</v>
      </c>
      <c r="E948" s="61" t="s">
        <v>594</v>
      </c>
      <c r="F948" s="1" t="s">
        <v>375</v>
      </c>
      <c r="G948" s="62" t="str">
        <f t="shared" si="210"/>
        <v>64547</v>
      </c>
      <c r="H948" s="1">
        <v>10620029</v>
      </c>
      <c r="I948" s="1" t="s">
        <v>388</v>
      </c>
      <c r="J948" s="61">
        <v>16</v>
      </c>
      <c r="K948" s="61">
        <v>3</v>
      </c>
      <c r="L948" s="61">
        <v>8</v>
      </c>
      <c r="M948" s="69">
        <f t="shared" si="234"/>
        <v>0.48</v>
      </c>
      <c r="N948" s="69">
        <f t="shared" si="235"/>
        <v>1.28</v>
      </c>
      <c r="O948" s="56">
        <v>33.001056000000005</v>
      </c>
      <c r="P948" s="57">
        <f t="shared" si="236"/>
        <v>528.01689600000009</v>
      </c>
      <c r="Q948" s="58">
        <f t="shared" si="237"/>
        <v>396.01267200000001</v>
      </c>
      <c r="R948" s="58">
        <f t="shared" si="238"/>
        <v>264.00844799999999</v>
      </c>
      <c r="S948" s="66">
        <f t="shared" si="239"/>
        <v>9.2402956800000027</v>
      </c>
      <c r="T948" s="64">
        <f t="shared" si="240"/>
        <v>60</v>
      </c>
      <c r="U948" s="66">
        <f t="shared" si="241"/>
        <v>597.25719168000012</v>
      </c>
      <c r="V948" s="68">
        <f t="shared" si="242"/>
        <v>37.328574480000007</v>
      </c>
      <c r="W948" s="68">
        <f t="shared" si="243"/>
        <v>447.94289376000006</v>
      </c>
      <c r="X948" s="68">
        <f t="shared" si="244"/>
        <v>298.62859584000006</v>
      </c>
      <c r="Z948" s="63"/>
      <c r="AA948" s="63"/>
    </row>
    <row r="949" spans="1:27" hidden="1" x14ac:dyDescent="0.25">
      <c r="A949" t="str">
        <f t="shared" si="209"/>
        <v>10620029B23/05/2026E</v>
      </c>
      <c r="B949" s="169" t="s">
        <v>823</v>
      </c>
      <c r="C949" s="61" t="s">
        <v>397</v>
      </c>
      <c r="D949" s="61" t="s">
        <v>591</v>
      </c>
      <c r="E949" s="61" t="s">
        <v>594</v>
      </c>
      <c r="F949" s="1" t="s">
        <v>375</v>
      </c>
      <c r="G949" s="62" t="str">
        <f t="shared" si="210"/>
        <v>64547</v>
      </c>
      <c r="H949" s="1">
        <v>10620029</v>
      </c>
      <c r="I949" s="1" t="s">
        <v>387</v>
      </c>
      <c r="J949" s="61">
        <v>87</v>
      </c>
      <c r="K949" s="61">
        <v>5.6</v>
      </c>
      <c r="L949" s="61">
        <v>8.4</v>
      </c>
      <c r="M949" s="69">
        <f t="shared" si="234"/>
        <v>4.8719999999999999</v>
      </c>
      <c r="N949" s="69">
        <f t="shared" si="235"/>
        <v>7.3080000000000007</v>
      </c>
      <c r="O949" s="56">
        <v>45.357199999999999</v>
      </c>
      <c r="P949" s="57">
        <f t="shared" si="236"/>
        <v>3946.0763999999999</v>
      </c>
      <c r="Q949" s="58">
        <f t="shared" si="237"/>
        <v>404.97500000000002</v>
      </c>
      <c r="R949" s="58">
        <f t="shared" si="238"/>
        <v>269.98333333333335</v>
      </c>
      <c r="S949" s="66">
        <f t="shared" si="239"/>
        <v>69.056336999999999</v>
      </c>
      <c r="T949" s="64">
        <f t="shared" si="240"/>
        <v>326.25</v>
      </c>
      <c r="U949" s="66">
        <f t="shared" si="241"/>
        <v>4341.3827369999999</v>
      </c>
      <c r="V949" s="68">
        <f t="shared" si="242"/>
        <v>49.900950999999999</v>
      </c>
      <c r="W949" s="68">
        <f t="shared" si="243"/>
        <v>445.54420535714291</v>
      </c>
      <c r="X949" s="68">
        <f t="shared" si="244"/>
        <v>297.02947023809526</v>
      </c>
      <c r="Z949" s="63"/>
      <c r="AA949" s="63"/>
    </row>
    <row r="950" spans="1:27" hidden="1" x14ac:dyDescent="0.25">
      <c r="A950" t="str">
        <f t="shared" si="209"/>
        <v>10620029C24/05/2026E</v>
      </c>
      <c r="B950" s="169" t="s">
        <v>823</v>
      </c>
      <c r="C950" s="61" t="s">
        <v>397</v>
      </c>
      <c r="D950" s="61" t="s">
        <v>591</v>
      </c>
      <c r="E950" s="61" t="s">
        <v>594</v>
      </c>
      <c r="F950" s="1" t="s">
        <v>375</v>
      </c>
      <c r="G950" s="62" t="str">
        <f t="shared" si="210"/>
        <v>64547</v>
      </c>
      <c r="H950" s="1">
        <v>10620029</v>
      </c>
      <c r="I950" s="1" t="s">
        <v>388</v>
      </c>
      <c r="J950" s="61">
        <v>24</v>
      </c>
      <c r="K950" s="61">
        <v>3</v>
      </c>
      <c r="L950" s="61">
        <v>8</v>
      </c>
      <c r="M950" s="69">
        <f t="shared" si="234"/>
        <v>0.72</v>
      </c>
      <c r="N950" s="69">
        <f t="shared" si="235"/>
        <v>1.92</v>
      </c>
      <c r="O950" s="56">
        <v>33.001056000000005</v>
      </c>
      <c r="P950" s="57">
        <f t="shared" si="236"/>
        <v>792.02534400000013</v>
      </c>
      <c r="Q950" s="58">
        <f t="shared" si="237"/>
        <v>396.01267200000001</v>
      </c>
      <c r="R950" s="58">
        <f t="shared" si="238"/>
        <v>264.00844799999999</v>
      </c>
      <c r="S950" s="66">
        <f t="shared" si="239"/>
        <v>13.860443520000004</v>
      </c>
      <c r="T950" s="64">
        <f t="shared" si="240"/>
        <v>90</v>
      </c>
      <c r="U950" s="66">
        <f t="shared" si="241"/>
        <v>895.88578752000012</v>
      </c>
      <c r="V950" s="68">
        <f t="shared" si="242"/>
        <v>37.328574480000007</v>
      </c>
      <c r="W950" s="68">
        <f t="shared" si="243"/>
        <v>447.94289376000006</v>
      </c>
      <c r="X950" s="68">
        <f t="shared" si="244"/>
        <v>298.62859584000006</v>
      </c>
      <c r="Z950" s="63"/>
      <c r="AA950" s="63"/>
    </row>
    <row r="951" spans="1:27" hidden="1" x14ac:dyDescent="0.25">
      <c r="A951" t="str">
        <f t="shared" si="209"/>
        <v>10620029B24/05/2026M</v>
      </c>
      <c r="B951" t="s">
        <v>824</v>
      </c>
      <c r="C951" t="s">
        <v>396</v>
      </c>
      <c r="D951" t="s">
        <v>591</v>
      </c>
      <c r="E951" t="s">
        <v>594</v>
      </c>
      <c r="F951" t="s">
        <v>375</v>
      </c>
      <c r="G951" s="62" t="str">
        <f t="shared" ref="G951:G1014" si="245">MID(F951,2,5)</f>
        <v>64547</v>
      </c>
      <c r="H951" s="1">
        <v>10620029</v>
      </c>
      <c r="I951" s="1" t="s">
        <v>387</v>
      </c>
      <c r="J951" s="61">
        <v>91</v>
      </c>
      <c r="K951" s="61">
        <v>6.1</v>
      </c>
      <c r="L951" s="61">
        <v>8.6</v>
      </c>
      <c r="M951" s="69">
        <f t="shared" ref="M951:M1014" si="246">K951*J951/100</f>
        <v>5.5510000000000002</v>
      </c>
      <c r="N951" s="69">
        <f t="shared" ref="N951:N1014" si="247">L951*J951/100</f>
        <v>7.8260000000000005</v>
      </c>
      <c r="O951" s="56">
        <v>49.9163</v>
      </c>
      <c r="P951" s="57">
        <f t="shared" ref="P951:P1014" si="248">O951*J951</f>
        <v>4542.3833000000004</v>
      </c>
      <c r="Q951" s="58">
        <f t="shared" ref="Q951:Q1014" si="249">O951/(K951%+L951%*2/3)</f>
        <v>421.82788732394374</v>
      </c>
      <c r="R951" s="58">
        <f t="shared" ref="R951:R1014" si="250">Q951*2/3</f>
        <v>281.21859154929581</v>
      </c>
      <c r="S951" s="66">
        <f t="shared" ref="S951:S1014" si="251">P951*1.75%</f>
        <v>79.491707750000018</v>
      </c>
      <c r="T951" s="64">
        <f t="shared" ref="T951:T1014" si="252">J951*3.75</f>
        <v>341.25</v>
      </c>
      <c r="U951" s="66">
        <f t="shared" ref="U951:U1014" si="253">S951+T951+P951</f>
        <v>4963.1250077500008</v>
      </c>
      <c r="V951" s="68">
        <f t="shared" ref="V951:V1014" si="254">U951/J951</f>
        <v>54.53983525000001</v>
      </c>
      <c r="W951" s="68">
        <f t="shared" ref="W951:W1014" si="255">V951/(K951%+L951%*2/3)</f>
        <v>460.90001619718322</v>
      </c>
      <c r="X951" s="68">
        <f t="shared" ref="X951:X1014" si="256">W951*2/3</f>
        <v>307.26667746478881</v>
      </c>
      <c r="Z951" s="63"/>
      <c r="AA951" s="63"/>
    </row>
    <row r="952" spans="1:27" hidden="1" x14ac:dyDescent="0.25">
      <c r="A952" t="str">
        <f t="shared" si="209"/>
        <v>10620029C24/05/2026M</v>
      </c>
      <c r="B952" t="s">
        <v>824</v>
      </c>
      <c r="C952" t="s">
        <v>396</v>
      </c>
      <c r="D952" t="s">
        <v>591</v>
      </c>
      <c r="E952" t="s">
        <v>594</v>
      </c>
      <c r="F952" t="s">
        <v>375</v>
      </c>
      <c r="G952" s="62" t="str">
        <f t="shared" si="245"/>
        <v>64547</v>
      </c>
      <c r="H952" s="1">
        <v>10620029</v>
      </c>
      <c r="I952" s="1" t="s">
        <v>388</v>
      </c>
      <c r="J952" s="61">
        <v>17</v>
      </c>
      <c r="K952" s="61">
        <v>3</v>
      </c>
      <c r="L952" s="61">
        <v>8</v>
      </c>
      <c r="M952" s="69">
        <f t="shared" si="246"/>
        <v>0.51</v>
      </c>
      <c r="N952" s="69">
        <f t="shared" si="247"/>
        <v>1.36</v>
      </c>
      <c r="O952" s="56">
        <v>33.001056000000005</v>
      </c>
      <c r="P952" s="57">
        <f t="shared" si="248"/>
        <v>561.01795200000015</v>
      </c>
      <c r="Q952" s="58">
        <f t="shared" si="249"/>
        <v>396.01267200000001</v>
      </c>
      <c r="R952" s="58">
        <f t="shared" si="250"/>
        <v>264.00844799999999</v>
      </c>
      <c r="S952" s="66">
        <f t="shared" si="251"/>
        <v>9.8178141600000028</v>
      </c>
      <c r="T952" s="64">
        <f t="shared" si="252"/>
        <v>63.75</v>
      </c>
      <c r="U952" s="66">
        <f t="shared" si="253"/>
        <v>634.58576616000016</v>
      </c>
      <c r="V952" s="68">
        <f t="shared" si="254"/>
        <v>37.328574480000007</v>
      </c>
      <c r="W952" s="68">
        <f t="shared" si="255"/>
        <v>447.94289376000006</v>
      </c>
      <c r="X952" s="68">
        <f t="shared" si="256"/>
        <v>298.62859584000006</v>
      </c>
      <c r="Z952" s="63"/>
      <c r="AA952" s="63"/>
    </row>
    <row r="953" spans="1:27" hidden="1" x14ac:dyDescent="0.25">
      <c r="A953" t="str">
        <f t="shared" si="209"/>
        <v>10620029C25/05/2026E</v>
      </c>
      <c r="B953" t="s">
        <v>824</v>
      </c>
      <c r="C953" t="s">
        <v>397</v>
      </c>
      <c r="D953" t="s">
        <v>591</v>
      </c>
      <c r="E953" t="s">
        <v>594</v>
      </c>
      <c r="F953" t="s">
        <v>375</v>
      </c>
      <c r="G953" s="62" t="str">
        <f t="shared" si="245"/>
        <v>64547</v>
      </c>
      <c r="H953" s="1">
        <v>10620029</v>
      </c>
      <c r="I953" s="1" t="s">
        <v>388</v>
      </c>
      <c r="J953" s="61">
        <v>109</v>
      </c>
      <c r="K953" s="61">
        <v>4.5999999999999996</v>
      </c>
      <c r="L953" s="61">
        <v>8.3000000000000007</v>
      </c>
      <c r="M953" s="69">
        <f t="shared" si="246"/>
        <v>5.0139999999999993</v>
      </c>
      <c r="N953" s="69">
        <f t="shared" si="247"/>
        <v>9.0470000000000006</v>
      </c>
      <c r="O953" s="56">
        <v>40.129095600000007</v>
      </c>
      <c r="P953" s="57">
        <f t="shared" si="248"/>
        <v>4374.0714204000005</v>
      </c>
      <c r="Q953" s="58">
        <f t="shared" si="249"/>
        <v>396.01081184210534</v>
      </c>
      <c r="R953" s="58">
        <f t="shared" si="250"/>
        <v>264.00720789473689</v>
      </c>
      <c r="S953" s="66">
        <f t="shared" si="251"/>
        <v>76.546249857000021</v>
      </c>
      <c r="T953" s="64">
        <f t="shared" si="252"/>
        <v>408.75</v>
      </c>
      <c r="U953" s="66">
        <f t="shared" si="253"/>
        <v>4859.367670257001</v>
      </c>
      <c r="V953" s="68">
        <f t="shared" si="254"/>
        <v>44.581354773000008</v>
      </c>
      <c r="W953" s="68">
        <f t="shared" si="255"/>
        <v>439.9475799967106</v>
      </c>
      <c r="X953" s="68">
        <f t="shared" si="256"/>
        <v>293.29838666447375</v>
      </c>
      <c r="Z953" s="63"/>
      <c r="AA953" s="63"/>
    </row>
    <row r="954" spans="1:27" hidden="1" x14ac:dyDescent="0.25">
      <c r="A954" t="str">
        <f t="shared" si="209"/>
        <v>10620029B25/05/2026M</v>
      </c>
      <c r="B954" t="s">
        <v>825</v>
      </c>
      <c r="C954" t="s">
        <v>396</v>
      </c>
      <c r="D954" t="s">
        <v>591</v>
      </c>
      <c r="E954" t="s">
        <v>594</v>
      </c>
      <c r="F954" t="s">
        <v>375</v>
      </c>
      <c r="G954" s="62" t="str">
        <f t="shared" si="245"/>
        <v>64547</v>
      </c>
      <c r="H954" s="1">
        <v>10620029</v>
      </c>
      <c r="I954" s="1" t="s">
        <v>387</v>
      </c>
      <c r="J954" s="61">
        <v>126</v>
      </c>
      <c r="K954" s="61">
        <v>5.7</v>
      </c>
      <c r="L954" s="61">
        <v>8.4</v>
      </c>
      <c r="M954" s="69">
        <f t="shared" si="246"/>
        <v>7.1820000000000004</v>
      </c>
      <c r="N954" s="69">
        <f t="shared" si="247"/>
        <v>10.584000000000001</v>
      </c>
      <c r="O954" s="56">
        <v>46.167149999999999</v>
      </c>
      <c r="P954" s="57">
        <f t="shared" si="248"/>
        <v>5817.0608999999995</v>
      </c>
      <c r="Q954" s="58">
        <f t="shared" si="249"/>
        <v>408.55884955752208</v>
      </c>
      <c r="R954" s="58">
        <f t="shared" si="250"/>
        <v>272.37256637168139</v>
      </c>
      <c r="S954" s="66">
        <f t="shared" si="251"/>
        <v>101.79856574999999</v>
      </c>
      <c r="T954" s="64">
        <f t="shared" si="252"/>
        <v>472.5</v>
      </c>
      <c r="U954" s="66">
        <f t="shared" si="253"/>
        <v>6391.3594657499998</v>
      </c>
      <c r="V954" s="68">
        <f t="shared" si="254"/>
        <v>50.725075124999996</v>
      </c>
      <c r="W954" s="68">
        <f t="shared" si="255"/>
        <v>448.89447013274332</v>
      </c>
      <c r="X954" s="68">
        <f t="shared" si="256"/>
        <v>299.26298008849557</v>
      </c>
      <c r="Z954" s="63"/>
      <c r="AA954" s="63"/>
    </row>
    <row r="955" spans="1:27" hidden="1" x14ac:dyDescent="0.25">
      <c r="A955" t="str">
        <f t="shared" si="209"/>
        <v>10620029C25/05/2026M</v>
      </c>
      <c r="B955" t="s">
        <v>825</v>
      </c>
      <c r="C955" t="s">
        <v>396</v>
      </c>
      <c r="D955" t="s">
        <v>591</v>
      </c>
      <c r="E955" t="s">
        <v>594</v>
      </c>
      <c r="F955" t="s">
        <v>375</v>
      </c>
      <c r="G955" s="62" t="str">
        <f t="shared" si="245"/>
        <v>64547</v>
      </c>
      <c r="H955" s="1">
        <v>10620029</v>
      </c>
      <c r="I955" s="1" t="s">
        <v>388</v>
      </c>
      <c r="J955" s="61">
        <v>21</v>
      </c>
      <c r="K955" s="61">
        <v>3</v>
      </c>
      <c r="L955" s="61">
        <v>8</v>
      </c>
      <c r="M955" s="69">
        <f t="shared" si="246"/>
        <v>0.63</v>
      </c>
      <c r="N955" s="69">
        <f t="shared" si="247"/>
        <v>1.68</v>
      </c>
      <c r="O955" s="56">
        <v>33.001056000000005</v>
      </c>
      <c r="P955" s="57">
        <f t="shared" si="248"/>
        <v>693.02217600000017</v>
      </c>
      <c r="Q955" s="58">
        <f t="shared" si="249"/>
        <v>396.01267200000001</v>
      </c>
      <c r="R955" s="58">
        <f t="shared" si="250"/>
        <v>264.00844799999999</v>
      </c>
      <c r="S955" s="66">
        <f t="shared" si="251"/>
        <v>12.127888080000004</v>
      </c>
      <c r="T955" s="64">
        <f t="shared" si="252"/>
        <v>78.75</v>
      </c>
      <c r="U955" s="66">
        <f t="shared" si="253"/>
        <v>783.90006408000022</v>
      </c>
      <c r="V955" s="68">
        <f t="shared" si="254"/>
        <v>37.328574480000007</v>
      </c>
      <c r="W955" s="68">
        <f t="shared" si="255"/>
        <v>447.94289376000006</v>
      </c>
      <c r="X955" s="68">
        <f t="shared" si="256"/>
        <v>298.62859584000006</v>
      </c>
      <c r="Z955" s="63"/>
      <c r="AA955" s="63"/>
    </row>
    <row r="956" spans="1:27" hidden="1" x14ac:dyDescent="0.25">
      <c r="A956" t="str">
        <f t="shared" si="209"/>
        <v>10620029B25/05/2026E</v>
      </c>
      <c r="B956" t="s">
        <v>825</v>
      </c>
      <c r="C956" t="s">
        <v>397</v>
      </c>
      <c r="D956" t="s">
        <v>591</v>
      </c>
      <c r="E956" t="s">
        <v>594</v>
      </c>
      <c r="F956" t="s">
        <v>375</v>
      </c>
      <c r="G956" s="62" t="str">
        <f t="shared" si="245"/>
        <v>64547</v>
      </c>
      <c r="H956" s="1">
        <v>10620029</v>
      </c>
      <c r="I956" s="1" t="s">
        <v>387</v>
      </c>
      <c r="J956" s="61">
        <v>94</v>
      </c>
      <c r="K956" s="61">
        <v>5.6</v>
      </c>
      <c r="L956" s="61">
        <v>8.4</v>
      </c>
      <c r="M956" s="69">
        <f t="shared" si="246"/>
        <v>5.2639999999999993</v>
      </c>
      <c r="N956" s="69">
        <f t="shared" si="247"/>
        <v>7.8959999999999999</v>
      </c>
      <c r="O956" s="56">
        <v>45.357199999999999</v>
      </c>
      <c r="P956" s="57">
        <f t="shared" si="248"/>
        <v>4263.5767999999998</v>
      </c>
      <c r="Q956" s="58">
        <f t="shared" si="249"/>
        <v>404.97500000000002</v>
      </c>
      <c r="R956" s="58">
        <f t="shared" si="250"/>
        <v>269.98333333333335</v>
      </c>
      <c r="S956" s="66">
        <f t="shared" si="251"/>
        <v>74.612594000000001</v>
      </c>
      <c r="T956" s="64">
        <f t="shared" si="252"/>
        <v>352.5</v>
      </c>
      <c r="U956" s="66">
        <f t="shared" si="253"/>
        <v>4690.689394</v>
      </c>
      <c r="V956" s="68">
        <f t="shared" si="254"/>
        <v>49.900950999999999</v>
      </c>
      <c r="W956" s="68">
        <f t="shared" si="255"/>
        <v>445.54420535714291</v>
      </c>
      <c r="X956" s="68">
        <f t="shared" si="256"/>
        <v>297.02947023809526</v>
      </c>
      <c r="Z956" s="63"/>
      <c r="AA956" s="63"/>
    </row>
    <row r="957" spans="1:27" hidden="1" x14ac:dyDescent="0.25">
      <c r="A957" t="str">
        <f t="shared" si="209"/>
        <v>10620029C26/05/2026E</v>
      </c>
      <c r="B957" t="s">
        <v>825</v>
      </c>
      <c r="C957" t="s">
        <v>397</v>
      </c>
      <c r="D957" t="s">
        <v>591</v>
      </c>
      <c r="E957" t="s">
        <v>594</v>
      </c>
      <c r="F957" t="s">
        <v>375</v>
      </c>
      <c r="G957" s="62" t="str">
        <f t="shared" si="245"/>
        <v>64547</v>
      </c>
      <c r="H957" s="1">
        <v>10620029</v>
      </c>
      <c r="I957" s="1" t="s">
        <v>388</v>
      </c>
      <c r="J957" s="61">
        <v>25</v>
      </c>
      <c r="K957" s="61">
        <v>3</v>
      </c>
      <c r="L957" s="61">
        <v>8</v>
      </c>
      <c r="M957" s="69">
        <f t="shared" si="246"/>
        <v>0.75</v>
      </c>
      <c r="N957" s="69">
        <f t="shared" si="247"/>
        <v>2</v>
      </c>
      <c r="O957" s="56">
        <v>33.001056000000005</v>
      </c>
      <c r="P957" s="57">
        <f t="shared" si="248"/>
        <v>825.02640000000019</v>
      </c>
      <c r="Q957" s="58">
        <f t="shared" si="249"/>
        <v>396.01267200000001</v>
      </c>
      <c r="R957" s="58">
        <f t="shared" si="250"/>
        <v>264.00844799999999</v>
      </c>
      <c r="S957" s="66">
        <f t="shared" si="251"/>
        <v>14.437962000000004</v>
      </c>
      <c r="T957" s="64">
        <f t="shared" si="252"/>
        <v>93.75</v>
      </c>
      <c r="U957" s="66">
        <f t="shared" si="253"/>
        <v>933.21436200000016</v>
      </c>
      <c r="V957" s="68">
        <f t="shared" si="254"/>
        <v>37.328574480000007</v>
      </c>
      <c r="W957" s="68">
        <f t="shared" si="255"/>
        <v>447.94289376000006</v>
      </c>
      <c r="X957" s="68">
        <f t="shared" si="256"/>
        <v>298.62859584000006</v>
      </c>
      <c r="Z957" s="63"/>
      <c r="AA957" s="63"/>
    </row>
    <row r="958" spans="1:27" hidden="1" x14ac:dyDescent="0.25">
      <c r="A958" t="str">
        <f t="shared" si="209"/>
        <v>10620029B26/05/2026M</v>
      </c>
      <c r="B958" t="s">
        <v>826</v>
      </c>
      <c r="C958" t="s">
        <v>396</v>
      </c>
      <c r="D958" t="s">
        <v>591</v>
      </c>
      <c r="E958" t="s">
        <v>594</v>
      </c>
      <c r="F958" t="s">
        <v>375</v>
      </c>
      <c r="G958" s="62" t="str">
        <f t="shared" si="245"/>
        <v>64547</v>
      </c>
      <c r="H958" s="1">
        <v>10620029</v>
      </c>
      <c r="I958" s="1" t="s">
        <v>387</v>
      </c>
      <c r="J958" s="61">
        <v>39</v>
      </c>
      <c r="K958" s="61">
        <v>6.5</v>
      </c>
      <c r="L958" s="61">
        <v>8.8000000000000007</v>
      </c>
      <c r="M958" s="69">
        <f t="shared" si="246"/>
        <v>2.5350000000000001</v>
      </c>
      <c r="N958" s="69">
        <f t="shared" si="247"/>
        <v>3.4320000000000004</v>
      </c>
      <c r="O958" s="56">
        <f>INDEX(Rate_Chart!$A$1:$AK$127,MATCH(Data!K958,Rate_Chart!$A$1:$A$127,0),MATCH(Data!L958,Rate_Chart!$A$1:$AK$1,0))</f>
        <v>53.732250000000001</v>
      </c>
      <c r="P958" s="57">
        <f t="shared" si="248"/>
        <v>2095.5577499999999</v>
      </c>
      <c r="Q958" s="58">
        <f t="shared" si="249"/>
        <v>434.49258760107813</v>
      </c>
      <c r="R958" s="58">
        <f t="shared" si="250"/>
        <v>289.66172506738542</v>
      </c>
      <c r="S958" s="66">
        <f t="shared" si="251"/>
        <v>36.672260625</v>
      </c>
      <c r="T958" s="64">
        <f t="shared" si="252"/>
        <v>146.25</v>
      </c>
      <c r="U958" s="66">
        <f t="shared" si="253"/>
        <v>2278.480010625</v>
      </c>
      <c r="V958" s="68">
        <f t="shared" si="254"/>
        <v>58.422564375</v>
      </c>
      <c r="W958" s="68">
        <f t="shared" si="255"/>
        <v>472.41965801886789</v>
      </c>
      <c r="X958" s="68">
        <f t="shared" si="256"/>
        <v>314.94643867924526</v>
      </c>
      <c r="Z958" s="63"/>
      <c r="AA958" s="63"/>
    </row>
    <row r="959" spans="1:27" hidden="1" x14ac:dyDescent="0.25">
      <c r="A959" t="str">
        <f t="shared" si="209"/>
        <v>10620029C26/05/2026M</v>
      </c>
      <c r="B959" t="s">
        <v>826</v>
      </c>
      <c r="C959" t="s">
        <v>396</v>
      </c>
      <c r="D959" t="s">
        <v>591</v>
      </c>
      <c r="E959" t="s">
        <v>594</v>
      </c>
      <c r="F959" t="s">
        <v>375</v>
      </c>
      <c r="G959" s="62" t="str">
        <f t="shared" si="245"/>
        <v>64547</v>
      </c>
      <c r="H959" s="1">
        <v>10620029</v>
      </c>
      <c r="I959" s="1" t="s">
        <v>388</v>
      </c>
      <c r="J959" s="61">
        <v>13</v>
      </c>
      <c r="K959" s="61">
        <v>3.6</v>
      </c>
      <c r="L959" s="61">
        <v>8.1</v>
      </c>
      <c r="M959" s="69">
        <f t="shared" si="246"/>
        <v>0.46800000000000003</v>
      </c>
      <c r="N959" s="69">
        <f t="shared" si="247"/>
        <v>1.0529999999999999</v>
      </c>
      <c r="O959" s="56">
        <f>INDEX(Rate_Chart!$A$1:$AK$127,MATCH(Data!K959,Rate_Chart!$A$1:$A$127,0),MATCH(Data!L959,Rate_Chart!$A$1:$AK$1,0))</f>
        <v>37.531125900000006</v>
      </c>
      <c r="P959" s="57">
        <f t="shared" si="248"/>
        <v>487.90463670000008</v>
      </c>
      <c r="Q959" s="58">
        <f t="shared" si="249"/>
        <v>417.01251000000008</v>
      </c>
      <c r="R959" s="58">
        <f t="shared" si="250"/>
        <v>278.00834000000003</v>
      </c>
      <c r="S959" s="66">
        <f t="shared" si="251"/>
        <v>8.5383311422500014</v>
      </c>
      <c r="T959" s="64">
        <f t="shared" si="252"/>
        <v>48.75</v>
      </c>
      <c r="U959" s="66">
        <f t="shared" si="253"/>
        <v>545.19296784225003</v>
      </c>
      <c r="V959" s="68">
        <f t="shared" si="254"/>
        <v>41.937920603249999</v>
      </c>
      <c r="W959" s="68">
        <f t="shared" si="255"/>
        <v>465.97689559166668</v>
      </c>
      <c r="X959" s="68">
        <f t="shared" si="256"/>
        <v>310.6512637277778</v>
      </c>
      <c r="Z959" s="63"/>
      <c r="AA959" s="63"/>
    </row>
    <row r="960" spans="1:27" hidden="1" x14ac:dyDescent="0.25">
      <c r="A960" t="str">
        <f t="shared" si="209"/>
        <v>10620029B26/05/2026E</v>
      </c>
      <c r="B960" t="s">
        <v>826</v>
      </c>
      <c r="C960" t="s">
        <v>397</v>
      </c>
      <c r="D960" t="s">
        <v>591</v>
      </c>
      <c r="E960" t="s">
        <v>594</v>
      </c>
      <c r="F960" t="s">
        <v>375</v>
      </c>
      <c r="G960" s="62" t="str">
        <f t="shared" si="245"/>
        <v>64547</v>
      </c>
      <c r="H960" s="1">
        <v>10620029</v>
      </c>
      <c r="I960" s="1" t="s">
        <v>387</v>
      </c>
      <c r="J960" s="61">
        <v>74</v>
      </c>
      <c r="K960" s="61">
        <v>6</v>
      </c>
      <c r="L960" s="61">
        <v>9</v>
      </c>
      <c r="M960" s="69">
        <f t="shared" si="246"/>
        <v>4.4400000000000004</v>
      </c>
      <c r="N960" s="69">
        <f t="shared" si="247"/>
        <v>6.66</v>
      </c>
      <c r="O960" s="56">
        <f>INDEX(Rate_Chart!$A$1:$AK$127,MATCH(Data!K960,Rate_Chart!$A$1:$A$127,0),MATCH(Data!L960,Rate_Chart!$A$1:$AK$1,0))</f>
        <v>50.1</v>
      </c>
      <c r="P960" s="57">
        <f t="shared" si="248"/>
        <v>3707.4</v>
      </c>
      <c r="Q960" s="58">
        <f t="shared" si="249"/>
        <v>417.5</v>
      </c>
      <c r="R960" s="58">
        <f t="shared" si="250"/>
        <v>278.33333333333331</v>
      </c>
      <c r="S960" s="66">
        <f t="shared" si="251"/>
        <v>64.879500000000007</v>
      </c>
      <c r="T960" s="64">
        <f t="shared" si="252"/>
        <v>277.5</v>
      </c>
      <c r="U960" s="66">
        <f t="shared" si="253"/>
        <v>4049.7795000000001</v>
      </c>
      <c r="V960" s="68">
        <f t="shared" si="254"/>
        <v>54.726750000000003</v>
      </c>
      <c r="W960" s="68">
        <f t="shared" si="255"/>
        <v>456.05625000000003</v>
      </c>
      <c r="X960" s="68">
        <f t="shared" si="256"/>
        <v>304.03750000000002</v>
      </c>
      <c r="Z960" s="63"/>
      <c r="AA960" s="63"/>
    </row>
    <row r="961" spans="1:27" hidden="1" x14ac:dyDescent="0.25">
      <c r="A961" t="str">
        <f t="shared" si="209"/>
        <v>10620029C27/05/2026E</v>
      </c>
      <c r="B961" t="s">
        <v>826</v>
      </c>
      <c r="C961" t="s">
        <v>397</v>
      </c>
      <c r="D961" t="s">
        <v>591</v>
      </c>
      <c r="E961" t="s">
        <v>594</v>
      </c>
      <c r="F961" t="s">
        <v>375</v>
      </c>
      <c r="G961" s="62" t="str">
        <f t="shared" si="245"/>
        <v>64547</v>
      </c>
      <c r="H961" s="1">
        <v>10620029</v>
      </c>
      <c r="I961" s="1" t="s">
        <v>388</v>
      </c>
      <c r="J961" s="61">
        <v>25</v>
      </c>
      <c r="K961" s="61">
        <v>3</v>
      </c>
      <c r="L961" s="61">
        <v>8</v>
      </c>
      <c r="M961" s="69">
        <f t="shared" si="246"/>
        <v>0.75</v>
      </c>
      <c r="N961" s="69">
        <f t="shared" si="247"/>
        <v>2</v>
      </c>
      <c r="O961" s="56">
        <f>INDEX(Rate_Chart!$A$1:$AK$127,MATCH(Data!K961,Rate_Chart!$A$1:$A$127,0),MATCH(Data!L961,Rate_Chart!$A$1:$AK$1,0))</f>
        <v>34.751112000000006</v>
      </c>
      <c r="P961" s="57">
        <f t="shared" si="248"/>
        <v>868.77780000000018</v>
      </c>
      <c r="Q961" s="58">
        <f t="shared" si="249"/>
        <v>417.01334400000002</v>
      </c>
      <c r="R961" s="58">
        <f t="shared" si="250"/>
        <v>278.00889599999999</v>
      </c>
      <c r="S961" s="66">
        <f t="shared" si="251"/>
        <v>15.203611500000004</v>
      </c>
      <c r="T961" s="64">
        <f t="shared" si="252"/>
        <v>93.75</v>
      </c>
      <c r="U961" s="66">
        <f t="shared" si="253"/>
        <v>977.73141150000015</v>
      </c>
      <c r="V961" s="68">
        <f t="shared" si="254"/>
        <v>39.109256460000005</v>
      </c>
      <c r="W961" s="68">
        <f t="shared" si="255"/>
        <v>469.31107752000003</v>
      </c>
      <c r="X961" s="68">
        <f t="shared" si="256"/>
        <v>312.87405168000004</v>
      </c>
      <c r="Z961" s="63"/>
      <c r="AA961" s="63"/>
    </row>
    <row r="962" spans="1:27" hidden="1" x14ac:dyDescent="0.25">
      <c r="A962" t="str">
        <f t="shared" si="209"/>
        <v>10620029B27/05/2026M</v>
      </c>
      <c r="B962" t="s">
        <v>827</v>
      </c>
      <c r="C962" t="s">
        <v>396</v>
      </c>
      <c r="D962" t="s">
        <v>591</v>
      </c>
      <c r="E962" t="s">
        <v>594</v>
      </c>
      <c r="F962" t="s">
        <v>375</v>
      </c>
      <c r="G962" s="62" t="str">
        <f t="shared" si="245"/>
        <v>64547</v>
      </c>
      <c r="H962" s="1">
        <v>10620029</v>
      </c>
      <c r="I962" s="1" t="s">
        <v>387</v>
      </c>
      <c r="J962" s="61">
        <v>137</v>
      </c>
      <c r="K962" s="61">
        <v>6.4</v>
      </c>
      <c r="L962" s="61">
        <v>9</v>
      </c>
      <c r="M962" s="69">
        <f t="shared" si="246"/>
        <v>8.7680000000000007</v>
      </c>
      <c r="N962" s="69">
        <f t="shared" si="247"/>
        <v>12.33</v>
      </c>
      <c r="O962" s="56">
        <f>INDEX(Rate_Chart!$A$1:$AK$127,MATCH(Data!K962,Rate_Chart!$A$1:$A$127,0),MATCH(Data!L962,Rate_Chart!$A$1:$AK$1,0))</f>
        <v>53.44</v>
      </c>
      <c r="P962" s="57">
        <f t="shared" si="248"/>
        <v>7321.28</v>
      </c>
      <c r="Q962" s="58">
        <f t="shared" si="249"/>
        <v>430.96774193548384</v>
      </c>
      <c r="R962" s="58">
        <f t="shared" si="250"/>
        <v>287.31182795698925</v>
      </c>
      <c r="S962" s="66">
        <f t="shared" si="251"/>
        <v>128.1224</v>
      </c>
      <c r="T962" s="64">
        <f t="shared" si="252"/>
        <v>513.75</v>
      </c>
      <c r="U962" s="66">
        <f t="shared" si="253"/>
        <v>7963.1523999999999</v>
      </c>
      <c r="V962" s="68">
        <f t="shared" si="254"/>
        <v>58.1252</v>
      </c>
      <c r="W962" s="68">
        <f t="shared" si="255"/>
        <v>468.7516129032258</v>
      </c>
      <c r="X962" s="68">
        <f t="shared" si="256"/>
        <v>312.5010752688172</v>
      </c>
      <c r="Z962" s="63"/>
      <c r="AA962" s="63"/>
    </row>
    <row r="963" spans="1:27" hidden="1" x14ac:dyDescent="0.25">
      <c r="A963" t="str">
        <f t="shared" si="209"/>
        <v>10620029C27/05/2026M</v>
      </c>
      <c r="B963" t="s">
        <v>827</v>
      </c>
      <c r="C963" t="s">
        <v>396</v>
      </c>
      <c r="D963" t="s">
        <v>591</v>
      </c>
      <c r="E963" t="s">
        <v>594</v>
      </c>
      <c r="F963" t="s">
        <v>375</v>
      </c>
      <c r="G963" s="62" t="str">
        <f t="shared" si="245"/>
        <v>64547</v>
      </c>
      <c r="H963" s="1">
        <v>10620029</v>
      </c>
      <c r="I963" s="1" t="s">
        <v>388</v>
      </c>
      <c r="J963" s="61">
        <v>18</v>
      </c>
      <c r="K963" s="61">
        <v>3</v>
      </c>
      <c r="L963" s="61">
        <v>8</v>
      </c>
      <c r="M963" s="69">
        <f t="shared" si="246"/>
        <v>0.54</v>
      </c>
      <c r="N963" s="69">
        <f t="shared" si="247"/>
        <v>1.44</v>
      </c>
      <c r="O963" s="56">
        <f>INDEX(Rate_Chart!$A$1:$AK$127,MATCH(Data!K963,Rate_Chart!$A$1:$A$127,0),MATCH(Data!L963,Rate_Chart!$A$1:$AK$1,0))</f>
        <v>34.751112000000006</v>
      </c>
      <c r="P963" s="57">
        <f t="shared" si="248"/>
        <v>625.52001600000017</v>
      </c>
      <c r="Q963" s="58">
        <f t="shared" si="249"/>
        <v>417.01334400000002</v>
      </c>
      <c r="R963" s="58">
        <f t="shared" si="250"/>
        <v>278.00889599999999</v>
      </c>
      <c r="S963" s="66">
        <f t="shared" si="251"/>
        <v>10.946600280000004</v>
      </c>
      <c r="T963" s="64">
        <f t="shared" si="252"/>
        <v>67.5</v>
      </c>
      <c r="U963" s="66">
        <f t="shared" si="253"/>
        <v>703.96661628000015</v>
      </c>
      <c r="V963" s="68">
        <f t="shared" si="254"/>
        <v>39.109256460000012</v>
      </c>
      <c r="W963" s="68">
        <f t="shared" si="255"/>
        <v>469.31107752000008</v>
      </c>
      <c r="X963" s="68">
        <f t="shared" si="256"/>
        <v>312.87405168000004</v>
      </c>
      <c r="Z963" s="63"/>
      <c r="AA963" s="63"/>
    </row>
    <row r="964" spans="1:27" hidden="1" x14ac:dyDescent="0.25">
      <c r="A964" t="str">
        <f t="shared" si="209"/>
        <v>10620029B27/05/2026E</v>
      </c>
      <c r="B964" t="s">
        <v>827</v>
      </c>
      <c r="C964" t="s">
        <v>397</v>
      </c>
      <c r="D964" t="s">
        <v>591</v>
      </c>
      <c r="E964" t="s">
        <v>594</v>
      </c>
      <c r="F964" t="s">
        <v>375</v>
      </c>
      <c r="G964" s="62" t="str">
        <f t="shared" si="245"/>
        <v>64547</v>
      </c>
      <c r="H964" s="1">
        <v>10620029</v>
      </c>
      <c r="I964" s="1" t="s">
        <v>387</v>
      </c>
      <c r="J964" s="61">
        <v>76</v>
      </c>
      <c r="K964" s="61">
        <v>5.7</v>
      </c>
      <c r="L964" s="61">
        <v>8.8000000000000007</v>
      </c>
      <c r="M964" s="69">
        <f t="shared" si="246"/>
        <v>4.3319999999999999</v>
      </c>
      <c r="N964" s="69">
        <f t="shared" si="247"/>
        <v>6.6880000000000006</v>
      </c>
      <c r="O964" s="56">
        <f>INDEX(Rate_Chart!$A$1:$AK$127,MATCH(Data!K964,Rate_Chart!$A$1:$A$127,0),MATCH(Data!L964,Rate_Chart!$A$1:$AK$1,0))</f>
        <v>47.119050000000001</v>
      </c>
      <c r="P964" s="57">
        <f t="shared" si="248"/>
        <v>3581.0478000000003</v>
      </c>
      <c r="Q964" s="58">
        <f t="shared" si="249"/>
        <v>407.3693083573487</v>
      </c>
      <c r="R964" s="58">
        <f t="shared" si="250"/>
        <v>271.57953890489915</v>
      </c>
      <c r="S964" s="66">
        <f t="shared" si="251"/>
        <v>62.668336500000009</v>
      </c>
      <c r="T964" s="64">
        <f t="shared" si="252"/>
        <v>285</v>
      </c>
      <c r="U964" s="66">
        <f t="shared" si="253"/>
        <v>3928.7161365000002</v>
      </c>
      <c r="V964" s="68">
        <f t="shared" si="254"/>
        <v>51.693633375000005</v>
      </c>
      <c r="W964" s="68">
        <f t="shared" si="255"/>
        <v>446.91902053314124</v>
      </c>
      <c r="X964" s="68">
        <f t="shared" si="256"/>
        <v>297.94601368876084</v>
      </c>
      <c r="Z964" s="63"/>
      <c r="AA964" s="63"/>
    </row>
    <row r="965" spans="1:27" hidden="1" x14ac:dyDescent="0.25">
      <c r="A965" t="str">
        <f t="shared" ref="A965:A1028" si="257">CONCATENATE(H965,I965,B966,C965)</f>
        <v>10620029C28/05/2026E</v>
      </c>
      <c r="B965" t="s">
        <v>827</v>
      </c>
      <c r="C965" t="s">
        <v>397</v>
      </c>
      <c r="D965" t="s">
        <v>591</v>
      </c>
      <c r="E965" t="s">
        <v>594</v>
      </c>
      <c r="F965" t="s">
        <v>375</v>
      </c>
      <c r="G965" s="62" t="str">
        <f t="shared" si="245"/>
        <v>64547</v>
      </c>
      <c r="H965" s="1">
        <v>10620029</v>
      </c>
      <c r="I965" s="1" t="s">
        <v>388</v>
      </c>
      <c r="J965" s="61">
        <v>23</v>
      </c>
      <c r="K965" s="61">
        <v>3</v>
      </c>
      <c r="L965" s="61">
        <v>8</v>
      </c>
      <c r="M965" s="69">
        <f t="shared" si="246"/>
        <v>0.69</v>
      </c>
      <c r="N965" s="69">
        <f t="shared" si="247"/>
        <v>1.84</v>
      </c>
      <c r="O965" s="56">
        <f>INDEX(Rate_Chart!$A$1:$AK$127,MATCH(Data!K965,Rate_Chart!$A$1:$A$127,0),MATCH(Data!L965,Rate_Chart!$A$1:$AK$1,0))</f>
        <v>34.751112000000006</v>
      </c>
      <c r="P965" s="57">
        <f t="shared" si="248"/>
        <v>799.27557600000011</v>
      </c>
      <c r="Q965" s="58">
        <f t="shared" si="249"/>
        <v>417.01334400000002</v>
      </c>
      <c r="R965" s="58">
        <f t="shared" si="250"/>
        <v>278.00889599999999</v>
      </c>
      <c r="S965" s="66">
        <f t="shared" si="251"/>
        <v>13.987322580000003</v>
      </c>
      <c r="T965" s="64">
        <f t="shared" si="252"/>
        <v>86.25</v>
      </c>
      <c r="U965" s="66">
        <f t="shared" si="253"/>
        <v>899.51289858000007</v>
      </c>
      <c r="V965" s="68">
        <f t="shared" si="254"/>
        <v>39.109256460000005</v>
      </c>
      <c r="W965" s="68">
        <f t="shared" si="255"/>
        <v>469.31107752000003</v>
      </c>
      <c r="X965" s="68">
        <f t="shared" si="256"/>
        <v>312.87405168000004</v>
      </c>
      <c r="Z965" s="63"/>
      <c r="AA965" s="63"/>
    </row>
    <row r="966" spans="1:27" hidden="1" x14ac:dyDescent="0.25">
      <c r="A966" t="str">
        <f t="shared" si="257"/>
        <v>10620029B28/05/2026M</v>
      </c>
      <c r="B966" t="s">
        <v>828</v>
      </c>
      <c r="C966" t="s">
        <v>396</v>
      </c>
      <c r="D966" t="s">
        <v>591</v>
      </c>
      <c r="E966" t="s">
        <v>594</v>
      </c>
      <c r="F966" t="s">
        <v>375</v>
      </c>
      <c r="G966" s="62" t="str">
        <f t="shared" si="245"/>
        <v>64547</v>
      </c>
      <c r="H966" s="1">
        <v>10620029</v>
      </c>
      <c r="I966" s="1" t="s">
        <v>387</v>
      </c>
      <c r="J966" s="61">
        <v>35</v>
      </c>
      <c r="K966" s="61">
        <v>6.5</v>
      </c>
      <c r="L966" s="61">
        <v>8.8000000000000007</v>
      </c>
      <c r="M966" s="69">
        <f t="shared" si="246"/>
        <v>2.2749999999999999</v>
      </c>
      <c r="N966" s="69">
        <f t="shared" si="247"/>
        <v>3.08</v>
      </c>
      <c r="O966" s="56">
        <f>INDEX(Rate_Chart!$A$1:$AK$127,MATCH(Data!K966,Rate_Chart!$A$1:$A$127,0),MATCH(Data!L966,Rate_Chart!$A$1:$AK$1,0))</f>
        <v>53.732250000000001</v>
      </c>
      <c r="P966" s="57">
        <f t="shared" si="248"/>
        <v>1880.6287500000001</v>
      </c>
      <c r="Q966" s="58">
        <f t="shared" si="249"/>
        <v>434.49258760107813</v>
      </c>
      <c r="R966" s="58">
        <f t="shared" si="250"/>
        <v>289.66172506738542</v>
      </c>
      <c r="S966" s="66">
        <f t="shared" si="251"/>
        <v>32.911003125000008</v>
      </c>
      <c r="T966" s="64">
        <f t="shared" si="252"/>
        <v>131.25</v>
      </c>
      <c r="U966" s="66">
        <f t="shared" si="253"/>
        <v>2044.7897531250001</v>
      </c>
      <c r="V966" s="68">
        <f t="shared" si="254"/>
        <v>58.422564375</v>
      </c>
      <c r="W966" s="68">
        <f t="shared" si="255"/>
        <v>472.41965801886789</v>
      </c>
      <c r="X966" s="68">
        <f t="shared" si="256"/>
        <v>314.94643867924526</v>
      </c>
      <c r="Z966" s="63"/>
      <c r="AA966" s="63"/>
    </row>
    <row r="967" spans="1:27" hidden="1" x14ac:dyDescent="0.25">
      <c r="A967" t="str">
        <f t="shared" si="257"/>
        <v>10620029B28/05/2026E</v>
      </c>
      <c r="B967" t="s">
        <v>828</v>
      </c>
      <c r="C967" t="s">
        <v>397</v>
      </c>
      <c r="D967" t="s">
        <v>591</v>
      </c>
      <c r="E967" t="s">
        <v>594</v>
      </c>
      <c r="F967" t="s">
        <v>375</v>
      </c>
      <c r="G967" s="62" t="str">
        <f t="shared" si="245"/>
        <v>64547</v>
      </c>
      <c r="H967" s="1">
        <v>10620029</v>
      </c>
      <c r="I967" s="1" t="s">
        <v>387</v>
      </c>
      <c r="J967" s="61">
        <v>73</v>
      </c>
      <c r="K967" s="61">
        <v>6</v>
      </c>
      <c r="L967" s="61">
        <v>8.6</v>
      </c>
      <c r="M967" s="69">
        <f t="shared" si="246"/>
        <v>4.38</v>
      </c>
      <c r="N967" s="69">
        <f t="shared" si="247"/>
        <v>6.2779999999999996</v>
      </c>
      <c r="O967" s="56">
        <f>INDEX(Rate_Chart!$A$1:$AK$127,MATCH(Data!K967,Rate_Chart!$A$1:$A$127,0),MATCH(Data!L967,Rate_Chart!$A$1:$AK$1,0))</f>
        <v>49.097999999999999</v>
      </c>
      <c r="P967" s="57">
        <f t="shared" si="248"/>
        <v>3584.154</v>
      </c>
      <c r="Q967" s="58">
        <f t="shared" si="249"/>
        <v>418.44886363636368</v>
      </c>
      <c r="R967" s="58">
        <f t="shared" si="250"/>
        <v>278.96590909090912</v>
      </c>
      <c r="S967" s="66">
        <f t="shared" si="251"/>
        <v>62.722695000000009</v>
      </c>
      <c r="T967" s="64">
        <f t="shared" si="252"/>
        <v>273.75</v>
      </c>
      <c r="U967" s="66">
        <f t="shared" si="253"/>
        <v>3920.6266949999999</v>
      </c>
      <c r="V967" s="68">
        <f t="shared" si="254"/>
        <v>53.707214999999998</v>
      </c>
      <c r="W967" s="68">
        <f t="shared" si="255"/>
        <v>457.7319460227273</v>
      </c>
      <c r="X967" s="68">
        <f t="shared" si="256"/>
        <v>305.15463068181822</v>
      </c>
      <c r="Z967" s="63"/>
      <c r="AA967" s="63"/>
    </row>
    <row r="968" spans="1:27" hidden="1" x14ac:dyDescent="0.25">
      <c r="A968" t="str">
        <f t="shared" si="257"/>
        <v>10620029C22/05/2026E</v>
      </c>
      <c r="B968" t="s">
        <v>828</v>
      </c>
      <c r="C968" t="s">
        <v>397</v>
      </c>
      <c r="D968" t="s">
        <v>591</v>
      </c>
      <c r="E968" t="s">
        <v>594</v>
      </c>
      <c r="F968" t="s">
        <v>375</v>
      </c>
      <c r="G968" s="62" t="str">
        <f t="shared" si="245"/>
        <v>64547</v>
      </c>
      <c r="H968" s="1">
        <v>10620029</v>
      </c>
      <c r="I968" s="1" t="s">
        <v>388</v>
      </c>
      <c r="J968" s="61">
        <v>27</v>
      </c>
      <c r="K968" s="61">
        <v>3</v>
      </c>
      <c r="L968" s="61">
        <v>8</v>
      </c>
      <c r="M968" s="69">
        <f t="shared" si="246"/>
        <v>0.81</v>
      </c>
      <c r="N968" s="69">
        <f t="shared" si="247"/>
        <v>2.16</v>
      </c>
      <c r="O968" s="56">
        <f>INDEX(Rate_Chart!$A$1:$AK$127,MATCH(Data!K968,Rate_Chart!$A$1:$A$127,0),MATCH(Data!L968,Rate_Chart!$A$1:$AK$1,0))</f>
        <v>34.751112000000006</v>
      </c>
      <c r="P968" s="57">
        <f t="shared" si="248"/>
        <v>938.28002400000014</v>
      </c>
      <c r="Q968" s="58">
        <f t="shared" si="249"/>
        <v>417.01334400000002</v>
      </c>
      <c r="R968" s="58">
        <f t="shared" si="250"/>
        <v>278.00889599999999</v>
      </c>
      <c r="S968" s="66">
        <f t="shared" si="251"/>
        <v>16.419900420000005</v>
      </c>
      <c r="T968" s="64">
        <f t="shared" si="252"/>
        <v>101.25</v>
      </c>
      <c r="U968" s="66">
        <f t="shared" si="253"/>
        <v>1055.9499244200001</v>
      </c>
      <c r="V968" s="68">
        <f t="shared" si="254"/>
        <v>39.109256460000005</v>
      </c>
      <c r="W968" s="68">
        <f t="shared" si="255"/>
        <v>469.31107752000003</v>
      </c>
      <c r="X968" s="68">
        <f t="shared" si="256"/>
        <v>312.87405168000004</v>
      </c>
      <c r="Z968" s="63"/>
      <c r="AA968" s="63"/>
    </row>
    <row r="969" spans="1:27" hidden="1" x14ac:dyDescent="0.25">
      <c r="A969" t="str">
        <f t="shared" si="257"/>
        <v>10620020B22/05/2026M</v>
      </c>
      <c r="B969" t="s">
        <v>822</v>
      </c>
      <c r="C969" t="s">
        <v>396</v>
      </c>
      <c r="D969" t="s">
        <v>591</v>
      </c>
      <c r="E969" t="s">
        <v>595</v>
      </c>
      <c r="F969" t="s">
        <v>596</v>
      </c>
      <c r="G969" s="62" t="str">
        <f t="shared" si="245"/>
        <v>64552</v>
      </c>
      <c r="H969" s="1">
        <v>10620020</v>
      </c>
      <c r="I969" s="1" t="s">
        <v>387</v>
      </c>
      <c r="J969" s="61">
        <v>10</v>
      </c>
      <c r="K969" s="61">
        <v>6.9</v>
      </c>
      <c r="L969" s="61">
        <v>8.8000000000000007</v>
      </c>
      <c r="M969" s="69">
        <f t="shared" si="246"/>
        <v>0.69</v>
      </c>
      <c r="N969" s="69">
        <f t="shared" si="247"/>
        <v>0.88</v>
      </c>
      <c r="O969" s="56">
        <v>57.038850000000004</v>
      </c>
      <c r="P969" s="57">
        <f t="shared" si="248"/>
        <v>570.38850000000002</v>
      </c>
      <c r="Q969" s="58">
        <f t="shared" si="249"/>
        <v>446.77950391644907</v>
      </c>
      <c r="R969" s="58">
        <f t="shared" si="250"/>
        <v>297.85300261096603</v>
      </c>
      <c r="S969" s="66">
        <f t="shared" si="251"/>
        <v>9.9817987500000012</v>
      </c>
      <c r="T969" s="64">
        <f t="shared" si="252"/>
        <v>37.5</v>
      </c>
      <c r="U969" s="66">
        <f t="shared" si="253"/>
        <v>617.87029875000007</v>
      </c>
      <c r="V969" s="68">
        <f t="shared" si="254"/>
        <v>61.787029875000009</v>
      </c>
      <c r="W969" s="68">
        <f t="shared" si="255"/>
        <v>483.97151338120108</v>
      </c>
      <c r="X969" s="68">
        <f t="shared" si="256"/>
        <v>322.6476755874674</v>
      </c>
      <c r="Z969" s="63"/>
      <c r="AA969" s="63"/>
    </row>
    <row r="970" spans="1:27" hidden="1" x14ac:dyDescent="0.25">
      <c r="A970" t="str">
        <f t="shared" si="257"/>
        <v>10620020B23/05/2026E</v>
      </c>
      <c r="B970" t="s">
        <v>822</v>
      </c>
      <c r="C970" t="s">
        <v>397</v>
      </c>
      <c r="D970" t="s">
        <v>591</v>
      </c>
      <c r="E970" t="s">
        <v>595</v>
      </c>
      <c r="F970" t="s">
        <v>596</v>
      </c>
      <c r="G970" s="62" t="str">
        <f t="shared" si="245"/>
        <v>64552</v>
      </c>
      <c r="H970" s="1">
        <v>10620020</v>
      </c>
      <c r="I970" s="1" t="s">
        <v>387</v>
      </c>
      <c r="J970" s="61">
        <v>11</v>
      </c>
      <c r="K970" s="61">
        <v>6.1</v>
      </c>
      <c r="L970" s="61">
        <v>8.8000000000000007</v>
      </c>
      <c r="M970" s="69">
        <f t="shared" si="246"/>
        <v>0.67099999999999993</v>
      </c>
      <c r="N970" s="69">
        <f t="shared" si="247"/>
        <v>0.96800000000000008</v>
      </c>
      <c r="O970" s="56">
        <v>50.425650000000005</v>
      </c>
      <c r="P970" s="57">
        <f t="shared" si="248"/>
        <v>554.68215000000009</v>
      </c>
      <c r="Q970" s="58">
        <f t="shared" si="249"/>
        <v>421.38426183844012</v>
      </c>
      <c r="R970" s="58">
        <f t="shared" si="250"/>
        <v>280.92284122562677</v>
      </c>
      <c r="S970" s="66">
        <f t="shared" si="251"/>
        <v>9.7069376250000019</v>
      </c>
      <c r="T970" s="64">
        <f t="shared" si="252"/>
        <v>41.25</v>
      </c>
      <c r="U970" s="66">
        <f t="shared" si="253"/>
        <v>605.63908762500012</v>
      </c>
      <c r="V970" s="68">
        <f t="shared" si="254"/>
        <v>55.058098875000013</v>
      </c>
      <c r="W970" s="68">
        <f t="shared" si="255"/>
        <v>460.09553377437334</v>
      </c>
      <c r="X970" s="68">
        <f t="shared" si="256"/>
        <v>306.73035584958222</v>
      </c>
      <c r="Z970" s="63"/>
      <c r="AA970" s="63"/>
    </row>
    <row r="971" spans="1:27" hidden="1" x14ac:dyDescent="0.25">
      <c r="A971" t="str">
        <f t="shared" si="257"/>
        <v>10620020B23/05/2026M</v>
      </c>
      <c r="B971" t="s">
        <v>823</v>
      </c>
      <c r="C971" t="s">
        <v>396</v>
      </c>
      <c r="D971" t="s">
        <v>591</v>
      </c>
      <c r="E971" t="s">
        <v>595</v>
      </c>
      <c r="F971" t="s">
        <v>596</v>
      </c>
      <c r="G971" s="62" t="str">
        <f t="shared" si="245"/>
        <v>64552</v>
      </c>
      <c r="H971" s="1">
        <v>10620020</v>
      </c>
      <c r="I971" s="1" t="s">
        <v>387</v>
      </c>
      <c r="J971" s="61">
        <v>12</v>
      </c>
      <c r="K971" s="61">
        <v>7.5</v>
      </c>
      <c r="L971" s="61">
        <v>9</v>
      </c>
      <c r="M971" s="69">
        <f t="shared" si="246"/>
        <v>0.9</v>
      </c>
      <c r="N971" s="69">
        <f t="shared" si="247"/>
        <v>1.08</v>
      </c>
      <c r="O971" s="56">
        <v>62.625</v>
      </c>
      <c r="P971" s="57">
        <f t="shared" si="248"/>
        <v>751.5</v>
      </c>
      <c r="Q971" s="58">
        <f t="shared" si="249"/>
        <v>463.88888888888886</v>
      </c>
      <c r="R971" s="58">
        <f t="shared" si="250"/>
        <v>309.25925925925924</v>
      </c>
      <c r="S971" s="66">
        <f t="shared" si="251"/>
        <v>13.151250000000001</v>
      </c>
      <c r="T971" s="64">
        <f t="shared" si="252"/>
        <v>45</v>
      </c>
      <c r="U971" s="66">
        <f t="shared" si="253"/>
        <v>809.65125</v>
      </c>
      <c r="V971" s="68">
        <f t="shared" si="254"/>
        <v>67.470937500000005</v>
      </c>
      <c r="W971" s="68">
        <f t="shared" si="255"/>
        <v>499.78472222222223</v>
      </c>
      <c r="X971" s="68">
        <f t="shared" si="256"/>
        <v>333.18981481481484</v>
      </c>
      <c r="Z971" s="63"/>
      <c r="AA971" s="63"/>
    </row>
    <row r="972" spans="1:27" hidden="1" x14ac:dyDescent="0.25">
      <c r="A972" t="str">
        <f t="shared" si="257"/>
        <v>10620020B24/05/2026E</v>
      </c>
      <c r="B972" t="s">
        <v>823</v>
      </c>
      <c r="C972" t="s">
        <v>397</v>
      </c>
      <c r="D972" t="s">
        <v>591</v>
      </c>
      <c r="E972" t="s">
        <v>595</v>
      </c>
      <c r="F972" t="s">
        <v>596</v>
      </c>
      <c r="G972" s="62" t="str">
        <f t="shared" si="245"/>
        <v>64552</v>
      </c>
      <c r="H972" s="1">
        <v>10620020</v>
      </c>
      <c r="I972" s="1" t="s">
        <v>387</v>
      </c>
      <c r="J972" s="61">
        <v>6</v>
      </c>
      <c r="K972" s="61">
        <v>5.6</v>
      </c>
      <c r="L972" s="61">
        <v>8.6</v>
      </c>
      <c r="M972" s="69">
        <f t="shared" si="246"/>
        <v>0.33599999999999997</v>
      </c>
      <c r="N972" s="69">
        <f t="shared" si="247"/>
        <v>0.5159999999999999</v>
      </c>
      <c r="O972" s="56">
        <v>45.824799999999996</v>
      </c>
      <c r="P972" s="57">
        <f t="shared" si="248"/>
        <v>274.94880000000001</v>
      </c>
      <c r="Q972" s="58">
        <f t="shared" si="249"/>
        <v>404.33647058823533</v>
      </c>
      <c r="R972" s="58">
        <f t="shared" si="250"/>
        <v>269.55764705882353</v>
      </c>
      <c r="S972" s="66">
        <f t="shared" si="251"/>
        <v>4.8116040000000009</v>
      </c>
      <c r="T972" s="64">
        <f t="shared" si="252"/>
        <v>22.5</v>
      </c>
      <c r="U972" s="66">
        <f t="shared" si="253"/>
        <v>302.26040399999999</v>
      </c>
      <c r="V972" s="68">
        <f t="shared" si="254"/>
        <v>50.376733999999999</v>
      </c>
      <c r="W972" s="68">
        <f t="shared" si="255"/>
        <v>444.50059411764715</v>
      </c>
      <c r="X972" s="68">
        <f t="shared" si="256"/>
        <v>296.33372941176475</v>
      </c>
      <c r="Z972" s="63"/>
      <c r="AA972" s="63"/>
    </row>
    <row r="973" spans="1:27" hidden="1" x14ac:dyDescent="0.25">
      <c r="A973" t="str">
        <f t="shared" si="257"/>
        <v>10620020B24/05/2026M</v>
      </c>
      <c r="B973" t="s">
        <v>824</v>
      </c>
      <c r="C973" t="s">
        <v>396</v>
      </c>
      <c r="D973" t="s">
        <v>591</v>
      </c>
      <c r="E973" t="s">
        <v>595</v>
      </c>
      <c r="F973" t="s">
        <v>596</v>
      </c>
      <c r="G973" s="62" t="str">
        <f t="shared" si="245"/>
        <v>64552</v>
      </c>
      <c r="H973" s="1">
        <v>10620020</v>
      </c>
      <c r="I973" s="1" t="s">
        <v>387</v>
      </c>
      <c r="J973" s="61">
        <v>10</v>
      </c>
      <c r="K973" s="61">
        <v>6.7</v>
      </c>
      <c r="L973" s="61">
        <v>8.8000000000000007</v>
      </c>
      <c r="M973" s="69">
        <f t="shared" si="246"/>
        <v>0.67</v>
      </c>
      <c r="N973" s="69">
        <f t="shared" si="247"/>
        <v>0.88</v>
      </c>
      <c r="O973" s="56">
        <v>55.385550000000002</v>
      </c>
      <c r="P973" s="57">
        <f t="shared" si="248"/>
        <v>553.85550000000001</v>
      </c>
      <c r="Q973" s="58">
        <f t="shared" si="249"/>
        <v>440.73381962864721</v>
      </c>
      <c r="R973" s="58">
        <f t="shared" si="250"/>
        <v>293.82254641909816</v>
      </c>
      <c r="S973" s="66">
        <f t="shared" si="251"/>
        <v>9.6924712500000005</v>
      </c>
      <c r="T973" s="64">
        <f t="shared" si="252"/>
        <v>37.5</v>
      </c>
      <c r="U973" s="66">
        <f t="shared" si="253"/>
        <v>601.04797125000005</v>
      </c>
      <c r="V973" s="68">
        <f t="shared" si="254"/>
        <v>60.104797125000005</v>
      </c>
      <c r="W973" s="68">
        <f t="shared" si="255"/>
        <v>478.28751027851456</v>
      </c>
      <c r="X973" s="68">
        <f t="shared" si="256"/>
        <v>318.85834018567635</v>
      </c>
      <c r="Z973" s="63"/>
      <c r="AA973" s="63"/>
    </row>
    <row r="974" spans="1:27" hidden="1" x14ac:dyDescent="0.25">
      <c r="A974" t="str">
        <f t="shared" si="257"/>
        <v>10620020B25/05/2026E</v>
      </c>
      <c r="B974" t="s">
        <v>824</v>
      </c>
      <c r="C974" t="s">
        <v>397</v>
      </c>
      <c r="D974" t="s">
        <v>591</v>
      </c>
      <c r="E974" t="s">
        <v>595</v>
      </c>
      <c r="F974" t="s">
        <v>596</v>
      </c>
      <c r="G974" s="62" t="str">
        <f t="shared" si="245"/>
        <v>64552</v>
      </c>
      <c r="H974" s="1">
        <v>10620020</v>
      </c>
      <c r="I974" s="1" t="s">
        <v>387</v>
      </c>
      <c r="J974" s="61">
        <v>11</v>
      </c>
      <c r="K974" s="61">
        <v>7.1</v>
      </c>
      <c r="L974" s="61">
        <v>8.8000000000000007</v>
      </c>
      <c r="M974" s="69">
        <f t="shared" si="246"/>
        <v>0.78099999999999992</v>
      </c>
      <c r="N974" s="69">
        <f t="shared" si="247"/>
        <v>0.96800000000000008</v>
      </c>
      <c r="O974" s="56">
        <v>58.692149999999998</v>
      </c>
      <c r="P974" s="57">
        <f t="shared" si="248"/>
        <v>645.61365000000001</v>
      </c>
      <c r="Q974" s="58">
        <f t="shared" si="249"/>
        <v>452.63868894601546</v>
      </c>
      <c r="R974" s="58">
        <f t="shared" si="250"/>
        <v>301.75912596401031</v>
      </c>
      <c r="S974" s="66">
        <f t="shared" si="251"/>
        <v>11.298238875000001</v>
      </c>
      <c r="T974" s="64">
        <f t="shared" si="252"/>
        <v>41.25</v>
      </c>
      <c r="U974" s="66">
        <f t="shared" si="253"/>
        <v>698.16188887500005</v>
      </c>
      <c r="V974" s="68">
        <f t="shared" si="254"/>
        <v>63.469262625000006</v>
      </c>
      <c r="W974" s="68">
        <f t="shared" si="255"/>
        <v>489.48017448586126</v>
      </c>
      <c r="X974" s="68">
        <f t="shared" si="256"/>
        <v>326.32011632390748</v>
      </c>
      <c r="Z974" s="63"/>
      <c r="AA974" s="63"/>
    </row>
    <row r="975" spans="1:27" hidden="1" x14ac:dyDescent="0.25">
      <c r="A975" t="str">
        <f t="shared" si="257"/>
        <v>10620020B25/05/2026M</v>
      </c>
      <c r="B975" t="s">
        <v>825</v>
      </c>
      <c r="C975" t="s">
        <v>396</v>
      </c>
      <c r="D975" t="s">
        <v>591</v>
      </c>
      <c r="E975" t="s">
        <v>595</v>
      </c>
      <c r="F975" t="s">
        <v>596</v>
      </c>
      <c r="G975" s="62" t="str">
        <f t="shared" si="245"/>
        <v>64552</v>
      </c>
      <c r="H975" s="1">
        <v>10620020</v>
      </c>
      <c r="I975" s="1" t="s">
        <v>387</v>
      </c>
      <c r="J975" s="61">
        <v>10</v>
      </c>
      <c r="K975" s="61">
        <v>6.6</v>
      </c>
      <c r="L975" s="61">
        <v>8.8000000000000007</v>
      </c>
      <c r="M975" s="69">
        <f t="shared" si="246"/>
        <v>0.66</v>
      </c>
      <c r="N975" s="69">
        <f t="shared" si="247"/>
        <v>0.88</v>
      </c>
      <c r="O975" s="56">
        <v>54.558900000000001</v>
      </c>
      <c r="P975" s="57">
        <f t="shared" si="248"/>
        <v>545.58900000000006</v>
      </c>
      <c r="Q975" s="58">
        <f t="shared" si="249"/>
        <v>437.63823529411764</v>
      </c>
      <c r="R975" s="58">
        <f t="shared" si="250"/>
        <v>291.75882352941176</v>
      </c>
      <c r="S975" s="66">
        <f t="shared" si="251"/>
        <v>9.5478075000000011</v>
      </c>
      <c r="T975" s="64">
        <f t="shared" si="252"/>
        <v>37.5</v>
      </c>
      <c r="U975" s="66">
        <f t="shared" si="253"/>
        <v>592.63680750000003</v>
      </c>
      <c r="V975" s="68">
        <f t="shared" si="254"/>
        <v>59.263680750000006</v>
      </c>
      <c r="W975" s="68">
        <f t="shared" si="255"/>
        <v>475.37711831550803</v>
      </c>
      <c r="X975" s="68">
        <f t="shared" si="256"/>
        <v>316.91807887700537</v>
      </c>
      <c r="Z975" s="63"/>
      <c r="AA975" s="63"/>
    </row>
    <row r="976" spans="1:27" hidden="1" x14ac:dyDescent="0.25">
      <c r="A976" t="str">
        <f t="shared" si="257"/>
        <v>10620020B26/05/2026E</v>
      </c>
      <c r="B976" t="s">
        <v>825</v>
      </c>
      <c r="C976" t="s">
        <v>397</v>
      </c>
      <c r="D976" t="s">
        <v>591</v>
      </c>
      <c r="E976" t="s">
        <v>595</v>
      </c>
      <c r="F976" t="s">
        <v>596</v>
      </c>
      <c r="G976" s="62" t="str">
        <f t="shared" si="245"/>
        <v>64552</v>
      </c>
      <c r="H976" s="1">
        <v>10620020</v>
      </c>
      <c r="I976" s="1" t="s">
        <v>387</v>
      </c>
      <c r="J976" s="61">
        <v>12</v>
      </c>
      <c r="K976" s="61">
        <v>6.2</v>
      </c>
      <c r="L976" s="61">
        <v>8.8000000000000007</v>
      </c>
      <c r="M976" s="69">
        <f t="shared" si="246"/>
        <v>0.74400000000000011</v>
      </c>
      <c r="N976" s="69">
        <f t="shared" si="247"/>
        <v>1.056</v>
      </c>
      <c r="O976" s="56">
        <v>51.252300000000005</v>
      </c>
      <c r="P976" s="57">
        <f t="shared" si="248"/>
        <v>615.02760000000012</v>
      </c>
      <c r="Q976" s="58">
        <f t="shared" si="249"/>
        <v>424.74281767955802</v>
      </c>
      <c r="R976" s="58">
        <f t="shared" si="250"/>
        <v>283.1618784530387</v>
      </c>
      <c r="S976" s="66">
        <f t="shared" si="251"/>
        <v>10.762983000000004</v>
      </c>
      <c r="T976" s="64">
        <f t="shared" si="252"/>
        <v>45</v>
      </c>
      <c r="U976" s="66">
        <f t="shared" si="253"/>
        <v>670.79058300000008</v>
      </c>
      <c r="V976" s="68">
        <f t="shared" si="254"/>
        <v>55.899215250000005</v>
      </c>
      <c r="W976" s="68">
        <f t="shared" si="255"/>
        <v>463.25316505524864</v>
      </c>
      <c r="X976" s="68">
        <f t="shared" si="256"/>
        <v>308.83544337016576</v>
      </c>
      <c r="Z976" s="63"/>
      <c r="AA976" s="63"/>
    </row>
    <row r="977" spans="1:27" hidden="1" x14ac:dyDescent="0.25">
      <c r="A977" t="str">
        <f t="shared" si="257"/>
        <v>10620020B26/05/2026M</v>
      </c>
      <c r="B977" t="s">
        <v>826</v>
      </c>
      <c r="C977" t="s">
        <v>396</v>
      </c>
      <c r="D977" t="s">
        <v>591</v>
      </c>
      <c r="E977" t="s">
        <v>595</v>
      </c>
      <c r="F977" t="s">
        <v>596</v>
      </c>
      <c r="G977" s="62" t="str">
        <f t="shared" si="245"/>
        <v>64552</v>
      </c>
      <c r="H977" s="1">
        <v>10620020</v>
      </c>
      <c r="I977" s="1" t="s">
        <v>387</v>
      </c>
      <c r="J977" s="61">
        <v>16</v>
      </c>
      <c r="K977" s="61">
        <v>6.5</v>
      </c>
      <c r="L977" s="61">
        <v>8.8000000000000007</v>
      </c>
      <c r="M977" s="69">
        <f t="shared" si="246"/>
        <v>1.04</v>
      </c>
      <c r="N977" s="69">
        <f t="shared" si="247"/>
        <v>1.4080000000000001</v>
      </c>
      <c r="O977" s="56">
        <f>INDEX(Rate_Chart!$A$1:$AK$127,MATCH(Data!K977,Rate_Chart!$A$1:$A$127,0),MATCH(Data!L977,Rate_Chart!$A$1:$AK$1,0))</f>
        <v>53.732250000000001</v>
      </c>
      <c r="P977" s="57">
        <f t="shared" si="248"/>
        <v>859.71600000000001</v>
      </c>
      <c r="Q977" s="58">
        <f t="shared" si="249"/>
        <v>434.49258760107813</v>
      </c>
      <c r="R977" s="58">
        <f t="shared" si="250"/>
        <v>289.66172506738542</v>
      </c>
      <c r="S977" s="66">
        <f t="shared" si="251"/>
        <v>15.045030000000002</v>
      </c>
      <c r="T977" s="64">
        <f t="shared" si="252"/>
        <v>60</v>
      </c>
      <c r="U977" s="66">
        <f t="shared" si="253"/>
        <v>934.76103000000001</v>
      </c>
      <c r="V977" s="68">
        <f t="shared" si="254"/>
        <v>58.422564375</v>
      </c>
      <c r="W977" s="68">
        <f t="shared" si="255"/>
        <v>472.41965801886789</v>
      </c>
      <c r="X977" s="68">
        <f t="shared" si="256"/>
        <v>314.94643867924526</v>
      </c>
      <c r="Z977" s="63"/>
      <c r="AA977" s="63"/>
    </row>
    <row r="978" spans="1:27" hidden="1" x14ac:dyDescent="0.25">
      <c r="A978" t="str">
        <f t="shared" si="257"/>
        <v>10620020B28/05/2026E</v>
      </c>
      <c r="B978" t="s">
        <v>826</v>
      </c>
      <c r="C978" t="s">
        <v>397</v>
      </c>
      <c r="D978" t="s">
        <v>591</v>
      </c>
      <c r="E978" t="s">
        <v>595</v>
      </c>
      <c r="F978" t="s">
        <v>596</v>
      </c>
      <c r="G978" s="62" t="str">
        <f t="shared" si="245"/>
        <v>64552</v>
      </c>
      <c r="H978" s="1">
        <v>10620020</v>
      </c>
      <c r="I978" s="1" t="s">
        <v>387</v>
      </c>
      <c r="J978" s="61">
        <v>10</v>
      </c>
      <c r="K978" s="61">
        <v>6.3</v>
      </c>
      <c r="L978" s="61">
        <v>9</v>
      </c>
      <c r="M978" s="69">
        <f t="shared" si="246"/>
        <v>0.63</v>
      </c>
      <c r="N978" s="69">
        <f t="shared" si="247"/>
        <v>0.9</v>
      </c>
      <c r="O978" s="56">
        <f>INDEX(Rate_Chart!$A$1:$AK$127,MATCH(Data!K978,Rate_Chart!$A$1:$A$127,0),MATCH(Data!L978,Rate_Chart!$A$1:$AK$1,0))</f>
        <v>52.604999999999997</v>
      </c>
      <c r="P978" s="57">
        <f t="shared" si="248"/>
        <v>526.04999999999995</v>
      </c>
      <c r="Q978" s="58">
        <f t="shared" si="249"/>
        <v>427.6829268292683</v>
      </c>
      <c r="R978" s="58">
        <f t="shared" si="250"/>
        <v>285.1219512195122</v>
      </c>
      <c r="S978" s="66">
        <f t="shared" si="251"/>
        <v>9.2058750000000007</v>
      </c>
      <c r="T978" s="64">
        <f t="shared" si="252"/>
        <v>37.5</v>
      </c>
      <c r="U978" s="66">
        <f t="shared" si="253"/>
        <v>572.75587499999995</v>
      </c>
      <c r="V978" s="68">
        <f t="shared" si="254"/>
        <v>57.275587499999993</v>
      </c>
      <c r="W978" s="68">
        <f t="shared" si="255"/>
        <v>465.65518292682924</v>
      </c>
      <c r="X978" s="68">
        <f t="shared" si="256"/>
        <v>310.43678861788618</v>
      </c>
      <c r="Z978" s="63"/>
      <c r="AA978" s="63"/>
    </row>
    <row r="979" spans="1:27" hidden="1" x14ac:dyDescent="0.25">
      <c r="A979" t="str">
        <f t="shared" si="257"/>
        <v>10620020B22/05/2026E</v>
      </c>
      <c r="B979" t="s">
        <v>828</v>
      </c>
      <c r="C979" t="s">
        <v>397</v>
      </c>
      <c r="D979" t="s">
        <v>591</v>
      </c>
      <c r="E979" t="s">
        <v>595</v>
      </c>
      <c r="F979" t="s">
        <v>596</v>
      </c>
      <c r="G979" s="62" t="str">
        <f t="shared" si="245"/>
        <v>64552</v>
      </c>
      <c r="H979" s="1">
        <v>10620020</v>
      </c>
      <c r="I979" s="1" t="s">
        <v>387</v>
      </c>
      <c r="J979" s="61">
        <v>13</v>
      </c>
      <c r="K979" s="61">
        <v>5.9</v>
      </c>
      <c r="L979" s="61">
        <v>8.8000000000000007</v>
      </c>
      <c r="M979" s="69">
        <f t="shared" si="246"/>
        <v>0.76700000000000002</v>
      </c>
      <c r="N979" s="69">
        <f t="shared" si="247"/>
        <v>1.1440000000000001</v>
      </c>
      <c r="O979" s="56">
        <f>INDEX(Rate_Chart!$A$1:$AK$127,MATCH(Data!K979,Rate_Chart!$A$1:$A$127,0),MATCH(Data!L979,Rate_Chart!$A$1:$AK$1,0))</f>
        <v>48.772350000000003</v>
      </c>
      <c r="P979" s="57">
        <f t="shared" si="248"/>
        <v>634.04055000000005</v>
      </c>
      <c r="Q979" s="58">
        <f t="shared" si="249"/>
        <v>414.49589235127479</v>
      </c>
      <c r="R979" s="58">
        <f t="shared" si="250"/>
        <v>276.33059490084986</v>
      </c>
      <c r="S979" s="66">
        <f t="shared" si="251"/>
        <v>11.095709625000001</v>
      </c>
      <c r="T979" s="64">
        <f t="shared" si="252"/>
        <v>48.75</v>
      </c>
      <c r="U979" s="66">
        <f t="shared" si="253"/>
        <v>693.88625962500009</v>
      </c>
      <c r="V979" s="68">
        <f t="shared" si="254"/>
        <v>53.375866125000009</v>
      </c>
      <c r="W979" s="68">
        <f t="shared" si="255"/>
        <v>453.6192588526913</v>
      </c>
      <c r="X979" s="68">
        <f t="shared" si="256"/>
        <v>302.41283923512754</v>
      </c>
      <c r="Z979" s="63"/>
      <c r="AA979" s="63"/>
    </row>
    <row r="980" spans="1:27" hidden="1" x14ac:dyDescent="0.25">
      <c r="A980" t="str">
        <f t="shared" si="257"/>
        <v>10620031B22/05/2026M</v>
      </c>
      <c r="B980" t="s">
        <v>822</v>
      </c>
      <c r="C980" t="s">
        <v>396</v>
      </c>
      <c r="D980" t="s">
        <v>591</v>
      </c>
      <c r="E980" t="s">
        <v>594</v>
      </c>
      <c r="F980" t="s">
        <v>376</v>
      </c>
      <c r="G980" s="62" t="str">
        <f t="shared" si="245"/>
        <v>64553</v>
      </c>
      <c r="H980" s="1">
        <v>10620031</v>
      </c>
      <c r="I980" s="1" t="s">
        <v>387</v>
      </c>
      <c r="J980" s="61">
        <v>52</v>
      </c>
      <c r="K980" s="61">
        <v>7.4</v>
      </c>
      <c r="L980" s="61">
        <v>8.8000000000000007</v>
      </c>
      <c r="M980" s="69">
        <f t="shared" si="246"/>
        <v>3.8480000000000003</v>
      </c>
      <c r="N980" s="69">
        <f t="shared" si="247"/>
        <v>4.5760000000000005</v>
      </c>
      <c r="O980" s="56">
        <v>61.172100000000007</v>
      </c>
      <c r="P980" s="57">
        <f t="shared" si="248"/>
        <v>3180.9492000000005</v>
      </c>
      <c r="Q980" s="58">
        <f t="shared" si="249"/>
        <v>461.09623115577887</v>
      </c>
      <c r="R980" s="58">
        <f t="shared" si="250"/>
        <v>307.39748743718593</v>
      </c>
      <c r="S980" s="66">
        <f t="shared" si="251"/>
        <v>55.66661100000001</v>
      </c>
      <c r="T980" s="64">
        <f t="shared" si="252"/>
        <v>195</v>
      </c>
      <c r="U980" s="66">
        <f t="shared" si="253"/>
        <v>3431.6158110000006</v>
      </c>
      <c r="V980" s="68">
        <f t="shared" si="254"/>
        <v>65.992611750000009</v>
      </c>
      <c r="W980" s="68">
        <f t="shared" si="255"/>
        <v>497.43174685929648</v>
      </c>
      <c r="X980" s="68">
        <f t="shared" si="256"/>
        <v>331.6211645728643</v>
      </c>
      <c r="Z980" s="63"/>
      <c r="AA980" s="63"/>
    </row>
    <row r="981" spans="1:27" hidden="1" x14ac:dyDescent="0.25">
      <c r="A981" t="str">
        <f t="shared" si="257"/>
        <v>10620031C23/05/2026E</v>
      </c>
      <c r="B981" t="s">
        <v>822</v>
      </c>
      <c r="C981" t="s">
        <v>397</v>
      </c>
      <c r="D981" t="s">
        <v>591</v>
      </c>
      <c r="E981" t="s">
        <v>594</v>
      </c>
      <c r="F981" t="s">
        <v>376</v>
      </c>
      <c r="G981" s="62" t="str">
        <f t="shared" si="245"/>
        <v>64553</v>
      </c>
      <c r="H981" s="1">
        <v>10620031</v>
      </c>
      <c r="I981" s="1" t="s">
        <v>388</v>
      </c>
      <c r="J981" s="61">
        <v>21</v>
      </c>
      <c r="K981" s="61">
        <v>4.7</v>
      </c>
      <c r="L981" s="61">
        <v>8.1999999999999993</v>
      </c>
      <c r="M981" s="69">
        <f t="shared" si="246"/>
        <v>0.98699999999999999</v>
      </c>
      <c r="N981" s="69">
        <f t="shared" si="247"/>
        <v>1.722</v>
      </c>
      <c r="O981" s="56">
        <v>40.261082399999999</v>
      </c>
      <c r="P981" s="57">
        <f t="shared" si="248"/>
        <v>845.48273040000004</v>
      </c>
      <c r="Q981" s="58">
        <f t="shared" si="249"/>
        <v>396.01064655737707</v>
      </c>
      <c r="R981" s="58">
        <f t="shared" si="250"/>
        <v>264.00709770491807</v>
      </c>
      <c r="S981" s="66">
        <f t="shared" si="251"/>
        <v>14.795947782000002</v>
      </c>
      <c r="T981" s="64">
        <f t="shared" si="252"/>
        <v>78.75</v>
      </c>
      <c r="U981" s="66">
        <f t="shared" si="253"/>
        <v>939.02867818200002</v>
      </c>
      <c r="V981" s="68">
        <f t="shared" si="254"/>
        <v>44.715651342000001</v>
      </c>
      <c r="W981" s="68">
        <f t="shared" si="255"/>
        <v>439.82607877377058</v>
      </c>
      <c r="X981" s="68">
        <f t="shared" si="256"/>
        <v>293.2173858491804</v>
      </c>
      <c r="Z981" s="63"/>
      <c r="AA981" s="63"/>
    </row>
    <row r="982" spans="1:27" hidden="1" x14ac:dyDescent="0.25">
      <c r="A982" t="str">
        <f t="shared" si="257"/>
        <v>10620031B23/05/2026M</v>
      </c>
      <c r="B982" t="s">
        <v>823</v>
      </c>
      <c r="C982" t="s">
        <v>396</v>
      </c>
      <c r="D982" t="s">
        <v>591</v>
      </c>
      <c r="E982" t="s">
        <v>594</v>
      </c>
      <c r="F982" t="s">
        <v>376</v>
      </c>
      <c r="G982" s="62" t="str">
        <f t="shared" si="245"/>
        <v>64553</v>
      </c>
      <c r="H982" s="1">
        <v>10620031</v>
      </c>
      <c r="I982" s="1" t="s">
        <v>387</v>
      </c>
      <c r="J982" s="61">
        <v>61</v>
      </c>
      <c r="K982" s="61">
        <v>6.5</v>
      </c>
      <c r="L982" s="61">
        <v>8.8000000000000007</v>
      </c>
      <c r="M982" s="69">
        <f t="shared" si="246"/>
        <v>3.9649999999999999</v>
      </c>
      <c r="N982" s="69">
        <f t="shared" si="247"/>
        <v>5.3680000000000003</v>
      </c>
      <c r="O982" s="56">
        <v>53.732250000000001</v>
      </c>
      <c r="P982" s="57">
        <f t="shared" si="248"/>
        <v>3277.66725</v>
      </c>
      <c r="Q982" s="58">
        <f t="shared" si="249"/>
        <v>434.49258760107813</v>
      </c>
      <c r="R982" s="58">
        <f t="shared" si="250"/>
        <v>289.66172506738542</v>
      </c>
      <c r="S982" s="66">
        <f t="shared" si="251"/>
        <v>57.359176875000003</v>
      </c>
      <c r="T982" s="64">
        <f t="shared" si="252"/>
        <v>228.75</v>
      </c>
      <c r="U982" s="66">
        <f t="shared" si="253"/>
        <v>3563.7764268749997</v>
      </c>
      <c r="V982" s="68">
        <f t="shared" si="254"/>
        <v>58.422564374999993</v>
      </c>
      <c r="W982" s="68">
        <f t="shared" si="255"/>
        <v>472.41965801886784</v>
      </c>
      <c r="X982" s="68">
        <f t="shared" si="256"/>
        <v>314.9464386792452</v>
      </c>
      <c r="Z982" s="63"/>
      <c r="AA982" s="63"/>
    </row>
    <row r="983" spans="1:27" hidden="1" x14ac:dyDescent="0.25">
      <c r="A983" t="str">
        <f t="shared" si="257"/>
        <v>10620031C24/05/2026E</v>
      </c>
      <c r="B983" t="s">
        <v>823</v>
      </c>
      <c r="C983" t="s">
        <v>397</v>
      </c>
      <c r="D983" t="s">
        <v>591</v>
      </c>
      <c r="E983" t="s">
        <v>594</v>
      </c>
      <c r="F983" t="s">
        <v>376</v>
      </c>
      <c r="G983" s="62" t="str">
        <f t="shared" si="245"/>
        <v>64553</v>
      </c>
      <c r="H983" s="1">
        <v>10620031</v>
      </c>
      <c r="I983" s="1" t="s">
        <v>388</v>
      </c>
      <c r="J983" s="61">
        <v>16</v>
      </c>
      <c r="K983" s="61">
        <v>4.8</v>
      </c>
      <c r="L983" s="61">
        <v>8.1999999999999993</v>
      </c>
      <c r="M983" s="69">
        <f t="shared" si="246"/>
        <v>0.76800000000000002</v>
      </c>
      <c r="N983" s="69">
        <f t="shared" si="247"/>
        <v>1.3119999999999998</v>
      </c>
      <c r="O983" s="56">
        <v>40.6570824</v>
      </c>
      <c r="P983" s="57">
        <f t="shared" si="248"/>
        <v>650.5133184</v>
      </c>
      <c r="Q983" s="58">
        <f t="shared" si="249"/>
        <v>396.01054285714292</v>
      </c>
      <c r="R983" s="58">
        <f t="shared" si="250"/>
        <v>264.00702857142863</v>
      </c>
      <c r="S983" s="66">
        <f t="shared" si="251"/>
        <v>11.383983072000001</v>
      </c>
      <c r="T983" s="64">
        <f t="shared" si="252"/>
        <v>60</v>
      </c>
      <c r="U983" s="66">
        <f t="shared" si="253"/>
        <v>721.89730147199998</v>
      </c>
      <c r="V983" s="68">
        <f t="shared" si="254"/>
        <v>45.118581341999999</v>
      </c>
      <c r="W983" s="68">
        <f t="shared" si="255"/>
        <v>439.46670138311691</v>
      </c>
      <c r="X983" s="68">
        <f t="shared" si="256"/>
        <v>292.97780092207796</v>
      </c>
      <c r="Z983" s="63"/>
      <c r="AA983" s="63"/>
    </row>
    <row r="984" spans="1:27" hidden="1" x14ac:dyDescent="0.25">
      <c r="A984" t="str">
        <f t="shared" si="257"/>
        <v>10620031B24/05/2026M</v>
      </c>
      <c r="B984" t="s">
        <v>824</v>
      </c>
      <c r="C984" t="s">
        <v>396</v>
      </c>
      <c r="D984" t="s">
        <v>591</v>
      </c>
      <c r="E984" t="s">
        <v>594</v>
      </c>
      <c r="F984" t="s">
        <v>376</v>
      </c>
      <c r="G984" s="62" t="str">
        <f t="shared" si="245"/>
        <v>64553</v>
      </c>
      <c r="H984" s="1">
        <v>10620031</v>
      </c>
      <c r="I984" s="1" t="s">
        <v>387</v>
      </c>
      <c r="J984" s="61">
        <v>53</v>
      </c>
      <c r="K984" s="61">
        <v>7.2</v>
      </c>
      <c r="L984" s="61">
        <v>8.8000000000000007</v>
      </c>
      <c r="M984" s="69">
        <f t="shared" si="246"/>
        <v>3.8160000000000003</v>
      </c>
      <c r="N984" s="69">
        <f t="shared" si="247"/>
        <v>4.6640000000000006</v>
      </c>
      <c r="O984" s="56">
        <v>59.518800000000006</v>
      </c>
      <c r="P984" s="57">
        <f t="shared" si="248"/>
        <v>3154.4964000000004</v>
      </c>
      <c r="Q984" s="58">
        <f t="shared" si="249"/>
        <v>455.50102040816324</v>
      </c>
      <c r="R984" s="58">
        <f t="shared" si="250"/>
        <v>303.66734693877549</v>
      </c>
      <c r="S984" s="66">
        <f t="shared" si="251"/>
        <v>55.203687000000016</v>
      </c>
      <c r="T984" s="64">
        <f t="shared" si="252"/>
        <v>198.75</v>
      </c>
      <c r="U984" s="66">
        <f t="shared" si="253"/>
        <v>3408.4500870000006</v>
      </c>
      <c r="V984" s="68">
        <f t="shared" si="254"/>
        <v>64.310379000000012</v>
      </c>
      <c r="W984" s="68">
        <f t="shared" si="255"/>
        <v>492.17126785714288</v>
      </c>
      <c r="X984" s="68">
        <f t="shared" si="256"/>
        <v>328.11417857142857</v>
      </c>
      <c r="Z984" s="63"/>
      <c r="AA984" s="63"/>
    </row>
    <row r="985" spans="1:27" hidden="1" x14ac:dyDescent="0.25">
      <c r="A985" t="str">
        <f t="shared" si="257"/>
        <v>10620031C25/05/2026E</v>
      </c>
      <c r="B985" t="s">
        <v>824</v>
      </c>
      <c r="C985" t="s">
        <v>397</v>
      </c>
      <c r="D985" t="s">
        <v>591</v>
      </c>
      <c r="E985" t="s">
        <v>594</v>
      </c>
      <c r="F985" t="s">
        <v>376</v>
      </c>
      <c r="G985" s="62" t="str">
        <f t="shared" si="245"/>
        <v>64553</v>
      </c>
      <c r="H985" s="1">
        <v>10620031</v>
      </c>
      <c r="I985" s="1" t="s">
        <v>388</v>
      </c>
      <c r="J985" s="61">
        <v>21</v>
      </c>
      <c r="K985" s="61">
        <v>4.3</v>
      </c>
      <c r="L985" s="61">
        <v>8.1999999999999993</v>
      </c>
      <c r="M985" s="69">
        <f t="shared" si="246"/>
        <v>0.90300000000000002</v>
      </c>
      <c r="N985" s="69">
        <f t="shared" si="247"/>
        <v>1.722</v>
      </c>
      <c r="O985" s="56">
        <v>38.677082400000003</v>
      </c>
      <c r="P985" s="57">
        <f t="shared" si="248"/>
        <v>812.21873040000003</v>
      </c>
      <c r="Q985" s="58">
        <f t="shared" si="249"/>
        <v>396.01108259385677</v>
      </c>
      <c r="R985" s="58">
        <f t="shared" si="250"/>
        <v>264.00738839590451</v>
      </c>
      <c r="S985" s="66">
        <f t="shared" si="251"/>
        <v>14.213827782000001</v>
      </c>
      <c r="T985" s="64">
        <f t="shared" si="252"/>
        <v>78.75</v>
      </c>
      <c r="U985" s="66">
        <f t="shared" si="253"/>
        <v>905.18255818199998</v>
      </c>
      <c r="V985" s="68">
        <f t="shared" si="254"/>
        <v>43.103931341999996</v>
      </c>
      <c r="W985" s="68">
        <f t="shared" si="255"/>
        <v>441.33718097610927</v>
      </c>
      <c r="X985" s="68">
        <f t="shared" si="256"/>
        <v>294.2247873174062</v>
      </c>
      <c r="Z985" s="63"/>
      <c r="AA985" s="63"/>
    </row>
    <row r="986" spans="1:27" hidden="1" x14ac:dyDescent="0.25">
      <c r="A986" t="str">
        <f t="shared" si="257"/>
        <v>10620031B25/05/2026M</v>
      </c>
      <c r="B986" t="s">
        <v>825</v>
      </c>
      <c r="C986" t="s">
        <v>396</v>
      </c>
      <c r="D986" t="s">
        <v>591</v>
      </c>
      <c r="E986" t="s">
        <v>594</v>
      </c>
      <c r="F986" t="s">
        <v>376</v>
      </c>
      <c r="G986" s="62" t="str">
        <f t="shared" si="245"/>
        <v>64553</v>
      </c>
      <c r="H986" s="1">
        <v>10620031</v>
      </c>
      <c r="I986" s="1" t="s">
        <v>387</v>
      </c>
      <c r="J986" s="61">
        <v>58</v>
      </c>
      <c r="K986" s="61">
        <v>7</v>
      </c>
      <c r="L986" s="61">
        <v>8.8000000000000007</v>
      </c>
      <c r="M986" s="69">
        <f t="shared" si="246"/>
        <v>4.0599999999999996</v>
      </c>
      <c r="N986" s="69">
        <f t="shared" si="247"/>
        <v>5.1040000000000001</v>
      </c>
      <c r="O986" s="56">
        <v>57.865500000000004</v>
      </c>
      <c r="P986" s="57">
        <f t="shared" si="248"/>
        <v>3356.1990000000001</v>
      </c>
      <c r="Q986" s="58">
        <f t="shared" si="249"/>
        <v>449.73186528497411</v>
      </c>
      <c r="R986" s="58">
        <f t="shared" si="250"/>
        <v>299.82124352331607</v>
      </c>
      <c r="S986" s="66">
        <f t="shared" si="251"/>
        <v>58.733482500000008</v>
      </c>
      <c r="T986" s="64">
        <f t="shared" si="252"/>
        <v>217.5</v>
      </c>
      <c r="U986" s="66">
        <f t="shared" si="253"/>
        <v>3632.4324825000003</v>
      </c>
      <c r="V986" s="68">
        <f t="shared" si="254"/>
        <v>62.628146250000007</v>
      </c>
      <c r="W986" s="68">
        <f t="shared" si="255"/>
        <v>486.74725064766841</v>
      </c>
      <c r="X986" s="68">
        <f t="shared" si="256"/>
        <v>324.49816709844561</v>
      </c>
      <c r="Z986" s="63"/>
      <c r="AA986" s="63"/>
    </row>
    <row r="987" spans="1:27" hidden="1" x14ac:dyDescent="0.25">
      <c r="A987" t="str">
        <f t="shared" si="257"/>
        <v>10620031C26/05/2026E</v>
      </c>
      <c r="B987" t="s">
        <v>825</v>
      </c>
      <c r="C987" t="s">
        <v>397</v>
      </c>
      <c r="D987" t="s">
        <v>591</v>
      </c>
      <c r="E987" t="s">
        <v>594</v>
      </c>
      <c r="F987" t="s">
        <v>376</v>
      </c>
      <c r="G987" s="62" t="str">
        <f t="shared" si="245"/>
        <v>64553</v>
      </c>
      <c r="H987" s="1">
        <v>10620031</v>
      </c>
      <c r="I987" s="1" t="s">
        <v>388</v>
      </c>
      <c r="J987" s="61">
        <v>20</v>
      </c>
      <c r="K987" s="61">
        <v>5.3</v>
      </c>
      <c r="L987" s="61">
        <v>8.5</v>
      </c>
      <c r="M987" s="69">
        <f t="shared" si="246"/>
        <v>1.06</v>
      </c>
      <c r="N987" s="69">
        <f t="shared" si="247"/>
        <v>1.7</v>
      </c>
      <c r="O987" s="56">
        <v>43.429122000000007</v>
      </c>
      <c r="P987" s="57">
        <f t="shared" si="248"/>
        <v>868.58244000000013</v>
      </c>
      <c r="Q987" s="58">
        <f t="shared" si="249"/>
        <v>396.01023100303956</v>
      </c>
      <c r="R987" s="58">
        <f t="shared" si="250"/>
        <v>264.00682066869302</v>
      </c>
      <c r="S987" s="66">
        <f t="shared" si="251"/>
        <v>15.200192700000004</v>
      </c>
      <c r="T987" s="64">
        <f t="shared" si="252"/>
        <v>75</v>
      </c>
      <c r="U987" s="66">
        <f t="shared" si="253"/>
        <v>958.78263270000014</v>
      </c>
      <c r="V987" s="68">
        <f t="shared" si="254"/>
        <v>47.93913163500001</v>
      </c>
      <c r="W987" s="68">
        <f t="shared" si="255"/>
        <v>437.13493892097273</v>
      </c>
      <c r="X987" s="68">
        <f t="shared" si="256"/>
        <v>291.4232926139818</v>
      </c>
      <c r="Z987" s="63"/>
      <c r="AA987" s="63"/>
    </row>
    <row r="988" spans="1:27" hidden="1" x14ac:dyDescent="0.25">
      <c r="A988" t="str">
        <f t="shared" si="257"/>
        <v>10620031B26/05/2026M</v>
      </c>
      <c r="B988" t="s">
        <v>826</v>
      </c>
      <c r="C988" t="s">
        <v>396</v>
      </c>
      <c r="D988" t="s">
        <v>591</v>
      </c>
      <c r="E988" t="s">
        <v>594</v>
      </c>
      <c r="F988" t="s">
        <v>376</v>
      </c>
      <c r="G988" s="62" t="str">
        <f t="shared" si="245"/>
        <v>64553</v>
      </c>
      <c r="H988" s="1">
        <v>10620031</v>
      </c>
      <c r="I988" s="1" t="s">
        <v>387</v>
      </c>
      <c r="J988" s="61">
        <v>28</v>
      </c>
      <c r="K988" s="61">
        <v>6.6</v>
      </c>
      <c r="L988" s="61">
        <v>8.8000000000000007</v>
      </c>
      <c r="M988" s="69">
        <f t="shared" si="246"/>
        <v>1.8479999999999999</v>
      </c>
      <c r="N988" s="69">
        <f t="shared" si="247"/>
        <v>2.4640000000000004</v>
      </c>
      <c r="O988" s="56">
        <f>INDEX(Rate_Chart!$A$1:$AK$127,MATCH(Data!K988,Rate_Chart!$A$1:$A$127,0),MATCH(Data!L988,Rate_Chart!$A$1:$AK$1,0))</f>
        <v>54.558900000000001</v>
      </c>
      <c r="P988" s="57">
        <f t="shared" si="248"/>
        <v>1527.6492000000001</v>
      </c>
      <c r="Q988" s="58">
        <f t="shared" si="249"/>
        <v>437.63823529411764</v>
      </c>
      <c r="R988" s="58">
        <f t="shared" si="250"/>
        <v>291.75882352941176</v>
      </c>
      <c r="S988" s="66">
        <f t="shared" si="251"/>
        <v>26.733861000000005</v>
      </c>
      <c r="T988" s="64">
        <f t="shared" si="252"/>
        <v>105</v>
      </c>
      <c r="U988" s="66">
        <f t="shared" si="253"/>
        <v>1659.383061</v>
      </c>
      <c r="V988" s="68">
        <f t="shared" si="254"/>
        <v>59.263680749999999</v>
      </c>
      <c r="W988" s="68">
        <f t="shared" si="255"/>
        <v>475.37711831550797</v>
      </c>
      <c r="X988" s="68">
        <f t="shared" si="256"/>
        <v>316.91807887700531</v>
      </c>
      <c r="Z988" s="63"/>
      <c r="AA988" s="63"/>
    </row>
    <row r="989" spans="1:27" hidden="1" x14ac:dyDescent="0.25">
      <c r="A989" t="str">
        <f t="shared" si="257"/>
        <v>10620031B27/05/2026E</v>
      </c>
      <c r="B989" t="s">
        <v>826</v>
      </c>
      <c r="C989" t="s">
        <v>397</v>
      </c>
      <c r="D989" t="s">
        <v>591</v>
      </c>
      <c r="E989" t="s">
        <v>594</v>
      </c>
      <c r="F989" t="s">
        <v>376</v>
      </c>
      <c r="G989" s="62" t="str">
        <f t="shared" si="245"/>
        <v>64553</v>
      </c>
      <c r="H989" s="1">
        <v>10620031</v>
      </c>
      <c r="I989" s="1" t="s">
        <v>387</v>
      </c>
      <c r="J989" s="61">
        <v>23</v>
      </c>
      <c r="K989" s="61">
        <v>5.6</v>
      </c>
      <c r="L989" s="61">
        <v>8.8000000000000007</v>
      </c>
      <c r="M989" s="69">
        <f t="shared" si="246"/>
        <v>1.2879999999999998</v>
      </c>
      <c r="N989" s="69">
        <f t="shared" si="247"/>
        <v>2.024</v>
      </c>
      <c r="O989" s="56">
        <f>INDEX(Rate_Chart!$A$1:$AK$127,MATCH(Data!K989,Rate_Chart!$A$1:$A$127,0),MATCH(Data!L989,Rate_Chart!$A$1:$AK$1,0))</f>
        <v>46.292400000000001</v>
      </c>
      <c r="P989" s="57">
        <f t="shared" si="248"/>
        <v>1064.7252000000001</v>
      </c>
      <c r="Q989" s="58">
        <f t="shared" si="249"/>
        <v>403.71279069767445</v>
      </c>
      <c r="R989" s="58">
        <f t="shared" si="250"/>
        <v>269.14186046511628</v>
      </c>
      <c r="S989" s="66">
        <f t="shared" si="251"/>
        <v>18.632691000000005</v>
      </c>
      <c r="T989" s="64">
        <f t="shared" si="252"/>
        <v>86.25</v>
      </c>
      <c r="U989" s="66">
        <f t="shared" si="253"/>
        <v>1169.6078910000001</v>
      </c>
      <c r="V989" s="68">
        <f t="shared" si="254"/>
        <v>50.852517000000006</v>
      </c>
      <c r="W989" s="68">
        <f t="shared" si="255"/>
        <v>443.48125290697681</v>
      </c>
      <c r="X989" s="68">
        <f t="shared" si="256"/>
        <v>295.6541686046512</v>
      </c>
      <c r="Z989" s="63"/>
      <c r="AA989" s="63"/>
    </row>
    <row r="990" spans="1:27" hidden="1" x14ac:dyDescent="0.25">
      <c r="A990" t="str">
        <f t="shared" si="257"/>
        <v>10620031B27/05/2026M</v>
      </c>
      <c r="B990" t="s">
        <v>827</v>
      </c>
      <c r="C990" t="s">
        <v>396</v>
      </c>
      <c r="D990" t="s">
        <v>591</v>
      </c>
      <c r="E990" t="s">
        <v>594</v>
      </c>
      <c r="F990" t="s">
        <v>376</v>
      </c>
      <c r="G990" s="62" t="str">
        <f t="shared" si="245"/>
        <v>64553</v>
      </c>
      <c r="H990" s="1">
        <v>10620031</v>
      </c>
      <c r="I990" s="1" t="s">
        <v>387</v>
      </c>
      <c r="J990" s="61">
        <v>43</v>
      </c>
      <c r="K990" s="61">
        <v>7.6</v>
      </c>
      <c r="L990" s="61">
        <v>9</v>
      </c>
      <c r="M990" s="69">
        <f t="shared" si="246"/>
        <v>3.2680000000000002</v>
      </c>
      <c r="N990" s="69">
        <f t="shared" si="247"/>
        <v>3.87</v>
      </c>
      <c r="O990" s="56">
        <f>INDEX(Rate_Chart!$A$1:$AK$127,MATCH(Data!K990,Rate_Chart!$A$1:$A$127,0),MATCH(Data!L990,Rate_Chart!$A$1:$AK$1,0))</f>
        <v>63.46</v>
      </c>
      <c r="P990" s="57">
        <f t="shared" si="248"/>
        <v>2728.78</v>
      </c>
      <c r="Q990" s="58">
        <f t="shared" si="249"/>
        <v>466.61764705882348</v>
      </c>
      <c r="R990" s="58">
        <f t="shared" si="250"/>
        <v>311.07843137254901</v>
      </c>
      <c r="S990" s="66">
        <f t="shared" si="251"/>
        <v>47.753650000000007</v>
      </c>
      <c r="T990" s="64">
        <f t="shared" si="252"/>
        <v>161.25</v>
      </c>
      <c r="U990" s="66">
        <f t="shared" si="253"/>
        <v>2937.7836500000003</v>
      </c>
      <c r="V990" s="68">
        <f t="shared" si="254"/>
        <v>68.320550000000011</v>
      </c>
      <c r="W990" s="68">
        <f t="shared" si="255"/>
        <v>502.35698529411769</v>
      </c>
      <c r="X990" s="68">
        <f t="shared" si="256"/>
        <v>334.90465686274513</v>
      </c>
      <c r="Z990" s="63"/>
      <c r="AA990" s="63"/>
    </row>
    <row r="991" spans="1:27" hidden="1" x14ac:dyDescent="0.25">
      <c r="A991" t="str">
        <f t="shared" si="257"/>
        <v>10620031B28/05/2026E</v>
      </c>
      <c r="B991" t="s">
        <v>827</v>
      </c>
      <c r="C991" t="s">
        <v>397</v>
      </c>
      <c r="D991" t="s">
        <v>591</v>
      </c>
      <c r="E991" t="s">
        <v>594</v>
      </c>
      <c r="F991" t="s">
        <v>376</v>
      </c>
      <c r="G991" s="62" t="str">
        <f t="shared" si="245"/>
        <v>64553</v>
      </c>
      <c r="H991" s="1">
        <v>10620031</v>
      </c>
      <c r="I991" s="1" t="s">
        <v>387</v>
      </c>
      <c r="J991" s="61">
        <v>17</v>
      </c>
      <c r="K991" s="61">
        <v>5.6</v>
      </c>
      <c r="L991" s="61">
        <v>8.8000000000000007</v>
      </c>
      <c r="M991" s="69">
        <f t="shared" si="246"/>
        <v>0.95199999999999985</v>
      </c>
      <c r="N991" s="69">
        <f t="shared" si="247"/>
        <v>1.4960000000000002</v>
      </c>
      <c r="O991" s="56">
        <f>INDEX(Rate_Chart!$A$1:$AK$127,MATCH(Data!K991,Rate_Chart!$A$1:$A$127,0),MATCH(Data!L991,Rate_Chart!$A$1:$AK$1,0))</f>
        <v>46.292400000000001</v>
      </c>
      <c r="P991" s="57">
        <f t="shared" si="248"/>
        <v>786.97080000000005</v>
      </c>
      <c r="Q991" s="58">
        <f t="shared" si="249"/>
        <v>403.71279069767445</v>
      </c>
      <c r="R991" s="58">
        <f t="shared" si="250"/>
        <v>269.14186046511628</v>
      </c>
      <c r="S991" s="66">
        <f t="shared" si="251"/>
        <v>13.771989000000001</v>
      </c>
      <c r="T991" s="64">
        <f t="shared" si="252"/>
        <v>63.75</v>
      </c>
      <c r="U991" s="66">
        <f t="shared" si="253"/>
        <v>864.49278900000002</v>
      </c>
      <c r="V991" s="68">
        <f t="shared" si="254"/>
        <v>50.852516999999999</v>
      </c>
      <c r="W991" s="68">
        <f t="shared" si="255"/>
        <v>443.48125290697675</v>
      </c>
      <c r="X991" s="68">
        <f t="shared" si="256"/>
        <v>295.65416860465115</v>
      </c>
      <c r="Z991" s="63"/>
      <c r="AA991" s="63"/>
    </row>
    <row r="992" spans="1:27" hidden="1" x14ac:dyDescent="0.25">
      <c r="A992" t="str">
        <f t="shared" si="257"/>
        <v>10620031B28/05/2026M</v>
      </c>
      <c r="B992" t="s">
        <v>828</v>
      </c>
      <c r="C992" t="s">
        <v>396</v>
      </c>
      <c r="D992" t="s">
        <v>591</v>
      </c>
      <c r="E992" t="s">
        <v>594</v>
      </c>
      <c r="F992" t="s">
        <v>376</v>
      </c>
      <c r="G992" s="62" t="str">
        <f t="shared" si="245"/>
        <v>64553</v>
      </c>
      <c r="H992" s="1">
        <v>10620031</v>
      </c>
      <c r="I992" s="1" t="s">
        <v>387</v>
      </c>
      <c r="J992" s="61">
        <v>53</v>
      </c>
      <c r="K992" s="61">
        <v>7</v>
      </c>
      <c r="L992" s="61">
        <v>9</v>
      </c>
      <c r="M992" s="69">
        <f t="shared" si="246"/>
        <v>3.71</v>
      </c>
      <c r="N992" s="69">
        <f t="shared" si="247"/>
        <v>4.7699999999999996</v>
      </c>
      <c r="O992" s="56">
        <f>INDEX(Rate_Chart!$A$1:$AK$127,MATCH(Data!K992,Rate_Chart!$A$1:$A$127,0),MATCH(Data!L992,Rate_Chart!$A$1:$AK$1,0))</f>
        <v>58.45</v>
      </c>
      <c r="P992" s="57">
        <f t="shared" si="248"/>
        <v>3097.8500000000004</v>
      </c>
      <c r="Q992" s="58">
        <f t="shared" si="249"/>
        <v>449.61538461538464</v>
      </c>
      <c r="R992" s="58">
        <f t="shared" si="250"/>
        <v>299.74358974358978</v>
      </c>
      <c r="S992" s="66">
        <f t="shared" si="251"/>
        <v>54.212375000000009</v>
      </c>
      <c r="T992" s="64">
        <f t="shared" si="252"/>
        <v>198.75</v>
      </c>
      <c r="U992" s="66">
        <f t="shared" si="253"/>
        <v>3350.8123750000004</v>
      </c>
      <c r="V992" s="68">
        <f t="shared" si="254"/>
        <v>63.222875000000009</v>
      </c>
      <c r="W992" s="68">
        <f t="shared" si="255"/>
        <v>486.32980769230772</v>
      </c>
      <c r="X992" s="68">
        <f t="shared" si="256"/>
        <v>324.21987179487184</v>
      </c>
      <c r="Z992" s="63"/>
      <c r="AA992" s="63"/>
    </row>
    <row r="993" spans="1:27" hidden="1" x14ac:dyDescent="0.25">
      <c r="A993" t="str">
        <f t="shared" si="257"/>
        <v>10620031C22/05/2026E</v>
      </c>
      <c r="B993" t="s">
        <v>828</v>
      </c>
      <c r="C993" t="s">
        <v>397</v>
      </c>
      <c r="D993" t="s">
        <v>591</v>
      </c>
      <c r="E993" t="s">
        <v>594</v>
      </c>
      <c r="F993" t="s">
        <v>376</v>
      </c>
      <c r="G993" s="62" t="str">
        <f t="shared" si="245"/>
        <v>64553</v>
      </c>
      <c r="H993" s="1">
        <v>10620031</v>
      </c>
      <c r="I993" s="1" t="s">
        <v>388</v>
      </c>
      <c r="J993" s="61">
        <v>10</v>
      </c>
      <c r="K993" s="61">
        <v>4.3</v>
      </c>
      <c r="L993" s="61">
        <v>8.1999999999999993</v>
      </c>
      <c r="M993" s="69">
        <f t="shared" si="246"/>
        <v>0.43</v>
      </c>
      <c r="N993" s="69">
        <f t="shared" si="247"/>
        <v>0.82</v>
      </c>
      <c r="O993" s="56">
        <f>INDEX(Rate_Chart!$A$1:$AK$127,MATCH(Data!K993,Rate_Chart!$A$1:$A$127,0),MATCH(Data!L993,Rate_Chart!$A$1:$AK$1,0))</f>
        <v>40.728139799999994</v>
      </c>
      <c r="P993" s="57">
        <f t="shared" si="248"/>
        <v>407.28139799999997</v>
      </c>
      <c r="Q993" s="58">
        <f t="shared" si="249"/>
        <v>417.01167030716726</v>
      </c>
      <c r="R993" s="58">
        <f t="shared" si="250"/>
        <v>278.00778020477816</v>
      </c>
      <c r="S993" s="66">
        <f t="shared" si="251"/>
        <v>7.1274244649999998</v>
      </c>
      <c r="T993" s="64">
        <f t="shared" si="252"/>
        <v>37.5</v>
      </c>
      <c r="U993" s="66">
        <f t="shared" si="253"/>
        <v>451.90882246499996</v>
      </c>
      <c r="V993" s="68">
        <f t="shared" si="254"/>
        <v>45.190882246499996</v>
      </c>
      <c r="W993" s="68">
        <f t="shared" si="255"/>
        <v>462.70527897440275</v>
      </c>
      <c r="X993" s="68">
        <f t="shared" si="256"/>
        <v>308.47018598293516</v>
      </c>
      <c r="Z993" s="63"/>
      <c r="AA993" s="63"/>
    </row>
    <row r="994" spans="1:27" hidden="1" x14ac:dyDescent="0.25">
      <c r="A994" t="str">
        <f t="shared" si="257"/>
        <v>10620017C22/05/2026M</v>
      </c>
      <c r="B994" t="s">
        <v>822</v>
      </c>
      <c r="C994" t="s">
        <v>396</v>
      </c>
      <c r="D994" t="s">
        <v>591</v>
      </c>
      <c r="E994" t="s">
        <v>810</v>
      </c>
      <c r="F994" t="s">
        <v>377</v>
      </c>
      <c r="G994" s="62" t="str">
        <f t="shared" si="245"/>
        <v>64555</v>
      </c>
      <c r="H994" s="1">
        <v>10620017</v>
      </c>
      <c r="I994" s="1" t="s">
        <v>388</v>
      </c>
      <c r="J994" s="61">
        <v>20</v>
      </c>
      <c r="K994" s="61">
        <v>3</v>
      </c>
      <c r="L994" s="61">
        <v>8</v>
      </c>
      <c r="M994" s="69">
        <f t="shared" si="246"/>
        <v>0.6</v>
      </c>
      <c r="N994" s="69">
        <f t="shared" si="247"/>
        <v>1.6</v>
      </c>
      <c r="O994" s="56">
        <v>33.001056000000005</v>
      </c>
      <c r="P994" s="57">
        <f t="shared" si="248"/>
        <v>660.02112000000011</v>
      </c>
      <c r="Q994" s="58">
        <f t="shared" si="249"/>
        <v>396.01267200000001</v>
      </c>
      <c r="R994" s="58">
        <f t="shared" si="250"/>
        <v>264.00844799999999</v>
      </c>
      <c r="S994" s="66">
        <f t="shared" si="251"/>
        <v>11.550369600000003</v>
      </c>
      <c r="T994" s="64">
        <f t="shared" si="252"/>
        <v>75</v>
      </c>
      <c r="U994" s="66">
        <f t="shared" si="253"/>
        <v>746.57148960000018</v>
      </c>
      <c r="V994" s="68">
        <f t="shared" si="254"/>
        <v>37.328574480000007</v>
      </c>
      <c r="W994" s="68">
        <f t="shared" si="255"/>
        <v>447.94289376000006</v>
      </c>
      <c r="X994" s="68">
        <f t="shared" si="256"/>
        <v>298.62859584000006</v>
      </c>
      <c r="Z994" s="63"/>
      <c r="AA994" s="63"/>
    </row>
    <row r="995" spans="1:27" hidden="1" x14ac:dyDescent="0.25">
      <c r="A995" t="str">
        <f t="shared" si="257"/>
        <v>10620017C23/05/2026E</v>
      </c>
      <c r="B995" t="s">
        <v>822</v>
      </c>
      <c r="C995" t="s">
        <v>397</v>
      </c>
      <c r="D995" t="s">
        <v>591</v>
      </c>
      <c r="E995" t="s">
        <v>810</v>
      </c>
      <c r="F995" t="s">
        <v>377</v>
      </c>
      <c r="G995" s="62" t="str">
        <f t="shared" si="245"/>
        <v>64555</v>
      </c>
      <c r="H995" s="1">
        <v>10620017</v>
      </c>
      <c r="I995" s="1" t="s">
        <v>388</v>
      </c>
      <c r="J995" s="61">
        <v>14</v>
      </c>
      <c r="K995" s="61">
        <v>3</v>
      </c>
      <c r="L995" s="61">
        <v>8</v>
      </c>
      <c r="M995" s="69">
        <f t="shared" si="246"/>
        <v>0.42</v>
      </c>
      <c r="N995" s="69">
        <f t="shared" si="247"/>
        <v>1.1200000000000001</v>
      </c>
      <c r="O995" s="56">
        <v>33.001056000000005</v>
      </c>
      <c r="P995" s="57">
        <f t="shared" si="248"/>
        <v>462.01478400000008</v>
      </c>
      <c r="Q995" s="58">
        <f t="shared" si="249"/>
        <v>396.01267200000001</v>
      </c>
      <c r="R995" s="58">
        <f t="shared" si="250"/>
        <v>264.00844799999999</v>
      </c>
      <c r="S995" s="66">
        <f t="shared" si="251"/>
        <v>8.0852587200000023</v>
      </c>
      <c r="T995" s="64">
        <f t="shared" si="252"/>
        <v>52.5</v>
      </c>
      <c r="U995" s="66">
        <f t="shared" si="253"/>
        <v>522.60004272000003</v>
      </c>
      <c r="V995" s="68">
        <f t="shared" si="254"/>
        <v>37.32857448</v>
      </c>
      <c r="W995" s="68">
        <f t="shared" si="255"/>
        <v>447.94289375999995</v>
      </c>
      <c r="X995" s="68">
        <f t="shared" si="256"/>
        <v>298.62859583999995</v>
      </c>
      <c r="Z995" s="63"/>
      <c r="AA995" s="63"/>
    </row>
    <row r="996" spans="1:27" hidden="1" x14ac:dyDescent="0.25">
      <c r="A996" t="str">
        <f t="shared" si="257"/>
        <v>10620017C23/05/2026M</v>
      </c>
      <c r="B996" t="s">
        <v>823</v>
      </c>
      <c r="C996" t="s">
        <v>396</v>
      </c>
      <c r="D996" t="s">
        <v>591</v>
      </c>
      <c r="E996" t="s">
        <v>810</v>
      </c>
      <c r="F996" t="s">
        <v>377</v>
      </c>
      <c r="G996" s="62" t="str">
        <f t="shared" si="245"/>
        <v>64555</v>
      </c>
      <c r="H996" s="1">
        <v>10620017</v>
      </c>
      <c r="I996" s="1" t="s">
        <v>388</v>
      </c>
      <c r="J996" s="61">
        <v>25</v>
      </c>
      <c r="K996" s="61">
        <v>3.2</v>
      </c>
      <c r="L996" s="61">
        <v>8</v>
      </c>
      <c r="M996" s="69">
        <f t="shared" si="246"/>
        <v>0.8</v>
      </c>
      <c r="N996" s="69">
        <f t="shared" si="247"/>
        <v>2</v>
      </c>
      <c r="O996" s="56">
        <v>33.793056000000007</v>
      </c>
      <c r="P996" s="57">
        <f t="shared" si="248"/>
        <v>844.82640000000015</v>
      </c>
      <c r="Q996" s="58">
        <f t="shared" si="249"/>
        <v>396.01237500000002</v>
      </c>
      <c r="R996" s="58">
        <f t="shared" si="250"/>
        <v>264.00825000000003</v>
      </c>
      <c r="S996" s="66">
        <f t="shared" si="251"/>
        <v>14.784462000000005</v>
      </c>
      <c r="T996" s="64">
        <f t="shared" si="252"/>
        <v>93.75</v>
      </c>
      <c r="U996" s="66">
        <f t="shared" si="253"/>
        <v>953.36086200000011</v>
      </c>
      <c r="V996" s="68">
        <f t="shared" si="254"/>
        <v>38.134434480000003</v>
      </c>
      <c r="W996" s="68">
        <f t="shared" si="255"/>
        <v>446.88790406249996</v>
      </c>
      <c r="X996" s="68">
        <f t="shared" si="256"/>
        <v>297.92526937499997</v>
      </c>
      <c r="Z996" s="63"/>
      <c r="AA996" s="63"/>
    </row>
    <row r="997" spans="1:27" hidden="1" x14ac:dyDescent="0.25">
      <c r="A997" t="str">
        <f t="shared" si="257"/>
        <v>10620017C24/05/2026E</v>
      </c>
      <c r="B997" t="s">
        <v>823</v>
      </c>
      <c r="C997" t="s">
        <v>397</v>
      </c>
      <c r="D997" t="s">
        <v>591</v>
      </c>
      <c r="E997" t="s">
        <v>810</v>
      </c>
      <c r="F997" t="s">
        <v>377</v>
      </c>
      <c r="G997" s="62" t="str">
        <f t="shared" si="245"/>
        <v>64555</v>
      </c>
      <c r="H997" s="1">
        <v>10620017</v>
      </c>
      <c r="I997" s="1" t="s">
        <v>388</v>
      </c>
      <c r="J997" s="61">
        <v>10</v>
      </c>
      <c r="K997" s="61">
        <v>3</v>
      </c>
      <c r="L997" s="61">
        <v>8</v>
      </c>
      <c r="M997" s="69">
        <f t="shared" si="246"/>
        <v>0.3</v>
      </c>
      <c r="N997" s="69">
        <f t="shared" si="247"/>
        <v>0.8</v>
      </c>
      <c r="O997" s="56">
        <v>33.001056000000005</v>
      </c>
      <c r="P997" s="57">
        <f t="shared" si="248"/>
        <v>330.01056000000005</v>
      </c>
      <c r="Q997" s="58">
        <f t="shared" si="249"/>
        <v>396.01267200000001</v>
      </c>
      <c r="R997" s="58">
        <f t="shared" si="250"/>
        <v>264.00844799999999</v>
      </c>
      <c r="S997" s="66">
        <f t="shared" si="251"/>
        <v>5.7751848000000017</v>
      </c>
      <c r="T997" s="64">
        <f t="shared" si="252"/>
        <v>37.5</v>
      </c>
      <c r="U997" s="66">
        <f t="shared" si="253"/>
        <v>373.28574480000009</v>
      </c>
      <c r="V997" s="68">
        <f t="shared" si="254"/>
        <v>37.328574480000007</v>
      </c>
      <c r="W997" s="68">
        <f t="shared" si="255"/>
        <v>447.94289376000006</v>
      </c>
      <c r="X997" s="68">
        <f t="shared" si="256"/>
        <v>298.62859584000006</v>
      </c>
      <c r="Z997" s="63"/>
      <c r="AA997" s="63"/>
    </row>
    <row r="998" spans="1:27" hidden="1" x14ac:dyDescent="0.25">
      <c r="A998" t="str">
        <f t="shared" si="257"/>
        <v>10620017C24/05/2026M</v>
      </c>
      <c r="B998" t="s">
        <v>824</v>
      </c>
      <c r="C998" t="s">
        <v>396</v>
      </c>
      <c r="D998" t="s">
        <v>591</v>
      </c>
      <c r="E998" t="s">
        <v>810</v>
      </c>
      <c r="F998" t="s">
        <v>377</v>
      </c>
      <c r="G998" s="62" t="str">
        <f t="shared" si="245"/>
        <v>64555</v>
      </c>
      <c r="H998" s="1">
        <v>10620017</v>
      </c>
      <c r="I998" s="1" t="s">
        <v>388</v>
      </c>
      <c r="J998" s="61">
        <v>24</v>
      </c>
      <c r="K998" s="61">
        <v>3.3</v>
      </c>
      <c r="L998" s="61">
        <v>8</v>
      </c>
      <c r="M998" s="69">
        <f t="shared" si="246"/>
        <v>0.79199999999999993</v>
      </c>
      <c r="N998" s="69">
        <f t="shared" si="247"/>
        <v>1.92</v>
      </c>
      <c r="O998" s="56">
        <v>34.189056000000008</v>
      </c>
      <c r="P998" s="57">
        <f t="shared" si="248"/>
        <v>820.53734400000019</v>
      </c>
      <c r="Q998" s="58">
        <f t="shared" si="249"/>
        <v>396.01223166023169</v>
      </c>
      <c r="R998" s="58">
        <f t="shared" si="250"/>
        <v>264.00815444015444</v>
      </c>
      <c r="S998" s="66">
        <f t="shared" si="251"/>
        <v>14.359403520000004</v>
      </c>
      <c r="T998" s="64">
        <f t="shared" si="252"/>
        <v>90</v>
      </c>
      <c r="U998" s="66">
        <f t="shared" si="253"/>
        <v>924.89674752000019</v>
      </c>
      <c r="V998" s="68">
        <f t="shared" si="254"/>
        <v>38.537364480000008</v>
      </c>
      <c r="W998" s="68">
        <f t="shared" si="255"/>
        <v>446.37873915057918</v>
      </c>
      <c r="X998" s="68">
        <f t="shared" si="256"/>
        <v>297.5858261003861</v>
      </c>
      <c r="Z998" s="63"/>
      <c r="AA998" s="63"/>
    </row>
    <row r="999" spans="1:27" hidden="1" x14ac:dyDescent="0.25">
      <c r="A999" t="str">
        <f t="shared" si="257"/>
        <v>10620017C25/05/2026E</v>
      </c>
      <c r="B999" t="s">
        <v>824</v>
      </c>
      <c r="C999" t="s">
        <v>397</v>
      </c>
      <c r="D999" t="s">
        <v>591</v>
      </c>
      <c r="E999" t="s">
        <v>810</v>
      </c>
      <c r="F999" t="s">
        <v>377</v>
      </c>
      <c r="G999" s="62" t="str">
        <f t="shared" si="245"/>
        <v>64555</v>
      </c>
      <c r="H999" s="1">
        <v>10620017</v>
      </c>
      <c r="I999" s="1" t="s">
        <v>388</v>
      </c>
      <c r="J999" s="61">
        <v>20</v>
      </c>
      <c r="K999" s="61">
        <v>3</v>
      </c>
      <c r="L999" s="61">
        <v>8</v>
      </c>
      <c r="M999" s="69">
        <f t="shared" si="246"/>
        <v>0.6</v>
      </c>
      <c r="N999" s="69">
        <f t="shared" si="247"/>
        <v>1.6</v>
      </c>
      <c r="O999" s="56">
        <v>33.001056000000005</v>
      </c>
      <c r="P999" s="57">
        <f t="shared" si="248"/>
        <v>660.02112000000011</v>
      </c>
      <c r="Q999" s="58">
        <f t="shared" si="249"/>
        <v>396.01267200000001</v>
      </c>
      <c r="R999" s="58">
        <f t="shared" si="250"/>
        <v>264.00844799999999</v>
      </c>
      <c r="S999" s="66">
        <f t="shared" si="251"/>
        <v>11.550369600000003</v>
      </c>
      <c r="T999" s="64">
        <f t="shared" si="252"/>
        <v>75</v>
      </c>
      <c r="U999" s="66">
        <f t="shared" si="253"/>
        <v>746.57148960000018</v>
      </c>
      <c r="V999" s="68">
        <f t="shared" si="254"/>
        <v>37.328574480000007</v>
      </c>
      <c r="W999" s="68">
        <f t="shared" si="255"/>
        <v>447.94289376000006</v>
      </c>
      <c r="X999" s="68">
        <f t="shared" si="256"/>
        <v>298.62859584000006</v>
      </c>
      <c r="Z999" s="63"/>
      <c r="AA999" s="63"/>
    </row>
    <row r="1000" spans="1:27" hidden="1" x14ac:dyDescent="0.25">
      <c r="A1000" t="str">
        <f t="shared" si="257"/>
        <v>10620017C25/05/2026M</v>
      </c>
      <c r="B1000" t="s">
        <v>825</v>
      </c>
      <c r="C1000" t="s">
        <v>396</v>
      </c>
      <c r="D1000" t="s">
        <v>591</v>
      </c>
      <c r="E1000" t="s">
        <v>810</v>
      </c>
      <c r="F1000" t="s">
        <v>377</v>
      </c>
      <c r="G1000" s="62" t="str">
        <f t="shared" si="245"/>
        <v>64555</v>
      </c>
      <c r="H1000" s="1">
        <v>10620017</v>
      </c>
      <c r="I1000" s="1" t="s">
        <v>388</v>
      </c>
      <c r="J1000" s="61">
        <v>17</v>
      </c>
      <c r="K1000" s="61">
        <v>3</v>
      </c>
      <c r="L1000" s="61">
        <v>8</v>
      </c>
      <c r="M1000" s="69">
        <f t="shared" si="246"/>
        <v>0.51</v>
      </c>
      <c r="N1000" s="69">
        <f t="shared" si="247"/>
        <v>1.36</v>
      </c>
      <c r="O1000" s="56">
        <v>33.001056000000005</v>
      </c>
      <c r="P1000" s="57">
        <f t="shared" si="248"/>
        <v>561.01795200000015</v>
      </c>
      <c r="Q1000" s="58">
        <f t="shared" si="249"/>
        <v>396.01267200000001</v>
      </c>
      <c r="R1000" s="58">
        <f t="shared" si="250"/>
        <v>264.00844799999999</v>
      </c>
      <c r="S1000" s="66">
        <f t="shared" si="251"/>
        <v>9.8178141600000028</v>
      </c>
      <c r="T1000" s="64">
        <f t="shared" si="252"/>
        <v>63.75</v>
      </c>
      <c r="U1000" s="66">
        <f t="shared" si="253"/>
        <v>634.58576616000016</v>
      </c>
      <c r="V1000" s="68">
        <f t="shared" si="254"/>
        <v>37.328574480000007</v>
      </c>
      <c r="W1000" s="68">
        <f t="shared" si="255"/>
        <v>447.94289376000006</v>
      </c>
      <c r="X1000" s="68">
        <f t="shared" si="256"/>
        <v>298.62859584000006</v>
      </c>
      <c r="Z1000" s="63"/>
      <c r="AA1000" s="63"/>
    </row>
    <row r="1001" spans="1:27" hidden="1" x14ac:dyDescent="0.25">
      <c r="A1001" t="str">
        <f t="shared" si="257"/>
        <v>10620017C26/05/2026E</v>
      </c>
      <c r="B1001" t="s">
        <v>825</v>
      </c>
      <c r="C1001" t="s">
        <v>397</v>
      </c>
      <c r="D1001" t="s">
        <v>591</v>
      </c>
      <c r="E1001" t="s">
        <v>810</v>
      </c>
      <c r="F1001" t="s">
        <v>377</v>
      </c>
      <c r="G1001" s="62" t="str">
        <f t="shared" si="245"/>
        <v>64555</v>
      </c>
      <c r="H1001" s="1">
        <v>10620017</v>
      </c>
      <c r="I1001" s="1" t="s">
        <v>388</v>
      </c>
      <c r="J1001" s="61">
        <v>12</v>
      </c>
      <c r="K1001" s="61">
        <v>3</v>
      </c>
      <c r="L1001" s="61">
        <v>8</v>
      </c>
      <c r="M1001" s="69">
        <f t="shared" si="246"/>
        <v>0.36</v>
      </c>
      <c r="N1001" s="69">
        <f t="shared" si="247"/>
        <v>0.96</v>
      </c>
      <c r="O1001" s="56">
        <v>33.001056000000005</v>
      </c>
      <c r="P1001" s="57">
        <f t="shared" si="248"/>
        <v>396.01267200000007</v>
      </c>
      <c r="Q1001" s="58">
        <f t="shared" si="249"/>
        <v>396.01267200000001</v>
      </c>
      <c r="R1001" s="58">
        <f t="shared" si="250"/>
        <v>264.00844799999999</v>
      </c>
      <c r="S1001" s="66">
        <f t="shared" si="251"/>
        <v>6.930221760000002</v>
      </c>
      <c r="T1001" s="64">
        <f t="shared" si="252"/>
        <v>45</v>
      </c>
      <c r="U1001" s="66">
        <f t="shared" si="253"/>
        <v>447.94289376000006</v>
      </c>
      <c r="V1001" s="68">
        <f t="shared" si="254"/>
        <v>37.328574480000007</v>
      </c>
      <c r="W1001" s="68">
        <f t="shared" si="255"/>
        <v>447.94289376000006</v>
      </c>
      <c r="X1001" s="68">
        <f t="shared" si="256"/>
        <v>298.62859584000006</v>
      </c>
      <c r="Z1001" s="63"/>
      <c r="AA1001" s="63"/>
    </row>
    <row r="1002" spans="1:27" hidden="1" x14ac:dyDescent="0.25">
      <c r="A1002" t="str">
        <f t="shared" si="257"/>
        <v>10620017C26/05/2026M</v>
      </c>
      <c r="B1002" t="s">
        <v>826</v>
      </c>
      <c r="C1002" t="s">
        <v>396</v>
      </c>
      <c r="D1002" t="s">
        <v>591</v>
      </c>
      <c r="E1002" t="s">
        <v>810</v>
      </c>
      <c r="F1002" t="s">
        <v>377</v>
      </c>
      <c r="G1002" s="62" t="str">
        <f t="shared" si="245"/>
        <v>64555</v>
      </c>
      <c r="H1002" s="1">
        <v>10620017</v>
      </c>
      <c r="I1002" s="1" t="s">
        <v>388</v>
      </c>
      <c r="J1002" s="61">
        <v>22</v>
      </c>
      <c r="K1002" s="61">
        <v>3.2</v>
      </c>
      <c r="L1002" s="61">
        <v>8.1</v>
      </c>
      <c r="M1002" s="69">
        <f t="shared" si="246"/>
        <v>0.70400000000000007</v>
      </c>
      <c r="N1002" s="69">
        <f t="shared" si="247"/>
        <v>1.7819999999999998</v>
      </c>
      <c r="O1002" s="56">
        <f>INDEX(Rate_Chart!$A$1:$AK$127,MATCH(Data!K1002,Rate_Chart!$A$1:$A$127,0),MATCH(Data!L1002,Rate_Chart!$A$1:$AK$1,0))</f>
        <v>35.8631259</v>
      </c>
      <c r="P1002" s="57">
        <f t="shared" si="248"/>
        <v>788.9887698</v>
      </c>
      <c r="Q1002" s="58">
        <f t="shared" si="249"/>
        <v>417.01309186046512</v>
      </c>
      <c r="R1002" s="58">
        <f t="shared" si="250"/>
        <v>278.00872790697673</v>
      </c>
      <c r="S1002" s="66">
        <f t="shared" si="251"/>
        <v>13.807303471500001</v>
      </c>
      <c r="T1002" s="64">
        <f t="shared" si="252"/>
        <v>82.5</v>
      </c>
      <c r="U1002" s="66">
        <f t="shared" si="253"/>
        <v>885.29607327150006</v>
      </c>
      <c r="V1002" s="68">
        <f t="shared" si="254"/>
        <v>40.24073060325</v>
      </c>
      <c r="W1002" s="68">
        <f t="shared" si="255"/>
        <v>467.91547213081401</v>
      </c>
      <c r="X1002" s="68">
        <f t="shared" si="256"/>
        <v>311.94364808720934</v>
      </c>
      <c r="Z1002" s="63"/>
      <c r="AA1002" s="63"/>
    </row>
    <row r="1003" spans="1:27" hidden="1" x14ac:dyDescent="0.25">
      <c r="A1003" t="str">
        <f t="shared" si="257"/>
        <v>10620017C27/05/2026E</v>
      </c>
      <c r="B1003" t="s">
        <v>826</v>
      </c>
      <c r="C1003" t="s">
        <v>397</v>
      </c>
      <c r="D1003" t="s">
        <v>591</v>
      </c>
      <c r="E1003" t="s">
        <v>810</v>
      </c>
      <c r="F1003" t="s">
        <v>377</v>
      </c>
      <c r="G1003" s="62" t="str">
        <f t="shared" si="245"/>
        <v>64555</v>
      </c>
      <c r="H1003" s="1">
        <v>10620017</v>
      </c>
      <c r="I1003" s="1" t="s">
        <v>388</v>
      </c>
      <c r="J1003" s="61">
        <v>15</v>
      </c>
      <c r="K1003" s="61">
        <v>3.3</v>
      </c>
      <c r="L1003" s="61">
        <v>8</v>
      </c>
      <c r="M1003" s="69">
        <f t="shared" si="246"/>
        <v>0.495</v>
      </c>
      <c r="N1003" s="69">
        <f t="shared" si="247"/>
        <v>1.2</v>
      </c>
      <c r="O1003" s="56">
        <f>INDEX(Rate_Chart!$A$1:$AK$127,MATCH(Data!K1003,Rate_Chart!$A$1:$A$127,0),MATCH(Data!L1003,Rate_Chart!$A$1:$AK$1,0))</f>
        <v>36.002112000000004</v>
      </c>
      <c r="P1003" s="57">
        <f t="shared" si="248"/>
        <v>540.03168000000005</v>
      </c>
      <c r="Q1003" s="58">
        <f t="shared" si="249"/>
        <v>417.01288030888031</v>
      </c>
      <c r="R1003" s="58">
        <f t="shared" si="250"/>
        <v>278.00858687258687</v>
      </c>
      <c r="S1003" s="66">
        <f t="shared" si="251"/>
        <v>9.4505544000000015</v>
      </c>
      <c r="T1003" s="64">
        <f t="shared" si="252"/>
        <v>56.25</v>
      </c>
      <c r="U1003" s="66">
        <f t="shared" si="253"/>
        <v>605.73223440000004</v>
      </c>
      <c r="V1003" s="68">
        <f t="shared" si="254"/>
        <v>40.382148960000002</v>
      </c>
      <c r="W1003" s="68">
        <f t="shared" si="255"/>
        <v>467.74689915057911</v>
      </c>
      <c r="X1003" s="68">
        <f t="shared" si="256"/>
        <v>311.83126610038607</v>
      </c>
      <c r="Z1003" s="63"/>
      <c r="AA1003" s="63"/>
    </row>
    <row r="1004" spans="1:27" hidden="1" x14ac:dyDescent="0.25">
      <c r="A1004" t="str">
        <f t="shared" si="257"/>
        <v>10620017C27/05/2026M</v>
      </c>
      <c r="B1004" t="s">
        <v>827</v>
      </c>
      <c r="C1004" t="s">
        <v>396</v>
      </c>
      <c r="D1004" t="s">
        <v>591</v>
      </c>
      <c r="E1004" t="s">
        <v>810</v>
      </c>
      <c r="F1004" t="s">
        <v>377</v>
      </c>
      <c r="G1004" s="62" t="str">
        <f t="shared" si="245"/>
        <v>64555</v>
      </c>
      <c r="H1004" s="1">
        <v>10620017</v>
      </c>
      <c r="I1004" s="1" t="s">
        <v>388</v>
      </c>
      <c r="J1004" s="61">
        <v>21</v>
      </c>
      <c r="K1004" s="61">
        <v>3.2</v>
      </c>
      <c r="L1004" s="61">
        <v>8</v>
      </c>
      <c r="M1004" s="69">
        <f t="shared" si="246"/>
        <v>0.67200000000000004</v>
      </c>
      <c r="N1004" s="69">
        <f t="shared" si="247"/>
        <v>1.68</v>
      </c>
      <c r="O1004" s="56">
        <f>INDEX(Rate_Chart!$A$1:$AK$127,MATCH(Data!K1004,Rate_Chart!$A$1:$A$127,0),MATCH(Data!L1004,Rate_Chart!$A$1:$AK$1,0))</f>
        <v>35.585112000000002</v>
      </c>
      <c r="P1004" s="57">
        <f t="shared" si="248"/>
        <v>747.28735200000006</v>
      </c>
      <c r="Q1004" s="58">
        <f t="shared" si="249"/>
        <v>417.01303124999998</v>
      </c>
      <c r="R1004" s="58">
        <f t="shared" si="250"/>
        <v>278.00868750000001</v>
      </c>
      <c r="S1004" s="66">
        <f t="shared" si="251"/>
        <v>13.077528660000002</v>
      </c>
      <c r="T1004" s="64">
        <f t="shared" si="252"/>
        <v>78.75</v>
      </c>
      <c r="U1004" s="66">
        <f t="shared" si="253"/>
        <v>839.11488066000004</v>
      </c>
      <c r="V1004" s="68">
        <f t="shared" si="254"/>
        <v>39.957851460000001</v>
      </c>
      <c r="W1004" s="68">
        <f t="shared" si="255"/>
        <v>468.25607179687495</v>
      </c>
      <c r="X1004" s="68">
        <f t="shared" si="256"/>
        <v>312.17071453124998</v>
      </c>
      <c r="Z1004" s="63"/>
      <c r="AA1004" s="63"/>
    </row>
    <row r="1005" spans="1:27" hidden="1" x14ac:dyDescent="0.25">
      <c r="A1005" t="str">
        <f t="shared" si="257"/>
        <v>10620017C28/05/2026E</v>
      </c>
      <c r="B1005" t="s">
        <v>827</v>
      </c>
      <c r="C1005" t="s">
        <v>397</v>
      </c>
      <c r="D1005" t="s">
        <v>591</v>
      </c>
      <c r="E1005" t="s">
        <v>810</v>
      </c>
      <c r="F1005" t="s">
        <v>377</v>
      </c>
      <c r="G1005" s="62" t="str">
        <f t="shared" si="245"/>
        <v>64555</v>
      </c>
      <c r="H1005" s="1">
        <v>10620017</v>
      </c>
      <c r="I1005" s="1" t="s">
        <v>388</v>
      </c>
      <c r="J1005" s="61">
        <v>11</v>
      </c>
      <c r="K1005" s="61">
        <v>3</v>
      </c>
      <c r="L1005" s="61">
        <v>8</v>
      </c>
      <c r="M1005" s="69">
        <f t="shared" si="246"/>
        <v>0.33</v>
      </c>
      <c r="N1005" s="69">
        <f t="shared" si="247"/>
        <v>0.88</v>
      </c>
      <c r="O1005" s="56">
        <f>INDEX(Rate_Chart!$A$1:$AK$127,MATCH(Data!K1005,Rate_Chart!$A$1:$A$127,0),MATCH(Data!L1005,Rate_Chart!$A$1:$AK$1,0))</f>
        <v>34.751112000000006</v>
      </c>
      <c r="P1005" s="57">
        <f t="shared" si="248"/>
        <v>382.26223200000004</v>
      </c>
      <c r="Q1005" s="58">
        <f t="shared" si="249"/>
        <v>417.01334400000002</v>
      </c>
      <c r="R1005" s="58">
        <f t="shared" si="250"/>
        <v>278.00889599999999</v>
      </c>
      <c r="S1005" s="66">
        <f t="shared" si="251"/>
        <v>6.6895890600000012</v>
      </c>
      <c r="T1005" s="64">
        <f t="shared" si="252"/>
        <v>41.25</v>
      </c>
      <c r="U1005" s="66">
        <f t="shared" si="253"/>
        <v>430.20182106000004</v>
      </c>
      <c r="V1005" s="68">
        <f t="shared" si="254"/>
        <v>39.109256460000005</v>
      </c>
      <c r="W1005" s="68">
        <f t="shared" si="255"/>
        <v>469.31107752000003</v>
      </c>
      <c r="X1005" s="68">
        <f t="shared" si="256"/>
        <v>312.87405168000004</v>
      </c>
      <c r="Z1005" s="63"/>
      <c r="AA1005" s="63"/>
    </row>
    <row r="1006" spans="1:27" hidden="1" x14ac:dyDescent="0.25">
      <c r="A1006" t="str">
        <f t="shared" si="257"/>
        <v>10620017C28/05/2026M</v>
      </c>
      <c r="B1006" t="s">
        <v>828</v>
      </c>
      <c r="C1006" t="s">
        <v>396</v>
      </c>
      <c r="D1006" t="s">
        <v>591</v>
      </c>
      <c r="E1006" t="s">
        <v>810</v>
      </c>
      <c r="F1006" t="s">
        <v>377</v>
      </c>
      <c r="G1006" s="62" t="str">
        <f t="shared" si="245"/>
        <v>64555</v>
      </c>
      <c r="H1006" s="1">
        <v>10620017</v>
      </c>
      <c r="I1006" s="1" t="s">
        <v>388</v>
      </c>
      <c r="J1006" s="61">
        <v>16</v>
      </c>
      <c r="K1006" s="61">
        <v>3</v>
      </c>
      <c r="L1006" s="61">
        <v>8</v>
      </c>
      <c r="M1006" s="69">
        <f t="shared" si="246"/>
        <v>0.48</v>
      </c>
      <c r="N1006" s="69">
        <f t="shared" si="247"/>
        <v>1.28</v>
      </c>
      <c r="O1006" s="56">
        <f>INDEX(Rate_Chart!$A$1:$AK$127,MATCH(Data!K1006,Rate_Chart!$A$1:$A$127,0),MATCH(Data!L1006,Rate_Chart!$A$1:$AK$1,0))</f>
        <v>34.751112000000006</v>
      </c>
      <c r="P1006" s="57">
        <f t="shared" si="248"/>
        <v>556.0177920000001</v>
      </c>
      <c r="Q1006" s="58">
        <f t="shared" si="249"/>
        <v>417.01334400000002</v>
      </c>
      <c r="R1006" s="58">
        <f t="shared" si="250"/>
        <v>278.00889599999999</v>
      </c>
      <c r="S1006" s="66">
        <f t="shared" si="251"/>
        <v>9.7303113600000035</v>
      </c>
      <c r="T1006" s="64">
        <f t="shared" si="252"/>
        <v>60</v>
      </c>
      <c r="U1006" s="66">
        <f t="shared" si="253"/>
        <v>625.74810336000007</v>
      </c>
      <c r="V1006" s="68">
        <f t="shared" si="254"/>
        <v>39.109256460000005</v>
      </c>
      <c r="W1006" s="68">
        <f t="shared" si="255"/>
        <v>469.31107752000003</v>
      </c>
      <c r="X1006" s="68">
        <f t="shared" si="256"/>
        <v>312.87405168000004</v>
      </c>
      <c r="Z1006" s="63"/>
      <c r="AA1006" s="63"/>
    </row>
    <row r="1007" spans="1:27" hidden="1" x14ac:dyDescent="0.25">
      <c r="A1007" t="str">
        <f t="shared" si="257"/>
        <v>10620017C22/05/2026E</v>
      </c>
      <c r="B1007" t="s">
        <v>828</v>
      </c>
      <c r="C1007" t="s">
        <v>397</v>
      </c>
      <c r="D1007" t="s">
        <v>591</v>
      </c>
      <c r="E1007" t="s">
        <v>810</v>
      </c>
      <c r="F1007" t="s">
        <v>377</v>
      </c>
      <c r="G1007" s="62" t="str">
        <f t="shared" si="245"/>
        <v>64555</v>
      </c>
      <c r="H1007" s="1">
        <v>10620017</v>
      </c>
      <c r="I1007" s="1" t="s">
        <v>388</v>
      </c>
      <c r="J1007" s="61">
        <v>28</v>
      </c>
      <c r="K1007" s="61">
        <v>3.1</v>
      </c>
      <c r="L1007" s="61">
        <v>8</v>
      </c>
      <c r="M1007" s="69">
        <f t="shared" si="246"/>
        <v>0.86799999999999999</v>
      </c>
      <c r="N1007" s="69">
        <f t="shared" si="247"/>
        <v>2.2400000000000002</v>
      </c>
      <c r="O1007" s="56">
        <f>INDEX(Rate_Chart!$A$1:$AK$127,MATCH(Data!K1007,Rate_Chart!$A$1:$A$127,0),MATCH(Data!L1007,Rate_Chart!$A$1:$AK$1,0))</f>
        <v>35.168112000000008</v>
      </c>
      <c r="P1007" s="57">
        <f t="shared" si="248"/>
        <v>984.70713600000022</v>
      </c>
      <c r="Q1007" s="58">
        <f t="shared" si="249"/>
        <v>417.01318577075102</v>
      </c>
      <c r="R1007" s="58">
        <f t="shared" si="250"/>
        <v>278.00879051383401</v>
      </c>
      <c r="S1007" s="66">
        <f t="shared" si="251"/>
        <v>17.232374880000005</v>
      </c>
      <c r="T1007" s="64">
        <f t="shared" si="252"/>
        <v>105</v>
      </c>
      <c r="U1007" s="66">
        <f t="shared" si="253"/>
        <v>1106.9395108800002</v>
      </c>
      <c r="V1007" s="68">
        <f t="shared" si="254"/>
        <v>39.533553960000006</v>
      </c>
      <c r="W1007" s="68">
        <f t="shared" si="255"/>
        <v>468.77731968379447</v>
      </c>
      <c r="X1007" s="68">
        <f t="shared" si="256"/>
        <v>312.51821312252963</v>
      </c>
      <c r="Z1007" s="63"/>
      <c r="AA1007" s="63"/>
    </row>
    <row r="1008" spans="1:27" hidden="1" x14ac:dyDescent="0.25">
      <c r="A1008" t="str">
        <f t="shared" si="257"/>
        <v>10620011B22/05/2026M</v>
      </c>
      <c r="B1008" t="s">
        <v>822</v>
      </c>
      <c r="C1008" t="s">
        <v>396</v>
      </c>
      <c r="D1008" t="s">
        <v>591</v>
      </c>
      <c r="E1008" t="s">
        <v>595</v>
      </c>
      <c r="F1008" t="s">
        <v>378</v>
      </c>
      <c r="G1008" s="62" t="str">
        <f t="shared" si="245"/>
        <v>64556</v>
      </c>
      <c r="H1008" s="1">
        <v>10620011</v>
      </c>
      <c r="I1008" s="1" t="s">
        <v>387</v>
      </c>
      <c r="J1008" s="61">
        <v>40</v>
      </c>
      <c r="K1008" s="61">
        <v>7.3</v>
      </c>
      <c r="L1008" s="61">
        <v>8.8000000000000007</v>
      </c>
      <c r="M1008" s="69">
        <f t="shared" si="246"/>
        <v>2.92</v>
      </c>
      <c r="N1008" s="69">
        <f t="shared" si="247"/>
        <v>3.52</v>
      </c>
      <c r="O1008" s="56">
        <v>60.34545</v>
      </c>
      <c r="P1008" s="57">
        <f t="shared" si="248"/>
        <v>2413.8180000000002</v>
      </c>
      <c r="Q1008" s="58">
        <f t="shared" si="249"/>
        <v>458.31987341772157</v>
      </c>
      <c r="R1008" s="58">
        <f t="shared" si="250"/>
        <v>305.54658227848103</v>
      </c>
      <c r="S1008" s="66">
        <f t="shared" si="251"/>
        <v>42.24181500000001</v>
      </c>
      <c r="T1008" s="64">
        <f t="shared" si="252"/>
        <v>150</v>
      </c>
      <c r="U1008" s="66">
        <f t="shared" si="253"/>
        <v>2606.0598150000001</v>
      </c>
      <c r="V1008" s="68">
        <f t="shared" si="254"/>
        <v>65.151495374999996</v>
      </c>
      <c r="W1008" s="68">
        <f t="shared" si="255"/>
        <v>494.82148386075949</v>
      </c>
      <c r="X1008" s="68">
        <f t="shared" si="256"/>
        <v>329.88098924050632</v>
      </c>
      <c r="Z1008" s="63"/>
      <c r="AA1008" s="63"/>
    </row>
    <row r="1009" spans="1:27" hidden="1" x14ac:dyDescent="0.25">
      <c r="A1009" t="str">
        <f t="shared" si="257"/>
        <v>10620011B23/05/2026E</v>
      </c>
      <c r="B1009" t="s">
        <v>822</v>
      </c>
      <c r="C1009" t="s">
        <v>397</v>
      </c>
      <c r="D1009" t="s">
        <v>591</v>
      </c>
      <c r="E1009" t="s">
        <v>595</v>
      </c>
      <c r="F1009" t="s">
        <v>378</v>
      </c>
      <c r="G1009" s="62" t="str">
        <f t="shared" si="245"/>
        <v>64556</v>
      </c>
      <c r="H1009" s="1">
        <v>10620011</v>
      </c>
      <c r="I1009" s="1" t="s">
        <v>387</v>
      </c>
      <c r="J1009" s="61">
        <v>24</v>
      </c>
      <c r="K1009" s="61">
        <v>6.6</v>
      </c>
      <c r="L1009" s="61">
        <v>8.8000000000000007</v>
      </c>
      <c r="M1009" s="69">
        <f t="shared" si="246"/>
        <v>1.5839999999999999</v>
      </c>
      <c r="N1009" s="69">
        <f t="shared" si="247"/>
        <v>2.1120000000000001</v>
      </c>
      <c r="O1009" s="56">
        <v>54.558900000000001</v>
      </c>
      <c r="P1009" s="57">
        <f t="shared" si="248"/>
        <v>1309.4136000000001</v>
      </c>
      <c r="Q1009" s="58">
        <f t="shared" si="249"/>
        <v>437.63823529411764</v>
      </c>
      <c r="R1009" s="58">
        <f t="shared" si="250"/>
        <v>291.75882352941176</v>
      </c>
      <c r="S1009" s="66">
        <f t="shared" si="251"/>
        <v>22.914738000000003</v>
      </c>
      <c r="T1009" s="64">
        <f t="shared" si="252"/>
        <v>90</v>
      </c>
      <c r="U1009" s="66">
        <f t="shared" si="253"/>
        <v>1422.328338</v>
      </c>
      <c r="V1009" s="68">
        <f t="shared" si="254"/>
        <v>59.263680749999999</v>
      </c>
      <c r="W1009" s="68">
        <f t="shared" si="255"/>
        <v>475.37711831550797</v>
      </c>
      <c r="X1009" s="68">
        <f t="shared" si="256"/>
        <v>316.91807887700531</v>
      </c>
      <c r="Z1009" s="63"/>
      <c r="AA1009" s="63"/>
    </row>
    <row r="1010" spans="1:27" hidden="1" x14ac:dyDescent="0.25">
      <c r="A1010" t="str">
        <f t="shared" si="257"/>
        <v>10620011B23/05/2026M</v>
      </c>
      <c r="B1010" t="s">
        <v>823</v>
      </c>
      <c r="C1010" t="s">
        <v>396</v>
      </c>
      <c r="D1010" t="s">
        <v>591</v>
      </c>
      <c r="E1010" t="s">
        <v>595</v>
      </c>
      <c r="F1010" t="s">
        <v>378</v>
      </c>
      <c r="G1010" s="62" t="str">
        <f t="shared" si="245"/>
        <v>64556</v>
      </c>
      <c r="H1010" s="1">
        <v>10620011</v>
      </c>
      <c r="I1010" s="1" t="s">
        <v>387</v>
      </c>
      <c r="J1010" s="61">
        <v>39</v>
      </c>
      <c r="K1010" s="61">
        <v>7.2</v>
      </c>
      <c r="L1010" s="61">
        <v>9</v>
      </c>
      <c r="M1010" s="69">
        <f t="shared" si="246"/>
        <v>2.8080000000000003</v>
      </c>
      <c r="N1010" s="69">
        <f t="shared" si="247"/>
        <v>3.51</v>
      </c>
      <c r="O1010" s="56">
        <v>60.120000000000005</v>
      </c>
      <c r="P1010" s="57">
        <f t="shared" si="248"/>
        <v>2344.6800000000003</v>
      </c>
      <c r="Q1010" s="58">
        <f t="shared" si="249"/>
        <v>455.4545454545455</v>
      </c>
      <c r="R1010" s="58">
        <f t="shared" si="250"/>
        <v>303.63636363636368</v>
      </c>
      <c r="S1010" s="66">
        <f t="shared" si="251"/>
        <v>41.031900000000007</v>
      </c>
      <c r="T1010" s="64">
        <f t="shared" si="252"/>
        <v>146.25</v>
      </c>
      <c r="U1010" s="66">
        <f t="shared" si="253"/>
        <v>2531.9619000000002</v>
      </c>
      <c r="V1010" s="68">
        <f t="shared" si="254"/>
        <v>64.9221</v>
      </c>
      <c r="W1010" s="68">
        <f t="shared" si="255"/>
        <v>491.83409090909089</v>
      </c>
      <c r="X1010" s="68">
        <f t="shared" si="256"/>
        <v>327.88939393939393</v>
      </c>
      <c r="Z1010" s="63"/>
      <c r="AA1010" s="63"/>
    </row>
    <row r="1011" spans="1:27" hidden="1" x14ac:dyDescent="0.25">
      <c r="A1011" t="str">
        <f t="shared" si="257"/>
        <v>10620011C23/05/2026M</v>
      </c>
      <c r="B1011" t="s">
        <v>823</v>
      </c>
      <c r="C1011" t="s">
        <v>396</v>
      </c>
      <c r="D1011" t="s">
        <v>591</v>
      </c>
      <c r="E1011" t="s">
        <v>595</v>
      </c>
      <c r="F1011" t="s">
        <v>378</v>
      </c>
      <c r="G1011" s="62" t="str">
        <f t="shared" si="245"/>
        <v>64556</v>
      </c>
      <c r="H1011" s="1">
        <v>10620011</v>
      </c>
      <c r="I1011" s="1" t="s">
        <v>388</v>
      </c>
      <c r="J1011" s="61">
        <v>7</v>
      </c>
      <c r="K1011" s="61">
        <v>3.5</v>
      </c>
      <c r="L1011" s="61">
        <v>8.3000000000000007</v>
      </c>
      <c r="M1011" s="69">
        <f t="shared" si="246"/>
        <v>0.245</v>
      </c>
      <c r="N1011" s="69">
        <f t="shared" si="247"/>
        <v>0.58100000000000007</v>
      </c>
      <c r="O1011" s="56">
        <v>35.773095600000005</v>
      </c>
      <c r="P1011" s="57">
        <f t="shared" si="248"/>
        <v>250.41166920000003</v>
      </c>
      <c r="Q1011" s="58">
        <f t="shared" si="249"/>
        <v>396.01212841328413</v>
      </c>
      <c r="R1011" s="58">
        <f t="shared" si="250"/>
        <v>264.00808560885611</v>
      </c>
      <c r="S1011" s="66">
        <f t="shared" si="251"/>
        <v>4.3822042110000012</v>
      </c>
      <c r="T1011" s="64">
        <f t="shared" si="252"/>
        <v>26.25</v>
      </c>
      <c r="U1011" s="66">
        <f t="shared" si="253"/>
        <v>281.04387341100005</v>
      </c>
      <c r="V1011" s="68">
        <f t="shared" si="254"/>
        <v>40.149124773000004</v>
      </c>
      <c r="W1011" s="68">
        <f t="shared" si="255"/>
        <v>444.45525578966789</v>
      </c>
      <c r="X1011" s="68">
        <f t="shared" si="256"/>
        <v>296.30350385977857</v>
      </c>
      <c r="Z1011" s="63"/>
      <c r="AA1011" s="63"/>
    </row>
    <row r="1012" spans="1:27" hidden="1" x14ac:dyDescent="0.25">
      <c r="A1012" t="str">
        <f t="shared" si="257"/>
        <v>10620011B24/05/2026E</v>
      </c>
      <c r="B1012" t="s">
        <v>823</v>
      </c>
      <c r="C1012" t="s">
        <v>397</v>
      </c>
      <c r="D1012" t="s">
        <v>591</v>
      </c>
      <c r="E1012" t="s">
        <v>595</v>
      </c>
      <c r="F1012" t="s">
        <v>378</v>
      </c>
      <c r="G1012" s="62" t="str">
        <f t="shared" si="245"/>
        <v>64556</v>
      </c>
      <c r="H1012" s="1">
        <v>10620011</v>
      </c>
      <c r="I1012" s="1" t="s">
        <v>387</v>
      </c>
      <c r="J1012" s="61">
        <v>26</v>
      </c>
      <c r="K1012" s="61">
        <v>7.1</v>
      </c>
      <c r="L1012" s="61">
        <v>9</v>
      </c>
      <c r="M1012" s="69">
        <f t="shared" si="246"/>
        <v>1.8459999999999999</v>
      </c>
      <c r="N1012" s="69">
        <f t="shared" si="247"/>
        <v>2.34</v>
      </c>
      <c r="O1012" s="56">
        <v>59.284999999999997</v>
      </c>
      <c r="P1012" s="57">
        <f t="shared" si="248"/>
        <v>1541.4099999999999</v>
      </c>
      <c r="Q1012" s="58">
        <f t="shared" si="249"/>
        <v>452.55725190839689</v>
      </c>
      <c r="R1012" s="58">
        <f t="shared" si="250"/>
        <v>301.70483460559791</v>
      </c>
      <c r="S1012" s="66">
        <f t="shared" si="251"/>
        <v>26.974675000000001</v>
      </c>
      <c r="T1012" s="64">
        <f t="shared" si="252"/>
        <v>97.5</v>
      </c>
      <c r="U1012" s="66">
        <f t="shared" si="253"/>
        <v>1665.8846749999998</v>
      </c>
      <c r="V1012" s="68">
        <f t="shared" si="254"/>
        <v>64.072487499999994</v>
      </c>
      <c r="W1012" s="68">
        <f t="shared" si="255"/>
        <v>489.10295801526712</v>
      </c>
      <c r="X1012" s="68">
        <f t="shared" si="256"/>
        <v>326.06863867684473</v>
      </c>
      <c r="Z1012" s="63"/>
      <c r="AA1012" s="63"/>
    </row>
    <row r="1013" spans="1:27" hidden="1" x14ac:dyDescent="0.25">
      <c r="A1013" t="str">
        <f t="shared" si="257"/>
        <v>10620011B24/05/2026M</v>
      </c>
      <c r="B1013" t="s">
        <v>824</v>
      </c>
      <c r="C1013" t="s">
        <v>396</v>
      </c>
      <c r="D1013" t="s">
        <v>591</v>
      </c>
      <c r="E1013" t="s">
        <v>595</v>
      </c>
      <c r="F1013" t="s">
        <v>378</v>
      </c>
      <c r="G1013" s="62" t="str">
        <f t="shared" si="245"/>
        <v>64556</v>
      </c>
      <c r="H1013" s="1">
        <v>10620011</v>
      </c>
      <c r="I1013" s="1" t="s">
        <v>387</v>
      </c>
      <c r="J1013" s="61">
        <v>28</v>
      </c>
      <c r="K1013" s="61">
        <v>8.1999999999999993</v>
      </c>
      <c r="L1013" s="61">
        <v>9</v>
      </c>
      <c r="M1013" s="69">
        <f t="shared" si="246"/>
        <v>2.2959999999999998</v>
      </c>
      <c r="N1013" s="69">
        <f t="shared" si="247"/>
        <v>2.52</v>
      </c>
      <c r="O1013" s="56">
        <v>68.469999999999985</v>
      </c>
      <c r="P1013" s="57">
        <f t="shared" si="248"/>
        <v>1917.1599999999996</v>
      </c>
      <c r="Q1013" s="58">
        <f t="shared" si="249"/>
        <v>482.18309859154925</v>
      </c>
      <c r="R1013" s="58">
        <f t="shared" si="250"/>
        <v>321.45539906103284</v>
      </c>
      <c r="S1013" s="66">
        <f t="shared" si="251"/>
        <v>33.5503</v>
      </c>
      <c r="T1013" s="64">
        <f t="shared" si="252"/>
        <v>105</v>
      </c>
      <c r="U1013" s="66">
        <f t="shared" si="253"/>
        <v>2055.7102999999997</v>
      </c>
      <c r="V1013" s="68">
        <f t="shared" si="254"/>
        <v>73.418224999999993</v>
      </c>
      <c r="W1013" s="68">
        <f t="shared" si="255"/>
        <v>517.02975352112674</v>
      </c>
      <c r="X1013" s="68">
        <f t="shared" si="256"/>
        <v>344.68650234741784</v>
      </c>
      <c r="Z1013" s="63"/>
      <c r="AA1013" s="63"/>
    </row>
    <row r="1014" spans="1:27" hidden="1" x14ac:dyDescent="0.25">
      <c r="A1014" t="str">
        <f t="shared" si="257"/>
        <v>10620011B25/05/2026E</v>
      </c>
      <c r="B1014" t="s">
        <v>824</v>
      </c>
      <c r="C1014" t="s">
        <v>397</v>
      </c>
      <c r="D1014" t="s">
        <v>591</v>
      </c>
      <c r="E1014" t="s">
        <v>595</v>
      </c>
      <c r="F1014" t="s">
        <v>378</v>
      </c>
      <c r="G1014" s="62" t="str">
        <f t="shared" si="245"/>
        <v>64556</v>
      </c>
      <c r="H1014" s="1">
        <v>10620011</v>
      </c>
      <c r="I1014" s="1" t="s">
        <v>387</v>
      </c>
      <c r="J1014" s="61">
        <v>25</v>
      </c>
      <c r="K1014" s="61">
        <v>6.9</v>
      </c>
      <c r="L1014" s="61">
        <v>9</v>
      </c>
      <c r="M1014" s="69">
        <f t="shared" si="246"/>
        <v>1.7250000000000001</v>
      </c>
      <c r="N1014" s="69">
        <f t="shared" si="247"/>
        <v>2.25</v>
      </c>
      <c r="O1014" s="56">
        <v>57.615000000000002</v>
      </c>
      <c r="P1014" s="57">
        <f t="shared" si="248"/>
        <v>1440.375</v>
      </c>
      <c r="Q1014" s="58">
        <f t="shared" si="249"/>
        <v>446.62790697674421</v>
      </c>
      <c r="R1014" s="58">
        <f t="shared" si="250"/>
        <v>297.75193798449612</v>
      </c>
      <c r="S1014" s="66">
        <f t="shared" si="251"/>
        <v>25.206562500000004</v>
      </c>
      <c r="T1014" s="64">
        <f t="shared" si="252"/>
        <v>93.75</v>
      </c>
      <c r="U1014" s="66">
        <f t="shared" si="253"/>
        <v>1559.3315625</v>
      </c>
      <c r="V1014" s="68">
        <f t="shared" si="254"/>
        <v>62.373262500000003</v>
      </c>
      <c r="W1014" s="68">
        <f t="shared" si="255"/>
        <v>483.51366279069771</v>
      </c>
      <c r="X1014" s="68">
        <f t="shared" si="256"/>
        <v>322.34244186046516</v>
      </c>
      <c r="Z1014" s="63"/>
      <c r="AA1014" s="63"/>
    </row>
    <row r="1015" spans="1:27" hidden="1" x14ac:dyDescent="0.25">
      <c r="A1015" t="str">
        <f t="shared" si="257"/>
        <v>10620011B25/05/2026M</v>
      </c>
      <c r="B1015" t="s">
        <v>825</v>
      </c>
      <c r="C1015" t="s">
        <v>396</v>
      </c>
      <c r="D1015" t="s">
        <v>591</v>
      </c>
      <c r="E1015" t="s">
        <v>595</v>
      </c>
      <c r="F1015" t="s">
        <v>378</v>
      </c>
      <c r="G1015" s="62" t="str">
        <f t="shared" ref="G1015:G1078" si="258">MID(F1015,2,5)</f>
        <v>64556</v>
      </c>
      <c r="H1015" s="1">
        <v>10620011</v>
      </c>
      <c r="I1015" s="1" t="s">
        <v>387</v>
      </c>
      <c r="J1015" s="61">
        <v>35</v>
      </c>
      <c r="K1015" s="61">
        <v>7.8</v>
      </c>
      <c r="L1015" s="61">
        <v>9</v>
      </c>
      <c r="M1015" s="69">
        <f t="shared" ref="M1015:M1078" si="259">K1015*J1015/100</f>
        <v>2.73</v>
      </c>
      <c r="N1015" s="69">
        <f t="shared" ref="N1015:N1078" si="260">L1015*J1015/100</f>
        <v>3.15</v>
      </c>
      <c r="O1015" s="56">
        <v>65.13</v>
      </c>
      <c r="P1015" s="57">
        <f t="shared" ref="P1015:P1078" si="261">O1015*J1015</f>
        <v>2279.5499999999997</v>
      </c>
      <c r="Q1015" s="58">
        <f t="shared" ref="Q1015:Q1078" si="262">O1015/(K1015%+L1015%*2/3)</f>
        <v>471.95652173913038</v>
      </c>
      <c r="R1015" s="58">
        <f t="shared" ref="R1015:R1078" si="263">Q1015*2/3</f>
        <v>314.63768115942025</v>
      </c>
      <c r="S1015" s="66">
        <f t="shared" ref="S1015:S1078" si="264">P1015*1.75%</f>
        <v>39.892125</v>
      </c>
      <c r="T1015" s="64">
        <f t="shared" ref="T1015:T1078" si="265">J1015*3.75</f>
        <v>131.25</v>
      </c>
      <c r="U1015" s="66">
        <f t="shared" ref="U1015:U1078" si="266">S1015+T1015+P1015</f>
        <v>2450.6921249999996</v>
      </c>
      <c r="V1015" s="68">
        <f t="shared" ref="V1015:V1078" si="267">U1015/J1015</f>
        <v>70.019774999999981</v>
      </c>
      <c r="W1015" s="68">
        <f t="shared" ref="W1015:W1078" si="268">V1015/(K1015%+L1015%*2/3)</f>
        <v>507.38967391304328</v>
      </c>
      <c r="X1015" s="68">
        <f t="shared" ref="X1015:X1078" si="269">W1015*2/3</f>
        <v>338.2597826086955</v>
      </c>
      <c r="Z1015" s="63"/>
      <c r="AA1015" s="63"/>
    </row>
    <row r="1016" spans="1:27" hidden="1" x14ac:dyDescent="0.25">
      <c r="A1016" t="str">
        <f t="shared" si="257"/>
        <v>10620011C25/05/2026M</v>
      </c>
      <c r="B1016" t="s">
        <v>825</v>
      </c>
      <c r="C1016" t="s">
        <v>396</v>
      </c>
      <c r="D1016" t="s">
        <v>591</v>
      </c>
      <c r="E1016" t="s">
        <v>595</v>
      </c>
      <c r="F1016" t="s">
        <v>378</v>
      </c>
      <c r="G1016" s="62" t="str">
        <f t="shared" si="258"/>
        <v>64556</v>
      </c>
      <c r="H1016" s="1">
        <v>10620011</v>
      </c>
      <c r="I1016" s="1" t="s">
        <v>388</v>
      </c>
      <c r="J1016" s="61">
        <v>13</v>
      </c>
      <c r="K1016" s="61">
        <v>3.7</v>
      </c>
      <c r="L1016" s="61">
        <v>8</v>
      </c>
      <c r="M1016" s="69">
        <f t="shared" si="259"/>
        <v>0.48100000000000004</v>
      </c>
      <c r="N1016" s="69">
        <f t="shared" si="260"/>
        <v>1.04</v>
      </c>
      <c r="O1016" s="56">
        <v>35.773056000000004</v>
      </c>
      <c r="P1016" s="57">
        <f t="shared" si="261"/>
        <v>465.04972800000007</v>
      </c>
      <c r="Q1016" s="58">
        <f t="shared" si="262"/>
        <v>396.01169003690035</v>
      </c>
      <c r="R1016" s="58">
        <f t="shared" si="263"/>
        <v>264.00779335793356</v>
      </c>
      <c r="S1016" s="66">
        <f t="shared" si="264"/>
        <v>8.1383702400000022</v>
      </c>
      <c r="T1016" s="64">
        <f t="shared" si="265"/>
        <v>48.75</v>
      </c>
      <c r="U1016" s="66">
        <f t="shared" si="266"/>
        <v>521.93809824000004</v>
      </c>
      <c r="V1016" s="68">
        <f t="shared" si="267"/>
        <v>40.149084480000006</v>
      </c>
      <c r="W1016" s="68">
        <f t="shared" si="268"/>
        <v>444.45480974169743</v>
      </c>
      <c r="X1016" s="68">
        <f t="shared" si="269"/>
        <v>296.30320649446497</v>
      </c>
      <c r="Z1016" s="63"/>
      <c r="AA1016" s="63"/>
    </row>
    <row r="1017" spans="1:27" hidden="1" x14ac:dyDescent="0.25">
      <c r="A1017" t="str">
        <f t="shared" si="257"/>
        <v>10620011B26/05/2026E</v>
      </c>
      <c r="B1017" t="s">
        <v>825</v>
      </c>
      <c r="C1017" t="s">
        <v>397</v>
      </c>
      <c r="D1017" t="s">
        <v>591</v>
      </c>
      <c r="E1017" t="s">
        <v>595</v>
      </c>
      <c r="F1017" t="s">
        <v>378</v>
      </c>
      <c r="G1017" s="62" t="str">
        <f t="shared" si="258"/>
        <v>64556</v>
      </c>
      <c r="H1017" s="1">
        <v>10620011</v>
      </c>
      <c r="I1017" s="1" t="s">
        <v>387</v>
      </c>
      <c r="J1017" s="61">
        <v>21</v>
      </c>
      <c r="K1017" s="61">
        <v>6.9</v>
      </c>
      <c r="L1017" s="61">
        <v>9</v>
      </c>
      <c r="M1017" s="69">
        <f t="shared" si="259"/>
        <v>1.4490000000000001</v>
      </c>
      <c r="N1017" s="69">
        <f t="shared" si="260"/>
        <v>1.89</v>
      </c>
      <c r="O1017" s="56">
        <v>57.615000000000002</v>
      </c>
      <c r="P1017" s="57">
        <f t="shared" si="261"/>
        <v>1209.915</v>
      </c>
      <c r="Q1017" s="58">
        <f t="shared" si="262"/>
        <v>446.62790697674421</v>
      </c>
      <c r="R1017" s="58">
        <f t="shared" si="263"/>
        <v>297.75193798449612</v>
      </c>
      <c r="S1017" s="66">
        <f t="shared" si="264"/>
        <v>21.173512500000001</v>
      </c>
      <c r="T1017" s="64">
        <f t="shared" si="265"/>
        <v>78.75</v>
      </c>
      <c r="U1017" s="66">
        <f t="shared" si="266"/>
        <v>1309.8385125</v>
      </c>
      <c r="V1017" s="68">
        <f t="shared" si="267"/>
        <v>62.373262499999996</v>
      </c>
      <c r="W1017" s="68">
        <f t="shared" si="268"/>
        <v>483.51366279069765</v>
      </c>
      <c r="X1017" s="68">
        <f t="shared" si="269"/>
        <v>322.3424418604651</v>
      </c>
      <c r="Z1017" s="63"/>
      <c r="AA1017" s="63"/>
    </row>
    <row r="1018" spans="1:27" hidden="1" x14ac:dyDescent="0.25">
      <c r="A1018" t="str">
        <f t="shared" si="257"/>
        <v>10620011B26/05/2026M</v>
      </c>
      <c r="B1018" t="s">
        <v>826</v>
      </c>
      <c r="C1018" t="s">
        <v>396</v>
      </c>
      <c r="D1018" t="s">
        <v>591</v>
      </c>
      <c r="E1018" t="s">
        <v>595</v>
      </c>
      <c r="F1018" t="s">
        <v>378</v>
      </c>
      <c r="G1018" s="62" t="str">
        <f t="shared" si="258"/>
        <v>64556</v>
      </c>
      <c r="H1018" s="1">
        <v>10620011</v>
      </c>
      <c r="I1018" s="1" t="s">
        <v>387</v>
      </c>
      <c r="J1018" s="61">
        <v>38</v>
      </c>
      <c r="K1018" s="61">
        <v>7.8</v>
      </c>
      <c r="L1018" s="61">
        <v>9</v>
      </c>
      <c r="M1018" s="69">
        <f t="shared" si="259"/>
        <v>2.964</v>
      </c>
      <c r="N1018" s="69">
        <f t="shared" si="260"/>
        <v>3.42</v>
      </c>
      <c r="O1018" s="56">
        <f>INDEX(Rate_Chart!$A$1:$AK$127,MATCH(Data!K1018,Rate_Chart!$A$1:$A$127,0),MATCH(Data!L1018,Rate_Chart!$A$1:$AK$1,0))</f>
        <v>65.13</v>
      </c>
      <c r="P1018" s="57">
        <f t="shared" si="261"/>
        <v>2474.9399999999996</v>
      </c>
      <c r="Q1018" s="58">
        <f t="shared" si="262"/>
        <v>471.95652173913038</v>
      </c>
      <c r="R1018" s="58">
        <f t="shared" si="263"/>
        <v>314.63768115942025</v>
      </c>
      <c r="S1018" s="66">
        <f t="shared" si="264"/>
        <v>43.311449999999994</v>
      </c>
      <c r="T1018" s="64">
        <f t="shared" si="265"/>
        <v>142.5</v>
      </c>
      <c r="U1018" s="66">
        <f t="shared" si="266"/>
        <v>2660.7514499999997</v>
      </c>
      <c r="V1018" s="68">
        <f t="shared" si="267"/>
        <v>70.019774999999996</v>
      </c>
      <c r="W1018" s="68">
        <f t="shared" si="268"/>
        <v>507.3896739130434</v>
      </c>
      <c r="X1018" s="68">
        <f t="shared" si="269"/>
        <v>338.25978260869562</v>
      </c>
      <c r="Z1018" s="63"/>
      <c r="AA1018" s="63"/>
    </row>
    <row r="1019" spans="1:27" hidden="1" x14ac:dyDescent="0.25">
      <c r="A1019" t="str">
        <f t="shared" si="257"/>
        <v>10620011B27/05/2026E</v>
      </c>
      <c r="B1019" t="s">
        <v>826</v>
      </c>
      <c r="C1019" t="s">
        <v>397</v>
      </c>
      <c r="D1019" t="s">
        <v>591</v>
      </c>
      <c r="E1019" t="s">
        <v>595</v>
      </c>
      <c r="F1019" t="s">
        <v>378</v>
      </c>
      <c r="G1019" s="62" t="str">
        <f t="shared" si="258"/>
        <v>64556</v>
      </c>
      <c r="H1019" s="1">
        <v>10620011</v>
      </c>
      <c r="I1019" s="1" t="s">
        <v>387</v>
      </c>
      <c r="J1019" s="61">
        <v>26</v>
      </c>
      <c r="K1019" s="61">
        <v>6.4</v>
      </c>
      <c r="L1019" s="61">
        <v>9</v>
      </c>
      <c r="M1019" s="69">
        <f t="shared" si="259"/>
        <v>1.6640000000000001</v>
      </c>
      <c r="N1019" s="69">
        <f t="shared" si="260"/>
        <v>2.34</v>
      </c>
      <c r="O1019" s="56">
        <f>INDEX(Rate_Chart!$A$1:$AK$127,MATCH(Data!K1019,Rate_Chart!$A$1:$A$127,0),MATCH(Data!L1019,Rate_Chart!$A$1:$AK$1,0))</f>
        <v>53.44</v>
      </c>
      <c r="P1019" s="57">
        <f t="shared" si="261"/>
        <v>1389.44</v>
      </c>
      <c r="Q1019" s="58">
        <f t="shared" si="262"/>
        <v>430.96774193548384</v>
      </c>
      <c r="R1019" s="58">
        <f t="shared" si="263"/>
        <v>287.31182795698925</v>
      </c>
      <c r="S1019" s="66">
        <f t="shared" si="264"/>
        <v>24.315200000000004</v>
      </c>
      <c r="T1019" s="64">
        <f t="shared" si="265"/>
        <v>97.5</v>
      </c>
      <c r="U1019" s="66">
        <f t="shared" si="266"/>
        <v>1511.2552000000001</v>
      </c>
      <c r="V1019" s="68">
        <f t="shared" si="267"/>
        <v>58.1252</v>
      </c>
      <c r="W1019" s="68">
        <f t="shared" si="268"/>
        <v>468.7516129032258</v>
      </c>
      <c r="X1019" s="68">
        <f t="shared" si="269"/>
        <v>312.5010752688172</v>
      </c>
      <c r="Z1019" s="63"/>
      <c r="AA1019" s="63"/>
    </row>
    <row r="1020" spans="1:27" hidden="1" x14ac:dyDescent="0.25">
      <c r="A1020" t="str">
        <f t="shared" si="257"/>
        <v>10620011B27/05/2026M</v>
      </c>
      <c r="B1020" t="s">
        <v>827</v>
      </c>
      <c r="C1020" t="s">
        <v>396</v>
      </c>
      <c r="D1020" t="s">
        <v>591</v>
      </c>
      <c r="E1020" t="s">
        <v>595</v>
      </c>
      <c r="F1020" t="s">
        <v>378</v>
      </c>
      <c r="G1020" s="62" t="str">
        <f t="shared" si="258"/>
        <v>64556</v>
      </c>
      <c r="H1020" s="1">
        <v>10620011</v>
      </c>
      <c r="I1020" s="1" t="s">
        <v>387</v>
      </c>
      <c r="J1020" s="61">
        <v>34</v>
      </c>
      <c r="K1020" s="61">
        <v>7.8</v>
      </c>
      <c r="L1020" s="61">
        <v>9</v>
      </c>
      <c r="M1020" s="69">
        <f t="shared" si="259"/>
        <v>2.6519999999999997</v>
      </c>
      <c r="N1020" s="69">
        <f t="shared" si="260"/>
        <v>3.06</v>
      </c>
      <c r="O1020" s="56">
        <f>INDEX(Rate_Chart!$A$1:$AK$127,MATCH(Data!K1020,Rate_Chart!$A$1:$A$127,0),MATCH(Data!L1020,Rate_Chart!$A$1:$AK$1,0))</f>
        <v>65.13</v>
      </c>
      <c r="P1020" s="57">
        <f t="shared" si="261"/>
        <v>2214.42</v>
      </c>
      <c r="Q1020" s="58">
        <f t="shared" si="262"/>
        <v>471.95652173913038</v>
      </c>
      <c r="R1020" s="58">
        <f t="shared" si="263"/>
        <v>314.63768115942025</v>
      </c>
      <c r="S1020" s="66">
        <f t="shared" si="264"/>
        <v>38.752350000000007</v>
      </c>
      <c r="T1020" s="64">
        <f t="shared" si="265"/>
        <v>127.5</v>
      </c>
      <c r="U1020" s="66">
        <f t="shared" si="266"/>
        <v>2380.6723500000003</v>
      </c>
      <c r="V1020" s="68">
        <f t="shared" si="267"/>
        <v>70.01977500000001</v>
      </c>
      <c r="W1020" s="68">
        <f t="shared" si="268"/>
        <v>507.38967391304351</v>
      </c>
      <c r="X1020" s="68">
        <f t="shared" si="269"/>
        <v>338.25978260869567</v>
      </c>
      <c r="Z1020" s="63"/>
      <c r="AA1020" s="63"/>
    </row>
    <row r="1021" spans="1:27" hidden="1" x14ac:dyDescent="0.25">
      <c r="A1021" t="str">
        <f t="shared" si="257"/>
        <v>10620011C27/05/2026M</v>
      </c>
      <c r="B1021" t="s">
        <v>827</v>
      </c>
      <c r="C1021" t="s">
        <v>396</v>
      </c>
      <c r="D1021" t="s">
        <v>591</v>
      </c>
      <c r="E1021" t="s">
        <v>595</v>
      </c>
      <c r="F1021" t="s">
        <v>378</v>
      </c>
      <c r="G1021" s="62" t="str">
        <f t="shared" si="258"/>
        <v>64556</v>
      </c>
      <c r="H1021" s="1">
        <v>10620011</v>
      </c>
      <c r="I1021" s="1" t="s">
        <v>388</v>
      </c>
      <c r="J1021" s="61">
        <v>13</v>
      </c>
      <c r="K1021" s="61">
        <v>3.6</v>
      </c>
      <c r="L1021" s="61">
        <v>8.1999999999999993</v>
      </c>
      <c r="M1021" s="69">
        <f t="shared" si="259"/>
        <v>0.46800000000000003</v>
      </c>
      <c r="N1021" s="69">
        <f t="shared" si="260"/>
        <v>1.0659999999999998</v>
      </c>
      <c r="O1021" s="56">
        <f>INDEX(Rate_Chart!$A$1:$AK$127,MATCH(Data!K1021,Rate_Chart!$A$1:$A$127,0),MATCH(Data!L1021,Rate_Chart!$A$1:$AK$1,0))</f>
        <v>37.809139800000004</v>
      </c>
      <c r="P1021" s="57">
        <f t="shared" si="261"/>
        <v>491.51881740000005</v>
      </c>
      <c r="Q1021" s="58">
        <f t="shared" si="262"/>
        <v>417.01257132352941</v>
      </c>
      <c r="R1021" s="58">
        <f t="shared" si="263"/>
        <v>278.00838088235292</v>
      </c>
      <c r="S1021" s="66">
        <f t="shared" si="264"/>
        <v>8.6015793045000013</v>
      </c>
      <c r="T1021" s="64">
        <f t="shared" si="265"/>
        <v>48.75</v>
      </c>
      <c r="U1021" s="66">
        <f t="shared" si="266"/>
        <v>548.87039670450008</v>
      </c>
      <c r="V1021" s="68">
        <f t="shared" si="267"/>
        <v>42.220799746500006</v>
      </c>
      <c r="W1021" s="68">
        <f t="shared" si="268"/>
        <v>465.67058543933825</v>
      </c>
      <c r="X1021" s="68">
        <f t="shared" si="269"/>
        <v>310.44705695955884</v>
      </c>
      <c r="Z1021" s="63"/>
      <c r="AA1021" s="63"/>
    </row>
    <row r="1022" spans="1:27" hidden="1" x14ac:dyDescent="0.25">
      <c r="A1022" t="str">
        <f t="shared" si="257"/>
        <v>10620011B28/05/2026E</v>
      </c>
      <c r="B1022" t="s">
        <v>827</v>
      </c>
      <c r="C1022" t="s">
        <v>397</v>
      </c>
      <c r="D1022" t="s">
        <v>591</v>
      </c>
      <c r="E1022" t="s">
        <v>595</v>
      </c>
      <c r="F1022" t="s">
        <v>378</v>
      </c>
      <c r="G1022" s="62" t="str">
        <f t="shared" si="258"/>
        <v>64556</v>
      </c>
      <c r="H1022" s="1">
        <v>10620011</v>
      </c>
      <c r="I1022" s="1" t="s">
        <v>387</v>
      </c>
      <c r="J1022" s="61">
        <v>24</v>
      </c>
      <c r="K1022" s="61">
        <v>6.6</v>
      </c>
      <c r="L1022" s="61">
        <v>9</v>
      </c>
      <c r="M1022" s="69">
        <f t="shared" si="259"/>
        <v>1.5839999999999999</v>
      </c>
      <c r="N1022" s="69">
        <f t="shared" si="260"/>
        <v>2.16</v>
      </c>
      <c r="O1022" s="56">
        <f>INDEX(Rate_Chart!$A$1:$AK$127,MATCH(Data!K1022,Rate_Chart!$A$1:$A$127,0),MATCH(Data!L1022,Rate_Chart!$A$1:$AK$1,0))</f>
        <v>55.11</v>
      </c>
      <c r="P1022" s="57">
        <f t="shared" si="261"/>
        <v>1322.6399999999999</v>
      </c>
      <c r="Q1022" s="58">
        <f t="shared" si="262"/>
        <v>437.38095238095235</v>
      </c>
      <c r="R1022" s="58">
        <f t="shared" si="263"/>
        <v>291.58730158730157</v>
      </c>
      <c r="S1022" s="66">
        <f t="shared" si="264"/>
        <v>23.1462</v>
      </c>
      <c r="T1022" s="64">
        <f t="shared" si="265"/>
        <v>90</v>
      </c>
      <c r="U1022" s="66">
        <f t="shared" si="266"/>
        <v>1435.7861999999998</v>
      </c>
      <c r="V1022" s="68">
        <f t="shared" si="267"/>
        <v>59.824424999999991</v>
      </c>
      <c r="W1022" s="68">
        <f t="shared" si="268"/>
        <v>474.79702380952375</v>
      </c>
      <c r="X1022" s="68">
        <f t="shared" si="269"/>
        <v>316.53134920634915</v>
      </c>
      <c r="Z1022" s="63"/>
      <c r="AA1022" s="63"/>
    </row>
    <row r="1023" spans="1:27" hidden="1" x14ac:dyDescent="0.25">
      <c r="A1023" t="str">
        <f t="shared" si="257"/>
        <v>10620011B28/05/2026M</v>
      </c>
      <c r="B1023" t="s">
        <v>828</v>
      </c>
      <c r="C1023" t="s">
        <v>396</v>
      </c>
      <c r="D1023" t="s">
        <v>591</v>
      </c>
      <c r="E1023" t="s">
        <v>595</v>
      </c>
      <c r="F1023" t="s">
        <v>378</v>
      </c>
      <c r="G1023" s="62" t="str">
        <f t="shared" si="258"/>
        <v>64556</v>
      </c>
      <c r="H1023" s="1">
        <v>10620011</v>
      </c>
      <c r="I1023" s="1" t="s">
        <v>387</v>
      </c>
      <c r="J1023" s="61">
        <v>40</v>
      </c>
      <c r="K1023" s="61">
        <v>7.8</v>
      </c>
      <c r="L1023" s="61">
        <v>9</v>
      </c>
      <c r="M1023" s="69">
        <f t="shared" si="259"/>
        <v>3.12</v>
      </c>
      <c r="N1023" s="69">
        <f t="shared" si="260"/>
        <v>3.6</v>
      </c>
      <c r="O1023" s="56">
        <f>INDEX(Rate_Chart!$A$1:$AK$127,MATCH(Data!K1023,Rate_Chart!$A$1:$A$127,0),MATCH(Data!L1023,Rate_Chart!$A$1:$AK$1,0))</f>
        <v>65.13</v>
      </c>
      <c r="P1023" s="57">
        <f t="shared" si="261"/>
        <v>2605.1999999999998</v>
      </c>
      <c r="Q1023" s="58">
        <f t="shared" si="262"/>
        <v>471.95652173913038</v>
      </c>
      <c r="R1023" s="58">
        <f t="shared" si="263"/>
        <v>314.63768115942025</v>
      </c>
      <c r="S1023" s="66">
        <f t="shared" si="264"/>
        <v>45.591000000000001</v>
      </c>
      <c r="T1023" s="64">
        <f t="shared" si="265"/>
        <v>150</v>
      </c>
      <c r="U1023" s="66">
        <f t="shared" si="266"/>
        <v>2800.7909999999997</v>
      </c>
      <c r="V1023" s="68">
        <f t="shared" si="267"/>
        <v>70.019774999999996</v>
      </c>
      <c r="W1023" s="68">
        <f t="shared" si="268"/>
        <v>507.3896739130434</v>
      </c>
      <c r="X1023" s="68">
        <f t="shared" si="269"/>
        <v>338.25978260869562</v>
      </c>
      <c r="Z1023" s="63"/>
      <c r="AA1023" s="63"/>
    </row>
    <row r="1024" spans="1:27" hidden="1" x14ac:dyDescent="0.25">
      <c r="A1024" t="str">
        <f t="shared" si="257"/>
        <v>10620011C28/05/2026M</v>
      </c>
      <c r="B1024" t="s">
        <v>828</v>
      </c>
      <c r="C1024" t="s">
        <v>396</v>
      </c>
      <c r="D1024" t="s">
        <v>591</v>
      </c>
      <c r="E1024" t="s">
        <v>595</v>
      </c>
      <c r="F1024" t="s">
        <v>378</v>
      </c>
      <c r="G1024" s="62" t="str">
        <f t="shared" si="258"/>
        <v>64556</v>
      </c>
      <c r="H1024" s="1">
        <v>10620011</v>
      </c>
      <c r="I1024" s="1" t="s">
        <v>388</v>
      </c>
      <c r="J1024" s="61">
        <v>14</v>
      </c>
      <c r="K1024" s="61">
        <v>3.6</v>
      </c>
      <c r="L1024" s="61">
        <v>8.1</v>
      </c>
      <c r="M1024" s="69">
        <f t="shared" si="259"/>
        <v>0.504</v>
      </c>
      <c r="N1024" s="69">
        <f t="shared" si="260"/>
        <v>1.1339999999999999</v>
      </c>
      <c r="O1024" s="56">
        <f>INDEX(Rate_Chart!$A$1:$AK$127,MATCH(Data!K1024,Rate_Chart!$A$1:$A$127,0),MATCH(Data!L1024,Rate_Chart!$A$1:$AK$1,0))</f>
        <v>37.531125900000006</v>
      </c>
      <c r="P1024" s="57">
        <f t="shared" si="261"/>
        <v>525.43576260000009</v>
      </c>
      <c r="Q1024" s="58">
        <f t="shared" si="262"/>
        <v>417.01251000000008</v>
      </c>
      <c r="R1024" s="58">
        <f t="shared" si="263"/>
        <v>278.00834000000003</v>
      </c>
      <c r="S1024" s="66">
        <f t="shared" si="264"/>
        <v>9.1951258455000016</v>
      </c>
      <c r="T1024" s="64">
        <f t="shared" si="265"/>
        <v>52.5</v>
      </c>
      <c r="U1024" s="66">
        <f t="shared" si="266"/>
        <v>587.13088844550009</v>
      </c>
      <c r="V1024" s="68">
        <f t="shared" si="267"/>
        <v>41.937920603250006</v>
      </c>
      <c r="W1024" s="68">
        <f t="shared" si="268"/>
        <v>465.97689559166673</v>
      </c>
      <c r="X1024" s="68">
        <f t="shared" si="269"/>
        <v>310.6512637277778</v>
      </c>
      <c r="Z1024" s="63"/>
      <c r="AA1024" s="63"/>
    </row>
    <row r="1025" spans="1:27" hidden="1" x14ac:dyDescent="0.25">
      <c r="A1025" t="str">
        <f t="shared" si="257"/>
        <v>10620011B28/05/2026E</v>
      </c>
      <c r="B1025" t="s">
        <v>828</v>
      </c>
      <c r="C1025" t="s">
        <v>397</v>
      </c>
      <c r="D1025" t="s">
        <v>591</v>
      </c>
      <c r="E1025" t="s">
        <v>595</v>
      </c>
      <c r="F1025" t="s">
        <v>378</v>
      </c>
      <c r="G1025" s="62" t="str">
        <f t="shared" si="258"/>
        <v>64556</v>
      </c>
      <c r="H1025" s="1">
        <v>10620011</v>
      </c>
      <c r="I1025" s="1" t="s">
        <v>387</v>
      </c>
      <c r="J1025" s="61">
        <v>17</v>
      </c>
      <c r="K1025" s="61">
        <v>7.6</v>
      </c>
      <c r="L1025" s="61">
        <v>9</v>
      </c>
      <c r="M1025" s="69">
        <f t="shared" si="259"/>
        <v>1.2919999999999998</v>
      </c>
      <c r="N1025" s="69">
        <f t="shared" si="260"/>
        <v>1.53</v>
      </c>
      <c r="O1025" s="56">
        <f>INDEX(Rate_Chart!$A$1:$AK$127,MATCH(Data!K1025,Rate_Chart!$A$1:$A$127,0),MATCH(Data!L1025,Rate_Chart!$A$1:$AK$1,0))</f>
        <v>63.46</v>
      </c>
      <c r="P1025" s="57">
        <f t="shared" si="261"/>
        <v>1078.82</v>
      </c>
      <c r="Q1025" s="58">
        <f t="shared" si="262"/>
        <v>466.61764705882348</v>
      </c>
      <c r="R1025" s="58">
        <f t="shared" si="263"/>
        <v>311.07843137254901</v>
      </c>
      <c r="S1025" s="66">
        <f t="shared" si="264"/>
        <v>18.879350000000002</v>
      </c>
      <c r="T1025" s="64">
        <f t="shared" si="265"/>
        <v>63.75</v>
      </c>
      <c r="U1025" s="66">
        <f t="shared" si="266"/>
        <v>1161.4493499999999</v>
      </c>
      <c r="V1025" s="68">
        <f t="shared" si="267"/>
        <v>68.320549999999997</v>
      </c>
      <c r="W1025" s="68">
        <f t="shared" si="268"/>
        <v>502.35698529411758</v>
      </c>
      <c r="X1025" s="68">
        <f t="shared" si="269"/>
        <v>334.90465686274507</v>
      </c>
      <c r="Z1025" s="63"/>
      <c r="AA1025" s="63"/>
    </row>
    <row r="1026" spans="1:27" hidden="1" x14ac:dyDescent="0.25">
      <c r="A1026" t="str">
        <f t="shared" si="257"/>
        <v>10620011C22/05/2026E</v>
      </c>
      <c r="B1026" t="s">
        <v>828</v>
      </c>
      <c r="C1026" t="s">
        <v>397</v>
      </c>
      <c r="D1026" t="s">
        <v>591</v>
      </c>
      <c r="E1026" t="s">
        <v>595</v>
      </c>
      <c r="F1026" t="s">
        <v>378</v>
      </c>
      <c r="G1026" s="62" t="str">
        <f t="shared" si="258"/>
        <v>64556</v>
      </c>
      <c r="H1026" s="1">
        <v>10620011</v>
      </c>
      <c r="I1026" s="1" t="s">
        <v>388</v>
      </c>
      <c r="J1026" s="61">
        <v>8</v>
      </c>
      <c r="K1026" s="61">
        <v>3</v>
      </c>
      <c r="L1026" s="61">
        <v>8</v>
      </c>
      <c r="M1026" s="69">
        <f t="shared" si="259"/>
        <v>0.24</v>
      </c>
      <c r="N1026" s="69">
        <f t="shared" si="260"/>
        <v>0.64</v>
      </c>
      <c r="O1026" s="56">
        <f>INDEX(Rate_Chart!$A$1:$AK$127,MATCH(Data!K1026,Rate_Chart!$A$1:$A$127,0),MATCH(Data!L1026,Rate_Chart!$A$1:$AK$1,0))</f>
        <v>34.751112000000006</v>
      </c>
      <c r="P1026" s="57">
        <f t="shared" si="261"/>
        <v>278.00889600000005</v>
      </c>
      <c r="Q1026" s="58">
        <f t="shared" si="262"/>
        <v>417.01334400000002</v>
      </c>
      <c r="R1026" s="58">
        <f t="shared" si="263"/>
        <v>278.00889599999999</v>
      </c>
      <c r="S1026" s="66">
        <f t="shared" si="264"/>
        <v>4.8651556800000018</v>
      </c>
      <c r="T1026" s="64">
        <f t="shared" si="265"/>
        <v>30</v>
      </c>
      <c r="U1026" s="66">
        <f t="shared" si="266"/>
        <v>312.87405168000004</v>
      </c>
      <c r="V1026" s="68">
        <f t="shared" si="267"/>
        <v>39.109256460000005</v>
      </c>
      <c r="W1026" s="68">
        <f t="shared" si="268"/>
        <v>469.31107752000003</v>
      </c>
      <c r="X1026" s="68">
        <f t="shared" si="269"/>
        <v>312.87405168000004</v>
      </c>
      <c r="Z1026" s="63"/>
      <c r="AA1026" s="63"/>
    </row>
    <row r="1027" spans="1:27" hidden="1" x14ac:dyDescent="0.25">
      <c r="A1027" t="str">
        <f t="shared" si="257"/>
        <v>10620042B22/05/2026M</v>
      </c>
      <c r="B1027" t="s">
        <v>822</v>
      </c>
      <c r="C1027" t="s">
        <v>396</v>
      </c>
      <c r="D1027" t="s">
        <v>591</v>
      </c>
      <c r="E1027" t="s">
        <v>593</v>
      </c>
      <c r="F1027" t="s">
        <v>379</v>
      </c>
      <c r="G1027" s="62" t="str">
        <f t="shared" si="258"/>
        <v>64559</v>
      </c>
      <c r="H1027" s="1">
        <v>10620042</v>
      </c>
      <c r="I1027" s="1" t="s">
        <v>387</v>
      </c>
      <c r="J1027" s="61">
        <v>41</v>
      </c>
      <c r="K1027" s="61">
        <v>6.9</v>
      </c>
      <c r="L1027" s="61">
        <v>8.8000000000000007</v>
      </c>
      <c r="M1027" s="69">
        <f t="shared" si="259"/>
        <v>2.8290000000000002</v>
      </c>
      <c r="N1027" s="69">
        <f t="shared" si="260"/>
        <v>3.6080000000000001</v>
      </c>
      <c r="O1027" s="56">
        <v>57.038850000000004</v>
      </c>
      <c r="P1027" s="57">
        <f t="shared" si="261"/>
        <v>2338.59285</v>
      </c>
      <c r="Q1027" s="58">
        <f t="shared" si="262"/>
        <v>446.77950391644907</v>
      </c>
      <c r="R1027" s="58">
        <f t="shared" si="263"/>
        <v>297.85300261096603</v>
      </c>
      <c r="S1027" s="66">
        <f t="shared" si="264"/>
        <v>40.925374875000003</v>
      </c>
      <c r="T1027" s="64">
        <f t="shared" si="265"/>
        <v>153.75</v>
      </c>
      <c r="U1027" s="66">
        <f t="shared" si="266"/>
        <v>2533.2682248749998</v>
      </c>
      <c r="V1027" s="68">
        <f t="shared" si="267"/>
        <v>61.787029874999995</v>
      </c>
      <c r="W1027" s="68">
        <f t="shared" si="268"/>
        <v>483.97151338120096</v>
      </c>
      <c r="X1027" s="68">
        <f t="shared" si="269"/>
        <v>322.64767558746729</v>
      </c>
      <c r="Z1027" s="63"/>
      <c r="AA1027" s="63"/>
    </row>
    <row r="1028" spans="1:27" hidden="1" x14ac:dyDescent="0.25">
      <c r="A1028" t="str">
        <f t="shared" si="257"/>
        <v>10620042C22/05/2026M</v>
      </c>
      <c r="B1028" t="s">
        <v>822</v>
      </c>
      <c r="C1028" t="s">
        <v>396</v>
      </c>
      <c r="D1028" t="s">
        <v>591</v>
      </c>
      <c r="E1028" t="s">
        <v>593</v>
      </c>
      <c r="F1028" t="s">
        <v>379</v>
      </c>
      <c r="G1028" s="62" t="str">
        <f t="shared" si="258"/>
        <v>64559</v>
      </c>
      <c r="H1028" s="1">
        <v>10620042</v>
      </c>
      <c r="I1028" s="1" t="s">
        <v>388</v>
      </c>
      <c r="J1028" s="61">
        <v>62</v>
      </c>
      <c r="K1028" s="61">
        <v>3</v>
      </c>
      <c r="L1028" s="61">
        <v>8</v>
      </c>
      <c r="M1028" s="69">
        <f t="shared" si="259"/>
        <v>1.86</v>
      </c>
      <c r="N1028" s="69">
        <f t="shared" si="260"/>
        <v>4.96</v>
      </c>
      <c r="O1028" s="56">
        <v>33.001056000000005</v>
      </c>
      <c r="P1028" s="57">
        <f t="shared" si="261"/>
        <v>2046.0654720000002</v>
      </c>
      <c r="Q1028" s="58">
        <f t="shared" si="262"/>
        <v>396.01267200000001</v>
      </c>
      <c r="R1028" s="58">
        <f t="shared" si="263"/>
        <v>264.00844799999999</v>
      </c>
      <c r="S1028" s="66">
        <f t="shared" si="264"/>
        <v>35.806145760000007</v>
      </c>
      <c r="T1028" s="64">
        <f t="shared" si="265"/>
        <v>232.5</v>
      </c>
      <c r="U1028" s="66">
        <f t="shared" si="266"/>
        <v>2314.3716177600004</v>
      </c>
      <c r="V1028" s="68">
        <f t="shared" si="267"/>
        <v>37.328574480000007</v>
      </c>
      <c r="W1028" s="68">
        <f t="shared" si="268"/>
        <v>447.94289376000006</v>
      </c>
      <c r="X1028" s="68">
        <f t="shared" si="269"/>
        <v>298.62859584000006</v>
      </c>
      <c r="Z1028" s="63"/>
      <c r="AA1028" s="63"/>
    </row>
    <row r="1029" spans="1:27" hidden="1" x14ac:dyDescent="0.25">
      <c r="A1029" t="str">
        <f t="shared" ref="A1029:A1092" si="270">CONCATENATE(H1029,I1029,B1030,C1029)</f>
        <v>10620042B22/05/2026E</v>
      </c>
      <c r="B1029" t="s">
        <v>822</v>
      </c>
      <c r="C1029" t="s">
        <v>397</v>
      </c>
      <c r="D1029" t="s">
        <v>591</v>
      </c>
      <c r="E1029" t="s">
        <v>593</v>
      </c>
      <c r="F1029" t="s">
        <v>379</v>
      </c>
      <c r="G1029" s="62" t="str">
        <f t="shared" si="258"/>
        <v>64559</v>
      </c>
      <c r="H1029" s="1">
        <v>10620042</v>
      </c>
      <c r="I1029" s="1" t="s">
        <v>387</v>
      </c>
      <c r="J1029" s="61">
        <v>40</v>
      </c>
      <c r="K1029" s="61">
        <v>5.9</v>
      </c>
      <c r="L1029" s="61">
        <v>8.4</v>
      </c>
      <c r="M1029" s="69">
        <f t="shared" si="259"/>
        <v>2.36</v>
      </c>
      <c r="N1029" s="69">
        <f t="shared" si="260"/>
        <v>3.36</v>
      </c>
      <c r="O1029" s="56">
        <v>47.787050000000001</v>
      </c>
      <c r="P1029" s="57">
        <f t="shared" si="261"/>
        <v>1911.482</v>
      </c>
      <c r="Q1029" s="58">
        <f t="shared" si="262"/>
        <v>415.53956521739127</v>
      </c>
      <c r="R1029" s="58">
        <f t="shared" si="263"/>
        <v>277.02637681159416</v>
      </c>
      <c r="S1029" s="66">
        <f t="shared" si="264"/>
        <v>33.450935000000001</v>
      </c>
      <c r="T1029" s="64">
        <f t="shared" si="265"/>
        <v>150</v>
      </c>
      <c r="U1029" s="66">
        <f t="shared" si="266"/>
        <v>2094.9329349999998</v>
      </c>
      <c r="V1029" s="68">
        <f t="shared" si="267"/>
        <v>52.373323374999998</v>
      </c>
      <c r="W1029" s="68">
        <f t="shared" si="268"/>
        <v>455.42020326086953</v>
      </c>
      <c r="X1029" s="68">
        <f t="shared" si="269"/>
        <v>303.61346884057969</v>
      </c>
      <c r="Z1029" s="63"/>
      <c r="AA1029" s="63"/>
    </row>
    <row r="1030" spans="1:27" hidden="1" x14ac:dyDescent="0.25">
      <c r="A1030" t="str">
        <f t="shared" si="270"/>
        <v>10620042C23/05/2026E</v>
      </c>
      <c r="B1030" t="s">
        <v>822</v>
      </c>
      <c r="C1030" t="s">
        <v>397</v>
      </c>
      <c r="D1030" t="s">
        <v>591</v>
      </c>
      <c r="E1030" t="s">
        <v>593</v>
      </c>
      <c r="F1030" t="s">
        <v>379</v>
      </c>
      <c r="G1030" s="62" t="str">
        <f t="shared" si="258"/>
        <v>64559</v>
      </c>
      <c r="H1030" s="1">
        <v>10620042</v>
      </c>
      <c r="I1030" s="1" t="s">
        <v>388</v>
      </c>
      <c r="J1030" s="61">
        <v>41</v>
      </c>
      <c r="K1030" s="61">
        <v>3</v>
      </c>
      <c r="L1030" s="61">
        <v>8</v>
      </c>
      <c r="M1030" s="69">
        <f t="shared" si="259"/>
        <v>1.23</v>
      </c>
      <c r="N1030" s="69">
        <f t="shared" si="260"/>
        <v>3.28</v>
      </c>
      <c r="O1030" s="56">
        <v>33.001056000000005</v>
      </c>
      <c r="P1030" s="57">
        <f t="shared" si="261"/>
        <v>1353.0432960000003</v>
      </c>
      <c r="Q1030" s="58">
        <f t="shared" si="262"/>
        <v>396.01267200000001</v>
      </c>
      <c r="R1030" s="58">
        <f t="shared" si="263"/>
        <v>264.00844799999999</v>
      </c>
      <c r="S1030" s="66">
        <f t="shared" si="264"/>
        <v>23.678257680000009</v>
      </c>
      <c r="T1030" s="64">
        <f t="shared" si="265"/>
        <v>153.75</v>
      </c>
      <c r="U1030" s="66">
        <f t="shared" si="266"/>
        <v>1530.4715536800004</v>
      </c>
      <c r="V1030" s="68">
        <f t="shared" si="267"/>
        <v>37.328574480000007</v>
      </c>
      <c r="W1030" s="68">
        <f t="shared" si="268"/>
        <v>447.94289376000006</v>
      </c>
      <c r="X1030" s="68">
        <f t="shared" si="269"/>
        <v>298.62859584000006</v>
      </c>
      <c r="Z1030" s="63"/>
      <c r="AA1030" s="63"/>
    </row>
    <row r="1031" spans="1:27" hidden="1" x14ac:dyDescent="0.25">
      <c r="A1031" t="str">
        <f t="shared" si="270"/>
        <v>10620042B23/05/2026M</v>
      </c>
      <c r="B1031" t="s">
        <v>823</v>
      </c>
      <c r="C1031" t="s">
        <v>396</v>
      </c>
      <c r="D1031" t="s">
        <v>591</v>
      </c>
      <c r="E1031" t="s">
        <v>593</v>
      </c>
      <c r="F1031" t="s">
        <v>379</v>
      </c>
      <c r="G1031" s="62" t="str">
        <f t="shared" si="258"/>
        <v>64559</v>
      </c>
      <c r="H1031" s="1">
        <v>10620042</v>
      </c>
      <c r="I1031" s="1" t="s">
        <v>387</v>
      </c>
      <c r="J1031" s="61">
        <v>40</v>
      </c>
      <c r="K1031" s="61">
        <v>6.4</v>
      </c>
      <c r="L1031" s="61">
        <v>8.6</v>
      </c>
      <c r="M1031" s="69">
        <f t="shared" si="259"/>
        <v>2.56</v>
      </c>
      <c r="N1031" s="69">
        <f t="shared" si="260"/>
        <v>3.44</v>
      </c>
      <c r="O1031" s="56">
        <v>52.371199999999995</v>
      </c>
      <c r="P1031" s="57">
        <f t="shared" si="261"/>
        <v>2094.848</v>
      </c>
      <c r="Q1031" s="58">
        <f t="shared" si="262"/>
        <v>431.6307692307692</v>
      </c>
      <c r="R1031" s="58">
        <f t="shared" si="263"/>
        <v>287.75384615384615</v>
      </c>
      <c r="S1031" s="66">
        <f t="shared" si="264"/>
        <v>36.659840000000003</v>
      </c>
      <c r="T1031" s="64">
        <f t="shared" si="265"/>
        <v>150</v>
      </c>
      <c r="U1031" s="66">
        <f t="shared" si="266"/>
        <v>2281.5078399999998</v>
      </c>
      <c r="V1031" s="68">
        <f t="shared" si="267"/>
        <v>57.037695999999997</v>
      </c>
      <c r="W1031" s="68">
        <f t="shared" si="268"/>
        <v>470.0909010989011</v>
      </c>
      <c r="X1031" s="68">
        <f t="shared" si="269"/>
        <v>313.39393406593405</v>
      </c>
      <c r="Z1031" s="63"/>
      <c r="AA1031" s="63"/>
    </row>
    <row r="1032" spans="1:27" hidden="1" x14ac:dyDescent="0.25">
      <c r="A1032" t="str">
        <f t="shared" si="270"/>
        <v>10620042C23/05/2026M</v>
      </c>
      <c r="B1032" t="s">
        <v>823</v>
      </c>
      <c r="C1032" t="s">
        <v>396</v>
      </c>
      <c r="D1032" t="s">
        <v>591</v>
      </c>
      <c r="E1032" t="s">
        <v>593</v>
      </c>
      <c r="F1032" t="s">
        <v>379</v>
      </c>
      <c r="G1032" s="62" t="str">
        <f t="shared" si="258"/>
        <v>64559</v>
      </c>
      <c r="H1032" s="1">
        <v>10620042</v>
      </c>
      <c r="I1032" s="1" t="s">
        <v>388</v>
      </c>
      <c r="J1032" s="61">
        <v>60</v>
      </c>
      <c r="K1032" s="61">
        <v>3</v>
      </c>
      <c r="L1032" s="61">
        <v>8</v>
      </c>
      <c r="M1032" s="69">
        <f t="shared" si="259"/>
        <v>1.8</v>
      </c>
      <c r="N1032" s="69">
        <f t="shared" si="260"/>
        <v>4.8</v>
      </c>
      <c r="O1032" s="56">
        <v>33.001056000000005</v>
      </c>
      <c r="P1032" s="57">
        <f t="shared" si="261"/>
        <v>1980.0633600000003</v>
      </c>
      <c r="Q1032" s="58">
        <f t="shared" si="262"/>
        <v>396.01267200000001</v>
      </c>
      <c r="R1032" s="58">
        <f t="shared" si="263"/>
        <v>264.00844799999999</v>
      </c>
      <c r="S1032" s="66">
        <f t="shared" si="264"/>
        <v>34.65110880000001</v>
      </c>
      <c r="T1032" s="64">
        <f t="shared" si="265"/>
        <v>225</v>
      </c>
      <c r="U1032" s="66">
        <f t="shared" si="266"/>
        <v>2239.7144688000003</v>
      </c>
      <c r="V1032" s="68">
        <f t="shared" si="267"/>
        <v>37.328574480000007</v>
      </c>
      <c r="W1032" s="68">
        <f t="shared" si="268"/>
        <v>447.94289376000006</v>
      </c>
      <c r="X1032" s="68">
        <f t="shared" si="269"/>
        <v>298.62859584000006</v>
      </c>
      <c r="Z1032" s="63"/>
      <c r="AA1032" s="63"/>
    </row>
    <row r="1033" spans="1:27" hidden="1" x14ac:dyDescent="0.25">
      <c r="A1033" t="str">
        <f t="shared" si="270"/>
        <v>10620042B23/05/2026E</v>
      </c>
      <c r="B1033" t="s">
        <v>823</v>
      </c>
      <c r="C1033" t="s">
        <v>397</v>
      </c>
      <c r="D1033" t="s">
        <v>591</v>
      </c>
      <c r="E1033" t="s">
        <v>593</v>
      </c>
      <c r="F1033" t="s">
        <v>379</v>
      </c>
      <c r="G1033" s="62" t="str">
        <f t="shared" si="258"/>
        <v>64559</v>
      </c>
      <c r="H1033" s="1">
        <v>10620042</v>
      </c>
      <c r="I1033" s="1" t="s">
        <v>387</v>
      </c>
      <c r="J1033" s="61">
        <v>40</v>
      </c>
      <c r="K1033" s="61">
        <v>6.4</v>
      </c>
      <c r="L1033" s="61">
        <v>8.8000000000000007</v>
      </c>
      <c r="M1033" s="69">
        <f t="shared" si="259"/>
        <v>2.56</v>
      </c>
      <c r="N1033" s="69">
        <f t="shared" si="260"/>
        <v>3.52</v>
      </c>
      <c r="O1033" s="56">
        <v>52.9056</v>
      </c>
      <c r="P1033" s="57">
        <f t="shared" si="261"/>
        <v>2116.2240000000002</v>
      </c>
      <c r="Q1033" s="58">
        <f t="shared" si="262"/>
        <v>431.29565217391303</v>
      </c>
      <c r="R1033" s="58">
        <f t="shared" si="263"/>
        <v>287.53043478260867</v>
      </c>
      <c r="S1033" s="66">
        <f t="shared" si="264"/>
        <v>37.033920000000009</v>
      </c>
      <c r="T1033" s="64">
        <f t="shared" si="265"/>
        <v>150</v>
      </c>
      <c r="U1033" s="66">
        <f t="shared" si="266"/>
        <v>2303.25792</v>
      </c>
      <c r="V1033" s="68">
        <f t="shared" si="267"/>
        <v>57.581448000000002</v>
      </c>
      <c r="W1033" s="68">
        <f t="shared" si="268"/>
        <v>469.41397826086956</v>
      </c>
      <c r="X1033" s="68">
        <f t="shared" si="269"/>
        <v>312.94265217391302</v>
      </c>
      <c r="Z1033" s="63"/>
      <c r="AA1033" s="63"/>
    </row>
    <row r="1034" spans="1:27" hidden="1" x14ac:dyDescent="0.25">
      <c r="A1034" t="str">
        <f t="shared" si="270"/>
        <v>10620042C24/05/2026E</v>
      </c>
      <c r="B1034" t="s">
        <v>823</v>
      </c>
      <c r="C1034" t="s">
        <v>397</v>
      </c>
      <c r="D1034" t="s">
        <v>591</v>
      </c>
      <c r="E1034" t="s">
        <v>593</v>
      </c>
      <c r="F1034" t="s">
        <v>379</v>
      </c>
      <c r="G1034" s="62" t="str">
        <f t="shared" si="258"/>
        <v>64559</v>
      </c>
      <c r="H1034" s="1">
        <v>10620042</v>
      </c>
      <c r="I1034" s="1" t="s">
        <v>388</v>
      </c>
      <c r="J1034" s="61">
        <v>35</v>
      </c>
      <c r="K1034" s="61">
        <v>3</v>
      </c>
      <c r="L1034" s="61">
        <v>8</v>
      </c>
      <c r="M1034" s="69">
        <f t="shared" si="259"/>
        <v>1.05</v>
      </c>
      <c r="N1034" s="69">
        <f t="shared" si="260"/>
        <v>2.8</v>
      </c>
      <c r="O1034" s="56">
        <v>33.001056000000005</v>
      </c>
      <c r="P1034" s="57">
        <f t="shared" si="261"/>
        <v>1155.0369600000001</v>
      </c>
      <c r="Q1034" s="58">
        <f t="shared" si="262"/>
        <v>396.01267200000001</v>
      </c>
      <c r="R1034" s="58">
        <f t="shared" si="263"/>
        <v>264.00844799999999</v>
      </c>
      <c r="S1034" s="66">
        <f t="shared" si="264"/>
        <v>20.213146800000004</v>
      </c>
      <c r="T1034" s="64">
        <f t="shared" si="265"/>
        <v>131.25</v>
      </c>
      <c r="U1034" s="66">
        <f t="shared" si="266"/>
        <v>1306.5001068000001</v>
      </c>
      <c r="V1034" s="68">
        <f t="shared" si="267"/>
        <v>37.328574480000007</v>
      </c>
      <c r="W1034" s="68">
        <f t="shared" si="268"/>
        <v>447.94289376000006</v>
      </c>
      <c r="X1034" s="68">
        <f t="shared" si="269"/>
        <v>298.62859584000006</v>
      </c>
      <c r="Z1034" s="63"/>
      <c r="AA1034" s="63"/>
    </row>
    <row r="1035" spans="1:27" hidden="1" x14ac:dyDescent="0.25">
      <c r="A1035" t="str">
        <f t="shared" si="270"/>
        <v>10620042B24/05/2026M</v>
      </c>
      <c r="B1035" t="s">
        <v>824</v>
      </c>
      <c r="C1035" t="s">
        <v>396</v>
      </c>
      <c r="D1035" t="s">
        <v>591</v>
      </c>
      <c r="E1035" t="s">
        <v>593</v>
      </c>
      <c r="F1035" t="s">
        <v>379</v>
      </c>
      <c r="G1035" s="62" t="str">
        <f t="shared" si="258"/>
        <v>64559</v>
      </c>
      <c r="H1035" s="1">
        <v>10620042</v>
      </c>
      <c r="I1035" s="1" t="s">
        <v>387</v>
      </c>
      <c r="J1035" s="61">
        <v>40</v>
      </c>
      <c r="K1035" s="61">
        <v>6.3</v>
      </c>
      <c r="L1035" s="61">
        <v>8.8000000000000007</v>
      </c>
      <c r="M1035" s="69">
        <f t="shared" si="259"/>
        <v>2.52</v>
      </c>
      <c r="N1035" s="69">
        <f t="shared" si="260"/>
        <v>3.52</v>
      </c>
      <c r="O1035" s="56">
        <v>52.078949999999999</v>
      </c>
      <c r="P1035" s="57">
        <f t="shared" si="261"/>
        <v>2083.1579999999999</v>
      </c>
      <c r="Q1035" s="58">
        <f t="shared" si="262"/>
        <v>428.04616438356163</v>
      </c>
      <c r="R1035" s="58">
        <f t="shared" si="263"/>
        <v>285.36410958904111</v>
      </c>
      <c r="S1035" s="66">
        <f t="shared" si="264"/>
        <v>36.455265000000004</v>
      </c>
      <c r="T1035" s="64">
        <f t="shared" si="265"/>
        <v>150</v>
      </c>
      <c r="U1035" s="66">
        <f t="shared" si="266"/>
        <v>2269.613265</v>
      </c>
      <c r="V1035" s="68">
        <f t="shared" si="267"/>
        <v>56.740331624999996</v>
      </c>
      <c r="W1035" s="68">
        <f t="shared" si="268"/>
        <v>466.35889006849311</v>
      </c>
      <c r="X1035" s="68">
        <f t="shared" si="269"/>
        <v>310.90592671232872</v>
      </c>
      <c r="Z1035" s="63"/>
      <c r="AA1035" s="63"/>
    </row>
    <row r="1036" spans="1:27" hidden="1" x14ac:dyDescent="0.25">
      <c r="A1036" t="str">
        <f t="shared" si="270"/>
        <v>10620042C24/05/2026M</v>
      </c>
      <c r="B1036" t="s">
        <v>824</v>
      </c>
      <c r="C1036" t="s">
        <v>396</v>
      </c>
      <c r="D1036" t="s">
        <v>591</v>
      </c>
      <c r="E1036" t="s">
        <v>593</v>
      </c>
      <c r="F1036" t="s">
        <v>379</v>
      </c>
      <c r="G1036" s="62" t="str">
        <f t="shared" si="258"/>
        <v>64559</v>
      </c>
      <c r="H1036" s="1">
        <v>10620042</v>
      </c>
      <c r="I1036" s="1" t="s">
        <v>388</v>
      </c>
      <c r="J1036" s="61">
        <v>40</v>
      </c>
      <c r="K1036" s="61">
        <v>3</v>
      </c>
      <c r="L1036" s="61">
        <v>8</v>
      </c>
      <c r="M1036" s="69">
        <f t="shared" si="259"/>
        <v>1.2</v>
      </c>
      <c r="N1036" s="69">
        <f t="shared" si="260"/>
        <v>3.2</v>
      </c>
      <c r="O1036" s="56">
        <v>33.001056000000005</v>
      </c>
      <c r="P1036" s="57">
        <f t="shared" si="261"/>
        <v>1320.0422400000002</v>
      </c>
      <c r="Q1036" s="58">
        <f t="shared" si="262"/>
        <v>396.01267200000001</v>
      </c>
      <c r="R1036" s="58">
        <f t="shared" si="263"/>
        <v>264.00844799999999</v>
      </c>
      <c r="S1036" s="66">
        <f t="shared" si="264"/>
        <v>23.100739200000007</v>
      </c>
      <c r="T1036" s="64">
        <f t="shared" si="265"/>
        <v>150</v>
      </c>
      <c r="U1036" s="66">
        <f t="shared" si="266"/>
        <v>1493.1429792000004</v>
      </c>
      <c r="V1036" s="68">
        <f t="shared" si="267"/>
        <v>37.328574480000007</v>
      </c>
      <c r="W1036" s="68">
        <f t="shared" si="268"/>
        <v>447.94289376000006</v>
      </c>
      <c r="X1036" s="68">
        <f t="shared" si="269"/>
        <v>298.62859584000006</v>
      </c>
      <c r="Z1036" s="63"/>
      <c r="AA1036" s="63"/>
    </row>
    <row r="1037" spans="1:27" hidden="1" x14ac:dyDescent="0.25">
      <c r="A1037" t="str">
        <f t="shared" si="270"/>
        <v>10620042B24/05/2026E</v>
      </c>
      <c r="B1037" t="s">
        <v>824</v>
      </c>
      <c r="C1037" t="s">
        <v>397</v>
      </c>
      <c r="D1037" t="s">
        <v>591</v>
      </c>
      <c r="E1037" t="s">
        <v>593</v>
      </c>
      <c r="F1037" t="s">
        <v>379</v>
      </c>
      <c r="G1037" s="62" t="str">
        <f t="shared" si="258"/>
        <v>64559</v>
      </c>
      <c r="H1037" s="1">
        <v>10620042</v>
      </c>
      <c r="I1037" s="1" t="s">
        <v>387</v>
      </c>
      <c r="J1037" s="61">
        <v>41</v>
      </c>
      <c r="K1037" s="61">
        <v>6</v>
      </c>
      <c r="L1037" s="61">
        <v>8.4</v>
      </c>
      <c r="M1037" s="69">
        <f t="shared" si="259"/>
        <v>2.46</v>
      </c>
      <c r="N1037" s="69">
        <f t="shared" si="260"/>
        <v>3.4440000000000004</v>
      </c>
      <c r="O1037" s="56">
        <v>48.597000000000001</v>
      </c>
      <c r="P1037" s="57">
        <f t="shared" si="261"/>
        <v>1992.4770000000001</v>
      </c>
      <c r="Q1037" s="58">
        <f t="shared" si="262"/>
        <v>418.93965517241384</v>
      </c>
      <c r="R1037" s="58">
        <f t="shared" si="263"/>
        <v>279.29310344827587</v>
      </c>
      <c r="S1037" s="66">
        <f t="shared" si="264"/>
        <v>34.868347500000006</v>
      </c>
      <c r="T1037" s="64">
        <f t="shared" si="265"/>
        <v>153.75</v>
      </c>
      <c r="U1037" s="66">
        <f t="shared" si="266"/>
        <v>2181.0953475000001</v>
      </c>
      <c r="V1037" s="68">
        <f t="shared" si="267"/>
        <v>53.197447500000003</v>
      </c>
      <c r="W1037" s="68">
        <f t="shared" si="268"/>
        <v>458.59868534482763</v>
      </c>
      <c r="X1037" s="68">
        <f t="shared" si="269"/>
        <v>305.73245689655175</v>
      </c>
      <c r="Z1037" s="63"/>
      <c r="AA1037" s="63"/>
    </row>
    <row r="1038" spans="1:27" hidden="1" x14ac:dyDescent="0.25">
      <c r="A1038" t="str">
        <f t="shared" si="270"/>
        <v>10620042C25/05/2026E</v>
      </c>
      <c r="B1038" t="s">
        <v>824</v>
      </c>
      <c r="C1038" t="s">
        <v>397</v>
      </c>
      <c r="D1038" t="s">
        <v>591</v>
      </c>
      <c r="E1038" t="s">
        <v>593</v>
      </c>
      <c r="F1038" t="s">
        <v>379</v>
      </c>
      <c r="G1038" s="62" t="str">
        <f t="shared" si="258"/>
        <v>64559</v>
      </c>
      <c r="H1038" s="1">
        <v>10620042</v>
      </c>
      <c r="I1038" s="1" t="s">
        <v>388</v>
      </c>
      <c r="J1038" s="61">
        <v>33</v>
      </c>
      <c r="K1038" s="61">
        <v>3</v>
      </c>
      <c r="L1038" s="61">
        <v>8</v>
      </c>
      <c r="M1038" s="69">
        <f t="shared" si="259"/>
        <v>0.99</v>
      </c>
      <c r="N1038" s="69">
        <f t="shared" si="260"/>
        <v>2.64</v>
      </c>
      <c r="O1038" s="56">
        <v>33.001056000000005</v>
      </c>
      <c r="P1038" s="57">
        <f t="shared" si="261"/>
        <v>1089.0348480000002</v>
      </c>
      <c r="Q1038" s="58">
        <f t="shared" si="262"/>
        <v>396.01267200000001</v>
      </c>
      <c r="R1038" s="58">
        <f t="shared" si="263"/>
        <v>264.00844799999999</v>
      </c>
      <c r="S1038" s="66">
        <f t="shared" si="264"/>
        <v>19.058109840000007</v>
      </c>
      <c r="T1038" s="64">
        <f t="shared" si="265"/>
        <v>123.75</v>
      </c>
      <c r="U1038" s="66">
        <f t="shared" si="266"/>
        <v>1231.8429578400003</v>
      </c>
      <c r="V1038" s="68">
        <f t="shared" si="267"/>
        <v>37.328574480000007</v>
      </c>
      <c r="W1038" s="68">
        <f t="shared" si="268"/>
        <v>447.94289376000006</v>
      </c>
      <c r="X1038" s="68">
        <f t="shared" si="269"/>
        <v>298.62859584000006</v>
      </c>
      <c r="Z1038" s="63"/>
      <c r="AA1038" s="63"/>
    </row>
    <row r="1039" spans="1:27" hidden="1" x14ac:dyDescent="0.25">
      <c r="A1039" t="str">
        <f t="shared" si="270"/>
        <v>10620042B25/05/2026M</v>
      </c>
      <c r="B1039" t="s">
        <v>825</v>
      </c>
      <c r="C1039" t="s">
        <v>396</v>
      </c>
      <c r="D1039" t="s">
        <v>591</v>
      </c>
      <c r="E1039" t="s">
        <v>593</v>
      </c>
      <c r="F1039" t="s">
        <v>379</v>
      </c>
      <c r="G1039" s="62" t="str">
        <f t="shared" si="258"/>
        <v>64559</v>
      </c>
      <c r="H1039" s="1">
        <v>10620042</v>
      </c>
      <c r="I1039" s="1" t="s">
        <v>387</v>
      </c>
      <c r="J1039" s="61">
        <v>30</v>
      </c>
      <c r="K1039" s="61">
        <v>6.6</v>
      </c>
      <c r="L1039" s="61">
        <v>8.8000000000000007</v>
      </c>
      <c r="M1039" s="69">
        <f t="shared" si="259"/>
        <v>1.98</v>
      </c>
      <c r="N1039" s="69">
        <f t="shared" si="260"/>
        <v>2.64</v>
      </c>
      <c r="O1039" s="56">
        <v>54.558900000000001</v>
      </c>
      <c r="P1039" s="57">
        <f t="shared" si="261"/>
        <v>1636.7670000000001</v>
      </c>
      <c r="Q1039" s="58">
        <f t="shared" si="262"/>
        <v>437.63823529411764</v>
      </c>
      <c r="R1039" s="58">
        <f t="shared" si="263"/>
        <v>291.75882352941176</v>
      </c>
      <c r="S1039" s="66">
        <f t="shared" si="264"/>
        <v>28.643422500000003</v>
      </c>
      <c r="T1039" s="64">
        <f t="shared" si="265"/>
        <v>112.5</v>
      </c>
      <c r="U1039" s="66">
        <f t="shared" si="266"/>
        <v>1777.9104225000001</v>
      </c>
      <c r="V1039" s="68">
        <f t="shared" si="267"/>
        <v>59.263680750000006</v>
      </c>
      <c r="W1039" s="68">
        <f t="shared" si="268"/>
        <v>475.37711831550803</v>
      </c>
      <c r="X1039" s="68">
        <f t="shared" si="269"/>
        <v>316.91807887700537</v>
      </c>
      <c r="Z1039" s="63"/>
      <c r="AA1039" s="63"/>
    </row>
    <row r="1040" spans="1:27" hidden="1" x14ac:dyDescent="0.25">
      <c r="A1040" t="str">
        <f t="shared" si="270"/>
        <v>10620042B25/05/2026E</v>
      </c>
      <c r="B1040" t="s">
        <v>825</v>
      </c>
      <c r="C1040" t="s">
        <v>397</v>
      </c>
      <c r="D1040" t="s">
        <v>591</v>
      </c>
      <c r="E1040" t="s">
        <v>593</v>
      </c>
      <c r="F1040" t="s">
        <v>379</v>
      </c>
      <c r="G1040" s="62" t="str">
        <f t="shared" si="258"/>
        <v>64559</v>
      </c>
      <c r="H1040" s="1">
        <v>10620042</v>
      </c>
      <c r="I1040" s="1" t="s">
        <v>387</v>
      </c>
      <c r="J1040" s="61">
        <v>35</v>
      </c>
      <c r="K1040" s="61">
        <v>6.4</v>
      </c>
      <c r="L1040" s="61">
        <v>8.8000000000000007</v>
      </c>
      <c r="M1040" s="69">
        <f t="shared" si="259"/>
        <v>2.2400000000000002</v>
      </c>
      <c r="N1040" s="69">
        <f t="shared" si="260"/>
        <v>3.08</v>
      </c>
      <c r="O1040" s="56">
        <v>52.9056</v>
      </c>
      <c r="P1040" s="57">
        <f t="shared" si="261"/>
        <v>1851.6959999999999</v>
      </c>
      <c r="Q1040" s="58">
        <f t="shared" si="262"/>
        <v>431.29565217391303</v>
      </c>
      <c r="R1040" s="58">
        <f t="shared" si="263"/>
        <v>287.53043478260867</v>
      </c>
      <c r="S1040" s="66">
        <f t="shared" si="264"/>
        <v>32.404679999999999</v>
      </c>
      <c r="T1040" s="64">
        <f t="shared" si="265"/>
        <v>131.25</v>
      </c>
      <c r="U1040" s="66">
        <f t="shared" si="266"/>
        <v>2015.35068</v>
      </c>
      <c r="V1040" s="68">
        <f t="shared" si="267"/>
        <v>57.581448000000002</v>
      </c>
      <c r="W1040" s="68">
        <f t="shared" si="268"/>
        <v>469.41397826086956</v>
      </c>
      <c r="X1040" s="68">
        <f t="shared" si="269"/>
        <v>312.94265217391302</v>
      </c>
      <c r="Z1040" s="63"/>
      <c r="AA1040" s="63"/>
    </row>
    <row r="1041" spans="1:27" hidden="1" x14ac:dyDescent="0.25">
      <c r="A1041" t="str">
        <f t="shared" si="270"/>
        <v>10620042C26/05/2026E</v>
      </c>
      <c r="B1041" t="s">
        <v>825</v>
      </c>
      <c r="C1041" t="s">
        <v>397</v>
      </c>
      <c r="D1041" t="s">
        <v>591</v>
      </c>
      <c r="E1041" t="s">
        <v>593</v>
      </c>
      <c r="F1041" t="s">
        <v>379</v>
      </c>
      <c r="G1041" s="62" t="str">
        <f t="shared" si="258"/>
        <v>64559</v>
      </c>
      <c r="H1041" s="1">
        <v>10620042</v>
      </c>
      <c r="I1041" s="1" t="s">
        <v>388</v>
      </c>
      <c r="J1041" s="61">
        <v>20</v>
      </c>
      <c r="K1041" s="61">
        <v>3</v>
      </c>
      <c r="L1041" s="61">
        <v>8</v>
      </c>
      <c r="M1041" s="69">
        <f t="shared" si="259"/>
        <v>0.6</v>
      </c>
      <c r="N1041" s="69">
        <f t="shared" si="260"/>
        <v>1.6</v>
      </c>
      <c r="O1041" s="56">
        <v>33.001056000000005</v>
      </c>
      <c r="P1041" s="57">
        <f t="shared" si="261"/>
        <v>660.02112000000011</v>
      </c>
      <c r="Q1041" s="58">
        <f t="shared" si="262"/>
        <v>396.01267200000001</v>
      </c>
      <c r="R1041" s="58">
        <f t="shared" si="263"/>
        <v>264.00844799999999</v>
      </c>
      <c r="S1041" s="66">
        <f t="shared" si="264"/>
        <v>11.550369600000003</v>
      </c>
      <c r="T1041" s="64">
        <f t="shared" si="265"/>
        <v>75</v>
      </c>
      <c r="U1041" s="66">
        <f t="shared" si="266"/>
        <v>746.57148960000018</v>
      </c>
      <c r="V1041" s="68">
        <f t="shared" si="267"/>
        <v>37.328574480000007</v>
      </c>
      <c r="W1041" s="68">
        <f t="shared" si="268"/>
        <v>447.94289376000006</v>
      </c>
      <c r="X1041" s="68">
        <f t="shared" si="269"/>
        <v>298.62859584000006</v>
      </c>
      <c r="Z1041" s="63"/>
      <c r="AA1041" s="63"/>
    </row>
    <row r="1042" spans="1:27" hidden="1" x14ac:dyDescent="0.25">
      <c r="A1042" t="str">
        <f t="shared" si="270"/>
        <v>10620042B26/05/2026M</v>
      </c>
      <c r="B1042" t="s">
        <v>826</v>
      </c>
      <c r="C1042" t="s">
        <v>396</v>
      </c>
      <c r="D1042" t="s">
        <v>591</v>
      </c>
      <c r="E1042" t="s">
        <v>593</v>
      </c>
      <c r="F1042" t="s">
        <v>379</v>
      </c>
      <c r="G1042" s="62" t="str">
        <f t="shared" si="258"/>
        <v>64559</v>
      </c>
      <c r="H1042" s="1">
        <v>10620042</v>
      </c>
      <c r="I1042" s="1" t="s">
        <v>387</v>
      </c>
      <c r="J1042" s="61">
        <v>32</v>
      </c>
      <c r="K1042" s="61">
        <v>7</v>
      </c>
      <c r="L1042" s="61">
        <v>8.8000000000000007</v>
      </c>
      <c r="M1042" s="69">
        <f t="shared" si="259"/>
        <v>2.2400000000000002</v>
      </c>
      <c r="N1042" s="69">
        <f t="shared" si="260"/>
        <v>2.8160000000000003</v>
      </c>
      <c r="O1042" s="56">
        <f>INDEX(Rate_Chart!$A$1:$AK$127,MATCH(Data!K1042,Rate_Chart!$A$1:$A$127,0),MATCH(Data!L1042,Rate_Chart!$A$1:$AK$1,0))</f>
        <v>57.865500000000004</v>
      </c>
      <c r="P1042" s="57">
        <f t="shared" si="261"/>
        <v>1851.6960000000001</v>
      </c>
      <c r="Q1042" s="58">
        <f t="shared" si="262"/>
        <v>449.73186528497411</v>
      </c>
      <c r="R1042" s="58">
        <f t="shared" si="263"/>
        <v>299.82124352331607</v>
      </c>
      <c r="S1042" s="66">
        <f t="shared" si="264"/>
        <v>32.404680000000006</v>
      </c>
      <c r="T1042" s="64">
        <f t="shared" si="265"/>
        <v>120</v>
      </c>
      <c r="U1042" s="66">
        <f t="shared" si="266"/>
        <v>2004.1006800000002</v>
      </c>
      <c r="V1042" s="68">
        <f t="shared" si="267"/>
        <v>62.628146250000007</v>
      </c>
      <c r="W1042" s="68">
        <f t="shared" si="268"/>
        <v>486.74725064766841</v>
      </c>
      <c r="X1042" s="68">
        <f t="shared" si="269"/>
        <v>324.49816709844561</v>
      </c>
      <c r="Z1042" s="63"/>
      <c r="AA1042" s="63"/>
    </row>
    <row r="1043" spans="1:27" hidden="1" x14ac:dyDescent="0.25">
      <c r="A1043" t="str">
        <f t="shared" si="270"/>
        <v>10620042B26/05/2026E</v>
      </c>
      <c r="B1043" t="s">
        <v>826</v>
      </c>
      <c r="C1043" t="s">
        <v>397</v>
      </c>
      <c r="D1043" t="s">
        <v>591</v>
      </c>
      <c r="E1043" t="s">
        <v>593</v>
      </c>
      <c r="F1043" t="s">
        <v>379</v>
      </c>
      <c r="G1043" s="62" t="str">
        <f t="shared" si="258"/>
        <v>64559</v>
      </c>
      <c r="H1043" s="1">
        <v>10620042</v>
      </c>
      <c r="I1043" s="1" t="s">
        <v>387</v>
      </c>
      <c r="J1043" s="61">
        <v>40</v>
      </c>
      <c r="K1043" s="61">
        <v>6.8</v>
      </c>
      <c r="L1043" s="61">
        <v>9</v>
      </c>
      <c r="M1043" s="69">
        <f t="shared" si="259"/>
        <v>2.72</v>
      </c>
      <c r="N1043" s="69">
        <f t="shared" si="260"/>
        <v>3.6</v>
      </c>
      <c r="O1043" s="56">
        <f>INDEX(Rate_Chart!$A$1:$AK$127,MATCH(Data!K1043,Rate_Chart!$A$1:$A$127,0),MATCH(Data!L1043,Rate_Chart!$A$1:$AK$1,0))</f>
        <v>56.78</v>
      </c>
      <c r="P1043" s="57">
        <f t="shared" si="261"/>
        <v>2271.1999999999998</v>
      </c>
      <c r="Q1043" s="58">
        <f t="shared" si="262"/>
        <v>443.59375</v>
      </c>
      <c r="R1043" s="58">
        <f t="shared" si="263"/>
        <v>295.72916666666669</v>
      </c>
      <c r="S1043" s="66">
        <f t="shared" si="264"/>
        <v>39.746000000000002</v>
      </c>
      <c r="T1043" s="64">
        <f t="shared" si="265"/>
        <v>150</v>
      </c>
      <c r="U1043" s="66">
        <f t="shared" si="266"/>
        <v>2460.9459999999999</v>
      </c>
      <c r="V1043" s="68">
        <f t="shared" si="267"/>
        <v>61.523649999999996</v>
      </c>
      <c r="W1043" s="68">
        <f t="shared" si="268"/>
        <v>480.65351562499995</v>
      </c>
      <c r="X1043" s="68">
        <f t="shared" si="269"/>
        <v>320.4356770833333</v>
      </c>
      <c r="Z1043" s="63"/>
      <c r="AA1043" s="63"/>
    </row>
    <row r="1044" spans="1:27" hidden="1" x14ac:dyDescent="0.25">
      <c r="A1044" t="str">
        <f t="shared" si="270"/>
        <v>10620042C27/05/2026E</v>
      </c>
      <c r="B1044" t="s">
        <v>826</v>
      </c>
      <c r="C1044" t="s">
        <v>397</v>
      </c>
      <c r="D1044" t="s">
        <v>591</v>
      </c>
      <c r="E1044" t="s">
        <v>593</v>
      </c>
      <c r="F1044" t="s">
        <v>379</v>
      </c>
      <c r="G1044" s="62" t="str">
        <f t="shared" si="258"/>
        <v>64559</v>
      </c>
      <c r="H1044" s="1">
        <v>10620042</v>
      </c>
      <c r="I1044" s="1" t="s">
        <v>388</v>
      </c>
      <c r="J1044" s="61">
        <v>28</v>
      </c>
      <c r="K1044" s="61">
        <v>3</v>
      </c>
      <c r="L1044" s="61">
        <v>8</v>
      </c>
      <c r="M1044" s="69">
        <f t="shared" si="259"/>
        <v>0.84</v>
      </c>
      <c r="N1044" s="69">
        <f t="shared" si="260"/>
        <v>2.2400000000000002</v>
      </c>
      <c r="O1044" s="56">
        <f>INDEX(Rate_Chart!$A$1:$AK$127,MATCH(Data!K1044,Rate_Chart!$A$1:$A$127,0),MATCH(Data!L1044,Rate_Chart!$A$1:$AK$1,0))</f>
        <v>34.751112000000006</v>
      </c>
      <c r="P1044" s="57">
        <f t="shared" si="261"/>
        <v>973.03113600000017</v>
      </c>
      <c r="Q1044" s="58">
        <f t="shared" si="262"/>
        <v>417.01334400000002</v>
      </c>
      <c r="R1044" s="58">
        <f t="shared" si="263"/>
        <v>278.00889599999999</v>
      </c>
      <c r="S1044" s="66">
        <f t="shared" si="264"/>
        <v>17.028044880000003</v>
      </c>
      <c r="T1044" s="64">
        <f t="shared" si="265"/>
        <v>105</v>
      </c>
      <c r="U1044" s="66">
        <f t="shared" si="266"/>
        <v>1095.0591808800002</v>
      </c>
      <c r="V1044" s="68">
        <f t="shared" si="267"/>
        <v>39.109256460000005</v>
      </c>
      <c r="W1044" s="68">
        <f t="shared" si="268"/>
        <v>469.31107752000003</v>
      </c>
      <c r="X1044" s="68">
        <f t="shared" si="269"/>
        <v>312.87405168000004</v>
      </c>
      <c r="Z1044" s="63"/>
      <c r="AA1044" s="63"/>
    </row>
    <row r="1045" spans="1:27" hidden="1" x14ac:dyDescent="0.25">
      <c r="A1045" t="str">
        <f t="shared" si="270"/>
        <v>10620042B27/05/2026M</v>
      </c>
      <c r="B1045" t="s">
        <v>827</v>
      </c>
      <c r="C1045" t="s">
        <v>396</v>
      </c>
      <c r="D1045" t="s">
        <v>591</v>
      </c>
      <c r="E1045" t="s">
        <v>593</v>
      </c>
      <c r="F1045" t="s">
        <v>379</v>
      </c>
      <c r="G1045" s="62" t="str">
        <f t="shared" si="258"/>
        <v>64559</v>
      </c>
      <c r="H1045" s="1">
        <v>10620042</v>
      </c>
      <c r="I1045" s="1" t="s">
        <v>387</v>
      </c>
      <c r="J1045" s="61">
        <v>40</v>
      </c>
      <c r="K1045" s="61">
        <v>6.8</v>
      </c>
      <c r="L1045" s="61">
        <v>9</v>
      </c>
      <c r="M1045" s="69">
        <f t="shared" si="259"/>
        <v>2.72</v>
      </c>
      <c r="N1045" s="69">
        <f t="shared" si="260"/>
        <v>3.6</v>
      </c>
      <c r="O1045" s="56">
        <f>INDEX(Rate_Chart!$A$1:$AK$127,MATCH(Data!K1045,Rate_Chart!$A$1:$A$127,0),MATCH(Data!L1045,Rate_Chart!$A$1:$AK$1,0))</f>
        <v>56.78</v>
      </c>
      <c r="P1045" s="57">
        <f t="shared" si="261"/>
        <v>2271.1999999999998</v>
      </c>
      <c r="Q1045" s="58">
        <f t="shared" si="262"/>
        <v>443.59375</v>
      </c>
      <c r="R1045" s="58">
        <f t="shared" si="263"/>
        <v>295.72916666666669</v>
      </c>
      <c r="S1045" s="66">
        <f t="shared" si="264"/>
        <v>39.746000000000002</v>
      </c>
      <c r="T1045" s="64">
        <f t="shared" si="265"/>
        <v>150</v>
      </c>
      <c r="U1045" s="66">
        <f t="shared" si="266"/>
        <v>2460.9459999999999</v>
      </c>
      <c r="V1045" s="68">
        <f t="shared" si="267"/>
        <v>61.523649999999996</v>
      </c>
      <c r="W1045" s="68">
        <f t="shared" si="268"/>
        <v>480.65351562499995</v>
      </c>
      <c r="X1045" s="68">
        <f t="shared" si="269"/>
        <v>320.4356770833333</v>
      </c>
      <c r="Z1045" s="63"/>
      <c r="AA1045" s="63"/>
    </row>
    <row r="1046" spans="1:27" hidden="1" x14ac:dyDescent="0.25">
      <c r="A1046" t="str">
        <f t="shared" si="270"/>
        <v>10620042C27/05/2026M</v>
      </c>
      <c r="B1046" t="s">
        <v>827</v>
      </c>
      <c r="C1046" t="s">
        <v>396</v>
      </c>
      <c r="D1046" t="s">
        <v>591</v>
      </c>
      <c r="E1046" t="s">
        <v>593</v>
      </c>
      <c r="F1046" t="s">
        <v>379</v>
      </c>
      <c r="G1046" s="62" t="str">
        <f t="shared" si="258"/>
        <v>64559</v>
      </c>
      <c r="H1046" s="1">
        <v>10620042</v>
      </c>
      <c r="I1046" s="1" t="s">
        <v>388</v>
      </c>
      <c r="J1046" s="61">
        <v>50</v>
      </c>
      <c r="K1046" s="61">
        <v>3</v>
      </c>
      <c r="L1046" s="61">
        <v>8</v>
      </c>
      <c r="M1046" s="69">
        <f t="shared" si="259"/>
        <v>1.5</v>
      </c>
      <c r="N1046" s="69">
        <f t="shared" si="260"/>
        <v>4</v>
      </c>
      <c r="O1046" s="56">
        <f>INDEX(Rate_Chart!$A$1:$AK$127,MATCH(Data!K1046,Rate_Chart!$A$1:$A$127,0),MATCH(Data!L1046,Rate_Chart!$A$1:$AK$1,0))</f>
        <v>34.751112000000006</v>
      </c>
      <c r="P1046" s="57">
        <f t="shared" si="261"/>
        <v>1737.5556000000004</v>
      </c>
      <c r="Q1046" s="58">
        <f t="shared" si="262"/>
        <v>417.01334400000002</v>
      </c>
      <c r="R1046" s="58">
        <f t="shared" si="263"/>
        <v>278.00889599999999</v>
      </c>
      <c r="S1046" s="66">
        <f t="shared" si="264"/>
        <v>30.407223000000009</v>
      </c>
      <c r="T1046" s="64">
        <f t="shared" si="265"/>
        <v>187.5</v>
      </c>
      <c r="U1046" s="66">
        <f t="shared" si="266"/>
        <v>1955.4628230000003</v>
      </c>
      <c r="V1046" s="68">
        <f t="shared" si="267"/>
        <v>39.109256460000005</v>
      </c>
      <c r="W1046" s="68">
        <f t="shared" si="268"/>
        <v>469.31107752000003</v>
      </c>
      <c r="X1046" s="68">
        <f t="shared" si="269"/>
        <v>312.87405168000004</v>
      </c>
      <c r="Z1046" s="63"/>
      <c r="AA1046" s="63"/>
    </row>
    <row r="1047" spans="1:27" hidden="1" x14ac:dyDescent="0.25">
      <c r="A1047" t="str">
        <f t="shared" si="270"/>
        <v>10620042B27/05/2026E</v>
      </c>
      <c r="B1047" t="s">
        <v>827</v>
      </c>
      <c r="C1047" t="s">
        <v>397</v>
      </c>
      <c r="D1047" t="s">
        <v>591</v>
      </c>
      <c r="E1047" t="s">
        <v>593</v>
      </c>
      <c r="F1047" t="s">
        <v>379</v>
      </c>
      <c r="G1047" s="62" t="str">
        <f t="shared" si="258"/>
        <v>64559</v>
      </c>
      <c r="H1047" s="1">
        <v>10620042</v>
      </c>
      <c r="I1047" s="1" t="s">
        <v>387</v>
      </c>
      <c r="J1047" s="61">
        <v>38</v>
      </c>
      <c r="K1047" s="61">
        <v>6.5</v>
      </c>
      <c r="L1047" s="61">
        <v>9</v>
      </c>
      <c r="M1047" s="69">
        <f t="shared" si="259"/>
        <v>2.4700000000000002</v>
      </c>
      <c r="N1047" s="69">
        <f t="shared" si="260"/>
        <v>3.42</v>
      </c>
      <c r="O1047" s="56">
        <f>INDEX(Rate_Chart!$A$1:$AK$127,MATCH(Data!K1047,Rate_Chart!$A$1:$A$127,0),MATCH(Data!L1047,Rate_Chart!$A$1:$AK$1,0))</f>
        <v>54.274999999999999</v>
      </c>
      <c r="P1047" s="57">
        <f t="shared" si="261"/>
        <v>2062.4499999999998</v>
      </c>
      <c r="Q1047" s="58">
        <f t="shared" si="262"/>
        <v>434.2</v>
      </c>
      <c r="R1047" s="58">
        <f t="shared" si="263"/>
        <v>289.46666666666664</v>
      </c>
      <c r="S1047" s="66">
        <f t="shared" si="264"/>
        <v>36.092874999999999</v>
      </c>
      <c r="T1047" s="64">
        <f t="shared" si="265"/>
        <v>142.5</v>
      </c>
      <c r="U1047" s="66">
        <f t="shared" si="266"/>
        <v>2241.0428749999996</v>
      </c>
      <c r="V1047" s="68">
        <f t="shared" si="267"/>
        <v>58.974812499999992</v>
      </c>
      <c r="W1047" s="68">
        <f t="shared" si="268"/>
        <v>471.79849999999993</v>
      </c>
      <c r="X1047" s="68">
        <f t="shared" si="269"/>
        <v>314.53233333333327</v>
      </c>
      <c r="Z1047" s="63"/>
      <c r="AA1047" s="63"/>
    </row>
    <row r="1048" spans="1:27" hidden="1" x14ac:dyDescent="0.25">
      <c r="A1048" t="str">
        <f t="shared" si="270"/>
        <v>10620042C28/05/2026E</v>
      </c>
      <c r="B1048" t="s">
        <v>827</v>
      </c>
      <c r="C1048" t="s">
        <v>397</v>
      </c>
      <c r="D1048" t="s">
        <v>591</v>
      </c>
      <c r="E1048" t="s">
        <v>593</v>
      </c>
      <c r="F1048" t="s">
        <v>379</v>
      </c>
      <c r="G1048" s="62" t="str">
        <f t="shared" si="258"/>
        <v>64559</v>
      </c>
      <c r="H1048" s="1">
        <v>10620042</v>
      </c>
      <c r="I1048" s="1" t="s">
        <v>388</v>
      </c>
      <c r="J1048" s="61">
        <v>33</v>
      </c>
      <c r="K1048" s="61">
        <v>3</v>
      </c>
      <c r="L1048" s="61">
        <v>8</v>
      </c>
      <c r="M1048" s="69">
        <f t="shared" si="259"/>
        <v>0.99</v>
      </c>
      <c r="N1048" s="69">
        <f t="shared" si="260"/>
        <v>2.64</v>
      </c>
      <c r="O1048" s="56">
        <f>INDEX(Rate_Chart!$A$1:$AK$127,MATCH(Data!K1048,Rate_Chart!$A$1:$A$127,0),MATCH(Data!L1048,Rate_Chart!$A$1:$AK$1,0))</f>
        <v>34.751112000000006</v>
      </c>
      <c r="P1048" s="57">
        <f t="shared" si="261"/>
        <v>1146.7866960000001</v>
      </c>
      <c r="Q1048" s="58">
        <f t="shared" si="262"/>
        <v>417.01334400000002</v>
      </c>
      <c r="R1048" s="58">
        <f t="shared" si="263"/>
        <v>278.00889599999999</v>
      </c>
      <c r="S1048" s="66">
        <f t="shared" si="264"/>
        <v>20.068767180000005</v>
      </c>
      <c r="T1048" s="64">
        <f t="shared" si="265"/>
        <v>123.75</v>
      </c>
      <c r="U1048" s="66">
        <f t="shared" si="266"/>
        <v>1290.6054631800002</v>
      </c>
      <c r="V1048" s="68">
        <f t="shared" si="267"/>
        <v>39.109256460000005</v>
      </c>
      <c r="W1048" s="68">
        <f t="shared" si="268"/>
        <v>469.31107752000003</v>
      </c>
      <c r="X1048" s="68">
        <f t="shared" si="269"/>
        <v>312.87405168000004</v>
      </c>
      <c r="Z1048" s="63"/>
      <c r="AA1048" s="63"/>
    </row>
    <row r="1049" spans="1:27" hidden="1" x14ac:dyDescent="0.25">
      <c r="A1049" t="str">
        <f t="shared" si="270"/>
        <v>10620042B28/05/2026M</v>
      </c>
      <c r="B1049" t="s">
        <v>828</v>
      </c>
      <c r="C1049" t="s">
        <v>396</v>
      </c>
      <c r="D1049" t="s">
        <v>591</v>
      </c>
      <c r="E1049" t="s">
        <v>593</v>
      </c>
      <c r="F1049" t="s">
        <v>379</v>
      </c>
      <c r="G1049" s="62" t="str">
        <f t="shared" si="258"/>
        <v>64559</v>
      </c>
      <c r="H1049" s="1">
        <v>10620042</v>
      </c>
      <c r="I1049" s="1" t="s">
        <v>387</v>
      </c>
      <c r="J1049" s="61">
        <v>40</v>
      </c>
      <c r="K1049" s="61">
        <v>6.4</v>
      </c>
      <c r="L1049" s="61">
        <v>8.8000000000000007</v>
      </c>
      <c r="M1049" s="69">
        <f t="shared" si="259"/>
        <v>2.56</v>
      </c>
      <c r="N1049" s="69">
        <f t="shared" si="260"/>
        <v>3.52</v>
      </c>
      <c r="O1049" s="56">
        <f>INDEX(Rate_Chart!$A$1:$AK$127,MATCH(Data!K1049,Rate_Chart!$A$1:$A$127,0),MATCH(Data!L1049,Rate_Chart!$A$1:$AK$1,0))</f>
        <v>52.9056</v>
      </c>
      <c r="P1049" s="57">
        <f t="shared" si="261"/>
        <v>2116.2240000000002</v>
      </c>
      <c r="Q1049" s="58">
        <f t="shared" si="262"/>
        <v>431.29565217391303</v>
      </c>
      <c r="R1049" s="58">
        <f t="shared" si="263"/>
        <v>287.53043478260867</v>
      </c>
      <c r="S1049" s="66">
        <f t="shared" si="264"/>
        <v>37.033920000000009</v>
      </c>
      <c r="T1049" s="64">
        <f t="shared" si="265"/>
        <v>150</v>
      </c>
      <c r="U1049" s="66">
        <f t="shared" si="266"/>
        <v>2303.25792</v>
      </c>
      <c r="V1049" s="68">
        <f t="shared" si="267"/>
        <v>57.581448000000002</v>
      </c>
      <c r="W1049" s="68">
        <f t="shared" si="268"/>
        <v>469.41397826086956</v>
      </c>
      <c r="X1049" s="68">
        <f t="shared" si="269"/>
        <v>312.94265217391302</v>
      </c>
      <c r="Z1049" s="63"/>
      <c r="AA1049" s="63"/>
    </row>
    <row r="1050" spans="1:27" hidden="1" x14ac:dyDescent="0.25">
      <c r="A1050" t="str">
        <f t="shared" si="270"/>
        <v>10620042C28/05/2026M</v>
      </c>
      <c r="B1050" t="s">
        <v>828</v>
      </c>
      <c r="C1050" t="s">
        <v>396</v>
      </c>
      <c r="D1050" t="s">
        <v>591</v>
      </c>
      <c r="E1050" t="s">
        <v>593</v>
      </c>
      <c r="F1050" t="s">
        <v>379</v>
      </c>
      <c r="G1050" s="62" t="str">
        <f t="shared" si="258"/>
        <v>64559</v>
      </c>
      <c r="H1050" s="1">
        <v>10620042</v>
      </c>
      <c r="I1050" s="1" t="s">
        <v>388</v>
      </c>
      <c r="J1050" s="61">
        <v>41</v>
      </c>
      <c r="K1050" s="61">
        <v>3</v>
      </c>
      <c r="L1050" s="61">
        <v>8</v>
      </c>
      <c r="M1050" s="69">
        <f t="shared" si="259"/>
        <v>1.23</v>
      </c>
      <c r="N1050" s="69">
        <f t="shared" si="260"/>
        <v>3.28</v>
      </c>
      <c r="O1050" s="56">
        <f>INDEX(Rate_Chart!$A$1:$AK$127,MATCH(Data!K1050,Rate_Chart!$A$1:$A$127,0),MATCH(Data!L1050,Rate_Chart!$A$1:$AK$1,0))</f>
        <v>34.751112000000006</v>
      </c>
      <c r="P1050" s="57">
        <f t="shared" si="261"/>
        <v>1424.7955920000002</v>
      </c>
      <c r="Q1050" s="58">
        <f t="shared" si="262"/>
        <v>417.01334400000002</v>
      </c>
      <c r="R1050" s="58">
        <f t="shared" si="263"/>
        <v>278.00889599999999</v>
      </c>
      <c r="S1050" s="66">
        <f t="shared" si="264"/>
        <v>24.933922860000006</v>
      </c>
      <c r="T1050" s="64">
        <f t="shared" si="265"/>
        <v>153.75</v>
      </c>
      <c r="U1050" s="66">
        <f t="shared" si="266"/>
        <v>1603.4795148600001</v>
      </c>
      <c r="V1050" s="68">
        <f t="shared" si="267"/>
        <v>39.109256460000005</v>
      </c>
      <c r="W1050" s="68">
        <f t="shared" si="268"/>
        <v>469.31107752000003</v>
      </c>
      <c r="X1050" s="68">
        <f t="shared" si="269"/>
        <v>312.87405168000004</v>
      </c>
      <c r="Z1050" s="63"/>
      <c r="AA1050" s="63"/>
    </row>
    <row r="1051" spans="1:27" hidden="1" x14ac:dyDescent="0.25">
      <c r="A1051" t="str">
        <f t="shared" si="270"/>
        <v>10620042B28/05/2026E</v>
      </c>
      <c r="B1051" t="s">
        <v>828</v>
      </c>
      <c r="C1051" t="s">
        <v>397</v>
      </c>
      <c r="D1051" t="s">
        <v>591</v>
      </c>
      <c r="E1051" t="s">
        <v>593</v>
      </c>
      <c r="F1051" t="s">
        <v>379</v>
      </c>
      <c r="G1051" s="62" t="str">
        <f t="shared" si="258"/>
        <v>64559</v>
      </c>
      <c r="H1051" s="1">
        <v>10620042</v>
      </c>
      <c r="I1051" s="1" t="s">
        <v>387</v>
      </c>
      <c r="J1051" s="61">
        <v>36</v>
      </c>
      <c r="K1051" s="61">
        <v>6.4</v>
      </c>
      <c r="L1051" s="61">
        <v>8.4</v>
      </c>
      <c r="M1051" s="69">
        <f t="shared" si="259"/>
        <v>2.3040000000000003</v>
      </c>
      <c r="N1051" s="69">
        <f t="shared" si="260"/>
        <v>3.0240000000000005</v>
      </c>
      <c r="O1051" s="56">
        <f>INDEX(Rate_Chart!$A$1:$AK$127,MATCH(Data!K1051,Rate_Chart!$A$1:$A$127,0),MATCH(Data!L1051,Rate_Chart!$A$1:$AK$1,0))</f>
        <v>51.836799999999997</v>
      </c>
      <c r="P1051" s="57">
        <f t="shared" si="261"/>
        <v>1866.1247999999998</v>
      </c>
      <c r="Q1051" s="58">
        <f t="shared" si="262"/>
        <v>431.9733333333333</v>
      </c>
      <c r="R1051" s="58">
        <f t="shared" si="263"/>
        <v>287.98222222222222</v>
      </c>
      <c r="S1051" s="66">
        <f t="shared" si="264"/>
        <v>32.657184000000001</v>
      </c>
      <c r="T1051" s="64">
        <f t="shared" si="265"/>
        <v>135</v>
      </c>
      <c r="U1051" s="66">
        <f t="shared" si="266"/>
        <v>2033.7819839999997</v>
      </c>
      <c r="V1051" s="68">
        <f t="shared" si="267"/>
        <v>56.493943999999992</v>
      </c>
      <c r="W1051" s="68">
        <f t="shared" si="268"/>
        <v>470.78286666666662</v>
      </c>
      <c r="X1051" s="68">
        <f t="shared" si="269"/>
        <v>313.85524444444439</v>
      </c>
      <c r="Z1051" s="63"/>
      <c r="AA1051" s="63"/>
    </row>
    <row r="1052" spans="1:27" hidden="1" x14ac:dyDescent="0.25">
      <c r="A1052" t="str">
        <f t="shared" si="270"/>
        <v>10620042C22/05/2026E</v>
      </c>
      <c r="B1052" t="s">
        <v>828</v>
      </c>
      <c r="C1052" t="s">
        <v>397</v>
      </c>
      <c r="D1052" t="s">
        <v>591</v>
      </c>
      <c r="E1052" t="s">
        <v>593</v>
      </c>
      <c r="F1052" t="s">
        <v>379</v>
      </c>
      <c r="G1052" s="62" t="str">
        <f t="shared" si="258"/>
        <v>64559</v>
      </c>
      <c r="H1052" s="1">
        <v>10620042</v>
      </c>
      <c r="I1052" s="1" t="s">
        <v>388</v>
      </c>
      <c r="J1052" s="61">
        <v>30</v>
      </c>
      <c r="K1052" s="61">
        <v>3</v>
      </c>
      <c r="L1052" s="61">
        <v>8</v>
      </c>
      <c r="M1052" s="69">
        <f t="shared" si="259"/>
        <v>0.9</v>
      </c>
      <c r="N1052" s="69">
        <f t="shared" si="260"/>
        <v>2.4</v>
      </c>
      <c r="O1052" s="56">
        <f>INDEX(Rate_Chart!$A$1:$AK$127,MATCH(Data!K1052,Rate_Chart!$A$1:$A$127,0),MATCH(Data!L1052,Rate_Chart!$A$1:$AK$1,0))</f>
        <v>34.751112000000006</v>
      </c>
      <c r="P1052" s="57">
        <f t="shared" si="261"/>
        <v>1042.5333600000001</v>
      </c>
      <c r="Q1052" s="58">
        <f t="shared" si="262"/>
        <v>417.01334400000002</v>
      </c>
      <c r="R1052" s="58">
        <f t="shared" si="263"/>
        <v>278.00889599999999</v>
      </c>
      <c r="S1052" s="66">
        <f t="shared" si="264"/>
        <v>18.244333800000003</v>
      </c>
      <c r="T1052" s="64">
        <f t="shared" si="265"/>
        <v>112.5</v>
      </c>
      <c r="U1052" s="66">
        <f t="shared" si="266"/>
        <v>1173.2776938000002</v>
      </c>
      <c r="V1052" s="68">
        <f t="shared" si="267"/>
        <v>39.109256460000005</v>
      </c>
      <c r="W1052" s="68">
        <f t="shared" si="268"/>
        <v>469.31107752000003</v>
      </c>
      <c r="X1052" s="68">
        <f t="shared" si="269"/>
        <v>312.87405168000004</v>
      </c>
      <c r="Z1052" s="63"/>
      <c r="AA1052" s="63"/>
    </row>
    <row r="1053" spans="1:27" hidden="1" x14ac:dyDescent="0.25">
      <c r="A1053" t="str">
        <f t="shared" si="270"/>
        <v>10620048B23/05/2026M</v>
      </c>
      <c r="B1053" t="s">
        <v>822</v>
      </c>
      <c r="C1053" t="s">
        <v>396</v>
      </c>
      <c r="D1053" t="s">
        <v>591</v>
      </c>
      <c r="E1053" t="s">
        <v>593</v>
      </c>
      <c r="F1053" t="s">
        <v>380</v>
      </c>
      <c r="G1053" s="62" t="str">
        <f t="shared" si="258"/>
        <v>64560</v>
      </c>
      <c r="H1053" s="1">
        <v>10620048</v>
      </c>
      <c r="I1053" s="1" t="s">
        <v>387</v>
      </c>
      <c r="J1053" s="61">
        <v>12</v>
      </c>
      <c r="K1053" s="61">
        <v>5.8</v>
      </c>
      <c r="L1053" s="61">
        <v>8.6</v>
      </c>
      <c r="M1053" s="69">
        <f t="shared" si="259"/>
        <v>0.69599999999999995</v>
      </c>
      <c r="N1053" s="69">
        <f t="shared" si="260"/>
        <v>1.0319999999999998</v>
      </c>
      <c r="O1053" s="56">
        <v>47.461399999999998</v>
      </c>
      <c r="P1053" s="57">
        <f t="shared" si="261"/>
        <v>569.53679999999997</v>
      </c>
      <c r="Q1053" s="58">
        <f t="shared" si="262"/>
        <v>411.51502890173413</v>
      </c>
      <c r="R1053" s="58">
        <f t="shared" si="263"/>
        <v>274.34335260115608</v>
      </c>
      <c r="S1053" s="66">
        <f t="shared" si="264"/>
        <v>9.9668939999999999</v>
      </c>
      <c r="T1053" s="64">
        <f t="shared" si="265"/>
        <v>45</v>
      </c>
      <c r="U1053" s="66">
        <f t="shared" si="266"/>
        <v>624.503694</v>
      </c>
      <c r="V1053" s="68">
        <f t="shared" si="267"/>
        <v>52.041974500000002</v>
      </c>
      <c r="W1053" s="68">
        <f t="shared" si="268"/>
        <v>451.23099277456657</v>
      </c>
      <c r="X1053" s="68">
        <f t="shared" si="269"/>
        <v>300.82066184971103</v>
      </c>
      <c r="Z1053" s="63"/>
      <c r="AA1053" s="63"/>
    </row>
    <row r="1054" spans="1:27" hidden="1" x14ac:dyDescent="0.25">
      <c r="A1054" t="str">
        <f t="shared" si="270"/>
        <v>10620048B24/05/2026M</v>
      </c>
      <c r="B1054" t="s">
        <v>823</v>
      </c>
      <c r="C1054" t="s">
        <v>396</v>
      </c>
      <c r="D1054" t="s">
        <v>591</v>
      </c>
      <c r="E1054" t="s">
        <v>593</v>
      </c>
      <c r="F1054" t="s">
        <v>380</v>
      </c>
      <c r="G1054" s="62" t="str">
        <f t="shared" si="258"/>
        <v>64560</v>
      </c>
      <c r="H1054" s="1">
        <v>10620048</v>
      </c>
      <c r="I1054" s="1" t="s">
        <v>387</v>
      </c>
      <c r="J1054" s="61">
        <v>9</v>
      </c>
      <c r="K1054" s="61">
        <v>5.8</v>
      </c>
      <c r="L1054" s="61">
        <v>8.4</v>
      </c>
      <c r="M1054" s="69">
        <f t="shared" si="259"/>
        <v>0.52199999999999991</v>
      </c>
      <c r="N1054" s="69">
        <f t="shared" si="260"/>
        <v>0.75600000000000012</v>
      </c>
      <c r="O1054" s="56">
        <v>46.9771</v>
      </c>
      <c r="P1054" s="57">
        <f t="shared" si="261"/>
        <v>422.79390000000001</v>
      </c>
      <c r="Q1054" s="58">
        <f t="shared" si="262"/>
        <v>412.07982456140354</v>
      </c>
      <c r="R1054" s="58">
        <f t="shared" si="263"/>
        <v>274.71988304093571</v>
      </c>
      <c r="S1054" s="66">
        <f t="shared" si="264"/>
        <v>7.3988932500000004</v>
      </c>
      <c r="T1054" s="64">
        <f t="shared" si="265"/>
        <v>33.75</v>
      </c>
      <c r="U1054" s="66">
        <f t="shared" si="266"/>
        <v>463.94279325000002</v>
      </c>
      <c r="V1054" s="68">
        <f t="shared" si="267"/>
        <v>51.549199250000001</v>
      </c>
      <c r="W1054" s="68">
        <f t="shared" si="268"/>
        <v>452.18595833333336</v>
      </c>
      <c r="X1054" s="68">
        <f t="shared" si="269"/>
        <v>301.45730555555559</v>
      </c>
      <c r="Z1054" s="63"/>
      <c r="AA1054" s="63"/>
    </row>
    <row r="1055" spans="1:27" hidden="1" x14ac:dyDescent="0.25">
      <c r="A1055" t="str">
        <f t="shared" si="270"/>
        <v>10620048C25/05/2026M</v>
      </c>
      <c r="B1055" t="s">
        <v>824</v>
      </c>
      <c r="C1055" t="s">
        <v>396</v>
      </c>
      <c r="D1055" t="s">
        <v>591</v>
      </c>
      <c r="E1055" t="s">
        <v>593</v>
      </c>
      <c r="F1055" t="s">
        <v>380</v>
      </c>
      <c r="G1055" s="62" t="str">
        <f t="shared" si="258"/>
        <v>64560</v>
      </c>
      <c r="H1055" s="1">
        <v>10620048</v>
      </c>
      <c r="I1055" s="1" t="s">
        <v>388</v>
      </c>
      <c r="J1055" s="61">
        <v>11</v>
      </c>
      <c r="K1055" s="61">
        <v>4.5</v>
      </c>
      <c r="L1055" s="61">
        <v>8.1999999999999993</v>
      </c>
      <c r="M1055" s="69">
        <f t="shared" si="259"/>
        <v>0.495</v>
      </c>
      <c r="N1055" s="69">
        <f t="shared" si="260"/>
        <v>0.90199999999999991</v>
      </c>
      <c r="O1055" s="56">
        <v>39.469082400000005</v>
      </c>
      <c r="P1055" s="57">
        <f t="shared" si="261"/>
        <v>434.15990640000007</v>
      </c>
      <c r="Q1055" s="58">
        <f t="shared" si="262"/>
        <v>396.01086020066901</v>
      </c>
      <c r="R1055" s="58">
        <f t="shared" si="263"/>
        <v>264.00724013377936</v>
      </c>
      <c r="S1055" s="66">
        <f t="shared" si="264"/>
        <v>7.5977983620000016</v>
      </c>
      <c r="T1055" s="64">
        <f t="shared" si="265"/>
        <v>41.25</v>
      </c>
      <c r="U1055" s="66">
        <f t="shared" si="266"/>
        <v>483.00770476200006</v>
      </c>
      <c r="V1055" s="68">
        <f t="shared" si="267"/>
        <v>43.909791342000005</v>
      </c>
      <c r="W1055" s="68">
        <f t="shared" si="268"/>
        <v>440.56646831438138</v>
      </c>
      <c r="X1055" s="68">
        <f t="shared" si="269"/>
        <v>293.71097887625427</v>
      </c>
      <c r="Z1055" s="63"/>
      <c r="AA1055" s="63"/>
    </row>
    <row r="1056" spans="1:27" hidden="1" x14ac:dyDescent="0.25">
      <c r="A1056" t="str">
        <f t="shared" si="270"/>
        <v>10620048B26/05/2026M</v>
      </c>
      <c r="B1056" t="s">
        <v>825</v>
      </c>
      <c r="C1056" t="s">
        <v>396</v>
      </c>
      <c r="D1056" t="s">
        <v>591</v>
      </c>
      <c r="E1056" t="s">
        <v>593</v>
      </c>
      <c r="F1056" t="s">
        <v>380</v>
      </c>
      <c r="G1056" s="62" t="str">
        <f t="shared" si="258"/>
        <v>64560</v>
      </c>
      <c r="H1056" s="1">
        <v>10620048</v>
      </c>
      <c r="I1056" s="1" t="s">
        <v>387</v>
      </c>
      <c r="J1056" s="61">
        <v>11</v>
      </c>
      <c r="K1056" s="61">
        <v>5.6</v>
      </c>
      <c r="L1056" s="61">
        <v>8.4</v>
      </c>
      <c r="M1056" s="69">
        <f t="shared" si="259"/>
        <v>0.61599999999999999</v>
      </c>
      <c r="N1056" s="69">
        <f t="shared" si="260"/>
        <v>0.92400000000000004</v>
      </c>
      <c r="O1056" s="56">
        <v>45.357199999999999</v>
      </c>
      <c r="P1056" s="57">
        <f t="shared" si="261"/>
        <v>498.92919999999998</v>
      </c>
      <c r="Q1056" s="58">
        <f t="shared" si="262"/>
        <v>404.97500000000002</v>
      </c>
      <c r="R1056" s="58">
        <f t="shared" si="263"/>
        <v>269.98333333333335</v>
      </c>
      <c r="S1056" s="66">
        <f t="shared" si="264"/>
        <v>8.7312609999999999</v>
      </c>
      <c r="T1056" s="64">
        <f t="shared" si="265"/>
        <v>41.25</v>
      </c>
      <c r="U1056" s="66">
        <f t="shared" si="266"/>
        <v>548.91046099999994</v>
      </c>
      <c r="V1056" s="68">
        <f t="shared" si="267"/>
        <v>49.900950999999992</v>
      </c>
      <c r="W1056" s="68">
        <f t="shared" si="268"/>
        <v>445.54420535714286</v>
      </c>
      <c r="X1056" s="68">
        <f t="shared" si="269"/>
        <v>297.02947023809526</v>
      </c>
      <c r="Z1056" s="63"/>
      <c r="AA1056" s="63"/>
    </row>
    <row r="1057" spans="1:27" hidden="1" x14ac:dyDescent="0.25">
      <c r="A1057" t="str">
        <f t="shared" si="270"/>
        <v>10620048B27/05/2026M</v>
      </c>
      <c r="B1057" t="s">
        <v>826</v>
      </c>
      <c r="C1057" t="s">
        <v>396</v>
      </c>
      <c r="D1057" t="s">
        <v>591</v>
      </c>
      <c r="E1057" t="s">
        <v>593</v>
      </c>
      <c r="F1057" t="s">
        <v>380</v>
      </c>
      <c r="G1057" s="62" t="str">
        <f t="shared" si="258"/>
        <v>64560</v>
      </c>
      <c r="H1057" s="1">
        <v>10620048</v>
      </c>
      <c r="I1057" s="1" t="s">
        <v>387</v>
      </c>
      <c r="J1057" s="61">
        <v>12</v>
      </c>
      <c r="K1057" s="61">
        <v>5.6</v>
      </c>
      <c r="L1057" s="61">
        <v>8.4</v>
      </c>
      <c r="M1057" s="69">
        <f t="shared" si="259"/>
        <v>0.67199999999999993</v>
      </c>
      <c r="N1057" s="69">
        <f t="shared" si="260"/>
        <v>1.008</v>
      </c>
      <c r="O1057" s="56">
        <f>INDEX(Rate_Chart!$A$1:$AK$127,MATCH(Data!K1057,Rate_Chart!$A$1:$A$127,0),MATCH(Data!L1057,Rate_Chart!$A$1:$AK$1,0))</f>
        <v>45.357199999999999</v>
      </c>
      <c r="P1057" s="57">
        <f t="shared" si="261"/>
        <v>544.28639999999996</v>
      </c>
      <c r="Q1057" s="58">
        <f t="shared" si="262"/>
        <v>404.97500000000002</v>
      </c>
      <c r="R1057" s="58">
        <f t="shared" si="263"/>
        <v>269.98333333333335</v>
      </c>
      <c r="S1057" s="66">
        <f t="shared" si="264"/>
        <v>9.5250120000000003</v>
      </c>
      <c r="T1057" s="64">
        <f t="shared" si="265"/>
        <v>45</v>
      </c>
      <c r="U1057" s="66">
        <f t="shared" si="266"/>
        <v>598.81141200000002</v>
      </c>
      <c r="V1057" s="68">
        <f t="shared" si="267"/>
        <v>49.900950999999999</v>
      </c>
      <c r="W1057" s="68">
        <f t="shared" si="268"/>
        <v>445.54420535714291</v>
      </c>
      <c r="X1057" s="68">
        <f t="shared" si="269"/>
        <v>297.02947023809526</v>
      </c>
      <c r="Z1057" s="63"/>
      <c r="AA1057" s="63"/>
    </row>
    <row r="1058" spans="1:27" hidden="1" x14ac:dyDescent="0.25">
      <c r="A1058" t="str">
        <f t="shared" si="270"/>
        <v>10620048B28/05/2026M</v>
      </c>
      <c r="B1058" t="s">
        <v>827</v>
      </c>
      <c r="C1058" t="s">
        <v>396</v>
      </c>
      <c r="D1058" t="s">
        <v>591</v>
      </c>
      <c r="E1058" t="s">
        <v>593</v>
      </c>
      <c r="F1058" t="s">
        <v>380</v>
      </c>
      <c r="G1058" s="62" t="str">
        <f t="shared" si="258"/>
        <v>64560</v>
      </c>
      <c r="H1058" s="1">
        <v>10620048</v>
      </c>
      <c r="I1058" s="1" t="s">
        <v>387</v>
      </c>
      <c r="J1058" s="61">
        <v>12</v>
      </c>
      <c r="K1058" s="61">
        <v>5.5</v>
      </c>
      <c r="L1058" s="61">
        <v>8.5</v>
      </c>
      <c r="M1058" s="69">
        <f t="shared" si="259"/>
        <v>0.66</v>
      </c>
      <c r="N1058" s="69">
        <f t="shared" si="260"/>
        <v>1.02</v>
      </c>
      <c r="O1058" s="56">
        <f>INDEX(Rate_Chart!$A$1:$AK$127,MATCH(Data!K1058,Rate_Chart!$A$1:$A$127,0),MATCH(Data!L1058,Rate_Chart!$A$1:$AK$1,0))</f>
        <v>46.566181499999999</v>
      </c>
      <c r="P1058" s="57">
        <f t="shared" si="261"/>
        <v>558.79417799999999</v>
      </c>
      <c r="Q1058" s="58">
        <f t="shared" si="262"/>
        <v>417.01058059701495</v>
      </c>
      <c r="R1058" s="58">
        <f t="shared" si="263"/>
        <v>278.00705373134332</v>
      </c>
      <c r="S1058" s="66">
        <f t="shared" si="264"/>
        <v>9.7788981150000005</v>
      </c>
      <c r="T1058" s="64">
        <f t="shared" si="265"/>
        <v>45</v>
      </c>
      <c r="U1058" s="66">
        <f t="shared" si="266"/>
        <v>613.57307611500005</v>
      </c>
      <c r="V1058" s="68">
        <f t="shared" si="267"/>
        <v>51.131089676250006</v>
      </c>
      <c r="W1058" s="68">
        <f t="shared" si="268"/>
        <v>457.89035530970153</v>
      </c>
      <c r="X1058" s="68">
        <f t="shared" si="269"/>
        <v>305.26023687313437</v>
      </c>
      <c r="Z1058" s="63"/>
      <c r="AA1058" s="63"/>
    </row>
    <row r="1059" spans="1:27" hidden="1" x14ac:dyDescent="0.25">
      <c r="A1059" t="str">
        <f t="shared" si="270"/>
        <v>10620048C22/05/2026M</v>
      </c>
      <c r="B1059" t="s">
        <v>828</v>
      </c>
      <c r="C1059" t="s">
        <v>396</v>
      </c>
      <c r="D1059" t="s">
        <v>591</v>
      </c>
      <c r="E1059" t="s">
        <v>593</v>
      </c>
      <c r="F1059" t="s">
        <v>380</v>
      </c>
      <c r="G1059" s="62" t="str">
        <f t="shared" si="258"/>
        <v>64560</v>
      </c>
      <c r="H1059" s="1">
        <v>10620048</v>
      </c>
      <c r="I1059" s="1" t="s">
        <v>388</v>
      </c>
      <c r="J1059" s="61">
        <v>12</v>
      </c>
      <c r="K1059" s="61">
        <v>4.8</v>
      </c>
      <c r="L1059" s="61">
        <v>8.5</v>
      </c>
      <c r="M1059" s="69">
        <f t="shared" si="259"/>
        <v>0.57599999999999996</v>
      </c>
      <c r="N1059" s="69">
        <f t="shared" si="260"/>
        <v>1.02</v>
      </c>
      <c r="O1059" s="56">
        <f>INDEX(Rate_Chart!$A$1:$AK$127,MATCH(Data!K1059,Rate_Chart!$A$1:$A$127,0),MATCH(Data!L1059,Rate_Chart!$A$1:$AK$1,0))</f>
        <v>43.647181500000002</v>
      </c>
      <c r="P1059" s="57">
        <f t="shared" si="261"/>
        <v>523.76617800000008</v>
      </c>
      <c r="Q1059" s="58">
        <f t="shared" si="262"/>
        <v>417.0112882165605</v>
      </c>
      <c r="R1059" s="58">
        <f t="shared" si="263"/>
        <v>278.00752547770702</v>
      </c>
      <c r="S1059" s="66">
        <f t="shared" si="264"/>
        <v>9.1659081150000024</v>
      </c>
      <c r="T1059" s="64">
        <f t="shared" si="265"/>
        <v>45</v>
      </c>
      <c r="U1059" s="66">
        <f t="shared" si="266"/>
        <v>577.93208611500006</v>
      </c>
      <c r="V1059" s="68">
        <f t="shared" si="267"/>
        <v>48.161007176250003</v>
      </c>
      <c r="W1059" s="68">
        <f t="shared" si="268"/>
        <v>460.13701123805731</v>
      </c>
      <c r="X1059" s="68">
        <f t="shared" si="269"/>
        <v>306.75800749203819</v>
      </c>
      <c r="Z1059" s="63"/>
      <c r="AA1059" s="63"/>
    </row>
    <row r="1060" spans="1:27" hidden="1" x14ac:dyDescent="0.25">
      <c r="A1060" t="str">
        <f t="shared" si="270"/>
        <v>10620054B22/05/2026M</v>
      </c>
      <c r="B1060" t="s">
        <v>822</v>
      </c>
      <c r="C1060" t="s">
        <v>396</v>
      </c>
      <c r="D1060" t="s">
        <v>591</v>
      </c>
      <c r="E1060" t="s">
        <v>594</v>
      </c>
      <c r="F1060" t="s">
        <v>381</v>
      </c>
      <c r="G1060" s="62" t="str">
        <f t="shared" si="258"/>
        <v>64562</v>
      </c>
      <c r="H1060" s="1">
        <v>10620054</v>
      </c>
      <c r="I1060" s="1" t="s">
        <v>387</v>
      </c>
      <c r="J1060" s="61">
        <v>28</v>
      </c>
      <c r="K1060" s="61">
        <v>7.4</v>
      </c>
      <c r="L1060" s="61">
        <v>8.8000000000000007</v>
      </c>
      <c r="M1060" s="69">
        <f t="shared" si="259"/>
        <v>2.0720000000000001</v>
      </c>
      <c r="N1060" s="69">
        <f t="shared" si="260"/>
        <v>2.4640000000000004</v>
      </c>
      <c r="O1060" s="56">
        <v>61.172100000000007</v>
      </c>
      <c r="P1060" s="57">
        <f t="shared" si="261"/>
        <v>1712.8188000000002</v>
      </c>
      <c r="Q1060" s="58">
        <f t="shared" si="262"/>
        <v>461.09623115577887</v>
      </c>
      <c r="R1060" s="58">
        <f t="shared" si="263"/>
        <v>307.39748743718593</v>
      </c>
      <c r="S1060" s="66">
        <f t="shared" si="264"/>
        <v>29.974329000000008</v>
      </c>
      <c r="T1060" s="64">
        <f t="shared" si="265"/>
        <v>105</v>
      </c>
      <c r="U1060" s="66">
        <f t="shared" si="266"/>
        <v>1847.7931290000001</v>
      </c>
      <c r="V1060" s="68">
        <f t="shared" si="267"/>
        <v>65.992611750000009</v>
      </c>
      <c r="W1060" s="68">
        <f t="shared" si="268"/>
        <v>497.43174685929648</v>
      </c>
      <c r="X1060" s="68">
        <f t="shared" si="269"/>
        <v>331.6211645728643</v>
      </c>
      <c r="Z1060" s="63"/>
      <c r="AA1060" s="63"/>
    </row>
    <row r="1061" spans="1:27" hidden="1" x14ac:dyDescent="0.25">
      <c r="A1061" t="str">
        <f t="shared" si="270"/>
        <v>10620054C22/05/2026M</v>
      </c>
      <c r="B1061" t="s">
        <v>822</v>
      </c>
      <c r="C1061" t="s">
        <v>396</v>
      </c>
      <c r="D1061" t="s">
        <v>591</v>
      </c>
      <c r="E1061" t="s">
        <v>594</v>
      </c>
      <c r="F1061" t="s">
        <v>381</v>
      </c>
      <c r="G1061" s="62" t="str">
        <f t="shared" si="258"/>
        <v>64562</v>
      </c>
      <c r="H1061" s="1">
        <v>10620054</v>
      </c>
      <c r="I1061" s="1" t="s">
        <v>388</v>
      </c>
      <c r="J1061" s="61">
        <v>41</v>
      </c>
      <c r="K1061" s="61">
        <v>3.7</v>
      </c>
      <c r="L1061" s="61">
        <v>8</v>
      </c>
      <c r="M1061" s="69">
        <f t="shared" si="259"/>
        <v>1.5170000000000001</v>
      </c>
      <c r="N1061" s="69">
        <f t="shared" si="260"/>
        <v>3.28</v>
      </c>
      <c r="O1061" s="56">
        <v>35.773056000000004</v>
      </c>
      <c r="P1061" s="57">
        <f t="shared" si="261"/>
        <v>1466.6952960000001</v>
      </c>
      <c r="Q1061" s="58">
        <f t="shared" si="262"/>
        <v>396.01169003690035</v>
      </c>
      <c r="R1061" s="58">
        <f t="shared" si="263"/>
        <v>264.00779335793356</v>
      </c>
      <c r="S1061" s="66">
        <f t="shared" si="264"/>
        <v>25.667167680000006</v>
      </c>
      <c r="T1061" s="64">
        <f t="shared" si="265"/>
        <v>153.75</v>
      </c>
      <c r="U1061" s="66">
        <f t="shared" si="266"/>
        <v>1646.11246368</v>
      </c>
      <c r="V1061" s="68">
        <f t="shared" si="267"/>
        <v>40.149084479999999</v>
      </c>
      <c r="W1061" s="68">
        <f t="shared" si="268"/>
        <v>444.45480974169732</v>
      </c>
      <c r="X1061" s="68">
        <f t="shared" si="269"/>
        <v>296.30320649446486</v>
      </c>
      <c r="Z1061" s="63"/>
      <c r="AA1061" s="63"/>
    </row>
    <row r="1062" spans="1:27" hidden="1" x14ac:dyDescent="0.25">
      <c r="A1062" t="str">
        <f t="shared" si="270"/>
        <v>10620054B22/05/2026E</v>
      </c>
      <c r="B1062" t="s">
        <v>822</v>
      </c>
      <c r="C1062" t="s">
        <v>397</v>
      </c>
      <c r="D1062" t="s">
        <v>591</v>
      </c>
      <c r="E1062" t="s">
        <v>594</v>
      </c>
      <c r="F1062" t="s">
        <v>381</v>
      </c>
      <c r="G1062" s="62" t="str">
        <f t="shared" si="258"/>
        <v>64562</v>
      </c>
      <c r="H1062" s="1">
        <v>10620054</v>
      </c>
      <c r="I1062" s="1" t="s">
        <v>387</v>
      </c>
      <c r="J1062" s="61">
        <v>21</v>
      </c>
      <c r="K1062" s="61">
        <v>6.8</v>
      </c>
      <c r="L1062" s="61">
        <v>8.8000000000000007</v>
      </c>
      <c r="M1062" s="69">
        <f t="shared" si="259"/>
        <v>1.4279999999999999</v>
      </c>
      <c r="N1062" s="69">
        <f t="shared" si="260"/>
        <v>1.8480000000000001</v>
      </c>
      <c r="O1062" s="56">
        <v>56.212200000000003</v>
      </c>
      <c r="P1062" s="57">
        <f t="shared" si="261"/>
        <v>1180.4562000000001</v>
      </c>
      <c r="Q1062" s="58">
        <f t="shared" si="262"/>
        <v>443.78052631578947</v>
      </c>
      <c r="R1062" s="58">
        <f t="shared" si="263"/>
        <v>295.8536842105263</v>
      </c>
      <c r="S1062" s="66">
        <f t="shared" si="264"/>
        <v>20.657983500000004</v>
      </c>
      <c r="T1062" s="64">
        <f t="shared" si="265"/>
        <v>78.75</v>
      </c>
      <c r="U1062" s="66">
        <f t="shared" si="266"/>
        <v>1279.8641835000001</v>
      </c>
      <c r="V1062" s="68">
        <f t="shared" si="267"/>
        <v>60.945913500000003</v>
      </c>
      <c r="W1062" s="68">
        <f t="shared" si="268"/>
        <v>481.15194868421054</v>
      </c>
      <c r="X1062" s="68">
        <f t="shared" si="269"/>
        <v>320.76796578947369</v>
      </c>
      <c r="Z1062" s="63"/>
      <c r="AA1062" s="63"/>
    </row>
    <row r="1063" spans="1:27" hidden="1" x14ac:dyDescent="0.25">
      <c r="A1063" t="str">
        <f t="shared" si="270"/>
        <v>10620054C23/05/2026E</v>
      </c>
      <c r="B1063" t="s">
        <v>822</v>
      </c>
      <c r="C1063" t="s">
        <v>397</v>
      </c>
      <c r="D1063" t="s">
        <v>591</v>
      </c>
      <c r="E1063" t="s">
        <v>594</v>
      </c>
      <c r="F1063" t="s">
        <v>381</v>
      </c>
      <c r="G1063" s="62" t="str">
        <f t="shared" si="258"/>
        <v>64562</v>
      </c>
      <c r="H1063" s="1">
        <v>10620054</v>
      </c>
      <c r="I1063" s="1" t="s">
        <v>388</v>
      </c>
      <c r="J1063" s="61">
        <v>27</v>
      </c>
      <c r="K1063" s="61">
        <v>3.4</v>
      </c>
      <c r="L1063" s="61">
        <v>8</v>
      </c>
      <c r="M1063" s="69">
        <f t="shared" si="259"/>
        <v>0.91799999999999993</v>
      </c>
      <c r="N1063" s="69">
        <f t="shared" si="260"/>
        <v>2.16</v>
      </c>
      <c r="O1063" s="56">
        <v>34.585056000000002</v>
      </c>
      <c r="P1063" s="57">
        <f t="shared" si="261"/>
        <v>933.79651200000001</v>
      </c>
      <c r="Q1063" s="58">
        <f t="shared" si="262"/>
        <v>396.01209160305342</v>
      </c>
      <c r="R1063" s="58">
        <f t="shared" si="263"/>
        <v>264.00806106870226</v>
      </c>
      <c r="S1063" s="66">
        <f t="shared" si="264"/>
        <v>16.341438960000001</v>
      </c>
      <c r="T1063" s="64">
        <f t="shared" si="265"/>
        <v>101.25</v>
      </c>
      <c r="U1063" s="66">
        <f t="shared" si="266"/>
        <v>1051.3879509600001</v>
      </c>
      <c r="V1063" s="68">
        <f t="shared" si="267"/>
        <v>38.940294480000006</v>
      </c>
      <c r="W1063" s="68">
        <f t="shared" si="268"/>
        <v>445.88123450381681</v>
      </c>
      <c r="X1063" s="68">
        <f t="shared" si="269"/>
        <v>297.25415633587789</v>
      </c>
      <c r="Z1063" s="63"/>
      <c r="AA1063" s="63"/>
    </row>
    <row r="1064" spans="1:27" hidden="1" x14ac:dyDescent="0.25">
      <c r="A1064" t="str">
        <f t="shared" si="270"/>
        <v>10620054B23/05/2026M</v>
      </c>
      <c r="B1064" t="s">
        <v>823</v>
      </c>
      <c r="C1064" t="s">
        <v>396</v>
      </c>
      <c r="D1064" t="s">
        <v>591</v>
      </c>
      <c r="E1064" t="s">
        <v>594</v>
      </c>
      <c r="F1064" t="s">
        <v>381</v>
      </c>
      <c r="G1064" s="62" t="str">
        <f t="shared" si="258"/>
        <v>64562</v>
      </c>
      <c r="H1064" s="1">
        <v>10620054</v>
      </c>
      <c r="I1064" s="1" t="s">
        <v>387</v>
      </c>
      <c r="J1064" s="61">
        <v>21</v>
      </c>
      <c r="K1064" s="61">
        <v>6.3</v>
      </c>
      <c r="L1064" s="61">
        <v>8.8000000000000007</v>
      </c>
      <c r="M1064" s="69">
        <f t="shared" si="259"/>
        <v>1.3229999999999997</v>
      </c>
      <c r="N1064" s="69">
        <f t="shared" si="260"/>
        <v>1.8480000000000001</v>
      </c>
      <c r="O1064" s="56">
        <v>52.078949999999999</v>
      </c>
      <c r="P1064" s="57">
        <f t="shared" si="261"/>
        <v>1093.65795</v>
      </c>
      <c r="Q1064" s="58">
        <f t="shared" si="262"/>
        <v>428.04616438356163</v>
      </c>
      <c r="R1064" s="58">
        <f t="shared" si="263"/>
        <v>285.36410958904111</v>
      </c>
      <c r="S1064" s="66">
        <f t="shared" si="264"/>
        <v>19.139014125000003</v>
      </c>
      <c r="T1064" s="64">
        <f t="shared" si="265"/>
        <v>78.75</v>
      </c>
      <c r="U1064" s="66">
        <f t="shared" si="266"/>
        <v>1191.5469641249999</v>
      </c>
      <c r="V1064" s="68">
        <f t="shared" si="267"/>
        <v>56.740331624999996</v>
      </c>
      <c r="W1064" s="68">
        <f t="shared" si="268"/>
        <v>466.35889006849311</v>
      </c>
      <c r="X1064" s="68">
        <f t="shared" si="269"/>
        <v>310.90592671232872</v>
      </c>
      <c r="Z1064" s="63"/>
      <c r="AA1064" s="63"/>
    </row>
    <row r="1065" spans="1:27" hidden="1" x14ac:dyDescent="0.25">
      <c r="A1065" t="str">
        <f t="shared" si="270"/>
        <v>10620054C23/05/2026M</v>
      </c>
      <c r="B1065" t="s">
        <v>823</v>
      </c>
      <c r="C1065" t="s">
        <v>396</v>
      </c>
      <c r="D1065" t="s">
        <v>591</v>
      </c>
      <c r="E1065" t="s">
        <v>594</v>
      </c>
      <c r="F1065" t="s">
        <v>381</v>
      </c>
      <c r="G1065" s="62" t="str">
        <f t="shared" si="258"/>
        <v>64562</v>
      </c>
      <c r="H1065" s="1">
        <v>10620054</v>
      </c>
      <c r="I1065" s="1" t="s">
        <v>388</v>
      </c>
      <c r="J1065" s="61">
        <v>41</v>
      </c>
      <c r="K1065" s="61">
        <v>3.3</v>
      </c>
      <c r="L1065" s="61">
        <v>8</v>
      </c>
      <c r="M1065" s="69">
        <f t="shared" si="259"/>
        <v>1.3529999999999998</v>
      </c>
      <c r="N1065" s="69">
        <f t="shared" si="260"/>
        <v>3.28</v>
      </c>
      <c r="O1065" s="56">
        <v>34.189056000000008</v>
      </c>
      <c r="P1065" s="57">
        <f t="shared" si="261"/>
        <v>1401.7512960000004</v>
      </c>
      <c r="Q1065" s="58">
        <f t="shared" si="262"/>
        <v>396.01223166023169</v>
      </c>
      <c r="R1065" s="58">
        <f t="shared" si="263"/>
        <v>264.00815444015444</v>
      </c>
      <c r="S1065" s="66">
        <f t="shared" si="264"/>
        <v>24.530647680000008</v>
      </c>
      <c r="T1065" s="64">
        <f t="shared" si="265"/>
        <v>153.75</v>
      </c>
      <c r="U1065" s="66">
        <f t="shared" si="266"/>
        <v>1580.0319436800005</v>
      </c>
      <c r="V1065" s="68">
        <f t="shared" si="267"/>
        <v>38.537364480000015</v>
      </c>
      <c r="W1065" s="68">
        <f t="shared" si="268"/>
        <v>446.37873915057924</v>
      </c>
      <c r="X1065" s="68">
        <f t="shared" si="269"/>
        <v>297.58582610038616</v>
      </c>
      <c r="Z1065" s="63"/>
      <c r="AA1065" s="63"/>
    </row>
    <row r="1066" spans="1:27" hidden="1" x14ac:dyDescent="0.25">
      <c r="A1066" t="str">
        <f t="shared" si="270"/>
        <v>10620054B23/05/2026E</v>
      </c>
      <c r="B1066" t="s">
        <v>823</v>
      </c>
      <c r="C1066" t="s">
        <v>397</v>
      </c>
      <c r="D1066" t="s">
        <v>591</v>
      </c>
      <c r="E1066" t="s">
        <v>594</v>
      </c>
      <c r="F1066" t="s">
        <v>381</v>
      </c>
      <c r="G1066" s="62" t="str">
        <f t="shared" si="258"/>
        <v>64562</v>
      </c>
      <c r="H1066" s="1">
        <v>10620054</v>
      </c>
      <c r="I1066" s="1" t="s">
        <v>387</v>
      </c>
      <c r="J1066" s="61">
        <v>22</v>
      </c>
      <c r="K1066" s="61">
        <v>7.4</v>
      </c>
      <c r="L1066" s="61">
        <v>8.8000000000000007</v>
      </c>
      <c r="M1066" s="69">
        <f t="shared" si="259"/>
        <v>1.6280000000000001</v>
      </c>
      <c r="N1066" s="69">
        <f t="shared" si="260"/>
        <v>1.9360000000000002</v>
      </c>
      <c r="O1066" s="56">
        <v>61.172100000000007</v>
      </c>
      <c r="P1066" s="57">
        <f t="shared" si="261"/>
        <v>1345.7862000000002</v>
      </c>
      <c r="Q1066" s="58">
        <f t="shared" si="262"/>
        <v>461.09623115577887</v>
      </c>
      <c r="R1066" s="58">
        <f t="shared" si="263"/>
        <v>307.39748743718593</v>
      </c>
      <c r="S1066" s="66">
        <f t="shared" si="264"/>
        <v>23.551258500000007</v>
      </c>
      <c r="T1066" s="64">
        <f t="shared" si="265"/>
        <v>82.5</v>
      </c>
      <c r="U1066" s="66">
        <f t="shared" si="266"/>
        <v>1451.8374585000001</v>
      </c>
      <c r="V1066" s="68">
        <f t="shared" si="267"/>
        <v>65.992611750000009</v>
      </c>
      <c r="W1066" s="68">
        <f t="shared" si="268"/>
        <v>497.43174685929648</v>
      </c>
      <c r="X1066" s="68">
        <f t="shared" si="269"/>
        <v>331.6211645728643</v>
      </c>
      <c r="Z1066" s="63"/>
      <c r="AA1066" s="63"/>
    </row>
    <row r="1067" spans="1:27" hidden="1" x14ac:dyDescent="0.25">
      <c r="A1067" t="str">
        <f t="shared" si="270"/>
        <v>10620054C24/05/2026E</v>
      </c>
      <c r="B1067" t="s">
        <v>823</v>
      </c>
      <c r="C1067" t="s">
        <v>397</v>
      </c>
      <c r="D1067" t="s">
        <v>591</v>
      </c>
      <c r="E1067" t="s">
        <v>594</v>
      </c>
      <c r="F1067" t="s">
        <v>381</v>
      </c>
      <c r="G1067" s="62" t="str">
        <f t="shared" si="258"/>
        <v>64562</v>
      </c>
      <c r="H1067" s="1">
        <v>10620054</v>
      </c>
      <c r="I1067" s="1" t="s">
        <v>388</v>
      </c>
      <c r="J1067" s="61">
        <v>38</v>
      </c>
      <c r="K1067" s="61">
        <v>3.3</v>
      </c>
      <c r="L1067" s="61">
        <v>8</v>
      </c>
      <c r="M1067" s="69">
        <f t="shared" si="259"/>
        <v>1.254</v>
      </c>
      <c r="N1067" s="69">
        <f t="shared" si="260"/>
        <v>3.04</v>
      </c>
      <c r="O1067" s="56">
        <v>34.189056000000008</v>
      </c>
      <c r="P1067" s="57">
        <f t="shared" si="261"/>
        <v>1299.1841280000003</v>
      </c>
      <c r="Q1067" s="58">
        <f t="shared" si="262"/>
        <v>396.01223166023169</v>
      </c>
      <c r="R1067" s="58">
        <f t="shared" si="263"/>
        <v>264.00815444015444</v>
      </c>
      <c r="S1067" s="66">
        <f t="shared" si="264"/>
        <v>22.735722240000008</v>
      </c>
      <c r="T1067" s="64">
        <f t="shared" si="265"/>
        <v>142.5</v>
      </c>
      <c r="U1067" s="66">
        <f t="shared" si="266"/>
        <v>1464.4198502400004</v>
      </c>
      <c r="V1067" s="68">
        <f t="shared" si="267"/>
        <v>38.537364480000008</v>
      </c>
      <c r="W1067" s="68">
        <f t="shared" si="268"/>
        <v>446.37873915057918</v>
      </c>
      <c r="X1067" s="68">
        <f t="shared" si="269"/>
        <v>297.5858261003861</v>
      </c>
      <c r="Z1067" s="63"/>
      <c r="AA1067" s="63"/>
    </row>
    <row r="1068" spans="1:27" hidden="1" x14ac:dyDescent="0.25">
      <c r="A1068" t="str">
        <f t="shared" si="270"/>
        <v>10620054B24/05/2026M</v>
      </c>
      <c r="B1068" t="s">
        <v>824</v>
      </c>
      <c r="C1068" t="s">
        <v>396</v>
      </c>
      <c r="D1068" t="s">
        <v>591</v>
      </c>
      <c r="E1068" t="s">
        <v>594</v>
      </c>
      <c r="F1068" t="s">
        <v>381</v>
      </c>
      <c r="G1068" s="62" t="str">
        <f t="shared" si="258"/>
        <v>64562</v>
      </c>
      <c r="H1068" s="1">
        <v>10620054</v>
      </c>
      <c r="I1068" s="1" t="s">
        <v>387</v>
      </c>
      <c r="J1068" s="61">
        <v>37</v>
      </c>
      <c r="K1068" s="61">
        <v>6.7</v>
      </c>
      <c r="L1068" s="61">
        <v>8.8000000000000007</v>
      </c>
      <c r="M1068" s="69">
        <f t="shared" si="259"/>
        <v>2.4790000000000001</v>
      </c>
      <c r="N1068" s="69">
        <f t="shared" si="260"/>
        <v>3.2560000000000002</v>
      </c>
      <c r="O1068" s="56">
        <v>55.385550000000002</v>
      </c>
      <c r="P1068" s="57">
        <f t="shared" si="261"/>
        <v>2049.2653500000001</v>
      </c>
      <c r="Q1068" s="58">
        <f t="shared" si="262"/>
        <v>440.73381962864721</v>
      </c>
      <c r="R1068" s="58">
        <f t="shared" si="263"/>
        <v>293.82254641909816</v>
      </c>
      <c r="S1068" s="66">
        <f t="shared" si="264"/>
        <v>35.862143625000009</v>
      </c>
      <c r="T1068" s="64">
        <f t="shared" si="265"/>
        <v>138.75</v>
      </c>
      <c r="U1068" s="66">
        <f t="shared" si="266"/>
        <v>2223.8774936250002</v>
      </c>
      <c r="V1068" s="68">
        <f t="shared" si="267"/>
        <v>60.104797125000005</v>
      </c>
      <c r="W1068" s="68">
        <f t="shared" si="268"/>
        <v>478.28751027851456</v>
      </c>
      <c r="X1068" s="68">
        <f t="shared" si="269"/>
        <v>318.85834018567635</v>
      </c>
      <c r="Z1068" s="63"/>
      <c r="AA1068" s="63"/>
    </row>
    <row r="1069" spans="1:27" hidden="1" x14ac:dyDescent="0.25">
      <c r="A1069" t="str">
        <f t="shared" si="270"/>
        <v>10620054C24/05/2026M</v>
      </c>
      <c r="B1069" t="s">
        <v>824</v>
      </c>
      <c r="C1069" t="s">
        <v>396</v>
      </c>
      <c r="D1069" t="s">
        <v>591</v>
      </c>
      <c r="E1069" t="s">
        <v>594</v>
      </c>
      <c r="F1069" t="s">
        <v>381</v>
      </c>
      <c r="G1069" s="62" t="str">
        <f t="shared" si="258"/>
        <v>64562</v>
      </c>
      <c r="H1069" s="1">
        <v>10620054</v>
      </c>
      <c r="I1069" s="1" t="s">
        <v>388</v>
      </c>
      <c r="J1069" s="61">
        <v>35</v>
      </c>
      <c r="K1069" s="61">
        <v>3.4</v>
      </c>
      <c r="L1069" s="61">
        <v>8</v>
      </c>
      <c r="M1069" s="69">
        <f t="shared" si="259"/>
        <v>1.19</v>
      </c>
      <c r="N1069" s="69">
        <f t="shared" si="260"/>
        <v>2.8</v>
      </c>
      <c r="O1069" s="56">
        <v>34.585056000000002</v>
      </c>
      <c r="P1069" s="57">
        <f t="shared" si="261"/>
        <v>1210.47696</v>
      </c>
      <c r="Q1069" s="58">
        <f t="shared" si="262"/>
        <v>396.01209160305342</v>
      </c>
      <c r="R1069" s="58">
        <f t="shared" si="263"/>
        <v>264.00806106870226</v>
      </c>
      <c r="S1069" s="66">
        <f t="shared" si="264"/>
        <v>21.183346800000002</v>
      </c>
      <c r="T1069" s="64">
        <f t="shared" si="265"/>
        <v>131.25</v>
      </c>
      <c r="U1069" s="66">
        <f t="shared" si="266"/>
        <v>1362.9103067999999</v>
      </c>
      <c r="V1069" s="68">
        <f t="shared" si="267"/>
        <v>38.940294479999999</v>
      </c>
      <c r="W1069" s="68">
        <f t="shared" si="268"/>
        <v>445.8812345038167</v>
      </c>
      <c r="X1069" s="68">
        <f t="shared" si="269"/>
        <v>297.25415633587778</v>
      </c>
      <c r="Z1069" s="63"/>
      <c r="AA1069" s="63"/>
    </row>
    <row r="1070" spans="1:27" hidden="1" x14ac:dyDescent="0.25">
      <c r="A1070" t="str">
        <f t="shared" si="270"/>
        <v>10620054B24/05/2026E</v>
      </c>
      <c r="B1070" t="s">
        <v>824</v>
      </c>
      <c r="C1070" t="s">
        <v>397</v>
      </c>
      <c r="D1070" t="s">
        <v>591</v>
      </c>
      <c r="E1070" t="s">
        <v>594</v>
      </c>
      <c r="F1070" t="s">
        <v>381</v>
      </c>
      <c r="G1070" s="62" t="str">
        <f t="shared" si="258"/>
        <v>64562</v>
      </c>
      <c r="H1070" s="1">
        <v>10620054</v>
      </c>
      <c r="I1070" s="1" t="s">
        <v>387</v>
      </c>
      <c r="J1070" s="61">
        <v>20</v>
      </c>
      <c r="K1070" s="61">
        <v>6.4</v>
      </c>
      <c r="L1070" s="61">
        <v>8.8000000000000007</v>
      </c>
      <c r="M1070" s="69">
        <f t="shared" si="259"/>
        <v>1.28</v>
      </c>
      <c r="N1070" s="69">
        <f t="shared" si="260"/>
        <v>1.76</v>
      </c>
      <c r="O1070" s="56">
        <v>52.9056</v>
      </c>
      <c r="P1070" s="57">
        <f t="shared" si="261"/>
        <v>1058.1120000000001</v>
      </c>
      <c r="Q1070" s="58">
        <f t="shared" si="262"/>
        <v>431.29565217391303</v>
      </c>
      <c r="R1070" s="58">
        <f t="shared" si="263"/>
        <v>287.53043478260867</v>
      </c>
      <c r="S1070" s="66">
        <f t="shared" si="264"/>
        <v>18.516960000000005</v>
      </c>
      <c r="T1070" s="64">
        <f t="shared" si="265"/>
        <v>75</v>
      </c>
      <c r="U1070" s="66">
        <f t="shared" si="266"/>
        <v>1151.62896</v>
      </c>
      <c r="V1070" s="68">
        <f t="shared" si="267"/>
        <v>57.581448000000002</v>
      </c>
      <c r="W1070" s="68">
        <f t="shared" si="268"/>
        <v>469.41397826086956</v>
      </c>
      <c r="X1070" s="68">
        <f t="shared" si="269"/>
        <v>312.94265217391302</v>
      </c>
      <c r="Z1070" s="63"/>
      <c r="AA1070" s="63"/>
    </row>
    <row r="1071" spans="1:27" hidden="1" x14ac:dyDescent="0.25">
      <c r="A1071" t="str">
        <f t="shared" si="270"/>
        <v>10620054C25/05/2026E</v>
      </c>
      <c r="B1071" t="s">
        <v>824</v>
      </c>
      <c r="C1071" t="s">
        <v>397</v>
      </c>
      <c r="D1071" t="s">
        <v>591</v>
      </c>
      <c r="E1071" t="s">
        <v>594</v>
      </c>
      <c r="F1071" t="s">
        <v>381</v>
      </c>
      <c r="G1071" s="62" t="str">
        <f t="shared" si="258"/>
        <v>64562</v>
      </c>
      <c r="H1071" s="1">
        <v>10620054</v>
      </c>
      <c r="I1071" s="1" t="s">
        <v>388</v>
      </c>
      <c r="J1071" s="61">
        <v>15</v>
      </c>
      <c r="K1071" s="61">
        <v>3.8</v>
      </c>
      <c r="L1071" s="61">
        <v>8.1</v>
      </c>
      <c r="M1071" s="69">
        <f t="shared" si="259"/>
        <v>0.56999999999999995</v>
      </c>
      <c r="N1071" s="69">
        <f t="shared" si="260"/>
        <v>1.2150000000000001</v>
      </c>
      <c r="O1071" s="56">
        <v>36.433069200000006</v>
      </c>
      <c r="P1071" s="57">
        <f t="shared" si="261"/>
        <v>546.49603800000011</v>
      </c>
      <c r="Q1071" s="58">
        <f t="shared" si="262"/>
        <v>396.01162173913048</v>
      </c>
      <c r="R1071" s="58">
        <f t="shared" si="263"/>
        <v>264.00774782608698</v>
      </c>
      <c r="S1071" s="66">
        <f t="shared" si="264"/>
        <v>9.5636806650000032</v>
      </c>
      <c r="T1071" s="64">
        <f t="shared" si="265"/>
        <v>56.25</v>
      </c>
      <c r="U1071" s="66">
        <f t="shared" si="266"/>
        <v>612.3097186650001</v>
      </c>
      <c r="V1071" s="68">
        <f t="shared" si="267"/>
        <v>40.820647911000009</v>
      </c>
      <c r="W1071" s="68">
        <f t="shared" si="268"/>
        <v>443.70269468478273</v>
      </c>
      <c r="X1071" s="68">
        <f t="shared" si="269"/>
        <v>295.8017964565218</v>
      </c>
      <c r="Z1071" s="63"/>
      <c r="AA1071" s="63"/>
    </row>
    <row r="1072" spans="1:27" hidden="1" x14ac:dyDescent="0.25">
      <c r="A1072" t="str">
        <f t="shared" si="270"/>
        <v>10620054B25/05/2026M</v>
      </c>
      <c r="B1072" t="s">
        <v>825</v>
      </c>
      <c r="C1072" t="s">
        <v>396</v>
      </c>
      <c r="D1072" t="s">
        <v>591</v>
      </c>
      <c r="E1072" t="s">
        <v>594</v>
      </c>
      <c r="F1072" t="s">
        <v>381</v>
      </c>
      <c r="G1072" s="62" t="str">
        <f t="shared" si="258"/>
        <v>64562</v>
      </c>
      <c r="H1072" s="1">
        <v>10620054</v>
      </c>
      <c r="I1072" s="1" t="s">
        <v>387</v>
      </c>
      <c r="J1072" s="61">
        <v>31</v>
      </c>
      <c r="K1072" s="61">
        <v>6.2</v>
      </c>
      <c r="L1072" s="61">
        <v>8.8000000000000007</v>
      </c>
      <c r="M1072" s="69">
        <f t="shared" si="259"/>
        <v>1.9220000000000002</v>
      </c>
      <c r="N1072" s="69">
        <f t="shared" si="260"/>
        <v>2.7280000000000002</v>
      </c>
      <c r="O1072" s="56">
        <v>51.252300000000005</v>
      </c>
      <c r="P1072" s="57">
        <f t="shared" si="261"/>
        <v>1588.8213000000001</v>
      </c>
      <c r="Q1072" s="58">
        <f t="shared" si="262"/>
        <v>424.74281767955802</v>
      </c>
      <c r="R1072" s="58">
        <f t="shared" si="263"/>
        <v>283.1618784530387</v>
      </c>
      <c r="S1072" s="66">
        <f t="shared" si="264"/>
        <v>27.804372750000002</v>
      </c>
      <c r="T1072" s="64">
        <f t="shared" si="265"/>
        <v>116.25</v>
      </c>
      <c r="U1072" s="66">
        <f t="shared" si="266"/>
        <v>1732.8756727500001</v>
      </c>
      <c r="V1072" s="68">
        <f t="shared" si="267"/>
        <v>55.899215250000005</v>
      </c>
      <c r="W1072" s="68">
        <f t="shared" si="268"/>
        <v>463.25316505524864</v>
      </c>
      <c r="X1072" s="68">
        <f t="shared" si="269"/>
        <v>308.83544337016576</v>
      </c>
      <c r="Z1072" s="63"/>
      <c r="AA1072" s="63"/>
    </row>
    <row r="1073" spans="1:27" hidden="1" x14ac:dyDescent="0.25">
      <c r="A1073" t="str">
        <f t="shared" si="270"/>
        <v>10620054C25/05/2026M</v>
      </c>
      <c r="B1073" t="s">
        <v>825</v>
      </c>
      <c r="C1073" t="s">
        <v>396</v>
      </c>
      <c r="D1073" t="s">
        <v>591</v>
      </c>
      <c r="E1073" t="s">
        <v>594</v>
      </c>
      <c r="F1073" t="s">
        <v>381</v>
      </c>
      <c r="G1073" s="62" t="str">
        <f t="shared" si="258"/>
        <v>64562</v>
      </c>
      <c r="H1073" s="1">
        <v>10620054</v>
      </c>
      <c r="I1073" s="1" t="s">
        <v>388</v>
      </c>
      <c r="J1073" s="61">
        <v>34</v>
      </c>
      <c r="K1073" s="61">
        <v>3.2</v>
      </c>
      <c r="L1073" s="61">
        <v>8</v>
      </c>
      <c r="M1073" s="69">
        <f t="shared" si="259"/>
        <v>1.0880000000000001</v>
      </c>
      <c r="N1073" s="69">
        <f t="shared" si="260"/>
        <v>2.72</v>
      </c>
      <c r="O1073" s="56">
        <v>33.793056000000007</v>
      </c>
      <c r="P1073" s="57">
        <f t="shared" si="261"/>
        <v>1148.9639040000002</v>
      </c>
      <c r="Q1073" s="58">
        <f t="shared" si="262"/>
        <v>396.01237500000002</v>
      </c>
      <c r="R1073" s="58">
        <f t="shared" si="263"/>
        <v>264.00825000000003</v>
      </c>
      <c r="S1073" s="66">
        <f t="shared" si="264"/>
        <v>20.106868320000004</v>
      </c>
      <c r="T1073" s="64">
        <f t="shared" si="265"/>
        <v>127.5</v>
      </c>
      <c r="U1073" s="66">
        <f t="shared" si="266"/>
        <v>1296.5707723200003</v>
      </c>
      <c r="V1073" s="68">
        <f t="shared" si="267"/>
        <v>38.13443448000001</v>
      </c>
      <c r="W1073" s="68">
        <f t="shared" si="268"/>
        <v>446.88790406250007</v>
      </c>
      <c r="X1073" s="68">
        <f t="shared" si="269"/>
        <v>297.92526937500003</v>
      </c>
      <c r="Z1073" s="63"/>
      <c r="AA1073" s="63"/>
    </row>
    <row r="1074" spans="1:27" hidden="1" x14ac:dyDescent="0.25">
      <c r="A1074" t="str">
        <f t="shared" si="270"/>
        <v>10620054B25/05/2026E</v>
      </c>
      <c r="B1074" t="s">
        <v>825</v>
      </c>
      <c r="C1074" t="s">
        <v>397</v>
      </c>
      <c r="D1074" t="s">
        <v>591</v>
      </c>
      <c r="E1074" t="s">
        <v>594</v>
      </c>
      <c r="F1074" t="s">
        <v>381</v>
      </c>
      <c r="G1074" s="62" t="str">
        <f t="shared" si="258"/>
        <v>64562</v>
      </c>
      <c r="H1074" s="1">
        <v>10620054</v>
      </c>
      <c r="I1074" s="1" t="s">
        <v>387</v>
      </c>
      <c r="J1074" s="61">
        <v>20</v>
      </c>
      <c r="K1074" s="61">
        <v>6.9</v>
      </c>
      <c r="L1074" s="61">
        <v>8.8000000000000007</v>
      </c>
      <c r="M1074" s="69">
        <f t="shared" si="259"/>
        <v>1.38</v>
      </c>
      <c r="N1074" s="69">
        <f t="shared" si="260"/>
        <v>1.76</v>
      </c>
      <c r="O1074" s="56">
        <v>57.038850000000004</v>
      </c>
      <c r="P1074" s="57">
        <f t="shared" si="261"/>
        <v>1140.777</v>
      </c>
      <c r="Q1074" s="58">
        <f t="shared" si="262"/>
        <v>446.77950391644907</v>
      </c>
      <c r="R1074" s="58">
        <f t="shared" si="263"/>
        <v>297.85300261096603</v>
      </c>
      <c r="S1074" s="66">
        <f t="shared" si="264"/>
        <v>19.963597500000002</v>
      </c>
      <c r="T1074" s="64">
        <f t="shared" si="265"/>
        <v>75</v>
      </c>
      <c r="U1074" s="66">
        <f t="shared" si="266"/>
        <v>1235.7405975000001</v>
      </c>
      <c r="V1074" s="68">
        <f t="shared" si="267"/>
        <v>61.787029875000009</v>
      </c>
      <c r="W1074" s="68">
        <f t="shared" si="268"/>
        <v>483.97151338120108</v>
      </c>
      <c r="X1074" s="68">
        <f t="shared" si="269"/>
        <v>322.6476755874674</v>
      </c>
      <c r="Z1074" s="63"/>
      <c r="AA1074" s="63"/>
    </row>
    <row r="1075" spans="1:27" hidden="1" x14ac:dyDescent="0.25">
      <c r="A1075" t="str">
        <f t="shared" si="270"/>
        <v>10620054C26/05/2026E</v>
      </c>
      <c r="B1075" t="s">
        <v>825</v>
      </c>
      <c r="C1075" t="s">
        <v>397</v>
      </c>
      <c r="D1075" t="s">
        <v>591</v>
      </c>
      <c r="E1075" t="s">
        <v>594</v>
      </c>
      <c r="F1075" t="s">
        <v>381</v>
      </c>
      <c r="G1075" s="62" t="str">
        <f t="shared" si="258"/>
        <v>64562</v>
      </c>
      <c r="H1075" s="1">
        <v>10620054</v>
      </c>
      <c r="I1075" s="1" t="s">
        <v>388</v>
      </c>
      <c r="J1075" s="61">
        <v>29</v>
      </c>
      <c r="K1075" s="61">
        <v>3.3</v>
      </c>
      <c r="L1075" s="61">
        <v>8.1</v>
      </c>
      <c r="M1075" s="69">
        <f t="shared" si="259"/>
        <v>0.95699999999999985</v>
      </c>
      <c r="N1075" s="69">
        <f t="shared" si="260"/>
        <v>2.3489999999999998</v>
      </c>
      <c r="O1075" s="56">
        <v>34.453069200000002</v>
      </c>
      <c r="P1075" s="57">
        <f t="shared" si="261"/>
        <v>999.13900680000006</v>
      </c>
      <c r="Q1075" s="58">
        <f t="shared" si="262"/>
        <v>396.01228965517248</v>
      </c>
      <c r="R1075" s="58">
        <f t="shared" si="263"/>
        <v>264.00819310344832</v>
      </c>
      <c r="S1075" s="66">
        <f t="shared" si="264"/>
        <v>17.484932619000002</v>
      </c>
      <c r="T1075" s="64">
        <f t="shared" si="265"/>
        <v>108.75</v>
      </c>
      <c r="U1075" s="66">
        <f t="shared" si="266"/>
        <v>1125.3739394190002</v>
      </c>
      <c r="V1075" s="68">
        <f t="shared" si="267"/>
        <v>38.805997911000006</v>
      </c>
      <c r="W1075" s="68">
        <f t="shared" si="268"/>
        <v>446.04595300000011</v>
      </c>
      <c r="X1075" s="68">
        <f t="shared" si="269"/>
        <v>297.36396866666672</v>
      </c>
      <c r="Z1075" s="63"/>
      <c r="AA1075" s="63"/>
    </row>
    <row r="1076" spans="1:27" hidden="1" x14ac:dyDescent="0.25">
      <c r="A1076" t="str">
        <f t="shared" si="270"/>
        <v>10620054B26/05/2026M</v>
      </c>
      <c r="B1076" t="s">
        <v>826</v>
      </c>
      <c r="C1076" t="s">
        <v>396</v>
      </c>
      <c r="D1076" t="s">
        <v>591</v>
      </c>
      <c r="E1076" t="s">
        <v>594</v>
      </c>
      <c r="F1076" t="s">
        <v>381</v>
      </c>
      <c r="G1076" s="62" t="str">
        <f t="shared" si="258"/>
        <v>64562</v>
      </c>
      <c r="H1076" s="1">
        <v>10620054</v>
      </c>
      <c r="I1076" s="1" t="s">
        <v>387</v>
      </c>
      <c r="J1076" s="61">
        <v>33</v>
      </c>
      <c r="K1076" s="61">
        <v>7.2</v>
      </c>
      <c r="L1076" s="61">
        <v>8.8000000000000007</v>
      </c>
      <c r="M1076" s="69">
        <f t="shared" si="259"/>
        <v>2.3759999999999999</v>
      </c>
      <c r="N1076" s="69">
        <f t="shared" si="260"/>
        <v>2.9040000000000004</v>
      </c>
      <c r="O1076" s="56">
        <f>INDEX(Rate_Chart!$A$1:$AK$127,MATCH(Data!K1076,Rate_Chart!$A$1:$A$127,0),MATCH(Data!L1076,Rate_Chart!$A$1:$AK$1,0))</f>
        <v>59.518800000000006</v>
      </c>
      <c r="P1076" s="57">
        <f t="shared" si="261"/>
        <v>1964.1204000000002</v>
      </c>
      <c r="Q1076" s="58">
        <f t="shared" si="262"/>
        <v>455.50102040816324</v>
      </c>
      <c r="R1076" s="58">
        <f t="shared" si="263"/>
        <v>303.66734693877549</v>
      </c>
      <c r="S1076" s="66">
        <f t="shared" si="264"/>
        <v>34.372107000000007</v>
      </c>
      <c r="T1076" s="64">
        <f t="shared" si="265"/>
        <v>123.75</v>
      </c>
      <c r="U1076" s="66">
        <f t="shared" si="266"/>
        <v>2122.2425070000004</v>
      </c>
      <c r="V1076" s="68">
        <f t="shared" si="267"/>
        <v>64.310379000000012</v>
      </c>
      <c r="W1076" s="68">
        <f t="shared" si="268"/>
        <v>492.17126785714288</v>
      </c>
      <c r="X1076" s="68">
        <f t="shared" si="269"/>
        <v>328.11417857142857</v>
      </c>
      <c r="Z1076" s="63"/>
      <c r="AA1076" s="63"/>
    </row>
    <row r="1077" spans="1:27" hidden="1" x14ac:dyDescent="0.25">
      <c r="A1077" t="str">
        <f t="shared" si="270"/>
        <v>10620054C26/05/2026M</v>
      </c>
      <c r="B1077" t="s">
        <v>826</v>
      </c>
      <c r="C1077" t="s">
        <v>396</v>
      </c>
      <c r="D1077" t="s">
        <v>591</v>
      </c>
      <c r="E1077" t="s">
        <v>594</v>
      </c>
      <c r="F1077" t="s">
        <v>381</v>
      </c>
      <c r="G1077" s="62" t="str">
        <f t="shared" si="258"/>
        <v>64562</v>
      </c>
      <c r="H1077" s="1">
        <v>10620054</v>
      </c>
      <c r="I1077" s="1" t="s">
        <v>388</v>
      </c>
      <c r="J1077" s="61">
        <v>40</v>
      </c>
      <c r="K1077" s="61">
        <v>3.4</v>
      </c>
      <c r="L1077" s="61">
        <v>8.1</v>
      </c>
      <c r="M1077" s="69">
        <f t="shared" si="259"/>
        <v>1.36</v>
      </c>
      <c r="N1077" s="69">
        <f t="shared" si="260"/>
        <v>3.24</v>
      </c>
      <c r="O1077" s="56">
        <f>INDEX(Rate_Chart!$A$1:$AK$127,MATCH(Data!K1077,Rate_Chart!$A$1:$A$127,0),MATCH(Data!L1077,Rate_Chart!$A$1:$AK$1,0))</f>
        <v>36.697125900000003</v>
      </c>
      <c r="P1077" s="57">
        <f t="shared" si="261"/>
        <v>1467.8850360000001</v>
      </c>
      <c r="Q1077" s="58">
        <f t="shared" si="262"/>
        <v>417.01279431818188</v>
      </c>
      <c r="R1077" s="58">
        <f t="shared" si="263"/>
        <v>278.00852954545456</v>
      </c>
      <c r="S1077" s="66">
        <f t="shared" si="264"/>
        <v>25.687988130000004</v>
      </c>
      <c r="T1077" s="64">
        <f t="shared" si="265"/>
        <v>150</v>
      </c>
      <c r="U1077" s="66">
        <f t="shared" si="266"/>
        <v>1643.5730241300002</v>
      </c>
      <c r="V1077" s="68">
        <f t="shared" si="267"/>
        <v>41.089325603250003</v>
      </c>
      <c r="W1077" s="68">
        <f t="shared" si="268"/>
        <v>466.92415458238645</v>
      </c>
      <c r="X1077" s="68">
        <f t="shared" si="269"/>
        <v>311.28276972159097</v>
      </c>
      <c r="Z1077" s="63"/>
      <c r="AA1077" s="63"/>
    </row>
    <row r="1078" spans="1:27" hidden="1" x14ac:dyDescent="0.25">
      <c r="A1078" t="str">
        <f t="shared" si="270"/>
        <v>10620054B26/05/2026E</v>
      </c>
      <c r="B1078" t="s">
        <v>826</v>
      </c>
      <c r="C1078" t="s">
        <v>397</v>
      </c>
      <c r="D1078" t="s">
        <v>591</v>
      </c>
      <c r="E1078" t="s">
        <v>594</v>
      </c>
      <c r="F1078" t="s">
        <v>381</v>
      </c>
      <c r="G1078" s="62" t="str">
        <f t="shared" si="258"/>
        <v>64562</v>
      </c>
      <c r="H1078" s="1">
        <v>10620054</v>
      </c>
      <c r="I1078" s="1" t="s">
        <v>387</v>
      </c>
      <c r="J1078" s="61">
        <v>17</v>
      </c>
      <c r="K1078" s="61">
        <v>6.4</v>
      </c>
      <c r="L1078" s="61">
        <v>9</v>
      </c>
      <c r="M1078" s="69">
        <f t="shared" si="259"/>
        <v>1.0880000000000001</v>
      </c>
      <c r="N1078" s="69">
        <f t="shared" si="260"/>
        <v>1.53</v>
      </c>
      <c r="O1078" s="56">
        <f>INDEX(Rate_Chart!$A$1:$AK$127,MATCH(Data!K1078,Rate_Chart!$A$1:$A$127,0),MATCH(Data!L1078,Rate_Chart!$A$1:$AK$1,0))</f>
        <v>53.44</v>
      </c>
      <c r="P1078" s="57">
        <f t="shared" si="261"/>
        <v>908.48</v>
      </c>
      <c r="Q1078" s="58">
        <f t="shared" si="262"/>
        <v>430.96774193548384</v>
      </c>
      <c r="R1078" s="58">
        <f t="shared" si="263"/>
        <v>287.31182795698925</v>
      </c>
      <c r="S1078" s="66">
        <f t="shared" si="264"/>
        <v>15.898400000000002</v>
      </c>
      <c r="T1078" s="64">
        <f t="shared" si="265"/>
        <v>63.75</v>
      </c>
      <c r="U1078" s="66">
        <f t="shared" si="266"/>
        <v>988.12840000000006</v>
      </c>
      <c r="V1078" s="68">
        <f t="shared" si="267"/>
        <v>58.125200000000007</v>
      </c>
      <c r="W1078" s="68">
        <f t="shared" si="268"/>
        <v>468.75161290322586</v>
      </c>
      <c r="X1078" s="68">
        <f t="shared" si="269"/>
        <v>312.50107526881726</v>
      </c>
      <c r="Z1078" s="63"/>
      <c r="AA1078" s="63"/>
    </row>
    <row r="1079" spans="1:27" hidden="1" x14ac:dyDescent="0.25">
      <c r="A1079" t="str">
        <f t="shared" si="270"/>
        <v>10620054C27/05/2026E</v>
      </c>
      <c r="B1079" t="s">
        <v>826</v>
      </c>
      <c r="C1079" t="s">
        <v>397</v>
      </c>
      <c r="D1079" t="s">
        <v>591</v>
      </c>
      <c r="E1079" t="s">
        <v>594</v>
      </c>
      <c r="F1079" t="s">
        <v>381</v>
      </c>
      <c r="G1079" s="62" t="str">
        <f t="shared" ref="G1079:G1142" si="271">MID(F1079,2,5)</f>
        <v>64562</v>
      </c>
      <c r="H1079" s="1">
        <v>10620054</v>
      </c>
      <c r="I1079" s="1" t="s">
        <v>388</v>
      </c>
      <c r="J1079" s="61">
        <v>28</v>
      </c>
      <c r="K1079" s="61">
        <v>3.2</v>
      </c>
      <c r="L1079" s="61">
        <v>8.4</v>
      </c>
      <c r="M1079" s="69">
        <f t="shared" ref="M1079:M1118" si="272">K1079*J1079/100</f>
        <v>0.89600000000000013</v>
      </c>
      <c r="N1079" s="69">
        <f t="shared" ref="N1079:N1118" si="273">L1079*J1079/100</f>
        <v>2.3520000000000003</v>
      </c>
      <c r="O1079" s="56">
        <f>INDEX(Rate_Chart!$A$1:$AK$127,MATCH(Data!K1079,Rate_Chart!$A$1:$A$127,0),MATCH(Data!L1079,Rate_Chart!$A$1:$AK$1,0))</f>
        <v>36.697167600000007</v>
      </c>
      <c r="P1079" s="57">
        <f t="shared" ref="P1079:P1118" si="274">O1079*J1079</f>
        <v>1027.5206928000002</v>
      </c>
      <c r="Q1079" s="58">
        <f t="shared" ref="Q1079:Q1118" si="275">O1079/(K1079%+L1079%*2/3)</f>
        <v>417.01326818181826</v>
      </c>
      <c r="R1079" s="58">
        <f t="shared" ref="R1079:R1118" si="276">Q1079*2/3</f>
        <v>278.00884545454551</v>
      </c>
      <c r="S1079" s="66">
        <f t="shared" ref="S1079:S1118" si="277">P1079*1.75%</f>
        <v>17.981612124000005</v>
      </c>
      <c r="T1079" s="64">
        <f t="shared" ref="T1079:T1118" si="278">J1079*3.75</f>
        <v>105</v>
      </c>
      <c r="U1079" s="66">
        <f t="shared" ref="U1079:U1118" si="279">S1079+T1079+P1079</f>
        <v>1150.5023049240003</v>
      </c>
      <c r="V1079" s="68">
        <f t="shared" ref="V1079:V1118" si="280">U1079/J1079</f>
        <v>41.089368033000014</v>
      </c>
      <c r="W1079" s="68">
        <f t="shared" ref="W1079:W1118" si="281">V1079/(K1079%+L1079%*2/3)</f>
        <v>466.92463673863654</v>
      </c>
      <c r="X1079" s="68">
        <f t="shared" ref="X1079:X1118" si="282">W1079*2/3</f>
        <v>311.28309115909104</v>
      </c>
      <c r="Z1079" s="63"/>
      <c r="AA1079" s="63"/>
    </row>
    <row r="1080" spans="1:27" hidden="1" x14ac:dyDescent="0.25">
      <c r="A1080" t="str">
        <f t="shared" si="270"/>
        <v>10620054B27/05/2026M</v>
      </c>
      <c r="B1080" t="s">
        <v>827</v>
      </c>
      <c r="C1080" t="s">
        <v>396</v>
      </c>
      <c r="D1080" t="s">
        <v>591</v>
      </c>
      <c r="E1080" t="s">
        <v>594</v>
      </c>
      <c r="F1080" t="s">
        <v>381</v>
      </c>
      <c r="G1080" s="62" t="str">
        <f t="shared" si="271"/>
        <v>64562</v>
      </c>
      <c r="H1080" s="1">
        <v>10620054</v>
      </c>
      <c r="I1080" s="1" t="s">
        <v>387</v>
      </c>
      <c r="J1080" s="61">
        <v>25</v>
      </c>
      <c r="K1080" s="61">
        <v>7.1</v>
      </c>
      <c r="L1080" s="61">
        <v>9</v>
      </c>
      <c r="M1080" s="69">
        <f t="shared" si="272"/>
        <v>1.7749999999999999</v>
      </c>
      <c r="N1080" s="69">
        <f t="shared" si="273"/>
        <v>2.25</v>
      </c>
      <c r="O1080" s="56">
        <f>INDEX(Rate_Chart!$A$1:$AK$127,MATCH(Data!K1080,Rate_Chart!$A$1:$A$127,0),MATCH(Data!L1080,Rate_Chart!$A$1:$AK$1,0))</f>
        <v>59.284999999999997</v>
      </c>
      <c r="P1080" s="57">
        <f t="shared" si="274"/>
        <v>1482.125</v>
      </c>
      <c r="Q1080" s="58">
        <f t="shared" si="275"/>
        <v>452.55725190839689</v>
      </c>
      <c r="R1080" s="58">
        <f t="shared" si="276"/>
        <v>301.70483460559791</v>
      </c>
      <c r="S1080" s="66">
        <f t="shared" si="277"/>
        <v>25.937187500000004</v>
      </c>
      <c r="T1080" s="64">
        <f t="shared" si="278"/>
        <v>93.75</v>
      </c>
      <c r="U1080" s="66">
        <f t="shared" si="279"/>
        <v>1601.8121874999999</v>
      </c>
      <c r="V1080" s="68">
        <f t="shared" si="280"/>
        <v>64.072487499999994</v>
      </c>
      <c r="W1080" s="68">
        <f t="shared" si="281"/>
        <v>489.10295801526712</v>
      </c>
      <c r="X1080" s="68">
        <f t="shared" si="282"/>
        <v>326.06863867684473</v>
      </c>
      <c r="Z1080" s="63"/>
      <c r="AA1080" s="63"/>
    </row>
    <row r="1081" spans="1:27" hidden="1" x14ac:dyDescent="0.25">
      <c r="A1081" t="str">
        <f t="shared" si="270"/>
        <v>10620054C27/05/2026M</v>
      </c>
      <c r="B1081" t="s">
        <v>827</v>
      </c>
      <c r="C1081" t="s">
        <v>396</v>
      </c>
      <c r="D1081" t="s">
        <v>591</v>
      </c>
      <c r="E1081" t="s">
        <v>594</v>
      </c>
      <c r="F1081" t="s">
        <v>381</v>
      </c>
      <c r="G1081" s="62" t="str">
        <f t="shared" si="271"/>
        <v>64562</v>
      </c>
      <c r="H1081" s="1">
        <v>10620054</v>
      </c>
      <c r="I1081" s="1" t="s">
        <v>388</v>
      </c>
      <c r="J1081" s="61">
        <v>44</v>
      </c>
      <c r="K1081" s="61">
        <v>3.6</v>
      </c>
      <c r="L1081" s="61">
        <v>8.5</v>
      </c>
      <c r="M1081" s="69">
        <f t="shared" si="272"/>
        <v>1.5840000000000001</v>
      </c>
      <c r="N1081" s="69">
        <f t="shared" si="273"/>
        <v>3.74</v>
      </c>
      <c r="O1081" s="56">
        <f>INDEX(Rate_Chart!$A$1:$AK$127,MATCH(Data!K1081,Rate_Chart!$A$1:$A$127,0),MATCH(Data!L1081,Rate_Chart!$A$1:$AK$1,0))</f>
        <v>38.643181500000004</v>
      </c>
      <c r="P1081" s="57">
        <f t="shared" si="274"/>
        <v>1700.2999860000002</v>
      </c>
      <c r="Q1081" s="58">
        <f t="shared" si="275"/>
        <v>417.01274999999998</v>
      </c>
      <c r="R1081" s="58">
        <f t="shared" si="276"/>
        <v>278.00849999999997</v>
      </c>
      <c r="S1081" s="66">
        <f t="shared" si="277"/>
        <v>29.755249755000008</v>
      </c>
      <c r="T1081" s="64">
        <f t="shared" si="278"/>
        <v>165</v>
      </c>
      <c r="U1081" s="66">
        <f t="shared" si="279"/>
        <v>1895.0552357550002</v>
      </c>
      <c r="V1081" s="68">
        <f t="shared" si="280"/>
        <v>43.069437176250005</v>
      </c>
      <c r="W1081" s="68">
        <f t="shared" si="281"/>
        <v>464.77809902428061</v>
      </c>
      <c r="X1081" s="68">
        <f t="shared" si="282"/>
        <v>309.85206601618705</v>
      </c>
      <c r="Z1081" s="63"/>
      <c r="AA1081" s="63"/>
    </row>
    <row r="1082" spans="1:27" hidden="1" x14ac:dyDescent="0.25">
      <c r="A1082" t="str">
        <f t="shared" si="270"/>
        <v>10620054B27/05/2026E</v>
      </c>
      <c r="B1082" t="s">
        <v>827</v>
      </c>
      <c r="C1082" t="s">
        <v>397</v>
      </c>
      <c r="D1082" t="s">
        <v>591</v>
      </c>
      <c r="E1082" t="s">
        <v>594</v>
      </c>
      <c r="F1082" t="s">
        <v>381</v>
      </c>
      <c r="G1082" s="62" t="str">
        <f t="shared" si="271"/>
        <v>64562</v>
      </c>
      <c r="H1082" s="1">
        <v>10620054</v>
      </c>
      <c r="I1082" s="1" t="s">
        <v>387</v>
      </c>
      <c r="J1082" s="61">
        <v>19</v>
      </c>
      <c r="K1082" s="61">
        <v>7.2</v>
      </c>
      <c r="L1082" s="61">
        <v>9</v>
      </c>
      <c r="M1082" s="69">
        <f t="shared" si="272"/>
        <v>1.3680000000000001</v>
      </c>
      <c r="N1082" s="69">
        <f t="shared" si="273"/>
        <v>1.71</v>
      </c>
      <c r="O1082" s="56">
        <f>INDEX(Rate_Chart!$A$1:$AK$127,MATCH(Data!K1082,Rate_Chart!$A$1:$A$127,0),MATCH(Data!L1082,Rate_Chart!$A$1:$AK$1,0))</f>
        <v>60.120000000000005</v>
      </c>
      <c r="P1082" s="57">
        <f t="shared" si="274"/>
        <v>1142.2800000000002</v>
      </c>
      <c r="Q1082" s="58">
        <f t="shared" si="275"/>
        <v>455.4545454545455</v>
      </c>
      <c r="R1082" s="58">
        <f t="shared" si="276"/>
        <v>303.63636363636368</v>
      </c>
      <c r="S1082" s="66">
        <f t="shared" si="277"/>
        <v>19.989900000000006</v>
      </c>
      <c r="T1082" s="64">
        <f t="shared" si="278"/>
        <v>71.25</v>
      </c>
      <c r="U1082" s="66">
        <f t="shared" si="279"/>
        <v>1233.5199000000002</v>
      </c>
      <c r="V1082" s="68">
        <f t="shared" si="280"/>
        <v>64.922100000000015</v>
      </c>
      <c r="W1082" s="68">
        <f t="shared" si="281"/>
        <v>491.834090909091</v>
      </c>
      <c r="X1082" s="68">
        <f t="shared" si="282"/>
        <v>327.88939393939398</v>
      </c>
      <c r="Z1082" s="63"/>
      <c r="AA1082" s="63"/>
    </row>
    <row r="1083" spans="1:27" hidden="1" x14ac:dyDescent="0.25">
      <c r="A1083" t="str">
        <f t="shared" si="270"/>
        <v>10620054C28/05/2026E</v>
      </c>
      <c r="B1083" t="s">
        <v>827</v>
      </c>
      <c r="C1083" t="s">
        <v>397</v>
      </c>
      <c r="D1083" t="s">
        <v>591</v>
      </c>
      <c r="E1083" t="s">
        <v>594</v>
      </c>
      <c r="F1083" t="s">
        <v>381</v>
      </c>
      <c r="G1083" s="62" t="str">
        <f t="shared" si="271"/>
        <v>64562</v>
      </c>
      <c r="H1083" s="1">
        <v>10620054</v>
      </c>
      <c r="I1083" s="1" t="s">
        <v>388</v>
      </c>
      <c r="J1083" s="61">
        <v>37</v>
      </c>
      <c r="K1083" s="61">
        <v>3.2</v>
      </c>
      <c r="L1083" s="61">
        <v>8.4</v>
      </c>
      <c r="M1083" s="69">
        <f t="shared" si="272"/>
        <v>1.1840000000000002</v>
      </c>
      <c r="N1083" s="69">
        <f t="shared" si="273"/>
        <v>3.1080000000000001</v>
      </c>
      <c r="O1083" s="56">
        <f>INDEX(Rate_Chart!$A$1:$AK$127,MATCH(Data!K1083,Rate_Chart!$A$1:$A$127,0),MATCH(Data!L1083,Rate_Chart!$A$1:$AK$1,0))</f>
        <v>36.697167600000007</v>
      </c>
      <c r="P1083" s="57">
        <f t="shared" si="274"/>
        <v>1357.7952012000003</v>
      </c>
      <c r="Q1083" s="58">
        <f t="shared" si="275"/>
        <v>417.01326818181826</v>
      </c>
      <c r="R1083" s="58">
        <f t="shared" si="276"/>
        <v>278.00884545454551</v>
      </c>
      <c r="S1083" s="66">
        <f t="shared" si="277"/>
        <v>23.761416021000006</v>
      </c>
      <c r="T1083" s="64">
        <f t="shared" si="278"/>
        <v>138.75</v>
      </c>
      <c r="U1083" s="66">
        <f t="shared" si="279"/>
        <v>1520.3066172210004</v>
      </c>
      <c r="V1083" s="68">
        <f t="shared" si="280"/>
        <v>41.089368033000007</v>
      </c>
      <c r="W1083" s="68">
        <f t="shared" si="281"/>
        <v>466.92463673863648</v>
      </c>
      <c r="X1083" s="68">
        <f t="shared" si="282"/>
        <v>311.28309115909099</v>
      </c>
      <c r="Z1083" s="63"/>
      <c r="AA1083" s="63"/>
    </row>
    <row r="1084" spans="1:27" hidden="1" x14ac:dyDescent="0.25">
      <c r="A1084" t="str">
        <f t="shared" si="270"/>
        <v>10620054B28/05/2026M</v>
      </c>
      <c r="B1084" t="s">
        <v>828</v>
      </c>
      <c r="C1084" t="s">
        <v>396</v>
      </c>
      <c r="D1084" t="s">
        <v>591</v>
      </c>
      <c r="E1084" t="s">
        <v>594</v>
      </c>
      <c r="F1084" t="s">
        <v>381</v>
      </c>
      <c r="G1084" s="62" t="str">
        <f t="shared" si="271"/>
        <v>64562</v>
      </c>
      <c r="H1084" s="1">
        <v>10620054</v>
      </c>
      <c r="I1084" s="1" t="s">
        <v>387</v>
      </c>
      <c r="J1084" s="61">
        <v>36</v>
      </c>
      <c r="K1084" s="61">
        <v>6.7</v>
      </c>
      <c r="L1084" s="61">
        <v>8.8000000000000007</v>
      </c>
      <c r="M1084" s="69">
        <f t="shared" si="272"/>
        <v>2.4120000000000004</v>
      </c>
      <c r="N1084" s="69">
        <f t="shared" si="273"/>
        <v>3.1680000000000001</v>
      </c>
      <c r="O1084" s="56">
        <f>INDEX(Rate_Chart!$A$1:$AK$127,MATCH(Data!K1084,Rate_Chart!$A$1:$A$127,0),MATCH(Data!L1084,Rate_Chart!$A$1:$AK$1,0))</f>
        <v>55.385550000000002</v>
      </c>
      <c r="P1084" s="57">
        <f t="shared" si="274"/>
        <v>1993.8798000000002</v>
      </c>
      <c r="Q1084" s="58">
        <f t="shared" si="275"/>
        <v>440.73381962864721</v>
      </c>
      <c r="R1084" s="58">
        <f t="shared" si="276"/>
        <v>293.82254641909816</v>
      </c>
      <c r="S1084" s="66">
        <f t="shared" si="277"/>
        <v>34.892896500000006</v>
      </c>
      <c r="T1084" s="64">
        <f t="shared" si="278"/>
        <v>135</v>
      </c>
      <c r="U1084" s="66">
        <f t="shared" si="279"/>
        <v>2163.7726965000002</v>
      </c>
      <c r="V1084" s="68">
        <f t="shared" si="280"/>
        <v>60.104797125000005</v>
      </c>
      <c r="W1084" s="68">
        <f t="shared" si="281"/>
        <v>478.28751027851456</v>
      </c>
      <c r="X1084" s="68">
        <f t="shared" si="282"/>
        <v>318.85834018567635</v>
      </c>
      <c r="Z1084" s="63"/>
      <c r="AA1084" s="63"/>
    </row>
    <row r="1085" spans="1:27" hidden="1" x14ac:dyDescent="0.25">
      <c r="A1085" t="str">
        <f t="shared" si="270"/>
        <v>10620054C28/05/2026M</v>
      </c>
      <c r="B1085" t="s">
        <v>828</v>
      </c>
      <c r="C1085" t="s">
        <v>396</v>
      </c>
      <c r="D1085" t="s">
        <v>591</v>
      </c>
      <c r="E1085" t="s">
        <v>594</v>
      </c>
      <c r="F1085" t="s">
        <v>381</v>
      </c>
      <c r="G1085" s="62" t="str">
        <f t="shared" si="271"/>
        <v>64562</v>
      </c>
      <c r="H1085" s="1">
        <v>10620054</v>
      </c>
      <c r="I1085" s="1" t="s">
        <v>388</v>
      </c>
      <c r="J1085" s="61">
        <v>41</v>
      </c>
      <c r="K1085" s="61">
        <v>3.2</v>
      </c>
      <c r="L1085" s="61">
        <v>8.1999999999999993</v>
      </c>
      <c r="M1085" s="69">
        <f t="shared" si="272"/>
        <v>1.3120000000000003</v>
      </c>
      <c r="N1085" s="69">
        <f t="shared" si="273"/>
        <v>3.3620000000000001</v>
      </c>
      <c r="O1085" s="56">
        <f>INDEX(Rate_Chart!$A$1:$AK$127,MATCH(Data!K1085,Rate_Chart!$A$1:$A$127,0),MATCH(Data!L1085,Rate_Chart!$A$1:$AK$1,0))</f>
        <v>36.141139799999998</v>
      </c>
      <c r="P1085" s="57">
        <f t="shared" si="274"/>
        <v>1481.7867317999999</v>
      </c>
      <c r="Q1085" s="58">
        <f t="shared" si="275"/>
        <v>417.0131515384615</v>
      </c>
      <c r="R1085" s="58">
        <f t="shared" si="276"/>
        <v>278.00876769230769</v>
      </c>
      <c r="S1085" s="66">
        <f t="shared" si="277"/>
        <v>25.931267806499999</v>
      </c>
      <c r="T1085" s="64">
        <f t="shared" si="278"/>
        <v>153.75</v>
      </c>
      <c r="U1085" s="66">
        <f t="shared" si="279"/>
        <v>1661.4679996064999</v>
      </c>
      <c r="V1085" s="68">
        <f t="shared" si="280"/>
        <v>40.5236097465</v>
      </c>
      <c r="W1085" s="68">
        <f t="shared" si="281"/>
        <v>467.58011245961535</v>
      </c>
      <c r="X1085" s="68">
        <f t="shared" si="282"/>
        <v>311.72007497307692</v>
      </c>
      <c r="Z1085" s="63"/>
      <c r="AA1085" s="63"/>
    </row>
    <row r="1086" spans="1:27" hidden="1" x14ac:dyDescent="0.25">
      <c r="A1086" t="str">
        <f t="shared" si="270"/>
        <v>10620054B28/05/2026E</v>
      </c>
      <c r="B1086" t="s">
        <v>828</v>
      </c>
      <c r="C1086" t="s">
        <v>397</v>
      </c>
      <c r="D1086" t="s">
        <v>591</v>
      </c>
      <c r="E1086" t="s">
        <v>594</v>
      </c>
      <c r="F1086" t="s">
        <v>381</v>
      </c>
      <c r="G1086" s="62" t="str">
        <f t="shared" si="271"/>
        <v>64562</v>
      </c>
      <c r="H1086" s="1">
        <v>10620054</v>
      </c>
      <c r="I1086" s="1" t="s">
        <v>387</v>
      </c>
      <c r="J1086" s="61">
        <v>19</v>
      </c>
      <c r="K1086" s="61">
        <v>6.3</v>
      </c>
      <c r="L1086" s="61">
        <v>8.8000000000000007</v>
      </c>
      <c r="M1086" s="69">
        <f t="shared" si="272"/>
        <v>1.1970000000000001</v>
      </c>
      <c r="N1086" s="69">
        <f t="shared" si="273"/>
        <v>1.6720000000000002</v>
      </c>
      <c r="O1086" s="56">
        <f>INDEX(Rate_Chart!$A$1:$AK$127,MATCH(Data!K1086,Rate_Chart!$A$1:$A$127,0),MATCH(Data!L1086,Rate_Chart!$A$1:$AK$1,0))</f>
        <v>52.078949999999999</v>
      </c>
      <c r="P1086" s="57">
        <f t="shared" si="274"/>
        <v>989.50004999999999</v>
      </c>
      <c r="Q1086" s="58">
        <f t="shared" si="275"/>
        <v>428.04616438356163</v>
      </c>
      <c r="R1086" s="58">
        <f t="shared" si="276"/>
        <v>285.36410958904111</v>
      </c>
      <c r="S1086" s="66">
        <f t="shared" si="277"/>
        <v>17.316250875000001</v>
      </c>
      <c r="T1086" s="64">
        <f t="shared" si="278"/>
        <v>71.25</v>
      </c>
      <c r="U1086" s="66">
        <f t="shared" si="279"/>
        <v>1078.066300875</v>
      </c>
      <c r="V1086" s="68">
        <f t="shared" si="280"/>
        <v>56.740331625000003</v>
      </c>
      <c r="W1086" s="68">
        <f t="shared" si="281"/>
        <v>466.35889006849317</v>
      </c>
      <c r="X1086" s="68">
        <f t="shared" si="282"/>
        <v>310.90592671232878</v>
      </c>
      <c r="Z1086" s="63"/>
      <c r="AA1086" s="63"/>
    </row>
    <row r="1087" spans="1:27" hidden="1" x14ac:dyDescent="0.25">
      <c r="A1087" t="str">
        <f t="shared" si="270"/>
        <v>10620054C22/05/2026E</v>
      </c>
      <c r="B1087" t="s">
        <v>828</v>
      </c>
      <c r="C1087" t="s">
        <v>397</v>
      </c>
      <c r="D1087" t="s">
        <v>591</v>
      </c>
      <c r="E1087" t="s">
        <v>594</v>
      </c>
      <c r="F1087" t="s">
        <v>381</v>
      </c>
      <c r="G1087" s="62" t="str">
        <f t="shared" si="271"/>
        <v>64562</v>
      </c>
      <c r="H1087" s="1">
        <v>10620054</v>
      </c>
      <c r="I1087" s="1" t="s">
        <v>388</v>
      </c>
      <c r="J1087" s="61">
        <v>38</v>
      </c>
      <c r="K1087" s="61">
        <v>3</v>
      </c>
      <c r="L1087" s="61">
        <v>8</v>
      </c>
      <c r="M1087" s="69">
        <f t="shared" si="272"/>
        <v>1.1399999999999999</v>
      </c>
      <c r="N1087" s="69">
        <f t="shared" si="273"/>
        <v>3.04</v>
      </c>
      <c r="O1087" s="56">
        <f>INDEX(Rate_Chart!$A$1:$AK$127,MATCH(Data!K1087,Rate_Chart!$A$1:$A$127,0),MATCH(Data!L1087,Rate_Chart!$A$1:$AK$1,0))</f>
        <v>34.751112000000006</v>
      </c>
      <c r="P1087" s="57">
        <f t="shared" si="274"/>
        <v>1320.5422560000002</v>
      </c>
      <c r="Q1087" s="58">
        <f t="shared" si="275"/>
        <v>417.01334400000002</v>
      </c>
      <c r="R1087" s="58">
        <f t="shared" si="276"/>
        <v>278.00889599999999</v>
      </c>
      <c r="S1087" s="66">
        <f t="shared" si="277"/>
        <v>23.109489480000004</v>
      </c>
      <c r="T1087" s="64">
        <f t="shared" si="278"/>
        <v>142.5</v>
      </c>
      <c r="U1087" s="66">
        <f t="shared" si="279"/>
        <v>1486.1517454800003</v>
      </c>
      <c r="V1087" s="68">
        <f t="shared" si="280"/>
        <v>39.109256460000005</v>
      </c>
      <c r="W1087" s="68">
        <f t="shared" si="281"/>
        <v>469.31107752000003</v>
      </c>
      <c r="X1087" s="68">
        <f t="shared" si="282"/>
        <v>312.87405168000004</v>
      </c>
      <c r="Z1087" s="63"/>
      <c r="AA1087" s="63"/>
    </row>
    <row r="1088" spans="1:27" hidden="1" x14ac:dyDescent="0.25">
      <c r="A1088" t="str">
        <f t="shared" si="270"/>
        <v>10620069B22/05/2026M</v>
      </c>
      <c r="B1088" t="s">
        <v>822</v>
      </c>
      <c r="C1088" t="s">
        <v>396</v>
      </c>
      <c r="D1088" t="s">
        <v>591</v>
      </c>
      <c r="E1088" t="s">
        <v>593</v>
      </c>
      <c r="F1088" t="s">
        <v>382</v>
      </c>
      <c r="G1088" s="62" t="str">
        <f t="shared" si="271"/>
        <v>64567</v>
      </c>
      <c r="H1088" s="1">
        <v>10620069</v>
      </c>
      <c r="I1088" s="1" t="s">
        <v>387</v>
      </c>
      <c r="J1088" s="61">
        <v>17</v>
      </c>
      <c r="K1088" s="61">
        <v>7.5</v>
      </c>
      <c r="L1088" s="61">
        <v>8.8000000000000007</v>
      </c>
      <c r="M1088" s="69">
        <f t="shared" si="272"/>
        <v>1.2749999999999999</v>
      </c>
      <c r="N1088" s="69">
        <f t="shared" si="273"/>
        <v>1.4960000000000002</v>
      </c>
      <c r="O1088" s="56">
        <v>61.998750000000001</v>
      </c>
      <c r="P1088" s="57">
        <f t="shared" si="274"/>
        <v>1053.97875</v>
      </c>
      <c r="Q1088" s="58">
        <f t="shared" si="275"/>
        <v>463.83104738154617</v>
      </c>
      <c r="R1088" s="58">
        <f t="shared" si="276"/>
        <v>309.22069825436409</v>
      </c>
      <c r="S1088" s="66">
        <f t="shared" si="277"/>
        <v>18.444628125000001</v>
      </c>
      <c r="T1088" s="64">
        <f t="shared" si="278"/>
        <v>63.75</v>
      </c>
      <c r="U1088" s="66">
        <f t="shared" si="279"/>
        <v>1136.173378125</v>
      </c>
      <c r="V1088" s="68">
        <f t="shared" si="280"/>
        <v>66.833728124999993</v>
      </c>
      <c r="W1088" s="68">
        <f t="shared" si="281"/>
        <v>500.00295355361595</v>
      </c>
      <c r="X1088" s="68">
        <f t="shared" si="282"/>
        <v>333.33530236907728</v>
      </c>
      <c r="Z1088" s="63"/>
      <c r="AA1088" s="63"/>
    </row>
    <row r="1089" spans="1:27" hidden="1" x14ac:dyDescent="0.25">
      <c r="A1089" t="str">
        <f t="shared" si="270"/>
        <v>10620069C22/05/2026M</v>
      </c>
      <c r="B1089" t="s">
        <v>822</v>
      </c>
      <c r="C1089" t="s">
        <v>396</v>
      </c>
      <c r="D1089" t="s">
        <v>591</v>
      </c>
      <c r="E1089" t="s">
        <v>593</v>
      </c>
      <c r="F1089" t="s">
        <v>382</v>
      </c>
      <c r="G1089" s="62" t="str">
        <f t="shared" si="271"/>
        <v>64567</v>
      </c>
      <c r="H1089" s="1">
        <v>10620069</v>
      </c>
      <c r="I1089" s="1" t="s">
        <v>388</v>
      </c>
      <c r="J1089" s="61">
        <v>32</v>
      </c>
      <c r="K1089" s="61">
        <v>3.5</v>
      </c>
      <c r="L1089" s="61">
        <v>8.1</v>
      </c>
      <c r="M1089" s="69">
        <f t="shared" si="272"/>
        <v>1.1200000000000001</v>
      </c>
      <c r="N1089" s="69">
        <f t="shared" si="273"/>
        <v>2.5920000000000001</v>
      </c>
      <c r="O1089" s="56">
        <v>35.245069200000003</v>
      </c>
      <c r="P1089" s="57">
        <f t="shared" si="274"/>
        <v>1127.8422144000001</v>
      </c>
      <c r="Q1089" s="58">
        <f t="shared" si="275"/>
        <v>396.01201348314612</v>
      </c>
      <c r="R1089" s="58">
        <f t="shared" si="276"/>
        <v>264.00800898876406</v>
      </c>
      <c r="S1089" s="66">
        <f t="shared" si="277"/>
        <v>19.737238752000003</v>
      </c>
      <c r="T1089" s="64">
        <f t="shared" si="278"/>
        <v>120</v>
      </c>
      <c r="U1089" s="66">
        <f t="shared" si="279"/>
        <v>1267.579453152</v>
      </c>
      <c r="V1089" s="68">
        <f t="shared" si="280"/>
        <v>39.611857911000001</v>
      </c>
      <c r="W1089" s="68">
        <f t="shared" si="281"/>
        <v>445.0770551797753</v>
      </c>
      <c r="X1089" s="68">
        <f t="shared" si="282"/>
        <v>296.71803678651685</v>
      </c>
      <c r="Z1089" s="63"/>
      <c r="AA1089" s="63"/>
    </row>
    <row r="1090" spans="1:27" hidden="1" x14ac:dyDescent="0.25">
      <c r="A1090" t="str">
        <f t="shared" si="270"/>
        <v>10620069B22/05/2026E</v>
      </c>
      <c r="B1090" t="s">
        <v>822</v>
      </c>
      <c r="C1090" t="s">
        <v>397</v>
      </c>
      <c r="D1090" t="s">
        <v>591</v>
      </c>
      <c r="E1090" t="s">
        <v>593</v>
      </c>
      <c r="F1090" t="s">
        <v>382</v>
      </c>
      <c r="G1090" s="62" t="str">
        <f t="shared" si="271"/>
        <v>64567</v>
      </c>
      <c r="H1090" s="1">
        <v>10620069</v>
      </c>
      <c r="I1090" s="1" t="s">
        <v>387</v>
      </c>
      <c r="J1090" s="61">
        <v>30</v>
      </c>
      <c r="K1090" s="61">
        <v>6.6</v>
      </c>
      <c r="L1090" s="61">
        <v>8.8000000000000007</v>
      </c>
      <c r="M1090" s="69">
        <f t="shared" si="272"/>
        <v>1.98</v>
      </c>
      <c r="N1090" s="69">
        <f t="shared" si="273"/>
        <v>2.64</v>
      </c>
      <c r="O1090" s="56">
        <v>54.558900000000001</v>
      </c>
      <c r="P1090" s="57">
        <f t="shared" si="274"/>
        <v>1636.7670000000001</v>
      </c>
      <c r="Q1090" s="58">
        <f t="shared" si="275"/>
        <v>437.63823529411764</v>
      </c>
      <c r="R1090" s="58">
        <f t="shared" si="276"/>
        <v>291.75882352941176</v>
      </c>
      <c r="S1090" s="66">
        <f t="shared" si="277"/>
        <v>28.643422500000003</v>
      </c>
      <c r="T1090" s="64">
        <f t="shared" si="278"/>
        <v>112.5</v>
      </c>
      <c r="U1090" s="66">
        <f t="shared" si="279"/>
        <v>1777.9104225000001</v>
      </c>
      <c r="V1090" s="68">
        <f t="shared" si="280"/>
        <v>59.263680750000006</v>
      </c>
      <c r="W1090" s="68">
        <f t="shared" si="281"/>
        <v>475.37711831550803</v>
      </c>
      <c r="X1090" s="68">
        <f t="shared" si="282"/>
        <v>316.91807887700537</v>
      </c>
      <c r="Z1090" s="63"/>
      <c r="AA1090" s="63"/>
    </row>
    <row r="1091" spans="1:27" hidden="1" x14ac:dyDescent="0.25">
      <c r="A1091" t="str">
        <f t="shared" si="270"/>
        <v>10620069C23/05/2026E</v>
      </c>
      <c r="B1091" t="s">
        <v>822</v>
      </c>
      <c r="C1091" t="s">
        <v>397</v>
      </c>
      <c r="D1091" t="s">
        <v>591</v>
      </c>
      <c r="E1091" t="s">
        <v>593</v>
      </c>
      <c r="F1091" t="s">
        <v>382</v>
      </c>
      <c r="G1091" s="62" t="str">
        <f t="shared" si="271"/>
        <v>64567</v>
      </c>
      <c r="H1091" s="1">
        <v>10620069</v>
      </c>
      <c r="I1091" s="1" t="s">
        <v>388</v>
      </c>
      <c r="J1091" s="61">
        <v>18</v>
      </c>
      <c r="K1091" s="61">
        <v>3</v>
      </c>
      <c r="L1091" s="61">
        <v>8</v>
      </c>
      <c r="M1091" s="69">
        <f t="shared" si="272"/>
        <v>0.54</v>
      </c>
      <c r="N1091" s="69">
        <f t="shared" si="273"/>
        <v>1.44</v>
      </c>
      <c r="O1091" s="56">
        <v>33.001056000000005</v>
      </c>
      <c r="P1091" s="57">
        <f t="shared" si="274"/>
        <v>594.0190080000001</v>
      </c>
      <c r="Q1091" s="58">
        <f t="shared" si="275"/>
        <v>396.01267200000001</v>
      </c>
      <c r="R1091" s="58">
        <f t="shared" si="276"/>
        <v>264.00844799999999</v>
      </c>
      <c r="S1091" s="66">
        <f t="shared" si="277"/>
        <v>10.395332640000003</v>
      </c>
      <c r="T1091" s="64">
        <f t="shared" si="278"/>
        <v>67.5</v>
      </c>
      <c r="U1091" s="66">
        <f t="shared" si="279"/>
        <v>671.91434064000009</v>
      </c>
      <c r="V1091" s="68">
        <f t="shared" si="280"/>
        <v>37.328574480000007</v>
      </c>
      <c r="W1091" s="68">
        <f t="shared" si="281"/>
        <v>447.94289376000006</v>
      </c>
      <c r="X1091" s="68">
        <f t="shared" si="282"/>
        <v>298.62859584000006</v>
      </c>
      <c r="Z1091" s="63"/>
      <c r="AA1091" s="63"/>
    </row>
    <row r="1092" spans="1:27" hidden="1" x14ac:dyDescent="0.25">
      <c r="A1092" t="str">
        <f t="shared" si="270"/>
        <v>10620069B23/05/2026M</v>
      </c>
      <c r="B1092" t="s">
        <v>823</v>
      </c>
      <c r="C1092" t="s">
        <v>396</v>
      </c>
      <c r="D1092" t="s">
        <v>591</v>
      </c>
      <c r="E1092" t="s">
        <v>593</v>
      </c>
      <c r="F1092" t="s">
        <v>382</v>
      </c>
      <c r="G1092" s="62" t="str">
        <f t="shared" si="271"/>
        <v>64567</v>
      </c>
      <c r="H1092" s="1">
        <v>10620069</v>
      </c>
      <c r="I1092" s="1" t="s">
        <v>387</v>
      </c>
      <c r="J1092" s="61">
        <v>14</v>
      </c>
      <c r="K1092" s="61">
        <v>6.9</v>
      </c>
      <c r="L1092" s="61">
        <v>8.8000000000000007</v>
      </c>
      <c r="M1092" s="69">
        <f t="shared" si="272"/>
        <v>0.96600000000000008</v>
      </c>
      <c r="N1092" s="69">
        <f t="shared" si="273"/>
        <v>1.2320000000000002</v>
      </c>
      <c r="O1092" s="56">
        <v>57.038850000000004</v>
      </c>
      <c r="P1092" s="57">
        <f t="shared" si="274"/>
        <v>798.54390000000001</v>
      </c>
      <c r="Q1092" s="58">
        <f t="shared" si="275"/>
        <v>446.77950391644907</v>
      </c>
      <c r="R1092" s="58">
        <f t="shared" si="276"/>
        <v>297.85300261096603</v>
      </c>
      <c r="S1092" s="66">
        <f t="shared" si="277"/>
        <v>13.974518250000001</v>
      </c>
      <c r="T1092" s="64">
        <f t="shared" si="278"/>
        <v>52.5</v>
      </c>
      <c r="U1092" s="66">
        <f t="shared" si="279"/>
        <v>865.01841824999997</v>
      </c>
      <c r="V1092" s="68">
        <f t="shared" si="280"/>
        <v>61.787029874999995</v>
      </c>
      <c r="W1092" s="68">
        <f t="shared" si="281"/>
        <v>483.97151338120096</v>
      </c>
      <c r="X1092" s="68">
        <f t="shared" si="282"/>
        <v>322.64767558746729</v>
      </c>
      <c r="Z1092" s="63"/>
      <c r="AA1092" s="63"/>
    </row>
    <row r="1093" spans="1:27" hidden="1" x14ac:dyDescent="0.25">
      <c r="A1093" t="str">
        <f t="shared" ref="A1093:A1156" si="283">CONCATENATE(H1093,I1093,B1094,C1093)</f>
        <v>10620069C23/05/2026M</v>
      </c>
      <c r="B1093" t="s">
        <v>823</v>
      </c>
      <c r="C1093" t="s">
        <v>396</v>
      </c>
      <c r="D1093" t="s">
        <v>591</v>
      </c>
      <c r="E1093" t="s">
        <v>593</v>
      </c>
      <c r="F1093" t="s">
        <v>382</v>
      </c>
      <c r="G1093" s="62" t="str">
        <f t="shared" si="271"/>
        <v>64567</v>
      </c>
      <c r="H1093" s="1">
        <v>10620069</v>
      </c>
      <c r="I1093" s="1" t="s">
        <v>388</v>
      </c>
      <c r="J1093" s="61">
        <v>36</v>
      </c>
      <c r="K1093" s="61">
        <v>3.3</v>
      </c>
      <c r="L1093" s="61">
        <v>8</v>
      </c>
      <c r="M1093" s="69">
        <f t="shared" si="272"/>
        <v>1.1879999999999999</v>
      </c>
      <c r="N1093" s="69">
        <f t="shared" si="273"/>
        <v>2.88</v>
      </c>
      <c r="O1093" s="56">
        <v>34.189056000000008</v>
      </c>
      <c r="P1093" s="57">
        <f t="shared" si="274"/>
        <v>1230.8060160000002</v>
      </c>
      <c r="Q1093" s="58">
        <f t="shared" si="275"/>
        <v>396.01223166023169</v>
      </c>
      <c r="R1093" s="58">
        <f t="shared" si="276"/>
        <v>264.00815444015444</v>
      </c>
      <c r="S1093" s="66">
        <f t="shared" si="277"/>
        <v>21.539105280000005</v>
      </c>
      <c r="T1093" s="64">
        <f t="shared" si="278"/>
        <v>135</v>
      </c>
      <c r="U1093" s="66">
        <f t="shared" si="279"/>
        <v>1387.3451212800003</v>
      </c>
      <c r="V1093" s="68">
        <f t="shared" si="280"/>
        <v>38.537364480000008</v>
      </c>
      <c r="W1093" s="68">
        <f t="shared" si="281"/>
        <v>446.37873915057918</v>
      </c>
      <c r="X1093" s="68">
        <f t="shared" si="282"/>
        <v>297.5858261003861</v>
      </c>
      <c r="Z1093" s="63"/>
      <c r="AA1093" s="63"/>
    </row>
    <row r="1094" spans="1:27" hidden="1" x14ac:dyDescent="0.25">
      <c r="A1094" t="str">
        <f t="shared" si="283"/>
        <v>10620069B23/05/2026E</v>
      </c>
      <c r="B1094" t="s">
        <v>823</v>
      </c>
      <c r="C1094" t="s">
        <v>397</v>
      </c>
      <c r="D1094" t="s">
        <v>591</v>
      </c>
      <c r="E1094" t="s">
        <v>593</v>
      </c>
      <c r="F1094" t="s">
        <v>382</v>
      </c>
      <c r="G1094" s="62" t="str">
        <f t="shared" si="271"/>
        <v>64567</v>
      </c>
      <c r="H1094" s="1">
        <v>10620069</v>
      </c>
      <c r="I1094" s="1" t="s">
        <v>387</v>
      </c>
      <c r="J1094" s="61">
        <v>19</v>
      </c>
      <c r="K1094" s="61">
        <v>7.8</v>
      </c>
      <c r="L1094" s="61">
        <v>8.8000000000000007</v>
      </c>
      <c r="M1094" s="69">
        <f t="shared" si="272"/>
        <v>1.482</v>
      </c>
      <c r="N1094" s="69">
        <f t="shared" si="273"/>
        <v>1.6720000000000002</v>
      </c>
      <c r="O1094" s="56">
        <v>64.478699999999989</v>
      </c>
      <c r="P1094" s="57">
        <f t="shared" si="274"/>
        <v>1225.0952999999997</v>
      </c>
      <c r="Q1094" s="58">
        <f t="shared" si="275"/>
        <v>471.7953658536585</v>
      </c>
      <c r="R1094" s="58">
        <f t="shared" si="276"/>
        <v>314.530243902439</v>
      </c>
      <c r="S1094" s="66">
        <f t="shared" si="277"/>
        <v>21.439167749999996</v>
      </c>
      <c r="T1094" s="64">
        <f t="shared" si="278"/>
        <v>71.25</v>
      </c>
      <c r="U1094" s="66">
        <f t="shared" si="279"/>
        <v>1317.7844677499997</v>
      </c>
      <c r="V1094" s="68">
        <f t="shared" si="280"/>
        <v>69.357077249999989</v>
      </c>
      <c r="W1094" s="68">
        <f t="shared" si="281"/>
        <v>507.49080914634141</v>
      </c>
      <c r="X1094" s="68">
        <f t="shared" si="282"/>
        <v>338.32720609756092</v>
      </c>
      <c r="Z1094" s="63"/>
      <c r="AA1094" s="63"/>
    </row>
    <row r="1095" spans="1:27" hidden="1" x14ac:dyDescent="0.25">
      <c r="A1095" t="str">
        <f t="shared" si="283"/>
        <v>10620069C24/05/2026E</v>
      </c>
      <c r="B1095" t="s">
        <v>823</v>
      </c>
      <c r="C1095" t="s">
        <v>397</v>
      </c>
      <c r="D1095" t="s">
        <v>591</v>
      </c>
      <c r="E1095" t="s">
        <v>593</v>
      </c>
      <c r="F1095" t="s">
        <v>382</v>
      </c>
      <c r="G1095" s="62" t="str">
        <f t="shared" si="271"/>
        <v>64567</v>
      </c>
      <c r="H1095" s="1">
        <v>10620069</v>
      </c>
      <c r="I1095" s="1" t="s">
        <v>388</v>
      </c>
      <c r="J1095" s="61">
        <v>33</v>
      </c>
      <c r="K1095" s="61">
        <v>3.3</v>
      </c>
      <c r="L1095" s="61">
        <v>8.1</v>
      </c>
      <c r="M1095" s="69">
        <f t="shared" si="272"/>
        <v>1.089</v>
      </c>
      <c r="N1095" s="69">
        <f t="shared" si="273"/>
        <v>2.673</v>
      </c>
      <c r="O1095" s="56">
        <v>34.453069200000002</v>
      </c>
      <c r="P1095" s="57">
        <f t="shared" si="274"/>
        <v>1136.9512836000001</v>
      </c>
      <c r="Q1095" s="58">
        <f t="shared" si="275"/>
        <v>396.01228965517248</v>
      </c>
      <c r="R1095" s="58">
        <f t="shared" si="276"/>
        <v>264.00819310344832</v>
      </c>
      <c r="S1095" s="66">
        <f t="shared" si="277"/>
        <v>19.896647463000004</v>
      </c>
      <c r="T1095" s="64">
        <f t="shared" si="278"/>
        <v>123.75</v>
      </c>
      <c r="U1095" s="66">
        <f t="shared" si="279"/>
        <v>1280.597931063</v>
      </c>
      <c r="V1095" s="68">
        <f t="shared" si="280"/>
        <v>38.805997910999999</v>
      </c>
      <c r="W1095" s="68">
        <f t="shared" si="281"/>
        <v>446.045953</v>
      </c>
      <c r="X1095" s="68">
        <f t="shared" si="282"/>
        <v>297.36396866666666</v>
      </c>
      <c r="Z1095" s="63"/>
      <c r="AA1095" s="63"/>
    </row>
    <row r="1096" spans="1:27" hidden="1" x14ac:dyDescent="0.25">
      <c r="A1096" t="str">
        <f t="shared" si="283"/>
        <v>10620069B24/05/2026M</v>
      </c>
      <c r="B1096" t="s">
        <v>824</v>
      </c>
      <c r="C1096" t="s">
        <v>396</v>
      </c>
      <c r="D1096" t="s">
        <v>591</v>
      </c>
      <c r="E1096" t="s">
        <v>593</v>
      </c>
      <c r="F1096" t="s">
        <v>382</v>
      </c>
      <c r="G1096" s="62" t="str">
        <f t="shared" si="271"/>
        <v>64567</v>
      </c>
      <c r="H1096" s="1">
        <v>10620069</v>
      </c>
      <c r="I1096" s="1" t="s">
        <v>387</v>
      </c>
      <c r="J1096" s="61">
        <v>17</v>
      </c>
      <c r="K1096" s="61">
        <v>6.9</v>
      </c>
      <c r="L1096" s="61">
        <v>8.8000000000000007</v>
      </c>
      <c r="M1096" s="69">
        <f t="shared" si="272"/>
        <v>1.173</v>
      </c>
      <c r="N1096" s="69">
        <f t="shared" si="273"/>
        <v>1.4960000000000002</v>
      </c>
      <c r="O1096" s="56">
        <v>57.038850000000004</v>
      </c>
      <c r="P1096" s="57">
        <f t="shared" si="274"/>
        <v>969.66045000000008</v>
      </c>
      <c r="Q1096" s="58">
        <f t="shared" si="275"/>
        <v>446.77950391644907</v>
      </c>
      <c r="R1096" s="58">
        <f t="shared" si="276"/>
        <v>297.85300261096603</v>
      </c>
      <c r="S1096" s="66">
        <f t="shared" si="277"/>
        <v>16.969057875000004</v>
      </c>
      <c r="T1096" s="64">
        <f t="shared" si="278"/>
        <v>63.75</v>
      </c>
      <c r="U1096" s="66">
        <f t="shared" si="279"/>
        <v>1050.3795078750002</v>
      </c>
      <c r="V1096" s="68">
        <f t="shared" si="280"/>
        <v>61.787029875000009</v>
      </c>
      <c r="W1096" s="68">
        <f t="shared" si="281"/>
        <v>483.97151338120108</v>
      </c>
      <c r="X1096" s="68">
        <f t="shared" si="282"/>
        <v>322.6476755874674</v>
      </c>
      <c r="Z1096" s="63"/>
      <c r="AA1096" s="63"/>
    </row>
    <row r="1097" spans="1:27" hidden="1" x14ac:dyDescent="0.25">
      <c r="A1097" t="str">
        <f t="shared" si="283"/>
        <v>10620069C24/05/2026M</v>
      </c>
      <c r="B1097" t="s">
        <v>824</v>
      </c>
      <c r="C1097" t="s">
        <v>396</v>
      </c>
      <c r="D1097" t="s">
        <v>591</v>
      </c>
      <c r="E1097" t="s">
        <v>593</v>
      </c>
      <c r="F1097" t="s">
        <v>382</v>
      </c>
      <c r="G1097" s="62" t="str">
        <f t="shared" si="271"/>
        <v>64567</v>
      </c>
      <c r="H1097" s="1">
        <v>10620069</v>
      </c>
      <c r="I1097" s="1" t="s">
        <v>388</v>
      </c>
      <c r="J1097" s="61">
        <v>35</v>
      </c>
      <c r="K1097" s="61">
        <v>3</v>
      </c>
      <c r="L1097" s="61">
        <v>8</v>
      </c>
      <c r="M1097" s="69">
        <f t="shared" si="272"/>
        <v>1.05</v>
      </c>
      <c r="N1097" s="69">
        <f t="shared" si="273"/>
        <v>2.8</v>
      </c>
      <c r="O1097" s="56">
        <v>33.001056000000005</v>
      </c>
      <c r="P1097" s="57">
        <f t="shared" si="274"/>
        <v>1155.0369600000001</v>
      </c>
      <c r="Q1097" s="58">
        <f t="shared" si="275"/>
        <v>396.01267200000001</v>
      </c>
      <c r="R1097" s="58">
        <f t="shared" si="276"/>
        <v>264.00844799999999</v>
      </c>
      <c r="S1097" s="66">
        <f t="shared" si="277"/>
        <v>20.213146800000004</v>
      </c>
      <c r="T1097" s="64">
        <f t="shared" si="278"/>
        <v>131.25</v>
      </c>
      <c r="U1097" s="66">
        <f t="shared" si="279"/>
        <v>1306.5001068000001</v>
      </c>
      <c r="V1097" s="68">
        <f t="shared" si="280"/>
        <v>37.328574480000007</v>
      </c>
      <c r="W1097" s="68">
        <f t="shared" si="281"/>
        <v>447.94289376000006</v>
      </c>
      <c r="X1097" s="68">
        <f t="shared" si="282"/>
        <v>298.62859584000006</v>
      </c>
      <c r="Z1097" s="63"/>
      <c r="AA1097" s="63"/>
    </row>
    <row r="1098" spans="1:27" hidden="1" x14ac:dyDescent="0.25">
      <c r="A1098" t="str">
        <f t="shared" si="283"/>
        <v>10620069B24/05/2026E</v>
      </c>
      <c r="B1098" t="s">
        <v>824</v>
      </c>
      <c r="C1098" t="s">
        <v>397</v>
      </c>
      <c r="D1098" t="s">
        <v>591</v>
      </c>
      <c r="E1098" t="s">
        <v>593</v>
      </c>
      <c r="F1098" t="s">
        <v>382</v>
      </c>
      <c r="G1098" s="62" t="str">
        <f t="shared" si="271"/>
        <v>64567</v>
      </c>
      <c r="H1098" s="1">
        <v>10620069</v>
      </c>
      <c r="I1098" s="1" t="s">
        <v>387</v>
      </c>
      <c r="J1098" s="61">
        <v>25</v>
      </c>
      <c r="K1098" s="61">
        <v>7.3</v>
      </c>
      <c r="L1098" s="61">
        <v>8.8000000000000007</v>
      </c>
      <c r="M1098" s="69">
        <f t="shared" si="272"/>
        <v>1.825</v>
      </c>
      <c r="N1098" s="69">
        <f t="shared" si="273"/>
        <v>2.2000000000000002</v>
      </c>
      <c r="O1098" s="56">
        <v>60.34545</v>
      </c>
      <c r="P1098" s="57">
        <f t="shared" si="274"/>
        <v>1508.63625</v>
      </c>
      <c r="Q1098" s="58">
        <f t="shared" si="275"/>
        <v>458.31987341772157</v>
      </c>
      <c r="R1098" s="58">
        <f t="shared" si="276"/>
        <v>305.54658227848103</v>
      </c>
      <c r="S1098" s="66">
        <f t="shared" si="277"/>
        <v>26.401134375000002</v>
      </c>
      <c r="T1098" s="64">
        <f t="shared" si="278"/>
        <v>93.75</v>
      </c>
      <c r="U1098" s="66">
        <f t="shared" si="279"/>
        <v>1628.7873843750001</v>
      </c>
      <c r="V1098" s="68">
        <f t="shared" si="280"/>
        <v>65.15149537500001</v>
      </c>
      <c r="W1098" s="68">
        <f t="shared" si="281"/>
        <v>494.8214838607596</v>
      </c>
      <c r="X1098" s="68">
        <f t="shared" si="282"/>
        <v>329.88098924050638</v>
      </c>
      <c r="Z1098" s="63"/>
      <c r="AA1098" s="63"/>
    </row>
    <row r="1099" spans="1:27" hidden="1" x14ac:dyDescent="0.25">
      <c r="A1099" t="str">
        <f t="shared" si="283"/>
        <v>10620069C25/05/2026E</v>
      </c>
      <c r="B1099" t="s">
        <v>824</v>
      </c>
      <c r="C1099" t="s">
        <v>397</v>
      </c>
      <c r="D1099" t="s">
        <v>591</v>
      </c>
      <c r="E1099" t="s">
        <v>593</v>
      </c>
      <c r="F1099" t="s">
        <v>382</v>
      </c>
      <c r="G1099" s="62" t="str">
        <f t="shared" si="271"/>
        <v>64567</v>
      </c>
      <c r="H1099" s="1">
        <v>10620069</v>
      </c>
      <c r="I1099" s="1" t="s">
        <v>388</v>
      </c>
      <c r="J1099" s="61">
        <v>48</v>
      </c>
      <c r="K1099" s="61">
        <v>5</v>
      </c>
      <c r="L1099" s="61">
        <v>8.5</v>
      </c>
      <c r="M1099" s="69">
        <f t="shared" si="272"/>
        <v>2.4</v>
      </c>
      <c r="N1099" s="69">
        <f t="shared" si="273"/>
        <v>4.08</v>
      </c>
      <c r="O1099" s="56">
        <v>42.241122000000004</v>
      </c>
      <c r="P1099" s="57">
        <f t="shared" si="274"/>
        <v>2027.5738560000002</v>
      </c>
      <c r="Q1099" s="58">
        <f t="shared" si="275"/>
        <v>396.01051875000002</v>
      </c>
      <c r="R1099" s="58">
        <f t="shared" si="276"/>
        <v>264.00701250000003</v>
      </c>
      <c r="S1099" s="66">
        <f t="shared" si="277"/>
        <v>35.482542480000006</v>
      </c>
      <c r="T1099" s="64">
        <f t="shared" si="278"/>
        <v>180</v>
      </c>
      <c r="U1099" s="66">
        <f t="shared" si="279"/>
        <v>2243.0563984800001</v>
      </c>
      <c r="V1099" s="68">
        <f t="shared" si="280"/>
        <v>46.730341635000002</v>
      </c>
      <c r="W1099" s="68">
        <f t="shared" si="281"/>
        <v>438.09695282812498</v>
      </c>
      <c r="X1099" s="68">
        <f t="shared" si="282"/>
        <v>292.06463521874997</v>
      </c>
      <c r="Z1099" s="63"/>
      <c r="AA1099" s="63"/>
    </row>
    <row r="1100" spans="1:27" hidden="1" x14ac:dyDescent="0.25">
      <c r="A1100" t="str">
        <f t="shared" si="283"/>
        <v>10620069B25/05/2026M</v>
      </c>
      <c r="B1100" t="s">
        <v>825</v>
      </c>
      <c r="C1100" t="s">
        <v>396</v>
      </c>
      <c r="D1100" t="s">
        <v>591</v>
      </c>
      <c r="E1100" t="s">
        <v>593</v>
      </c>
      <c r="F1100" t="s">
        <v>382</v>
      </c>
      <c r="G1100" s="62" t="str">
        <f t="shared" si="271"/>
        <v>64567</v>
      </c>
      <c r="H1100" s="1">
        <v>10620069</v>
      </c>
      <c r="I1100" s="1" t="s">
        <v>387</v>
      </c>
      <c r="J1100" s="61">
        <v>18</v>
      </c>
      <c r="K1100" s="61">
        <v>6.8</v>
      </c>
      <c r="L1100" s="61">
        <v>8.8000000000000007</v>
      </c>
      <c r="M1100" s="69">
        <f t="shared" si="272"/>
        <v>1.224</v>
      </c>
      <c r="N1100" s="69">
        <f t="shared" si="273"/>
        <v>1.5840000000000001</v>
      </c>
      <c r="O1100" s="56">
        <v>56.212200000000003</v>
      </c>
      <c r="P1100" s="57">
        <f t="shared" si="274"/>
        <v>1011.8196</v>
      </c>
      <c r="Q1100" s="58">
        <f t="shared" si="275"/>
        <v>443.78052631578947</v>
      </c>
      <c r="R1100" s="58">
        <f t="shared" si="276"/>
        <v>295.8536842105263</v>
      </c>
      <c r="S1100" s="66">
        <f t="shared" si="277"/>
        <v>17.706843000000003</v>
      </c>
      <c r="T1100" s="64">
        <f t="shared" si="278"/>
        <v>67.5</v>
      </c>
      <c r="U1100" s="66">
        <f t="shared" si="279"/>
        <v>1097.026443</v>
      </c>
      <c r="V1100" s="68">
        <f t="shared" si="280"/>
        <v>60.945913499999996</v>
      </c>
      <c r="W1100" s="68">
        <f t="shared" si="281"/>
        <v>481.15194868421048</v>
      </c>
      <c r="X1100" s="68">
        <f t="shared" si="282"/>
        <v>320.76796578947364</v>
      </c>
      <c r="Z1100" s="63"/>
      <c r="AA1100" s="63"/>
    </row>
    <row r="1101" spans="1:27" hidden="1" x14ac:dyDescent="0.25">
      <c r="A1101" t="str">
        <f t="shared" si="283"/>
        <v>10620069C25/05/2026M</v>
      </c>
      <c r="B1101" t="s">
        <v>825</v>
      </c>
      <c r="C1101" t="s">
        <v>396</v>
      </c>
      <c r="D1101" t="s">
        <v>591</v>
      </c>
      <c r="E1101" t="s">
        <v>593</v>
      </c>
      <c r="F1101" t="s">
        <v>382</v>
      </c>
      <c r="G1101" s="62" t="str">
        <f t="shared" si="271"/>
        <v>64567</v>
      </c>
      <c r="H1101" s="1">
        <v>10620069</v>
      </c>
      <c r="I1101" s="1" t="s">
        <v>388</v>
      </c>
      <c r="J1101" s="61">
        <v>36</v>
      </c>
      <c r="K1101" s="61">
        <v>3.3</v>
      </c>
      <c r="L1101" s="61">
        <v>8.1</v>
      </c>
      <c r="M1101" s="69">
        <f t="shared" si="272"/>
        <v>1.1879999999999999</v>
      </c>
      <c r="N1101" s="69">
        <f t="shared" si="273"/>
        <v>2.9159999999999995</v>
      </c>
      <c r="O1101" s="56">
        <v>34.453069200000002</v>
      </c>
      <c r="P1101" s="57">
        <f t="shared" si="274"/>
        <v>1240.3104912000001</v>
      </c>
      <c r="Q1101" s="58">
        <f t="shared" si="275"/>
        <v>396.01228965517248</v>
      </c>
      <c r="R1101" s="58">
        <f t="shared" si="276"/>
        <v>264.00819310344832</v>
      </c>
      <c r="S1101" s="66">
        <f t="shared" si="277"/>
        <v>21.705433596000002</v>
      </c>
      <c r="T1101" s="64">
        <f t="shared" si="278"/>
        <v>135</v>
      </c>
      <c r="U1101" s="66">
        <f t="shared" si="279"/>
        <v>1397.015924796</v>
      </c>
      <c r="V1101" s="68">
        <f t="shared" si="280"/>
        <v>38.805997910999999</v>
      </c>
      <c r="W1101" s="68">
        <f t="shared" si="281"/>
        <v>446.045953</v>
      </c>
      <c r="X1101" s="68">
        <f t="shared" si="282"/>
        <v>297.36396866666666</v>
      </c>
      <c r="Z1101" s="63"/>
      <c r="AA1101" s="63"/>
    </row>
    <row r="1102" spans="1:27" hidden="1" x14ac:dyDescent="0.25">
      <c r="A1102" t="str">
        <f t="shared" si="283"/>
        <v>10620069B25/05/2026E</v>
      </c>
      <c r="B1102" t="s">
        <v>825</v>
      </c>
      <c r="C1102" t="s">
        <v>397</v>
      </c>
      <c r="D1102" t="s">
        <v>591</v>
      </c>
      <c r="E1102" t="s">
        <v>593</v>
      </c>
      <c r="F1102" t="s">
        <v>382</v>
      </c>
      <c r="G1102" s="62" t="str">
        <f t="shared" si="271"/>
        <v>64567</v>
      </c>
      <c r="H1102" s="1">
        <v>10620069</v>
      </c>
      <c r="I1102" s="1" t="s">
        <v>387</v>
      </c>
      <c r="J1102" s="61">
        <v>40</v>
      </c>
      <c r="K1102" s="61">
        <v>6.1</v>
      </c>
      <c r="L1102" s="61">
        <v>8.8000000000000007</v>
      </c>
      <c r="M1102" s="69">
        <f t="shared" si="272"/>
        <v>2.44</v>
      </c>
      <c r="N1102" s="69">
        <f t="shared" si="273"/>
        <v>3.52</v>
      </c>
      <c r="O1102" s="56">
        <v>50.425650000000005</v>
      </c>
      <c r="P1102" s="57">
        <f t="shared" si="274"/>
        <v>2017.0260000000003</v>
      </c>
      <c r="Q1102" s="58">
        <f t="shared" si="275"/>
        <v>421.38426183844012</v>
      </c>
      <c r="R1102" s="58">
        <f t="shared" si="276"/>
        <v>280.92284122562677</v>
      </c>
      <c r="S1102" s="66">
        <f t="shared" si="277"/>
        <v>35.297955000000009</v>
      </c>
      <c r="T1102" s="64">
        <f t="shared" si="278"/>
        <v>150</v>
      </c>
      <c r="U1102" s="66">
        <f t="shared" si="279"/>
        <v>2202.3239550000003</v>
      </c>
      <c r="V1102" s="68">
        <f t="shared" si="280"/>
        <v>55.058098875000006</v>
      </c>
      <c r="W1102" s="68">
        <f t="shared" si="281"/>
        <v>460.09553377437328</v>
      </c>
      <c r="X1102" s="68">
        <f t="shared" si="282"/>
        <v>306.73035584958217</v>
      </c>
      <c r="Z1102" s="63"/>
      <c r="AA1102" s="63"/>
    </row>
    <row r="1103" spans="1:27" hidden="1" x14ac:dyDescent="0.25">
      <c r="A1103" t="str">
        <f t="shared" si="283"/>
        <v>10620069C26/05/2026E</v>
      </c>
      <c r="B1103" t="s">
        <v>825</v>
      </c>
      <c r="C1103" t="s">
        <v>397</v>
      </c>
      <c r="D1103" t="s">
        <v>591</v>
      </c>
      <c r="E1103" t="s">
        <v>593</v>
      </c>
      <c r="F1103" t="s">
        <v>382</v>
      </c>
      <c r="G1103" s="62" t="str">
        <f t="shared" si="271"/>
        <v>64567</v>
      </c>
      <c r="H1103" s="1">
        <v>10620069</v>
      </c>
      <c r="I1103" s="1" t="s">
        <v>388</v>
      </c>
      <c r="J1103" s="61">
        <v>26</v>
      </c>
      <c r="K1103" s="61">
        <v>3</v>
      </c>
      <c r="L1103" s="61">
        <v>8</v>
      </c>
      <c r="M1103" s="69">
        <f t="shared" si="272"/>
        <v>0.78</v>
      </c>
      <c r="N1103" s="69">
        <f t="shared" si="273"/>
        <v>2.08</v>
      </c>
      <c r="O1103" s="56">
        <v>33.001056000000005</v>
      </c>
      <c r="P1103" s="57">
        <f t="shared" si="274"/>
        <v>858.02745600000014</v>
      </c>
      <c r="Q1103" s="58">
        <f t="shared" si="275"/>
        <v>396.01267200000001</v>
      </c>
      <c r="R1103" s="58">
        <f t="shared" si="276"/>
        <v>264.00844799999999</v>
      </c>
      <c r="S1103" s="66">
        <f t="shared" si="277"/>
        <v>15.015480480000004</v>
      </c>
      <c r="T1103" s="64">
        <f t="shared" si="278"/>
        <v>97.5</v>
      </c>
      <c r="U1103" s="66">
        <f t="shared" si="279"/>
        <v>970.54293648000021</v>
      </c>
      <c r="V1103" s="68">
        <f t="shared" si="280"/>
        <v>37.328574480000007</v>
      </c>
      <c r="W1103" s="68">
        <f t="shared" si="281"/>
        <v>447.94289376000006</v>
      </c>
      <c r="X1103" s="68">
        <f t="shared" si="282"/>
        <v>298.62859584000006</v>
      </c>
      <c r="Z1103" s="63"/>
      <c r="AA1103" s="63"/>
    </row>
    <row r="1104" spans="1:27" hidden="1" x14ac:dyDescent="0.25">
      <c r="A1104" t="str">
        <f t="shared" si="283"/>
        <v>10620069B26/05/2026M</v>
      </c>
      <c r="B1104" t="s">
        <v>826</v>
      </c>
      <c r="C1104" t="s">
        <v>396</v>
      </c>
      <c r="D1104" t="s">
        <v>591</v>
      </c>
      <c r="E1104" t="s">
        <v>593</v>
      </c>
      <c r="F1104" t="s">
        <v>382</v>
      </c>
      <c r="G1104" s="62" t="str">
        <f t="shared" si="271"/>
        <v>64567</v>
      </c>
      <c r="H1104" s="1">
        <v>10620069</v>
      </c>
      <c r="I1104" s="1" t="s">
        <v>387</v>
      </c>
      <c r="J1104" s="61">
        <v>17</v>
      </c>
      <c r="K1104" s="61">
        <v>7.5</v>
      </c>
      <c r="L1104" s="61">
        <v>8.8000000000000007</v>
      </c>
      <c r="M1104" s="69">
        <f t="shared" si="272"/>
        <v>1.2749999999999999</v>
      </c>
      <c r="N1104" s="69">
        <f t="shared" si="273"/>
        <v>1.4960000000000002</v>
      </c>
      <c r="O1104" s="56">
        <f>INDEX(Rate_Chart!$A$1:$AK$127,MATCH(Data!K1104,Rate_Chart!$A$1:$A$127,0),MATCH(Data!L1104,Rate_Chart!$A$1:$AK$1,0))</f>
        <v>61.998750000000001</v>
      </c>
      <c r="P1104" s="57">
        <f t="shared" si="274"/>
        <v>1053.97875</v>
      </c>
      <c r="Q1104" s="58">
        <f t="shared" si="275"/>
        <v>463.83104738154617</v>
      </c>
      <c r="R1104" s="58">
        <f t="shared" si="276"/>
        <v>309.22069825436409</v>
      </c>
      <c r="S1104" s="66">
        <f t="shared" si="277"/>
        <v>18.444628125000001</v>
      </c>
      <c r="T1104" s="64">
        <f t="shared" si="278"/>
        <v>63.75</v>
      </c>
      <c r="U1104" s="66">
        <f t="shared" si="279"/>
        <v>1136.173378125</v>
      </c>
      <c r="V1104" s="68">
        <f t="shared" si="280"/>
        <v>66.833728124999993</v>
      </c>
      <c r="W1104" s="68">
        <f t="shared" si="281"/>
        <v>500.00295355361595</v>
      </c>
      <c r="X1104" s="68">
        <f t="shared" si="282"/>
        <v>333.33530236907728</v>
      </c>
      <c r="Z1104" s="63"/>
      <c r="AA1104" s="63"/>
    </row>
    <row r="1105" spans="1:27" hidden="1" x14ac:dyDescent="0.25">
      <c r="A1105" t="str">
        <f t="shared" si="283"/>
        <v>10620069C26/05/2026M</v>
      </c>
      <c r="B1105" t="s">
        <v>826</v>
      </c>
      <c r="C1105" t="s">
        <v>396</v>
      </c>
      <c r="D1105" t="s">
        <v>591</v>
      </c>
      <c r="E1105" t="s">
        <v>593</v>
      </c>
      <c r="F1105" t="s">
        <v>382</v>
      </c>
      <c r="G1105" s="62" t="str">
        <f t="shared" si="271"/>
        <v>64567</v>
      </c>
      <c r="H1105" s="1">
        <v>10620069</v>
      </c>
      <c r="I1105" s="1" t="s">
        <v>388</v>
      </c>
      <c r="J1105" s="61">
        <v>28</v>
      </c>
      <c r="K1105" s="61">
        <v>3.1</v>
      </c>
      <c r="L1105" s="61">
        <v>8.1</v>
      </c>
      <c r="M1105" s="69">
        <f t="shared" si="272"/>
        <v>0.86799999999999999</v>
      </c>
      <c r="N1105" s="69">
        <f t="shared" si="273"/>
        <v>2.2679999999999998</v>
      </c>
      <c r="O1105" s="56">
        <f>INDEX(Rate_Chart!$A$1:$AK$127,MATCH(Data!K1105,Rate_Chart!$A$1:$A$127,0),MATCH(Data!L1105,Rate_Chart!$A$1:$AK$1,0))</f>
        <v>35.446125899999998</v>
      </c>
      <c r="P1105" s="57">
        <f t="shared" si="274"/>
        <v>992.49152519999996</v>
      </c>
      <c r="Q1105" s="58">
        <f t="shared" si="275"/>
        <v>417.01324588235298</v>
      </c>
      <c r="R1105" s="58">
        <f t="shared" si="276"/>
        <v>278.0088305882353</v>
      </c>
      <c r="S1105" s="66">
        <f t="shared" si="277"/>
        <v>17.368601691000002</v>
      </c>
      <c r="T1105" s="64">
        <f t="shared" si="278"/>
        <v>105</v>
      </c>
      <c r="U1105" s="66">
        <f t="shared" si="279"/>
        <v>1114.8601268909999</v>
      </c>
      <c r="V1105" s="68">
        <f t="shared" si="280"/>
        <v>39.816433103249999</v>
      </c>
      <c r="W1105" s="68">
        <f t="shared" si="281"/>
        <v>468.42862474411766</v>
      </c>
      <c r="X1105" s="68">
        <f t="shared" si="282"/>
        <v>312.28574982941177</v>
      </c>
      <c r="Z1105" s="63"/>
      <c r="AA1105" s="63"/>
    </row>
    <row r="1106" spans="1:27" hidden="1" x14ac:dyDescent="0.25">
      <c r="A1106" t="str">
        <f t="shared" si="283"/>
        <v>10620069B26/05/2026E</v>
      </c>
      <c r="B1106" t="s">
        <v>826</v>
      </c>
      <c r="C1106" t="s">
        <v>397</v>
      </c>
      <c r="D1106" t="s">
        <v>591</v>
      </c>
      <c r="E1106" t="s">
        <v>593</v>
      </c>
      <c r="F1106" t="s">
        <v>382</v>
      </c>
      <c r="G1106" s="62" t="str">
        <f t="shared" si="271"/>
        <v>64567</v>
      </c>
      <c r="H1106" s="1">
        <v>10620069</v>
      </c>
      <c r="I1106" s="1" t="s">
        <v>387</v>
      </c>
      <c r="J1106" s="61">
        <v>35</v>
      </c>
      <c r="K1106" s="61">
        <v>6.8</v>
      </c>
      <c r="L1106" s="61">
        <v>9</v>
      </c>
      <c r="M1106" s="69">
        <f t="shared" si="272"/>
        <v>2.38</v>
      </c>
      <c r="N1106" s="69">
        <f t="shared" si="273"/>
        <v>3.15</v>
      </c>
      <c r="O1106" s="56">
        <f>INDEX(Rate_Chart!$A$1:$AK$127,MATCH(Data!K1106,Rate_Chart!$A$1:$A$127,0),MATCH(Data!L1106,Rate_Chart!$A$1:$AK$1,0))</f>
        <v>56.78</v>
      </c>
      <c r="P1106" s="57">
        <f t="shared" si="274"/>
        <v>1987.3</v>
      </c>
      <c r="Q1106" s="58">
        <f t="shared" si="275"/>
        <v>443.59375</v>
      </c>
      <c r="R1106" s="58">
        <f t="shared" si="276"/>
        <v>295.72916666666669</v>
      </c>
      <c r="S1106" s="66">
        <f t="shared" si="277"/>
        <v>34.777750000000005</v>
      </c>
      <c r="T1106" s="64">
        <f t="shared" si="278"/>
        <v>131.25</v>
      </c>
      <c r="U1106" s="66">
        <f t="shared" si="279"/>
        <v>2153.3277499999999</v>
      </c>
      <c r="V1106" s="68">
        <f t="shared" si="280"/>
        <v>61.523649999999996</v>
      </c>
      <c r="W1106" s="68">
        <f t="shared" si="281"/>
        <v>480.65351562499995</v>
      </c>
      <c r="X1106" s="68">
        <f t="shared" si="282"/>
        <v>320.4356770833333</v>
      </c>
      <c r="Z1106" s="63"/>
      <c r="AA1106" s="63"/>
    </row>
    <row r="1107" spans="1:27" hidden="1" x14ac:dyDescent="0.25">
      <c r="A1107" t="str">
        <f t="shared" si="283"/>
        <v>10620069C27/05/2026E</v>
      </c>
      <c r="B1107" t="s">
        <v>826</v>
      </c>
      <c r="C1107" t="s">
        <v>397</v>
      </c>
      <c r="D1107" t="s">
        <v>591</v>
      </c>
      <c r="E1107" t="s">
        <v>593</v>
      </c>
      <c r="F1107" t="s">
        <v>382</v>
      </c>
      <c r="G1107" s="62" t="str">
        <f t="shared" si="271"/>
        <v>64567</v>
      </c>
      <c r="H1107" s="1">
        <v>10620069</v>
      </c>
      <c r="I1107" s="1" t="s">
        <v>388</v>
      </c>
      <c r="J1107" s="61">
        <v>31</v>
      </c>
      <c r="K1107" s="61">
        <v>3.3</v>
      </c>
      <c r="L1107" s="61">
        <v>8.4</v>
      </c>
      <c r="M1107" s="69">
        <f t="shared" si="272"/>
        <v>1.0229999999999999</v>
      </c>
      <c r="N1107" s="69">
        <f t="shared" si="273"/>
        <v>2.6040000000000005</v>
      </c>
      <c r="O1107" s="56">
        <f>INDEX(Rate_Chart!$A$1:$AK$127,MATCH(Data!K1107,Rate_Chart!$A$1:$A$127,0),MATCH(Data!L1107,Rate_Chart!$A$1:$AK$1,0))</f>
        <v>37.114167600000009</v>
      </c>
      <c r="P1107" s="57">
        <f t="shared" si="274"/>
        <v>1150.5391956000003</v>
      </c>
      <c r="Q1107" s="58">
        <f t="shared" si="275"/>
        <v>417.01311910112372</v>
      </c>
      <c r="R1107" s="58">
        <f t="shared" si="276"/>
        <v>278.00874606741581</v>
      </c>
      <c r="S1107" s="66">
        <f t="shared" si="277"/>
        <v>20.134435923000009</v>
      </c>
      <c r="T1107" s="64">
        <f t="shared" si="278"/>
        <v>116.25</v>
      </c>
      <c r="U1107" s="66">
        <f t="shared" si="279"/>
        <v>1286.9236315230003</v>
      </c>
      <c r="V1107" s="68">
        <f t="shared" si="280"/>
        <v>41.513665533000008</v>
      </c>
      <c r="W1107" s="68">
        <f t="shared" si="281"/>
        <v>466.4456801460675</v>
      </c>
      <c r="X1107" s="68">
        <f t="shared" si="282"/>
        <v>310.96378676404498</v>
      </c>
      <c r="Z1107" s="63"/>
      <c r="AA1107" s="63"/>
    </row>
    <row r="1108" spans="1:27" hidden="1" x14ac:dyDescent="0.25">
      <c r="A1108" t="str">
        <f t="shared" si="283"/>
        <v>10620069B27/05/2026M</v>
      </c>
      <c r="B1108" t="s">
        <v>827</v>
      </c>
      <c r="C1108" t="s">
        <v>396</v>
      </c>
      <c r="D1108" t="s">
        <v>591</v>
      </c>
      <c r="E1108" t="s">
        <v>593</v>
      </c>
      <c r="F1108" t="s">
        <v>382</v>
      </c>
      <c r="G1108" s="62" t="str">
        <f t="shared" si="271"/>
        <v>64567</v>
      </c>
      <c r="H1108" s="1">
        <v>10620069</v>
      </c>
      <c r="I1108" s="1" t="s">
        <v>387</v>
      </c>
      <c r="J1108" s="61">
        <v>17</v>
      </c>
      <c r="K1108" s="61">
        <v>7.4</v>
      </c>
      <c r="L1108" s="61">
        <v>9</v>
      </c>
      <c r="M1108" s="69">
        <f t="shared" si="272"/>
        <v>1.258</v>
      </c>
      <c r="N1108" s="69">
        <f t="shared" si="273"/>
        <v>1.53</v>
      </c>
      <c r="O1108" s="56">
        <f>INDEX(Rate_Chart!$A$1:$AK$127,MATCH(Data!K1108,Rate_Chart!$A$1:$A$127,0),MATCH(Data!L1108,Rate_Chart!$A$1:$AK$1,0))</f>
        <v>61.790000000000006</v>
      </c>
      <c r="P1108" s="57">
        <f t="shared" si="274"/>
        <v>1050.43</v>
      </c>
      <c r="Q1108" s="58">
        <f t="shared" si="275"/>
        <v>461.11940298507466</v>
      </c>
      <c r="R1108" s="58">
        <f t="shared" si="276"/>
        <v>307.41293532338312</v>
      </c>
      <c r="S1108" s="66">
        <f t="shared" si="277"/>
        <v>18.382525000000001</v>
      </c>
      <c r="T1108" s="64">
        <f t="shared" si="278"/>
        <v>63.75</v>
      </c>
      <c r="U1108" s="66">
        <f t="shared" si="279"/>
        <v>1132.5625250000001</v>
      </c>
      <c r="V1108" s="68">
        <f t="shared" si="280"/>
        <v>66.621324999999999</v>
      </c>
      <c r="W1108" s="68">
        <f t="shared" si="281"/>
        <v>497.17406716417906</v>
      </c>
      <c r="X1108" s="68">
        <f t="shared" si="282"/>
        <v>331.44937810945271</v>
      </c>
      <c r="Z1108" s="63"/>
      <c r="AA1108" s="63"/>
    </row>
    <row r="1109" spans="1:27" hidden="1" x14ac:dyDescent="0.25">
      <c r="A1109" t="str">
        <f t="shared" si="283"/>
        <v>10620069B27/05/2026E</v>
      </c>
      <c r="B1109" t="s">
        <v>827</v>
      </c>
      <c r="C1109" t="s">
        <v>397</v>
      </c>
      <c r="D1109" t="s">
        <v>591</v>
      </c>
      <c r="E1109" t="s">
        <v>593</v>
      </c>
      <c r="F1109" t="s">
        <v>382</v>
      </c>
      <c r="G1109" s="62" t="str">
        <f t="shared" si="271"/>
        <v>64567</v>
      </c>
      <c r="H1109" s="1">
        <v>10620069</v>
      </c>
      <c r="I1109" s="1" t="s">
        <v>387</v>
      </c>
      <c r="J1109" s="61">
        <v>37</v>
      </c>
      <c r="K1109" s="61">
        <v>7.3</v>
      </c>
      <c r="L1109" s="61">
        <v>9</v>
      </c>
      <c r="M1109" s="69">
        <f t="shared" si="272"/>
        <v>2.7009999999999996</v>
      </c>
      <c r="N1109" s="69">
        <f t="shared" si="273"/>
        <v>3.33</v>
      </c>
      <c r="O1109" s="56">
        <f>INDEX(Rate_Chart!$A$1:$AK$127,MATCH(Data!K1109,Rate_Chart!$A$1:$A$127,0),MATCH(Data!L1109,Rate_Chart!$A$1:$AK$1,0))</f>
        <v>60.954999999999998</v>
      </c>
      <c r="P1109" s="57">
        <f t="shared" si="274"/>
        <v>2255.335</v>
      </c>
      <c r="Q1109" s="58">
        <f t="shared" si="275"/>
        <v>458.30827067669168</v>
      </c>
      <c r="R1109" s="58">
        <f t="shared" si="276"/>
        <v>305.53884711779443</v>
      </c>
      <c r="S1109" s="66">
        <f t="shared" si="277"/>
        <v>39.468362500000005</v>
      </c>
      <c r="T1109" s="64">
        <f t="shared" si="278"/>
        <v>138.75</v>
      </c>
      <c r="U1109" s="66">
        <f t="shared" si="279"/>
        <v>2433.5533624999998</v>
      </c>
      <c r="V1109" s="68">
        <f t="shared" si="280"/>
        <v>65.771712499999992</v>
      </c>
      <c r="W1109" s="68">
        <f t="shared" si="281"/>
        <v>494.52415413533828</v>
      </c>
      <c r="X1109" s="68">
        <f t="shared" si="282"/>
        <v>329.68276942355885</v>
      </c>
      <c r="Z1109" s="63"/>
      <c r="AA1109" s="63"/>
    </row>
    <row r="1110" spans="1:27" hidden="1" x14ac:dyDescent="0.25">
      <c r="A1110" t="str">
        <f t="shared" si="283"/>
        <v>10620069C28/05/2026E</v>
      </c>
      <c r="B1110" t="s">
        <v>827</v>
      </c>
      <c r="C1110" t="s">
        <v>397</v>
      </c>
      <c r="D1110" t="s">
        <v>591</v>
      </c>
      <c r="E1110" t="s">
        <v>593</v>
      </c>
      <c r="F1110" t="s">
        <v>382</v>
      </c>
      <c r="G1110" s="62" t="str">
        <f t="shared" si="271"/>
        <v>64567</v>
      </c>
      <c r="H1110" s="1">
        <v>10620069</v>
      </c>
      <c r="I1110" s="1" t="s">
        <v>388</v>
      </c>
      <c r="J1110" s="61">
        <v>30</v>
      </c>
      <c r="K1110" s="61">
        <v>3</v>
      </c>
      <c r="L1110" s="61">
        <v>8.3000000000000007</v>
      </c>
      <c r="M1110" s="69">
        <f t="shared" si="272"/>
        <v>0.9</v>
      </c>
      <c r="N1110" s="69">
        <f t="shared" si="273"/>
        <v>2.4900000000000002</v>
      </c>
      <c r="O1110" s="56">
        <f>INDEX(Rate_Chart!$A$1:$AK$127,MATCH(Data!K1110,Rate_Chart!$A$1:$A$127,0),MATCH(Data!L1110,Rate_Chart!$A$1:$AK$1,0))</f>
        <v>35.585153700000006</v>
      </c>
      <c r="P1110" s="57">
        <f t="shared" si="274"/>
        <v>1067.5546110000002</v>
      </c>
      <c r="Q1110" s="58">
        <f t="shared" si="275"/>
        <v>417.013519921875</v>
      </c>
      <c r="R1110" s="58">
        <f t="shared" si="276"/>
        <v>278.00901328125002</v>
      </c>
      <c r="S1110" s="66">
        <f t="shared" si="277"/>
        <v>18.682205692500006</v>
      </c>
      <c r="T1110" s="64">
        <f t="shared" si="278"/>
        <v>112.5</v>
      </c>
      <c r="U1110" s="66">
        <f t="shared" si="279"/>
        <v>1198.7368166925003</v>
      </c>
      <c r="V1110" s="68">
        <f t="shared" si="280"/>
        <v>39.957893889750011</v>
      </c>
      <c r="W1110" s="68">
        <f t="shared" si="281"/>
        <v>468.25656902050787</v>
      </c>
      <c r="X1110" s="68">
        <f t="shared" si="282"/>
        <v>312.17104601367191</v>
      </c>
      <c r="Z1110" s="63"/>
      <c r="AA1110" s="63"/>
    </row>
    <row r="1111" spans="1:27" hidden="1" x14ac:dyDescent="0.25">
      <c r="A1111" t="str">
        <f t="shared" si="283"/>
        <v>10620069B28/05/2026M</v>
      </c>
      <c r="B1111" t="s">
        <v>828</v>
      </c>
      <c r="C1111" t="s">
        <v>396</v>
      </c>
      <c r="D1111" t="s">
        <v>591</v>
      </c>
      <c r="E1111" t="s">
        <v>593</v>
      </c>
      <c r="F1111" t="s">
        <v>382</v>
      </c>
      <c r="G1111" s="62" t="str">
        <f t="shared" si="271"/>
        <v>64567</v>
      </c>
      <c r="H1111" s="1">
        <v>10620069</v>
      </c>
      <c r="I1111" s="1" t="s">
        <v>387</v>
      </c>
      <c r="J1111" s="61">
        <v>15</v>
      </c>
      <c r="K1111" s="61">
        <v>6.1</v>
      </c>
      <c r="L1111" s="61">
        <v>8.8000000000000007</v>
      </c>
      <c r="M1111" s="69">
        <f t="shared" si="272"/>
        <v>0.91500000000000004</v>
      </c>
      <c r="N1111" s="69">
        <f t="shared" si="273"/>
        <v>1.32</v>
      </c>
      <c r="O1111" s="56">
        <f>INDEX(Rate_Chart!$A$1:$AK$127,MATCH(Data!K1111,Rate_Chart!$A$1:$A$127,0),MATCH(Data!L1111,Rate_Chart!$A$1:$AK$1,0))</f>
        <v>50.425650000000005</v>
      </c>
      <c r="P1111" s="57">
        <f t="shared" si="274"/>
        <v>756.38475000000005</v>
      </c>
      <c r="Q1111" s="58">
        <f t="shared" si="275"/>
        <v>421.38426183844012</v>
      </c>
      <c r="R1111" s="58">
        <f t="shared" si="276"/>
        <v>280.92284122562677</v>
      </c>
      <c r="S1111" s="66">
        <f t="shared" si="277"/>
        <v>13.236733125000002</v>
      </c>
      <c r="T1111" s="64">
        <f t="shared" si="278"/>
        <v>56.25</v>
      </c>
      <c r="U1111" s="66">
        <f t="shared" si="279"/>
        <v>825.87148312500005</v>
      </c>
      <c r="V1111" s="68">
        <f t="shared" si="280"/>
        <v>55.058098875000006</v>
      </c>
      <c r="W1111" s="68">
        <f t="shared" si="281"/>
        <v>460.09553377437328</v>
      </c>
      <c r="X1111" s="68">
        <f t="shared" si="282"/>
        <v>306.73035584958217</v>
      </c>
      <c r="Z1111" s="63"/>
      <c r="AA1111" s="63"/>
    </row>
    <row r="1112" spans="1:27" hidden="1" x14ac:dyDescent="0.25">
      <c r="A1112" t="str">
        <f t="shared" si="283"/>
        <v>10620069C28/05/2026M</v>
      </c>
      <c r="B1112" t="s">
        <v>828</v>
      </c>
      <c r="C1112" t="s">
        <v>396</v>
      </c>
      <c r="D1112" t="s">
        <v>591</v>
      </c>
      <c r="E1112" t="s">
        <v>593</v>
      </c>
      <c r="F1112" t="s">
        <v>382</v>
      </c>
      <c r="G1112" s="62" t="str">
        <f t="shared" si="271"/>
        <v>64567</v>
      </c>
      <c r="H1112" s="1">
        <v>10620069</v>
      </c>
      <c r="I1112" s="1" t="s">
        <v>388</v>
      </c>
      <c r="J1112" s="61">
        <v>37</v>
      </c>
      <c r="K1112" s="61">
        <v>3.2</v>
      </c>
      <c r="L1112" s="61">
        <v>8.1</v>
      </c>
      <c r="M1112" s="69">
        <f t="shared" si="272"/>
        <v>1.1840000000000002</v>
      </c>
      <c r="N1112" s="69">
        <f t="shared" si="273"/>
        <v>2.9969999999999999</v>
      </c>
      <c r="O1112" s="56">
        <f>INDEX(Rate_Chart!$A$1:$AK$127,MATCH(Data!K1112,Rate_Chart!$A$1:$A$127,0),MATCH(Data!L1112,Rate_Chart!$A$1:$AK$1,0))</f>
        <v>35.8631259</v>
      </c>
      <c r="P1112" s="57">
        <f t="shared" si="274"/>
        <v>1326.9356582999999</v>
      </c>
      <c r="Q1112" s="58">
        <f t="shared" si="275"/>
        <v>417.01309186046512</v>
      </c>
      <c r="R1112" s="58">
        <f t="shared" si="276"/>
        <v>278.00872790697673</v>
      </c>
      <c r="S1112" s="66">
        <f t="shared" si="277"/>
        <v>23.22137402025</v>
      </c>
      <c r="T1112" s="64">
        <f t="shared" si="278"/>
        <v>138.75</v>
      </c>
      <c r="U1112" s="66">
        <f t="shared" si="279"/>
        <v>1488.90703232025</v>
      </c>
      <c r="V1112" s="68">
        <f t="shared" si="280"/>
        <v>40.24073060325</v>
      </c>
      <c r="W1112" s="68">
        <f t="shared" si="281"/>
        <v>467.91547213081401</v>
      </c>
      <c r="X1112" s="68">
        <f t="shared" si="282"/>
        <v>311.94364808720934</v>
      </c>
      <c r="Z1112" s="63"/>
      <c r="AA1112" s="63"/>
    </row>
    <row r="1113" spans="1:27" hidden="1" x14ac:dyDescent="0.25">
      <c r="A1113" t="str">
        <f t="shared" si="283"/>
        <v>10620069B28/05/2026E</v>
      </c>
      <c r="B1113" t="s">
        <v>828</v>
      </c>
      <c r="C1113" t="s">
        <v>397</v>
      </c>
      <c r="D1113" t="s">
        <v>591</v>
      </c>
      <c r="E1113" t="s">
        <v>593</v>
      </c>
      <c r="F1113" t="s">
        <v>382</v>
      </c>
      <c r="G1113" s="62" t="str">
        <f t="shared" si="271"/>
        <v>64567</v>
      </c>
      <c r="H1113" s="1">
        <v>10620069</v>
      </c>
      <c r="I1113" s="1" t="s">
        <v>387</v>
      </c>
      <c r="J1113" s="61">
        <v>18</v>
      </c>
      <c r="K1113" s="61">
        <v>6.8</v>
      </c>
      <c r="L1113" s="61">
        <v>8.8000000000000007</v>
      </c>
      <c r="M1113" s="69">
        <f t="shared" si="272"/>
        <v>1.224</v>
      </c>
      <c r="N1113" s="69">
        <f t="shared" si="273"/>
        <v>1.5840000000000001</v>
      </c>
      <c r="O1113" s="56">
        <f>INDEX(Rate_Chart!$A$1:$AK$127,MATCH(Data!K1113,Rate_Chart!$A$1:$A$127,0),MATCH(Data!L1113,Rate_Chart!$A$1:$AK$1,0))</f>
        <v>56.212200000000003</v>
      </c>
      <c r="P1113" s="57">
        <f t="shared" si="274"/>
        <v>1011.8196</v>
      </c>
      <c r="Q1113" s="58">
        <f t="shared" si="275"/>
        <v>443.78052631578947</v>
      </c>
      <c r="R1113" s="58">
        <f t="shared" si="276"/>
        <v>295.8536842105263</v>
      </c>
      <c r="S1113" s="66">
        <f t="shared" si="277"/>
        <v>17.706843000000003</v>
      </c>
      <c r="T1113" s="64">
        <f t="shared" si="278"/>
        <v>67.5</v>
      </c>
      <c r="U1113" s="66">
        <f t="shared" si="279"/>
        <v>1097.026443</v>
      </c>
      <c r="V1113" s="68">
        <f t="shared" si="280"/>
        <v>60.945913499999996</v>
      </c>
      <c r="W1113" s="68">
        <f t="shared" si="281"/>
        <v>481.15194868421048</v>
      </c>
      <c r="X1113" s="68">
        <f t="shared" si="282"/>
        <v>320.76796578947364</v>
      </c>
      <c r="Z1113" s="63"/>
      <c r="AA1113" s="63"/>
    </row>
    <row r="1114" spans="1:27" hidden="1" x14ac:dyDescent="0.25">
      <c r="A1114" t="str">
        <f t="shared" si="283"/>
        <v>10620069C22/05/2026E</v>
      </c>
      <c r="B1114" t="s">
        <v>828</v>
      </c>
      <c r="C1114" t="s">
        <v>397</v>
      </c>
      <c r="D1114" t="s">
        <v>591</v>
      </c>
      <c r="E1114" t="s">
        <v>593</v>
      </c>
      <c r="F1114" t="s">
        <v>382</v>
      </c>
      <c r="G1114" s="62" t="str">
        <f t="shared" si="271"/>
        <v>64567</v>
      </c>
      <c r="H1114" s="1">
        <v>10620069</v>
      </c>
      <c r="I1114" s="1" t="s">
        <v>388</v>
      </c>
      <c r="J1114" s="61">
        <v>28</v>
      </c>
      <c r="K1114" s="61">
        <v>3</v>
      </c>
      <c r="L1114" s="61">
        <v>8</v>
      </c>
      <c r="M1114" s="69">
        <f t="shared" si="272"/>
        <v>0.84</v>
      </c>
      <c r="N1114" s="69">
        <f t="shared" si="273"/>
        <v>2.2400000000000002</v>
      </c>
      <c r="O1114" s="56">
        <f>INDEX(Rate_Chart!$A$1:$AK$127,MATCH(Data!K1114,Rate_Chart!$A$1:$A$127,0),MATCH(Data!L1114,Rate_Chart!$A$1:$AK$1,0))</f>
        <v>34.751112000000006</v>
      </c>
      <c r="P1114" s="57">
        <f t="shared" si="274"/>
        <v>973.03113600000017</v>
      </c>
      <c r="Q1114" s="58">
        <f t="shared" si="275"/>
        <v>417.01334400000002</v>
      </c>
      <c r="R1114" s="58">
        <f t="shared" si="276"/>
        <v>278.00889599999999</v>
      </c>
      <c r="S1114" s="66">
        <f t="shared" si="277"/>
        <v>17.028044880000003</v>
      </c>
      <c r="T1114" s="64">
        <f t="shared" si="278"/>
        <v>105</v>
      </c>
      <c r="U1114" s="66">
        <f t="shared" si="279"/>
        <v>1095.0591808800002</v>
      </c>
      <c r="V1114" s="68">
        <f t="shared" si="280"/>
        <v>39.109256460000005</v>
      </c>
      <c r="W1114" s="68">
        <f t="shared" si="281"/>
        <v>469.31107752000003</v>
      </c>
      <c r="X1114" s="68">
        <f t="shared" si="282"/>
        <v>312.87405168000004</v>
      </c>
      <c r="Z1114" s="63"/>
      <c r="AA1114" s="63"/>
    </row>
    <row r="1115" spans="1:27" hidden="1" x14ac:dyDescent="0.25">
      <c r="A1115" t="str">
        <f t="shared" si="283"/>
        <v>10620019B22/05/2026M</v>
      </c>
      <c r="B1115" t="s">
        <v>822</v>
      </c>
      <c r="C1115" t="s">
        <v>396</v>
      </c>
      <c r="D1115" t="s">
        <v>591</v>
      </c>
      <c r="E1115" t="s">
        <v>595</v>
      </c>
      <c r="F1115" t="s">
        <v>383</v>
      </c>
      <c r="G1115" s="62" t="str">
        <f t="shared" si="271"/>
        <v>64569</v>
      </c>
      <c r="H1115" s="1">
        <v>10620019</v>
      </c>
      <c r="I1115" s="1" t="s">
        <v>387</v>
      </c>
      <c r="J1115" s="61">
        <v>102</v>
      </c>
      <c r="K1115" s="61">
        <v>7.4</v>
      </c>
      <c r="L1115" s="61">
        <v>8.8000000000000007</v>
      </c>
      <c r="M1115" s="69">
        <f t="shared" si="272"/>
        <v>7.5480000000000009</v>
      </c>
      <c r="N1115" s="69">
        <f t="shared" si="273"/>
        <v>8.9760000000000009</v>
      </c>
      <c r="O1115" s="56">
        <v>61.172100000000007</v>
      </c>
      <c r="P1115" s="57">
        <f t="shared" si="274"/>
        <v>6239.5542000000005</v>
      </c>
      <c r="Q1115" s="58">
        <f t="shared" si="275"/>
        <v>461.09623115577887</v>
      </c>
      <c r="R1115" s="58">
        <f t="shared" si="276"/>
        <v>307.39748743718593</v>
      </c>
      <c r="S1115" s="66">
        <f t="shared" si="277"/>
        <v>109.19219850000002</v>
      </c>
      <c r="T1115" s="64">
        <f t="shared" si="278"/>
        <v>382.5</v>
      </c>
      <c r="U1115" s="66">
        <f t="shared" si="279"/>
        <v>6731.2463985000004</v>
      </c>
      <c r="V1115" s="68">
        <f t="shared" si="280"/>
        <v>65.992611750000009</v>
      </c>
      <c r="W1115" s="68">
        <f t="shared" si="281"/>
        <v>497.43174685929648</v>
      </c>
      <c r="X1115" s="68">
        <f t="shared" si="282"/>
        <v>331.6211645728643</v>
      </c>
      <c r="Z1115" s="63"/>
      <c r="AA1115" s="63"/>
    </row>
    <row r="1116" spans="1:27" hidden="1" x14ac:dyDescent="0.25">
      <c r="A1116" t="str">
        <f t="shared" si="283"/>
        <v>10620019C22/05/2026M</v>
      </c>
      <c r="B1116" t="s">
        <v>822</v>
      </c>
      <c r="C1116" t="s">
        <v>396</v>
      </c>
      <c r="D1116" t="s">
        <v>591</v>
      </c>
      <c r="E1116" t="s">
        <v>595</v>
      </c>
      <c r="F1116" t="s">
        <v>383</v>
      </c>
      <c r="G1116" s="62" t="str">
        <f t="shared" si="271"/>
        <v>64569</v>
      </c>
      <c r="H1116" s="1">
        <v>10620019</v>
      </c>
      <c r="I1116" s="1" t="s">
        <v>388</v>
      </c>
      <c r="J1116" s="61">
        <v>44</v>
      </c>
      <c r="K1116" s="61">
        <v>3.9</v>
      </c>
      <c r="L1116" s="61">
        <v>8.1</v>
      </c>
      <c r="M1116" s="69">
        <f t="shared" si="272"/>
        <v>1.716</v>
      </c>
      <c r="N1116" s="69">
        <f t="shared" si="273"/>
        <v>3.5639999999999996</v>
      </c>
      <c r="O1116" s="56">
        <v>36.829069200000006</v>
      </c>
      <c r="P1116" s="57">
        <f t="shared" si="274"/>
        <v>1620.4790448000003</v>
      </c>
      <c r="Q1116" s="58">
        <f t="shared" si="275"/>
        <v>396.01149677419363</v>
      </c>
      <c r="R1116" s="58">
        <f t="shared" si="276"/>
        <v>264.00766451612907</v>
      </c>
      <c r="S1116" s="66">
        <f t="shared" si="277"/>
        <v>28.358383284000009</v>
      </c>
      <c r="T1116" s="64">
        <f t="shared" si="278"/>
        <v>165</v>
      </c>
      <c r="U1116" s="66">
        <f t="shared" si="279"/>
        <v>1813.8374280840003</v>
      </c>
      <c r="V1116" s="68">
        <f t="shared" si="280"/>
        <v>41.223577911000007</v>
      </c>
      <c r="W1116" s="68">
        <f t="shared" si="281"/>
        <v>443.2642786129033</v>
      </c>
      <c r="X1116" s="68">
        <f t="shared" si="282"/>
        <v>295.50951907526888</v>
      </c>
      <c r="Z1116" s="63"/>
      <c r="AA1116" s="63"/>
    </row>
    <row r="1117" spans="1:27" hidden="1" x14ac:dyDescent="0.25">
      <c r="A1117" t="str">
        <f t="shared" si="283"/>
        <v>10620019B22/05/2026E</v>
      </c>
      <c r="B1117" t="s">
        <v>822</v>
      </c>
      <c r="C1117" t="s">
        <v>397</v>
      </c>
      <c r="D1117" t="s">
        <v>591</v>
      </c>
      <c r="E1117" t="s">
        <v>595</v>
      </c>
      <c r="F1117" t="s">
        <v>383</v>
      </c>
      <c r="G1117" s="236" t="str">
        <f t="shared" si="271"/>
        <v>64569</v>
      </c>
      <c r="H1117" s="239">
        <v>10620019</v>
      </c>
      <c r="I1117" s="239" t="s">
        <v>387</v>
      </c>
      <c r="J1117" s="237">
        <v>30</v>
      </c>
      <c r="K1117" s="237">
        <v>6.1</v>
      </c>
      <c r="L1117" s="237">
        <v>8.8000000000000007</v>
      </c>
      <c r="M1117" s="238">
        <f t="shared" si="272"/>
        <v>1.83</v>
      </c>
      <c r="N1117" s="69">
        <f t="shared" si="273"/>
        <v>2.64</v>
      </c>
      <c r="O1117" s="56">
        <v>50.425650000000005</v>
      </c>
      <c r="P1117" s="57">
        <f t="shared" si="274"/>
        <v>1512.7695000000001</v>
      </c>
      <c r="Q1117" s="58">
        <f t="shared" si="275"/>
        <v>421.38426183844012</v>
      </c>
      <c r="R1117" s="58">
        <f t="shared" si="276"/>
        <v>280.92284122562677</v>
      </c>
      <c r="S1117" s="66">
        <f t="shared" si="277"/>
        <v>26.473466250000005</v>
      </c>
      <c r="T1117" s="64">
        <f t="shared" si="278"/>
        <v>112.5</v>
      </c>
      <c r="U1117" s="66">
        <f t="shared" si="279"/>
        <v>1651.7429662500001</v>
      </c>
      <c r="V1117" s="68">
        <f t="shared" si="280"/>
        <v>55.058098875000006</v>
      </c>
      <c r="W1117" s="68">
        <f t="shared" si="281"/>
        <v>460.09553377437328</v>
      </c>
      <c r="X1117" s="68">
        <f t="shared" si="282"/>
        <v>306.73035584958217</v>
      </c>
      <c r="Z1117" s="63"/>
      <c r="AA1117" s="63"/>
    </row>
    <row r="1118" spans="1:27" hidden="1" x14ac:dyDescent="0.25">
      <c r="A1118" t="str">
        <f t="shared" si="283"/>
        <v>10620019C23/05/2026E</v>
      </c>
      <c r="B1118" s="1" t="s">
        <v>822</v>
      </c>
      <c r="C1118" s="1" t="s">
        <v>397</v>
      </c>
      <c r="D1118" s="1" t="s">
        <v>591</v>
      </c>
      <c r="E1118" s="1" t="s">
        <v>595</v>
      </c>
      <c r="F1118" s="1" t="s">
        <v>383</v>
      </c>
      <c r="G1118" s="62" t="str">
        <f t="shared" si="271"/>
        <v>64569</v>
      </c>
      <c r="H1118" s="1">
        <v>10620019</v>
      </c>
      <c r="I1118" s="1" t="s">
        <v>388</v>
      </c>
      <c r="J1118" s="61">
        <v>21</v>
      </c>
      <c r="K1118" s="61">
        <v>4</v>
      </c>
      <c r="L1118" s="61">
        <v>8.3000000000000007</v>
      </c>
      <c r="M1118" s="69">
        <f t="shared" si="272"/>
        <v>0.84</v>
      </c>
      <c r="N1118" s="69">
        <f t="shared" si="273"/>
        <v>1.7430000000000001</v>
      </c>
      <c r="O1118" s="56">
        <v>37.753095600000009</v>
      </c>
      <c r="P1118" s="57">
        <f t="shared" si="274"/>
        <v>792.81500760000017</v>
      </c>
      <c r="Q1118" s="58">
        <f t="shared" si="275"/>
        <v>396.01149230769238</v>
      </c>
      <c r="R1118" s="58">
        <f t="shared" si="276"/>
        <v>264.0076615384616</v>
      </c>
      <c r="S1118" s="66">
        <f t="shared" si="277"/>
        <v>13.874262633000004</v>
      </c>
      <c r="T1118" s="64">
        <f t="shared" si="278"/>
        <v>78.75</v>
      </c>
      <c r="U1118" s="66">
        <f t="shared" si="279"/>
        <v>885.43927023300012</v>
      </c>
      <c r="V1118" s="68">
        <f t="shared" si="280"/>
        <v>42.163774773000007</v>
      </c>
      <c r="W1118" s="68">
        <f t="shared" si="281"/>
        <v>442.27735775874129</v>
      </c>
      <c r="X1118" s="68">
        <f t="shared" si="282"/>
        <v>294.85157183916084</v>
      </c>
      <c r="Z1118" s="63"/>
      <c r="AA1118" s="63"/>
    </row>
    <row r="1119" spans="1:27" hidden="1" x14ac:dyDescent="0.25">
      <c r="A1119" t="str">
        <f t="shared" si="283"/>
        <v>10620019B23/05/2026M</v>
      </c>
      <c r="B1119" s="1" t="s">
        <v>823</v>
      </c>
      <c r="C1119" s="1" t="s">
        <v>396</v>
      </c>
      <c r="D1119" s="1" t="s">
        <v>591</v>
      </c>
      <c r="E1119" s="1" t="s">
        <v>595</v>
      </c>
      <c r="F1119" s="1" t="s">
        <v>383</v>
      </c>
      <c r="G1119" s="62" t="str">
        <f t="shared" si="271"/>
        <v>64569</v>
      </c>
      <c r="H1119" s="1">
        <v>10620019</v>
      </c>
      <c r="I1119" s="1" t="s">
        <v>387</v>
      </c>
      <c r="J1119" s="61">
        <v>72</v>
      </c>
      <c r="K1119" s="61">
        <v>6.2</v>
      </c>
      <c r="L1119" s="61">
        <v>8.4</v>
      </c>
      <c r="M1119" s="69">
        <f t="shared" ref="M1119:M1182" si="284">K1119*J1119/100</f>
        <v>4.4640000000000004</v>
      </c>
      <c r="N1119" s="69">
        <f t="shared" ref="N1119:N1182" si="285">L1119*J1119/100</f>
        <v>6.0480000000000009</v>
      </c>
      <c r="O1119" s="56">
        <v>50.216900000000003</v>
      </c>
      <c r="P1119" s="57">
        <f t="shared" ref="P1119:P1182" si="286">O1119*J1119</f>
        <v>3615.6168000000002</v>
      </c>
      <c r="Q1119" s="58">
        <f t="shared" ref="Q1119:Q1182" si="287">O1119/(K1119%+L1119%*2/3)</f>
        <v>425.56694915254241</v>
      </c>
      <c r="R1119" s="58">
        <f t="shared" ref="R1119:R1182" si="288">Q1119*2/3</f>
        <v>283.71129943502825</v>
      </c>
      <c r="S1119" s="66">
        <f t="shared" ref="S1119:S1182" si="289">P1119*1.75%</f>
        <v>63.273294000000007</v>
      </c>
      <c r="T1119" s="64">
        <f t="shared" ref="T1119:T1182" si="290">J1119*3.75</f>
        <v>270</v>
      </c>
      <c r="U1119" s="66">
        <f t="shared" ref="U1119:U1182" si="291">S1119+T1119+P1119</f>
        <v>3948.8900940000003</v>
      </c>
      <c r="V1119" s="68">
        <f t="shared" ref="V1119:V1182" si="292">U1119/J1119</f>
        <v>54.845695750000004</v>
      </c>
      <c r="W1119" s="68">
        <f t="shared" ref="W1119:W1182" si="293">V1119/(K1119%+L1119%*2/3)</f>
        <v>464.79403177966105</v>
      </c>
      <c r="X1119" s="68">
        <f t="shared" ref="X1119:X1182" si="294">W1119*2/3</f>
        <v>309.86268785310739</v>
      </c>
      <c r="Z1119" s="63"/>
      <c r="AA1119" s="63"/>
    </row>
    <row r="1120" spans="1:27" hidden="1" x14ac:dyDescent="0.25">
      <c r="A1120" t="str">
        <f t="shared" si="283"/>
        <v>10620019C23/05/2026M</v>
      </c>
      <c r="B1120" s="1" t="s">
        <v>823</v>
      </c>
      <c r="C1120" s="1" t="s">
        <v>396</v>
      </c>
      <c r="D1120" s="1" t="s">
        <v>591</v>
      </c>
      <c r="E1120" s="1" t="s">
        <v>595</v>
      </c>
      <c r="F1120" s="1" t="s">
        <v>383</v>
      </c>
      <c r="G1120" s="62" t="str">
        <f t="shared" si="271"/>
        <v>64569</v>
      </c>
      <c r="H1120" s="1">
        <v>10620019</v>
      </c>
      <c r="I1120" s="1" t="s">
        <v>388</v>
      </c>
      <c r="J1120" s="61">
        <v>77</v>
      </c>
      <c r="K1120" s="61">
        <v>3.5</v>
      </c>
      <c r="L1120" s="61">
        <v>8</v>
      </c>
      <c r="M1120" s="69">
        <f t="shared" si="284"/>
        <v>2.6949999999999998</v>
      </c>
      <c r="N1120" s="69">
        <f t="shared" si="285"/>
        <v>6.16</v>
      </c>
      <c r="O1120" s="56">
        <v>34.981056000000002</v>
      </c>
      <c r="P1120" s="57">
        <f t="shared" si="286"/>
        <v>2693.5413120000003</v>
      </c>
      <c r="Q1120" s="58">
        <f t="shared" si="287"/>
        <v>396.01195471698111</v>
      </c>
      <c r="R1120" s="58">
        <f t="shared" si="288"/>
        <v>264.00796981132072</v>
      </c>
      <c r="S1120" s="66">
        <f t="shared" si="289"/>
        <v>47.136972960000008</v>
      </c>
      <c r="T1120" s="64">
        <f t="shared" si="290"/>
        <v>288.75</v>
      </c>
      <c r="U1120" s="66">
        <f t="shared" si="291"/>
        <v>3029.4282849600004</v>
      </c>
      <c r="V1120" s="68">
        <f t="shared" si="292"/>
        <v>39.343224480000003</v>
      </c>
      <c r="W1120" s="68">
        <f t="shared" si="293"/>
        <v>445.39499411320753</v>
      </c>
      <c r="X1120" s="68">
        <f t="shared" si="294"/>
        <v>296.92999607547171</v>
      </c>
      <c r="Z1120" s="63"/>
      <c r="AA1120" s="63"/>
    </row>
    <row r="1121" spans="1:27" hidden="1" x14ac:dyDescent="0.25">
      <c r="A1121" t="str">
        <f t="shared" si="283"/>
        <v>10620019C24/05/2026E</v>
      </c>
      <c r="B1121" s="1" t="s">
        <v>823</v>
      </c>
      <c r="C1121" s="1" t="s">
        <v>397</v>
      </c>
      <c r="D1121" s="1" t="s">
        <v>591</v>
      </c>
      <c r="E1121" s="1" t="s">
        <v>595</v>
      </c>
      <c r="F1121" s="1" t="s">
        <v>383</v>
      </c>
      <c r="G1121" s="62" t="str">
        <f t="shared" si="271"/>
        <v>64569</v>
      </c>
      <c r="H1121" s="1">
        <v>10620019</v>
      </c>
      <c r="I1121" s="1" t="s">
        <v>388</v>
      </c>
      <c r="J1121" s="61">
        <v>51</v>
      </c>
      <c r="K1121" s="61">
        <v>3.4</v>
      </c>
      <c r="L1121" s="61">
        <v>8</v>
      </c>
      <c r="M1121" s="69">
        <f t="shared" si="284"/>
        <v>1.734</v>
      </c>
      <c r="N1121" s="69">
        <f t="shared" si="285"/>
        <v>4.08</v>
      </c>
      <c r="O1121" s="56">
        <v>34.585056000000002</v>
      </c>
      <c r="P1121" s="57">
        <f t="shared" si="286"/>
        <v>1763.8378560000001</v>
      </c>
      <c r="Q1121" s="58">
        <f t="shared" si="287"/>
        <v>396.01209160305342</v>
      </c>
      <c r="R1121" s="58">
        <f t="shared" si="288"/>
        <v>264.00806106870226</v>
      </c>
      <c r="S1121" s="66">
        <f t="shared" si="289"/>
        <v>30.867162480000005</v>
      </c>
      <c r="T1121" s="64">
        <f t="shared" si="290"/>
        <v>191.25</v>
      </c>
      <c r="U1121" s="66">
        <f t="shared" si="291"/>
        <v>1985.95501848</v>
      </c>
      <c r="V1121" s="68">
        <f t="shared" si="292"/>
        <v>38.940294479999999</v>
      </c>
      <c r="W1121" s="68">
        <f t="shared" si="293"/>
        <v>445.8812345038167</v>
      </c>
      <c r="X1121" s="68">
        <f t="shared" si="294"/>
        <v>297.25415633587778</v>
      </c>
      <c r="Z1121" s="63"/>
      <c r="AA1121" s="63"/>
    </row>
    <row r="1122" spans="1:27" hidden="1" x14ac:dyDescent="0.25">
      <c r="A1122" t="str">
        <f t="shared" si="283"/>
        <v>10620019B24/05/2026M</v>
      </c>
      <c r="B1122" s="1" t="s">
        <v>824</v>
      </c>
      <c r="C1122" s="1" t="s">
        <v>396</v>
      </c>
      <c r="D1122" s="1" t="s">
        <v>591</v>
      </c>
      <c r="E1122" s="1" t="s">
        <v>595</v>
      </c>
      <c r="F1122" s="1" t="s">
        <v>383</v>
      </c>
      <c r="G1122" s="62" t="str">
        <f t="shared" si="271"/>
        <v>64569</v>
      </c>
      <c r="H1122" s="1">
        <v>10620019</v>
      </c>
      <c r="I1122" s="1" t="s">
        <v>387</v>
      </c>
      <c r="J1122" s="61">
        <v>112</v>
      </c>
      <c r="K1122" s="61">
        <v>7</v>
      </c>
      <c r="L1122" s="61">
        <v>8.8000000000000007</v>
      </c>
      <c r="M1122" s="69">
        <f t="shared" si="284"/>
        <v>7.84</v>
      </c>
      <c r="N1122" s="69">
        <f t="shared" si="285"/>
        <v>9.8560000000000016</v>
      </c>
      <c r="O1122" s="56">
        <v>57.865500000000004</v>
      </c>
      <c r="P1122" s="57">
        <f t="shared" si="286"/>
        <v>6480.9360000000006</v>
      </c>
      <c r="Q1122" s="58">
        <f t="shared" si="287"/>
        <v>449.73186528497411</v>
      </c>
      <c r="R1122" s="58">
        <f t="shared" si="288"/>
        <v>299.82124352331607</v>
      </c>
      <c r="S1122" s="66">
        <f t="shared" si="289"/>
        <v>113.41638000000002</v>
      </c>
      <c r="T1122" s="64">
        <f t="shared" si="290"/>
        <v>420</v>
      </c>
      <c r="U1122" s="66">
        <f t="shared" si="291"/>
        <v>7014.3523800000003</v>
      </c>
      <c r="V1122" s="68">
        <f t="shared" si="292"/>
        <v>62.62814625</v>
      </c>
      <c r="W1122" s="68">
        <f t="shared" si="293"/>
        <v>486.74725064766835</v>
      </c>
      <c r="X1122" s="68">
        <f t="shared" si="294"/>
        <v>324.49816709844555</v>
      </c>
      <c r="Z1122" s="63"/>
      <c r="AA1122" s="63"/>
    </row>
    <row r="1123" spans="1:27" hidden="1" x14ac:dyDescent="0.25">
      <c r="A1123" t="str">
        <f t="shared" si="283"/>
        <v>10620019C24/05/2026M</v>
      </c>
      <c r="B1123" s="1" t="s">
        <v>824</v>
      </c>
      <c r="C1123" s="1" t="s">
        <v>396</v>
      </c>
      <c r="D1123" s="1" t="s">
        <v>591</v>
      </c>
      <c r="E1123" s="1" t="s">
        <v>595</v>
      </c>
      <c r="F1123" s="1" t="s">
        <v>383</v>
      </c>
      <c r="G1123" s="62" t="str">
        <f t="shared" si="271"/>
        <v>64569</v>
      </c>
      <c r="H1123" s="1">
        <v>10620019</v>
      </c>
      <c r="I1123" s="1" t="s">
        <v>388</v>
      </c>
      <c r="J1123" s="61">
        <v>81</v>
      </c>
      <c r="K1123" s="61">
        <v>3.5</v>
      </c>
      <c r="L1123" s="61">
        <v>8</v>
      </c>
      <c r="M1123" s="69">
        <f t="shared" si="284"/>
        <v>2.835</v>
      </c>
      <c r="N1123" s="69">
        <f t="shared" si="285"/>
        <v>6.48</v>
      </c>
      <c r="O1123" s="56">
        <v>34.981056000000002</v>
      </c>
      <c r="P1123" s="57">
        <f t="shared" si="286"/>
        <v>2833.4655360000002</v>
      </c>
      <c r="Q1123" s="58">
        <f t="shared" si="287"/>
        <v>396.01195471698111</v>
      </c>
      <c r="R1123" s="58">
        <f t="shared" si="288"/>
        <v>264.00796981132072</v>
      </c>
      <c r="S1123" s="66">
        <f t="shared" si="289"/>
        <v>49.585646880000006</v>
      </c>
      <c r="T1123" s="64">
        <f t="shared" si="290"/>
        <v>303.75</v>
      </c>
      <c r="U1123" s="66">
        <f t="shared" si="291"/>
        <v>3186.8011828799999</v>
      </c>
      <c r="V1123" s="68">
        <f t="shared" si="292"/>
        <v>39.343224479999996</v>
      </c>
      <c r="W1123" s="68">
        <f t="shared" si="293"/>
        <v>445.39499411320742</v>
      </c>
      <c r="X1123" s="68">
        <f t="shared" si="294"/>
        <v>296.92999607547159</v>
      </c>
      <c r="Z1123" s="63"/>
      <c r="AA1123" s="63"/>
    </row>
    <row r="1124" spans="1:27" hidden="1" x14ac:dyDescent="0.25">
      <c r="A1124" t="str">
        <f t="shared" si="283"/>
        <v>10620019B24/05/2026E</v>
      </c>
      <c r="B1124" s="1" t="s">
        <v>824</v>
      </c>
      <c r="C1124" s="1" t="s">
        <v>397</v>
      </c>
      <c r="D1124" s="1" t="s">
        <v>591</v>
      </c>
      <c r="E1124" s="1" t="s">
        <v>595</v>
      </c>
      <c r="F1124" s="1" t="s">
        <v>383</v>
      </c>
      <c r="G1124" s="62" t="str">
        <f t="shared" si="271"/>
        <v>64569</v>
      </c>
      <c r="H1124" s="1">
        <v>10620019</v>
      </c>
      <c r="I1124" s="1" t="s">
        <v>387</v>
      </c>
      <c r="J1124" s="61">
        <v>21</v>
      </c>
      <c r="K1124" s="61">
        <v>6.3</v>
      </c>
      <c r="L1124" s="61">
        <v>8.8000000000000007</v>
      </c>
      <c r="M1124" s="69">
        <f t="shared" si="284"/>
        <v>1.3229999999999997</v>
      </c>
      <c r="N1124" s="69">
        <f t="shared" si="285"/>
        <v>1.8480000000000001</v>
      </c>
      <c r="O1124" s="56">
        <v>52.078949999999999</v>
      </c>
      <c r="P1124" s="57">
        <f t="shared" si="286"/>
        <v>1093.65795</v>
      </c>
      <c r="Q1124" s="58">
        <f t="shared" si="287"/>
        <v>428.04616438356163</v>
      </c>
      <c r="R1124" s="58">
        <f t="shared" si="288"/>
        <v>285.36410958904111</v>
      </c>
      <c r="S1124" s="66">
        <f t="shared" si="289"/>
        <v>19.139014125000003</v>
      </c>
      <c r="T1124" s="64">
        <f t="shared" si="290"/>
        <v>78.75</v>
      </c>
      <c r="U1124" s="66">
        <f t="shared" si="291"/>
        <v>1191.5469641249999</v>
      </c>
      <c r="V1124" s="68">
        <f t="shared" si="292"/>
        <v>56.740331624999996</v>
      </c>
      <c r="W1124" s="68">
        <f t="shared" si="293"/>
        <v>466.35889006849311</v>
      </c>
      <c r="X1124" s="68">
        <f t="shared" si="294"/>
        <v>310.90592671232872</v>
      </c>
      <c r="Z1124" s="63"/>
      <c r="AA1124" s="63"/>
    </row>
    <row r="1125" spans="1:27" hidden="1" x14ac:dyDescent="0.25">
      <c r="A1125" t="str">
        <f t="shared" si="283"/>
        <v>10620019C25/05/2026E</v>
      </c>
      <c r="B1125" s="1" t="s">
        <v>824</v>
      </c>
      <c r="C1125" s="1" t="s">
        <v>397</v>
      </c>
      <c r="D1125" s="1" t="s">
        <v>591</v>
      </c>
      <c r="E1125" s="1" t="s">
        <v>595</v>
      </c>
      <c r="F1125" s="1" t="s">
        <v>383</v>
      </c>
      <c r="G1125" s="62" t="str">
        <f t="shared" si="271"/>
        <v>64569</v>
      </c>
      <c r="H1125" s="1">
        <v>10620019</v>
      </c>
      <c r="I1125" s="1" t="s">
        <v>388</v>
      </c>
      <c r="J1125" s="61">
        <v>49</v>
      </c>
      <c r="K1125" s="61">
        <v>3.1</v>
      </c>
      <c r="L1125" s="61">
        <v>8.1</v>
      </c>
      <c r="M1125" s="69">
        <f t="shared" si="284"/>
        <v>1.5190000000000001</v>
      </c>
      <c r="N1125" s="69">
        <f t="shared" si="285"/>
        <v>3.9689999999999999</v>
      </c>
      <c r="O1125" s="56">
        <v>33.6610692</v>
      </c>
      <c r="P1125" s="57">
        <f t="shared" si="286"/>
        <v>1649.3923907999999</v>
      </c>
      <c r="Q1125" s="58">
        <f t="shared" si="287"/>
        <v>396.01257882352945</v>
      </c>
      <c r="R1125" s="58">
        <f t="shared" si="288"/>
        <v>264.00838588235297</v>
      </c>
      <c r="S1125" s="66">
        <f t="shared" si="289"/>
        <v>28.864366839000002</v>
      </c>
      <c r="T1125" s="64">
        <f t="shared" si="290"/>
        <v>183.75</v>
      </c>
      <c r="U1125" s="66">
        <f t="shared" si="291"/>
        <v>1862.0067576389999</v>
      </c>
      <c r="V1125" s="68">
        <f t="shared" si="292"/>
        <v>38.000137910999996</v>
      </c>
      <c r="W1125" s="68">
        <f t="shared" si="293"/>
        <v>447.06044601176472</v>
      </c>
      <c r="X1125" s="68">
        <f t="shared" si="294"/>
        <v>298.04029734117648</v>
      </c>
      <c r="Z1125" s="63"/>
      <c r="AA1125" s="63"/>
    </row>
    <row r="1126" spans="1:27" hidden="1" x14ac:dyDescent="0.25">
      <c r="A1126" t="str">
        <f t="shared" si="283"/>
        <v>10620019B25/05/2026M</v>
      </c>
      <c r="B1126" s="1" t="s">
        <v>825</v>
      </c>
      <c r="C1126" s="1" t="s">
        <v>396</v>
      </c>
      <c r="D1126" s="1" t="s">
        <v>591</v>
      </c>
      <c r="E1126" s="1" t="s">
        <v>595</v>
      </c>
      <c r="F1126" s="1" t="s">
        <v>383</v>
      </c>
      <c r="G1126" s="62" t="str">
        <f t="shared" si="271"/>
        <v>64569</v>
      </c>
      <c r="H1126" s="1">
        <v>10620019</v>
      </c>
      <c r="I1126" s="1" t="s">
        <v>387</v>
      </c>
      <c r="J1126" s="61">
        <v>80</v>
      </c>
      <c r="K1126" s="61">
        <v>7.6</v>
      </c>
      <c r="L1126" s="61">
        <v>8.8000000000000007</v>
      </c>
      <c r="M1126" s="69">
        <f t="shared" si="284"/>
        <v>6.08</v>
      </c>
      <c r="N1126" s="69">
        <f t="shared" si="285"/>
        <v>7.04</v>
      </c>
      <c r="O1126" s="56">
        <v>62.825400000000002</v>
      </c>
      <c r="P1126" s="57">
        <f t="shared" si="286"/>
        <v>5026.0320000000002</v>
      </c>
      <c r="Q1126" s="58">
        <f t="shared" si="287"/>
        <v>466.5252475247525</v>
      </c>
      <c r="R1126" s="58">
        <f t="shared" si="288"/>
        <v>311.01683168316833</v>
      </c>
      <c r="S1126" s="66">
        <f t="shared" si="289"/>
        <v>87.955560000000006</v>
      </c>
      <c r="T1126" s="64">
        <f t="shared" si="290"/>
        <v>300</v>
      </c>
      <c r="U1126" s="66">
        <f t="shared" si="291"/>
        <v>5413.9875600000005</v>
      </c>
      <c r="V1126" s="68">
        <f t="shared" si="292"/>
        <v>67.674844500000006</v>
      </c>
      <c r="W1126" s="68">
        <f t="shared" si="293"/>
        <v>502.53597400990105</v>
      </c>
      <c r="X1126" s="68">
        <f t="shared" si="294"/>
        <v>335.02398267326737</v>
      </c>
      <c r="Z1126" s="63"/>
      <c r="AA1126" s="63"/>
    </row>
    <row r="1127" spans="1:27" hidden="1" x14ac:dyDescent="0.25">
      <c r="A1127" t="str">
        <f t="shared" si="283"/>
        <v>10620019B25/05/2026E</v>
      </c>
      <c r="B1127" s="1" t="s">
        <v>825</v>
      </c>
      <c r="C1127" s="1" t="s">
        <v>397</v>
      </c>
      <c r="D1127" s="1" t="s">
        <v>591</v>
      </c>
      <c r="E1127" s="1" t="s">
        <v>595</v>
      </c>
      <c r="F1127" s="1" t="s">
        <v>383</v>
      </c>
      <c r="G1127" s="62" t="str">
        <f t="shared" si="271"/>
        <v>64569</v>
      </c>
      <c r="H1127" s="1">
        <v>10620019</v>
      </c>
      <c r="I1127" s="1" t="s">
        <v>387</v>
      </c>
      <c r="J1127" s="61">
        <v>18</v>
      </c>
      <c r="K1127" s="61">
        <v>5.9</v>
      </c>
      <c r="L1127" s="61">
        <v>8.6999999999999993</v>
      </c>
      <c r="M1127" s="69">
        <f t="shared" si="284"/>
        <v>1.0620000000000001</v>
      </c>
      <c r="N1127" s="69">
        <f t="shared" si="285"/>
        <v>1.5659999999999998</v>
      </c>
      <c r="O1127" s="56">
        <v>48.279699999999998</v>
      </c>
      <c r="P1127" s="57">
        <f t="shared" si="286"/>
        <v>869.03459999999995</v>
      </c>
      <c r="Q1127" s="58">
        <f t="shared" si="287"/>
        <v>412.64700854700857</v>
      </c>
      <c r="R1127" s="58">
        <f t="shared" si="288"/>
        <v>275.09800569800569</v>
      </c>
      <c r="S1127" s="66">
        <f t="shared" si="289"/>
        <v>15.2081055</v>
      </c>
      <c r="T1127" s="64">
        <f t="shared" si="290"/>
        <v>67.5</v>
      </c>
      <c r="U1127" s="66">
        <f t="shared" si="291"/>
        <v>951.74270549999994</v>
      </c>
      <c r="V1127" s="68">
        <f t="shared" si="292"/>
        <v>52.87459475</v>
      </c>
      <c r="W1127" s="68">
        <f t="shared" si="293"/>
        <v>451.91961324786325</v>
      </c>
      <c r="X1127" s="68">
        <f t="shared" si="294"/>
        <v>301.27974216524217</v>
      </c>
      <c r="Z1127" s="63"/>
      <c r="AA1127" s="63"/>
    </row>
    <row r="1128" spans="1:27" hidden="1" x14ac:dyDescent="0.25">
      <c r="A1128" t="str">
        <f t="shared" si="283"/>
        <v>10620019C26/05/2026E</v>
      </c>
      <c r="B1128" s="1" t="s">
        <v>825</v>
      </c>
      <c r="C1128" s="1" t="s">
        <v>397</v>
      </c>
      <c r="D1128" s="1" t="s">
        <v>591</v>
      </c>
      <c r="E1128" s="1" t="s">
        <v>595</v>
      </c>
      <c r="F1128" s="1" t="s">
        <v>383</v>
      </c>
      <c r="G1128" s="62" t="str">
        <f t="shared" si="271"/>
        <v>64569</v>
      </c>
      <c r="H1128" s="1">
        <v>10620019</v>
      </c>
      <c r="I1128" s="1" t="s">
        <v>388</v>
      </c>
      <c r="J1128" s="61">
        <v>25</v>
      </c>
      <c r="K1128" s="61">
        <v>3.4</v>
      </c>
      <c r="L1128" s="61">
        <v>8.1999999999999993</v>
      </c>
      <c r="M1128" s="69">
        <f t="shared" si="284"/>
        <v>0.85</v>
      </c>
      <c r="N1128" s="69">
        <f t="shared" si="285"/>
        <v>2.0499999999999998</v>
      </c>
      <c r="O1128" s="56">
        <v>35.113082400000003</v>
      </c>
      <c r="P1128" s="57">
        <f t="shared" si="286"/>
        <v>877.82706000000007</v>
      </c>
      <c r="Q1128" s="58">
        <f t="shared" si="287"/>
        <v>396.01220751879703</v>
      </c>
      <c r="R1128" s="58">
        <f t="shared" si="288"/>
        <v>264.00813834586467</v>
      </c>
      <c r="S1128" s="66">
        <f t="shared" si="289"/>
        <v>15.361973550000004</v>
      </c>
      <c r="T1128" s="64">
        <f t="shared" si="290"/>
        <v>93.75</v>
      </c>
      <c r="U1128" s="66">
        <f t="shared" si="291"/>
        <v>986.93903355000009</v>
      </c>
      <c r="V1128" s="68">
        <f t="shared" si="292"/>
        <v>39.477561342000001</v>
      </c>
      <c r="W1128" s="68">
        <f t="shared" si="293"/>
        <v>445.2356542330827</v>
      </c>
      <c r="X1128" s="68">
        <f t="shared" si="294"/>
        <v>296.82376948872178</v>
      </c>
      <c r="Z1128" s="63"/>
      <c r="AA1128" s="63"/>
    </row>
    <row r="1129" spans="1:27" hidden="1" x14ac:dyDescent="0.25">
      <c r="A1129" t="str">
        <f t="shared" si="283"/>
        <v>10620019B26/05/2026M</v>
      </c>
      <c r="B1129" s="1" t="s">
        <v>826</v>
      </c>
      <c r="C1129" s="1" t="s">
        <v>396</v>
      </c>
      <c r="D1129" s="1" t="s">
        <v>591</v>
      </c>
      <c r="E1129" s="1" t="s">
        <v>595</v>
      </c>
      <c r="F1129" s="1" t="s">
        <v>383</v>
      </c>
      <c r="G1129" s="62" t="str">
        <f t="shared" si="271"/>
        <v>64569</v>
      </c>
      <c r="H1129" s="1">
        <v>10620019</v>
      </c>
      <c r="I1129" s="1" t="s">
        <v>387</v>
      </c>
      <c r="J1129" s="61">
        <v>60</v>
      </c>
      <c r="K1129" s="61">
        <v>6.7</v>
      </c>
      <c r="L1129" s="61">
        <v>8.8000000000000007</v>
      </c>
      <c r="M1129" s="69">
        <f t="shared" si="284"/>
        <v>4.0199999999999996</v>
      </c>
      <c r="N1129" s="69">
        <f t="shared" si="285"/>
        <v>5.28</v>
      </c>
      <c r="O1129" s="56">
        <f>INDEX(Rate_Chart!$A$1:$AK$127,MATCH(Data!K1129,Rate_Chart!$A$1:$A$127,0),MATCH(Data!L1129,Rate_Chart!$A$1:$AK$1,0))</f>
        <v>55.385550000000002</v>
      </c>
      <c r="P1129" s="57">
        <f t="shared" si="286"/>
        <v>3323.1330000000003</v>
      </c>
      <c r="Q1129" s="58">
        <f t="shared" si="287"/>
        <v>440.73381962864721</v>
      </c>
      <c r="R1129" s="58">
        <f t="shared" si="288"/>
        <v>293.82254641909816</v>
      </c>
      <c r="S1129" s="66">
        <f t="shared" si="289"/>
        <v>58.15482750000001</v>
      </c>
      <c r="T1129" s="64">
        <f t="shared" si="290"/>
        <v>225</v>
      </c>
      <c r="U1129" s="66">
        <f t="shared" si="291"/>
        <v>3606.2878275000003</v>
      </c>
      <c r="V1129" s="68">
        <f t="shared" si="292"/>
        <v>60.104797125000005</v>
      </c>
      <c r="W1129" s="68">
        <f t="shared" si="293"/>
        <v>478.28751027851456</v>
      </c>
      <c r="X1129" s="68">
        <f t="shared" si="294"/>
        <v>318.85834018567635</v>
      </c>
      <c r="Z1129" s="63"/>
      <c r="AA1129" s="63"/>
    </row>
    <row r="1130" spans="1:27" hidden="1" x14ac:dyDescent="0.25">
      <c r="A1130" t="str">
        <f t="shared" si="283"/>
        <v>10620019C26/05/2026M</v>
      </c>
      <c r="B1130" s="1" t="s">
        <v>826</v>
      </c>
      <c r="C1130" s="1" t="s">
        <v>396</v>
      </c>
      <c r="D1130" s="1" t="s">
        <v>591</v>
      </c>
      <c r="E1130" s="1" t="s">
        <v>595</v>
      </c>
      <c r="F1130" s="1" t="s">
        <v>383</v>
      </c>
      <c r="G1130" s="62" t="str">
        <f t="shared" si="271"/>
        <v>64569</v>
      </c>
      <c r="H1130" s="1">
        <v>10620019</v>
      </c>
      <c r="I1130" s="1" t="s">
        <v>388</v>
      </c>
      <c r="J1130" s="61">
        <v>13</v>
      </c>
      <c r="K1130" s="61">
        <v>3.4</v>
      </c>
      <c r="L1130" s="61">
        <v>8.1999999999999993</v>
      </c>
      <c r="M1130" s="69">
        <f t="shared" si="284"/>
        <v>0.44199999999999995</v>
      </c>
      <c r="N1130" s="69">
        <f t="shared" si="285"/>
        <v>1.0659999999999998</v>
      </c>
      <c r="O1130" s="56">
        <f>INDEX(Rate_Chart!$A$1:$AK$127,MATCH(Data!K1130,Rate_Chart!$A$1:$A$127,0),MATCH(Data!L1130,Rate_Chart!$A$1:$AK$1,0))</f>
        <v>36.975139800000001</v>
      </c>
      <c r="P1130" s="57">
        <f t="shared" si="286"/>
        <v>480.6768174</v>
      </c>
      <c r="Q1130" s="58">
        <f t="shared" si="287"/>
        <v>417.01285488721805</v>
      </c>
      <c r="R1130" s="58">
        <f t="shared" si="288"/>
        <v>278.00856992481204</v>
      </c>
      <c r="S1130" s="66">
        <f t="shared" si="289"/>
        <v>8.4118443045000006</v>
      </c>
      <c r="T1130" s="64">
        <f t="shared" si="290"/>
        <v>48.75</v>
      </c>
      <c r="U1130" s="66">
        <f t="shared" si="291"/>
        <v>537.83866170450005</v>
      </c>
      <c r="V1130" s="68">
        <f t="shared" si="292"/>
        <v>41.372204746500003</v>
      </c>
      <c r="W1130" s="68">
        <f t="shared" si="293"/>
        <v>466.60381293045111</v>
      </c>
      <c r="X1130" s="68">
        <f t="shared" si="294"/>
        <v>311.06920862030074</v>
      </c>
      <c r="Z1130" s="63"/>
      <c r="AA1130" s="63"/>
    </row>
    <row r="1131" spans="1:27" hidden="1" x14ac:dyDescent="0.25">
      <c r="A1131" t="str">
        <f t="shared" si="283"/>
        <v>10620019B26/05/2026E</v>
      </c>
      <c r="B1131" s="1" t="s">
        <v>826</v>
      </c>
      <c r="C1131" s="1" t="s">
        <v>397</v>
      </c>
      <c r="D1131" s="1" t="s">
        <v>591</v>
      </c>
      <c r="E1131" s="1" t="s">
        <v>595</v>
      </c>
      <c r="F1131" s="1" t="s">
        <v>383</v>
      </c>
      <c r="G1131" s="62" t="str">
        <f t="shared" si="271"/>
        <v>64569</v>
      </c>
      <c r="H1131" s="1">
        <v>10620019</v>
      </c>
      <c r="I1131" s="1" t="s">
        <v>387</v>
      </c>
      <c r="J1131" s="61">
        <v>7</v>
      </c>
      <c r="K1131" s="61">
        <v>6.5</v>
      </c>
      <c r="L1131" s="61">
        <v>8.8000000000000007</v>
      </c>
      <c r="M1131" s="69">
        <f t="shared" si="284"/>
        <v>0.45500000000000002</v>
      </c>
      <c r="N1131" s="69">
        <f t="shared" si="285"/>
        <v>0.6160000000000001</v>
      </c>
      <c r="O1131" s="56">
        <f>INDEX(Rate_Chart!$A$1:$AK$127,MATCH(Data!K1131,Rate_Chart!$A$1:$A$127,0),MATCH(Data!L1131,Rate_Chart!$A$1:$AK$1,0))</f>
        <v>53.732250000000001</v>
      </c>
      <c r="P1131" s="57">
        <f t="shared" si="286"/>
        <v>376.12574999999998</v>
      </c>
      <c r="Q1131" s="58">
        <f t="shared" si="287"/>
        <v>434.49258760107813</v>
      </c>
      <c r="R1131" s="58">
        <f t="shared" si="288"/>
        <v>289.66172506738542</v>
      </c>
      <c r="S1131" s="66">
        <f t="shared" si="289"/>
        <v>6.5822006250000005</v>
      </c>
      <c r="T1131" s="64">
        <f t="shared" si="290"/>
        <v>26.25</v>
      </c>
      <c r="U1131" s="66">
        <f t="shared" si="291"/>
        <v>408.95795062499997</v>
      </c>
      <c r="V1131" s="68">
        <f t="shared" si="292"/>
        <v>58.422564374999993</v>
      </c>
      <c r="W1131" s="68">
        <f t="shared" si="293"/>
        <v>472.41965801886784</v>
      </c>
      <c r="X1131" s="68">
        <f t="shared" si="294"/>
        <v>314.9464386792452</v>
      </c>
      <c r="Z1131" s="63"/>
      <c r="AA1131" s="63"/>
    </row>
    <row r="1132" spans="1:27" hidden="1" x14ac:dyDescent="0.25">
      <c r="A1132" t="str">
        <f t="shared" si="283"/>
        <v>10620019C27/05/2026E</v>
      </c>
      <c r="B1132" s="1" t="s">
        <v>826</v>
      </c>
      <c r="C1132" s="1" t="s">
        <v>397</v>
      </c>
      <c r="D1132" s="1" t="s">
        <v>591</v>
      </c>
      <c r="E1132" s="1" t="s">
        <v>595</v>
      </c>
      <c r="F1132" s="1" t="s">
        <v>383</v>
      </c>
      <c r="G1132" s="62" t="str">
        <f t="shared" si="271"/>
        <v>64569</v>
      </c>
      <c r="H1132" s="1">
        <v>10620019</v>
      </c>
      <c r="I1132" s="1" t="s">
        <v>388</v>
      </c>
      <c r="J1132" s="61">
        <v>21</v>
      </c>
      <c r="K1132" s="61">
        <v>3.5</v>
      </c>
      <c r="L1132" s="61">
        <v>8.5</v>
      </c>
      <c r="M1132" s="69">
        <f t="shared" si="284"/>
        <v>0.73499999999999999</v>
      </c>
      <c r="N1132" s="69">
        <f t="shared" si="285"/>
        <v>1.7849999999999999</v>
      </c>
      <c r="O1132" s="56">
        <f>INDEX(Rate_Chart!$A$1:$AK$127,MATCH(Data!K1132,Rate_Chart!$A$1:$A$127,0),MATCH(Data!L1132,Rate_Chart!$A$1:$AK$1,0))</f>
        <v>38.226181500000003</v>
      </c>
      <c r="P1132" s="57">
        <f t="shared" si="286"/>
        <v>802.74981150000008</v>
      </c>
      <c r="Q1132" s="58">
        <f t="shared" si="287"/>
        <v>417.01288909090908</v>
      </c>
      <c r="R1132" s="58">
        <f t="shared" si="288"/>
        <v>278.00859272727274</v>
      </c>
      <c r="S1132" s="66">
        <f t="shared" si="289"/>
        <v>14.048121701250002</v>
      </c>
      <c r="T1132" s="64">
        <f t="shared" si="290"/>
        <v>78.75</v>
      </c>
      <c r="U1132" s="66">
        <f t="shared" si="291"/>
        <v>895.54793320125009</v>
      </c>
      <c r="V1132" s="68">
        <f t="shared" si="292"/>
        <v>42.645139676250004</v>
      </c>
      <c r="W1132" s="68">
        <f t="shared" si="293"/>
        <v>465.21970555909093</v>
      </c>
      <c r="X1132" s="68">
        <f t="shared" si="294"/>
        <v>310.14647037272726</v>
      </c>
      <c r="Z1132" s="63"/>
      <c r="AA1132" s="63"/>
    </row>
    <row r="1133" spans="1:27" hidden="1" x14ac:dyDescent="0.25">
      <c r="A1133" t="str">
        <f t="shared" si="283"/>
        <v>10620019C28/05/2026M</v>
      </c>
      <c r="B1133" s="1" t="s">
        <v>827</v>
      </c>
      <c r="C1133" s="1" t="s">
        <v>396</v>
      </c>
      <c r="D1133" s="1" t="s">
        <v>591</v>
      </c>
      <c r="E1133" s="1" t="s">
        <v>595</v>
      </c>
      <c r="F1133" s="1" t="s">
        <v>383</v>
      </c>
      <c r="G1133" s="62" t="str">
        <f t="shared" si="271"/>
        <v>64569</v>
      </c>
      <c r="H1133" s="1">
        <v>10620019</v>
      </c>
      <c r="I1133" s="1" t="s">
        <v>388</v>
      </c>
      <c r="J1133" s="61">
        <v>24</v>
      </c>
      <c r="K1133" s="61">
        <v>4.3</v>
      </c>
      <c r="L1133" s="61">
        <v>8.5</v>
      </c>
      <c r="M1133" s="69">
        <f t="shared" si="284"/>
        <v>1.0319999999999998</v>
      </c>
      <c r="N1133" s="69">
        <f t="shared" si="285"/>
        <v>2.04</v>
      </c>
      <c r="O1133" s="56">
        <f>INDEX(Rate_Chart!$A$1:$AK$127,MATCH(Data!K1133,Rate_Chart!$A$1:$A$127,0),MATCH(Data!L1133,Rate_Chart!$A$1:$AK$1,0))</f>
        <v>41.562181500000001</v>
      </c>
      <c r="P1133" s="57">
        <f t="shared" si="286"/>
        <v>997.49235599999997</v>
      </c>
      <c r="Q1133" s="58">
        <f t="shared" si="287"/>
        <v>417.01185451505017</v>
      </c>
      <c r="R1133" s="58">
        <f t="shared" si="288"/>
        <v>278.00790301003343</v>
      </c>
      <c r="S1133" s="66">
        <f t="shared" si="289"/>
        <v>17.456116230000003</v>
      </c>
      <c r="T1133" s="64">
        <f t="shared" si="290"/>
        <v>90</v>
      </c>
      <c r="U1133" s="66">
        <f t="shared" si="291"/>
        <v>1104.9484722299999</v>
      </c>
      <c r="V1133" s="68">
        <f t="shared" si="292"/>
        <v>46.039519676249995</v>
      </c>
      <c r="W1133" s="68">
        <f t="shared" si="293"/>
        <v>461.93498002926418</v>
      </c>
      <c r="X1133" s="68">
        <f t="shared" si="294"/>
        <v>307.95665335284281</v>
      </c>
      <c r="Z1133" s="63"/>
      <c r="AA1133" s="63"/>
    </row>
    <row r="1134" spans="1:27" hidden="1" x14ac:dyDescent="0.25">
      <c r="A1134" t="str">
        <f t="shared" si="283"/>
        <v>10620019B28/05/2026M</v>
      </c>
      <c r="B1134" s="1" t="s">
        <v>828</v>
      </c>
      <c r="C1134" s="1" t="s">
        <v>396</v>
      </c>
      <c r="D1134" s="1" t="s">
        <v>591</v>
      </c>
      <c r="E1134" s="1" t="s">
        <v>595</v>
      </c>
      <c r="F1134" s="1" t="s">
        <v>383</v>
      </c>
      <c r="G1134" s="62" t="str">
        <f t="shared" si="271"/>
        <v>64569</v>
      </c>
      <c r="H1134" s="1">
        <v>10620019</v>
      </c>
      <c r="I1134" s="1" t="s">
        <v>387</v>
      </c>
      <c r="J1134" s="61">
        <v>59</v>
      </c>
      <c r="K1134" s="61">
        <v>6.2</v>
      </c>
      <c r="L1134" s="61">
        <v>8.8000000000000007</v>
      </c>
      <c r="M1134" s="69">
        <f t="shared" si="284"/>
        <v>3.6579999999999999</v>
      </c>
      <c r="N1134" s="69">
        <f t="shared" si="285"/>
        <v>5.1920000000000002</v>
      </c>
      <c r="O1134" s="56">
        <f>INDEX(Rate_Chart!$A$1:$AK$127,MATCH(Data!K1134,Rate_Chart!$A$1:$A$127,0),MATCH(Data!L1134,Rate_Chart!$A$1:$AK$1,0))</f>
        <v>51.252300000000005</v>
      </c>
      <c r="P1134" s="57">
        <f t="shared" si="286"/>
        <v>3023.8857000000003</v>
      </c>
      <c r="Q1134" s="58">
        <f t="shared" si="287"/>
        <v>424.74281767955802</v>
      </c>
      <c r="R1134" s="58">
        <f t="shared" si="288"/>
        <v>283.1618784530387</v>
      </c>
      <c r="S1134" s="66">
        <f t="shared" si="289"/>
        <v>52.917999750000007</v>
      </c>
      <c r="T1134" s="64">
        <f t="shared" si="290"/>
        <v>221.25</v>
      </c>
      <c r="U1134" s="66">
        <f t="shared" si="291"/>
        <v>3298.0536997500003</v>
      </c>
      <c r="V1134" s="68">
        <f t="shared" si="292"/>
        <v>55.899215250000005</v>
      </c>
      <c r="W1134" s="68">
        <f t="shared" si="293"/>
        <v>463.25316505524864</v>
      </c>
      <c r="X1134" s="68">
        <f t="shared" si="294"/>
        <v>308.83544337016576</v>
      </c>
      <c r="Z1134" s="63"/>
      <c r="AA1134" s="63"/>
    </row>
    <row r="1135" spans="1:27" hidden="1" x14ac:dyDescent="0.25">
      <c r="A1135" t="str">
        <f t="shared" si="283"/>
        <v>10620019C28/05/2026M</v>
      </c>
      <c r="B1135" s="1" t="s">
        <v>828</v>
      </c>
      <c r="C1135" s="1" t="s">
        <v>396</v>
      </c>
      <c r="D1135" s="1" t="s">
        <v>591</v>
      </c>
      <c r="E1135" s="1" t="s">
        <v>595</v>
      </c>
      <c r="F1135" s="1" t="s">
        <v>383</v>
      </c>
      <c r="G1135" s="62" t="str">
        <f t="shared" si="271"/>
        <v>64569</v>
      </c>
      <c r="H1135" s="1">
        <v>10620019</v>
      </c>
      <c r="I1135" s="1" t="s">
        <v>388</v>
      </c>
      <c r="J1135" s="61">
        <v>31</v>
      </c>
      <c r="K1135" s="61">
        <v>3.7</v>
      </c>
      <c r="L1135" s="61">
        <v>8.1</v>
      </c>
      <c r="M1135" s="69">
        <f t="shared" si="284"/>
        <v>1.147</v>
      </c>
      <c r="N1135" s="69">
        <f t="shared" si="285"/>
        <v>2.5110000000000001</v>
      </c>
      <c r="O1135" s="56">
        <f>INDEX(Rate_Chart!$A$1:$AK$127,MATCH(Data!K1135,Rate_Chart!$A$1:$A$127,0),MATCH(Data!L1135,Rate_Chart!$A$1:$AK$1,0))</f>
        <v>37.948125900000008</v>
      </c>
      <c r="P1135" s="57">
        <f t="shared" si="286"/>
        <v>1176.3919029000003</v>
      </c>
      <c r="Q1135" s="58">
        <f t="shared" si="287"/>
        <v>417.01237252747262</v>
      </c>
      <c r="R1135" s="58">
        <f t="shared" si="288"/>
        <v>278.00824835164843</v>
      </c>
      <c r="S1135" s="66">
        <f t="shared" si="289"/>
        <v>20.586858300750009</v>
      </c>
      <c r="T1135" s="64">
        <f t="shared" si="290"/>
        <v>116.25</v>
      </c>
      <c r="U1135" s="66">
        <f t="shared" si="291"/>
        <v>1313.2287612007503</v>
      </c>
      <c r="V1135" s="68">
        <f t="shared" si="292"/>
        <v>42.362218103250008</v>
      </c>
      <c r="W1135" s="68">
        <f t="shared" si="293"/>
        <v>465.51888025549459</v>
      </c>
      <c r="X1135" s="68">
        <f t="shared" si="294"/>
        <v>310.34592017032975</v>
      </c>
      <c r="Z1135" s="63"/>
      <c r="AA1135" s="63"/>
    </row>
    <row r="1136" spans="1:27" hidden="1" x14ac:dyDescent="0.25">
      <c r="A1136" t="str">
        <f t="shared" si="283"/>
        <v>10620019B28/05/2026E</v>
      </c>
      <c r="B1136" s="1" t="s">
        <v>828</v>
      </c>
      <c r="C1136" s="1" t="s">
        <v>397</v>
      </c>
      <c r="D1136" s="1" t="s">
        <v>591</v>
      </c>
      <c r="E1136" s="1" t="s">
        <v>595</v>
      </c>
      <c r="F1136" s="1" t="s">
        <v>383</v>
      </c>
      <c r="G1136" s="62" t="str">
        <f t="shared" si="271"/>
        <v>64569</v>
      </c>
      <c r="H1136" s="1">
        <v>10620019</v>
      </c>
      <c r="I1136" s="1" t="s">
        <v>387</v>
      </c>
      <c r="J1136" s="61">
        <v>10</v>
      </c>
      <c r="K1136" s="61">
        <v>6</v>
      </c>
      <c r="L1136" s="61">
        <v>8.8000000000000007</v>
      </c>
      <c r="M1136" s="69">
        <f t="shared" si="284"/>
        <v>0.6</v>
      </c>
      <c r="N1136" s="69">
        <f t="shared" si="285"/>
        <v>0.88</v>
      </c>
      <c r="O1136" s="56">
        <f>INDEX(Rate_Chart!$A$1:$AK$127,MATCH(Data!K1136,Rate_Chart!$A$1:$A$127,0),MATCH(Data!L1136,Rate_Chart!$A$1:$AK$1,0))</f>
        <v>49.599000000000004</v>
      </c>
      <c r="P1136" s="57">
        <f t="shared" si="286"/>
        <v>495.99</v>
      </c>
      <c r="Q1136" s="58">
        <f t="shared" si="287"/>
        <v>417.96910112359552</v>
      </c>
      <c r="R1136" s="58">
        <f t="shared" si="288"/>
        <v>278.64606741573033</v>
      </c>
      <c r="S1136" s="66">
        <f t="shared" si="289"/>
        <v>8.679825000000001</v>
      </c>
      <c r="T1136" s="64">
        <f t="shared" si="290"/>
        <v>37.5</v>
      </c>
      <c r="U1136" s="66">
        <f t="shared" si="291"/>
        <v>542.16982500000006</v>
      </c>
      <c r="V1136" s="68">
        <f t="shared" si="292"/>
        <v>54.216982500000007</v>
      </c>
      <c r="W1136" s="68">
        <f t="shared" si="293"/>
        <v>456.8846839887641</v>
      </c>
      <c r="X1136" s="68">
        <f t="shared" si="294"/>
        <v>304.58978932584273</v>
      </c>
      <c r="Z1136" s="63"/>
      <c r="AA1136" s="63"/>
    </row>
    <row r="1137" spans="1:27" hidden="1" x14ac:dyDescent="0.25">
      <c r="A1137" t="str">
        <f t="shared" si="283"/>
        <v>10620019C22/05/2026E</v>
      </c>
      <c r="B1137" s="1" t="s">
        <v>828</v>
      </c>
      <c r="C1137" s="1" t="s">
        <v>397</v>
      </c>
      <c r="D1137" s="1" t="s">
        <v>591</v>
      </c>
      <c r="E1137" s="1" t="s">
        <v>595</v>
      </c>
      <c r="F1137" s="1" t="s">
        <v>383</v>
      </c>
      <c r="G1137" s="62" t="str">
        <f t="shared" si="271"/>
        <v>64569</v>
      </c>
      <c r="H1137" s="1">
        <v>10620019</v>
      </c>
      <c r="I1137" s="1" t="s">
        <v>388</v>
      </c>
      <c r="J1137" s="61">
        <v>40</v>
      </c>
      <c r="K1137" s="61">
        <v>3.3</v>
      </c>
      <c r="L1137" s="61">
        <v>8.1</v>
      </c>
      <c r="M1137" s="69">
        <f t="shared" si="284"/>
        <v>1.32</v>
      </c>
      <c r="N1137" s="69">
        <f t="shared" si="285"/>
        <v>3.24</v>
      </c>
      <c r="O1137" s="56">
        <f>INDEX(Rate_Chart!$A$1:$AK$127,MATCH(Data!K1137,Rate_Chart!$A$1:$A$127,0),MATCH(Data!L1137,Rate_Chart!$A$1:$AK$1,0))</f>
        <v>36.280125900000002</v>
      </c>
      <c r="P1137" s="57">
        <f t="shared" si="286"/>
        <v>1451.2050360000001</v>
      </c>
      <c r="Q1137" s="58">
        <f t="shared" si="287"/>
        <v>417.0129413793104</v>
      </c>
      <c r="R1137" s="58">
        <f t="shared" si="288"/>
        <v>278.00862758620696</v>
      </c>
      <c r="S1137" s="66">
        <f t="shared" si="289"/>
        <v>25.396088130000003</v>
      </c>
      <c r="T1137" s="64">
        <f t="shared" si="290"/>
        <v>150</v>
      </c>
      <c r="U1137" s="66">
        <f t="shared" si="291"/>
        <v>1626.60112413</v>
      </c>
      <c r="V1137" s="68">
        <f t="shared" si="292"/>
        <v>40.665028103250002</v>
      </c>
      <c r="W1137" s="68">
        <f t="shared" si="293"/>
        <v>467.4141161293104</v>
      </c>
      <c r="X1137" s="68">
        <f t="shared" si="294"/>
        <v>311.6094107528736</v>
      </c>
      <c r="Z1137" s="63"/>
      <c r="AA1137" s="63"/>
    </row>
    <row r="1138" spans="1:27" hidden="1" x14ac:dyDescent="0.25">
      <c r="A1138" t="str">
        <f t="shared" si="283"/>
        <v>10620009B22/05/2026M</v>
      </c>
      <c r="B1138" s="1" t="s">
        <v>822</v>
      </c>
      <c r="C1138" s="1" t="s">
        <v>396</v>
      </c>
      <c r="D1138" s="1" t="s">
        <v>591</v>
      </c>
      <c r="E1138" s="1" t="s">
        <v>595</v>
      </c>
      <c r="F1138" s="1" t="s">
        <v>384</v>
      </c>
      <c r="G1138" s="62" t="str">
        <f t="shared" si="271"/>
        <v>64571</v>
      </c>
      <c r="H1138" s="1">
        <v>10620009</v>
      </c>
      <c r="I1138" s="1" t="s">
        <v>387</v>
      </c>
      <c r="J1138" s="61">
        <v>34</v>
      </c>
      <c r="K1138" s="61">
        <v>7.7</v>
      </c>
      <c r="L1138" s="61">
        <v>9</v>
      </c>
      <c r="M1138" s="69">
        <f t="shared" si="284"/>
        <v>2.6180000000000003</v>
      </c>
      <c r="N1138" s="69">
        <f t="shared" si="285"/>
        <v>3.06</v>
      </c>
      <c r="O1138" s="56">
        <v>64.295000000000002</v>
      </c>
      <c r="P1138" s="57">
        <f t="shared" si="286"/>
        <v>2186.0300000000002</v>
      </c>
      <c r="Q1138" s="58">
        <f t="shared" si="287"/>
        <v>469.30656934306569</v>
      </c>
      <c r="R1138" s="58">
        <f t="shared" si="288"/>
        <v>312.87104622871044</v>
      </c>
      <c r="S1138" s="66">
        <f t="shared" si="289"/>
        <v>38.255525000000006</v>
      </c>
      <c r="T1138" s="64">
        <f t="shared" si="290"/>
        <v>127.5</v>
      </c>
      <c r="U1138" s="66">
        <f t="shared" si="291"/>
        <v>2351.7855250000002</v>
      </c>
      <c r="V1138" s="68">
        <f t="shared" si="292"/>
        <v>69.170162500000004</v>
      </c>
      <c r="W1138" s="68">
        <f t="shared" si="293"/>
        <v>504.89169708029198</v>
      </c>
      <c r="X1138" s="68">
        <f t="shared" si="294"/>
        <v>336.59446472019465</v>
      </c>
      <c r="Z1138" s="63"/>
      <c r="AA1138" s="63"/>
    </row>
    <row r="1139" spans="1:27" hidden="1" x14ac:dyDescent="0.25">
      <c r="A1139" t="str">
        <f t="shared" si="283"/>
        <v>10620009C22/05/2026M</v>
      </c>
      <c r="B1139" s="1" t="s">
        <v>822</v>
      </c>
      <c r="C1139" s="1" t="s">
        <v>396</v>
      </c>
      <c r="D1139" s="1" t="s">
        <v>591</v>
      </c>
      <c r="E1139" s="1" t="s">
        <v>595</v>
      </c>
      <c r="F1139" s="1" t="s">
        <v>384</v>
      </c>
      <c r="G1139" s="62" t="str">
        <f t="shared" si="271"/>
        <v>64571</v>
      </c>
      <c r="H1139" s="1">
        <v>10620009</v>
      </c>
      <c r="I1139" s="1" t="s">
        <v>388</v>
      </c>
      <c r="J1139" s="61">
        <v>31</v>
      </c>
      <c r="K1139" s="61">
        <v>4</v>
      </c>
      <c r="L1139" s="61">
        <v>8.1999999999999993</v>
      </c>
      <c r="M1139" s="69">
        <f t="shared" si="284"/>
        <v>1.24</v>
      </c>
      <c r="N1139" s="69">
        <f t="shared" si="285"/>
        <v>2.5419999999999998</v>
      </c>
      <c r="O1139" s="56">
        <v>37.489082400000001</v>
      </c>
      <c r="P1139" s="57">
        <f t="shared" si="286"/>
        <v>1162.1615544000001</v>
      </c>
      <c r="Q1139" s="58">
        <f t="shared" si="287"/>
        <v>396.01143380281695</v>
      </c>
      <c r="R1139" s="58">
        <f t="shared" si="288"/>
        <v>264.00762253521128</v>
      </c>
      <c r="S1139" s="66">
        <f t="shared" si="289"/>
        <v>20.337827202000003</v>
      </c>
      <c r="T1139" s="64">
        <f t="shared" si="290"/>
        <v>116.25</v>
      </c>
      <c r="U1139" s="66">
        <f t="shared" si="291"/>
        <v>1298.7493816020001</v>
      </c>
      <c r="V1139" s="68">
        <f t="shared" si="292"/>
        <v>41.895141342000002</v>
      </c>
      <c r="W1139" s="68">
        <f t="shared" si="293"/>
        <v>442.55430995070429</v>
      </c>
      <c r="X1139" s="68">
        <f t="shared" si="294"/>
        <v>295.03620663380286</v>
      </c>
      <c r="Z1139" s="63"/>
      <c r="AA1139" s="63"/>
    </row>
    <row r="1140" spans="1:27" hidden="1" x14ac:dyDescent="0.25">
      <c r="A1140" t="str">
        <f t="shared" si="283"/>
        <v>10620009B22/05/2026E</v>
      </c>
      <c r="B1140" s="1" t="s">
        <v>822</v>
      </c>
      <c r="C1140" s="1" t="s">
        <v>397</v>
      </c>
      <c r="D1140" s="1" t="s">
        <v>591</v>
      </c>
      <c r="E1140" s="1" t="s">
        <v>595</v>
      </c>
      <c r="F1140" s="1" t="s">
        <v>384</v>
      </c>
      <c r="G1140" s="62" t="str">
        <f t="shared" si="271"/>
        <v>64571</v>
      </c>
      <c r="H1140" s="1">
        <v>10620009</v>
      </c>
      <c r="I1140" s="1" t="s">
        <v>387</v>
      </c>
      <c r="J1140" s="61">
        <v>24</v>
      </c>
      <c r="K1140" s="61">
        <v>6.7</v>
      </c>
      <c r="L1140" s="61">
        <v>8.8000000000000007</v>
      </c>
      <c r="M1140" s="69">
        <f t="shared" si="284"/>
        <v>1.6080000000000001</v>
      </c>
      <c r="N1140" s="69">
        <f t="shared" si="285"/>
        <v>2.1120000000000001</v>
      </c>
      <c r="O1140" s="56">
        <v>55.385550000000002</v>
      </c>
      <c r="P1140" s="57">
        <f t="shared" si="286"/>
        <v>1329.2532000000001</v>
      </c>
      <c r="Q1140" s="58">
        <f t="shared" si="287"/>
        <v>440.73381962864721</v>
      </c>
      <c r="R1140" s="58">
        <f t="shared" si="288"/>
        <v>293.82254641909816</v>
      </c>
      <c r="S1140" s="66">
        <f t="shared" si="289"/>
        <v>23.261931000000004</v>
      </c>
      <c r="T1140" s="64">
        <f t="shared" si="290"/>
        <v>90</v>
      </c>
      <c r="U1140" s="66">
        <f t="shared" si="291"/>
        <v>1442.5151310000001</v>
      </c>
      <c r="V1140" s="68">
        <f t="shared" si="292"/>
        <v>60.104797125000005</v>
      </c>
      <c r="W1140" s="68">
        <f t="shared" si="293"/>
        <v>478.28751027851456</v>
      </c>
      <c r="X1140" s="68">
        <f t="shared" si="294"/>
        <v>318.85834018567635</v>
      </c>
      <c r="Z1140" s="63"/>
      <c r="AA1140" s="63"/>
    </row>
    <row r="1141" spans="1:27" hidden="1" x14ac:dyDescent="0.25">
      <c r="A1141" t="str">
        <f t="shared" si="283"/>
        <v>10620009C23/05/2026E</v>
      </c>
      <c r="B1141" s="1" t="s">
        <v>822</v>
      </c>
      <c r="C1141" s="1" t="s">
        <v>397</v>
      </c>
      <c r="D1141" s="1" t="s">
        <v>591</v>
      </c>
      <c r="E1141" s="1" t="s">
        <v>595</v>
      </c>
      <c r="F1141" s="1" t="s">
        <v>384</v>
      </c>
      <c r="G1141" s="62" t="str">
        <f t="shared" si="271"/>
        <v>64571</v>
      </c>
      <c r="H1141" s="1">
        <v>10620009</v>
      </c>
      <c r="I1141" s="1" t="s">
        <v>388</v>
      </c>
      <c r="J1141" s="61">
        <v>39</v>
      </c>
      <c r="K1141" s="61">
        <v>3.3</v>
      </c>
      <c r="L1141" s="61">
        <v>8.1</v>
      </c>
      <c r="M1141" s="69">
        <f t="shared" si="284"/>
        <v>1.2869999999999999</v>
      </c>
      <c r="N1141" s="69">
        <f t="shared" si="285"/>
        <v>3.1589999999999998</v>
      </c>
      <c r="O1141" s="56">
        <v>34.453069200000002</v>
      </c>
      <c r="P1141" s="57">
        <f t="shared" si="286"/>
        <v>1343.6696988000001</v>
      </c>
      <c r="Q1141" s="58">
        <f t="shared" si="287"/>
        <v>396.01228965517248</v>
      </c>
      <c r="R1141" s="58">
        <f t="shared" si="288"/>
        <v>264.00819310344832</v>
      </c>
      <c r="S1141" s="66">
        <f t="shared" si="289"/>
        <v>23.514219729000004</v>
      </c>
      <c r="T1141" s="64">
        <f t="shared" si="290"/>
        <v>146.25</v>
      </c>
      <c r="U1141" s="66">
        <f t="shared" si="291"/>
        <v>1513.433918529</v>
      </c>
      <c r="V1141" s="68">
        <f t="shared" si="292"/>
        <v>38.805997910999999</v>
      </c>
      <c r="W1141" s="68">
        <f t="shared" si="293"/>
        <v>446.045953</v>
      </c>
      <c r="X1141" s="68">
        <f t="shared" si="294"/>
        <v>297.36396866666666</v>
      </c>
      <c r="Z1141" s="63"/>
      <c r="AA1141" s="63"/>
    </row>
    <row r="1142" spans="1:27" hidden="1" x14ac:dyDescent="0.25">
      <c r="A1142" t="str">
        <f t="shared" si="283"/>
        <v>10620009B23/05/2026M</v>
      </c>
      <c r="B1142" s="1" t="s">
        <v>823</v>
      </c>
      <c r="C1142" s="1" t="s">
        <v>396</v>
      </c>
      <c r="D1142" s="1" t="s">
        <v>591</v>
      </c>
      <c r="E1142" s="1" t="s">
        <v>595</v>
      </c>
      <c r="F1142" s="1" t="s">
        <v>384</v>
      </c>
      <c r="G1142" s="62" t="str">
        <f t="shared" si="271"/>
        <v>64571</v>
      </c>
      <c r="H1142" s="1">
        <v>10620009</v>
      </c>
      <c r="I1142" s="1" t="s">
        <v>387</v>
      </c>
      <c r="J1142" s="61">
        <v>33</v>
      </c>
      <c r="K1142" s="61">
        <v>7.8</v>
      </c>
      <c r="L1142" s="61">
        <v>8.8000000000000007</v>
      </c>
      <c r="M1142" s="69">
        <f t="shared" si="284"/>
        <v>2.5739999999999998</v>
      </c>
      <c r="N1142" s="69">
        <f t="shared" si="285"/>
        <v>2.9040000000000004</v>
      </c>
      <c r="O1142" s="56">
        <v>64.478699999999989</v>
      </c>
      <c r="P1142" s="57">
        <f t="shared" si="286"/>
        <v>2127.7970999999998</v>
      </c>
      <c r="Q1142" s="58">
        <f t="shared" si="287"/>
        <v>471.7953658536585</v>
      </c>
      <c r="R1142" s="58">
        <f t="shared" si="288"/>
        <v>314.530243902439</v>
      </c>
      <c r="S1142" s="66">
        <f t="shared" si="289"/>
        <v>37.23644925</v>
      </c>
      <c r="T1142" s="64">
        <f t="shared" si="290"/>
        <v>123.75</v>
      </c>
      <c r="U1142" s="66">
        <f t="shared" si="291"/>
        <v>2288.7835492499999</v>
      </c>
      <c r="V1142" s="68">
        <f t="shared" si="292"/>
        <v>69.357077249999989</v>
      </c>
      <c r="W1142" s="68">
        <f t="shared" si="293"/>
        <v>507.49080914634141</v>
      </c>
      <c r="X1142" s="68">
        <f t="shared" si="294"/>
        <v>338.32720609756092</v>
      </c>
      <c r="Z1142" s="63"/>
      <c r="AA1142" s="63"/>
    </row>
    <row r="1143" spans="1:27" hidden="1" x14ac:dyDescent="0.25">
      <c r="A1143" t="str">
        <f t="shared" si="283"/>
        <v>10620009C23/05/2026M</v>
      </c>
      <c r="B1143" s="1" t="s">
        <v>823</v>
      </c>
      <c r="C1143" s="1" t="s">
        <v>396</v>
      </c>
      <c r="D1143" s="1" t="s">
        <v>591</v>
      </c>
      <c r="E1143" s="1" t="s">
        <v>595</v>
      </c>
      <c r="F1143" s="1" t="s">
        <v>384</v>
      </c>
      <c r="G1143" s="62" t="str">
        <f t="shared" ref="G1143:G1206" si="295">MID(F1143,2,5)</f>
        <v>64571</v>
      </c>
      <c r="H1143" s="1">
        <v>10620009</v>
      </c>
      <c r="I1143" s="1" t="s">
        <v>388</v>
      </c>
      <c r="J1143" s="61">
        <v>54</v>
      </c>
      <c r="K1143" s="61">
        <v>4.4000000000000004</v>
      </c>
      <c r="L1143" s="61">
        <v>8.1999999999999993</v>
      </c>
      <c r="M1143" s="69">
        <f t="shared" si="284"/>
        <v>2.3760000000000003</v>
      </c>
      <c r="N1143" s="69">
        <f t="shared" si="285"/>
        <v>4.4279999999999999</v>
      </c>
      <c r="O1143" s="56">
        <v>39.073082400000004</v>
      </c>
      <c r="P1143" s="57">
        <f t="shared" si="286"/>
        <v>2109.9464496000001</v>
      </c>
      <c r="Q1143" s="58">
        <f t="shared" si="287"/>
        <v>396.01097027027032</v>
      </c>
      <c r="R1143" s="58">
        <f t="shared" si="288"/>
        <v>264.00731351351357</v>
      </c>
      <c r="S1143" s="66">
        <f t="shared" si="289"/>
        <v>36.924062868000007</v>
      </c>
      <c r="T1143" s="64">
        <f t="shared" si="290"/>
        <v>202.5</v>
      </c>
      <c r="U1143" s="66">
        <f t="shared" si="291"/>
        <v>2349.370512468</v>
      </c>
      <c r="V1143" s="68">
        <f t="shared" si="292"/>
        <v>43.506861342000001</v>
      </c>
      <c r="W1143" s="68">
        <f t="shared" si="293"/>
        <v>440.94791900675676</v>
      </c>
      <c r="X1143" s="68">
        <f t="shared" si="294"/>
        <v>293.96527933783784</v>
      </c>
      <c r="Z1143" s="63"/>
      <c r="AA1143" s="63"/>
    </row>
    <row r="1144" spans="1:27" hidden="1" x14ac:dyDescent="0.25">
      <c r="A1144" t="str">
        <f t="shared" si="283"/>
        <v>10620009B23/05/2026E</v>
      </c>
      <c r="B1144" s="1" t="s">
        <v>823</v>
      </c>
      <c r="C1144" s="1" t="s">
        <v>397</v>
      </c>
      <c r="D1144" s="1" t="s">
        <v>591</v>
      </c>
      <c r="E1144" s="1" t="s">
        <v>595</v>
      </c>
      <c r="F1144" s="1" t="s">
        <v>384</v>
      </c>
      <c r="G1144" s="62" t="str">
        <f t="shared" si="295"/>
        <v>64571</v>
      </c>
      <c r="H1144" s="1">
        <v>10620009</v>
      </c>
      <c r="I1144" s="1" t="s">
        <v>387</v>
      </c>
      <c r="J1144" s="61">
        <v>20</v>
      </c>
      <c r="K1144" s="61">
        <v>6.8</v>
      </c>
      <c r="L1144" s="61">
        <v>8.8000000000000007</v>
      </c>
      <c r="M1144" s="69">
        <f t="shared" si="284"/>
        <v>1.36</v>
      </c>
      <c r="N1144" s="69">
        <f t="shared" si="285"/>
        <v>1.76</v>
      </c>
      <c r="O1144" s="56">
        <v>56.212200000000003</v>
      </c>
      <c r="P1144" s="57">
        <f t="shared" si="286"/>
        <v>1124.2440000000001</v>
      </c>
      <c r="Q1144" s="58">
        <f t="shared" si="287"/>
        <v>443.78052631578947</v>
      </c>
      <c r="R1144" s="58">
        <f t="shared" si="288"/>
        <v>295.8536842105263</v>
      </c>
      <c r="S1144" s="66">
        <f t="shared" si="289"/>
        <v>19.674270000000003</v>
      </c>
      <c r="T1144" s="64">
        <f t="shared" si="290"/>
        <v>75</v>
      </c>
      <c r="U1144" s="66">
        <f t="shared" si="291"/>
        <v>1218.9182700000001</v>
      </c>
      <c r="V1144" s="68">
        <f t="shared" si="292"/>
        <v>60.945913500000003</v>
      </c>
      <c r="W1144" s="68">
        <f t="shared" si="293"/>
        <v>481.15194868421054</v>
      </c>
      <c r="X1144" s="68">
        <f t="shared" si="294"/>
        <v>320.76796578947369</v>
      </c>
      <c r="Z1144" s="63"/>
      <c r="AA1144" s="63"/>
    </row>
    <row r="1145" spans="1:27" hidden="1" x14ac:dyDescent="0.25">
      <c r="A1145" t="str">
        <f t="shared" si="283"/>
        <v>10620009C24/05/2026E</v>
      </c>
      <c r="B1145" s="1" t="s">
        <v>823</v>
      </c>
      <c r="C1145" s="1" t="s">
        <v>397</v>
      </c>
      <c r="D1145" s="1" t="s">
        <v>591</v>
      </c>
      <c r="E1145" s="1" t="s">
        <v>595</v>
      </c>
      <c r="F1145" s="1" t="s">
        <v>384</v>
      </c>
      <c r="G1145" s="62" t="str">
        <f t="shared" si="295"/>
        <v>64571</v>
      </c>
      <c r="H1145" s="1">
        <v>10620009</v>
      </c>
      <c r="I1145" s="1" t="s">
        <v>388</v>
      </c>
      <c r="J1145" s="61">
        <v>33</v>
      </c>
      <c r="K1145" s="61">
        <v>3.5</v>
      </c>
      <c r="L1145" s="61">
        <v>8.1</v>
      </c>
      <c r="M1145" s="69">
        <f t="shared" si="284"/>
        <v>1.155</v>
      </c>
      <c r="N1145" s="69">
        <f t="shared" si="285"/>
        <v>2.673</v>
      </c>
      <c r="O1145" s="56">
        <v>35.245069200000003</v>
      </c>
      <c r="P1145" s="57">
        <f t="shared" si="286"/>
        <v>1163.0872836000001</v>
      </c>
      <c r="Q1145" s="58">
        <f t="shared" si="287"/>
        <v>396.01201348314612</v>
      </c>
      <c r="R1145" s="58">
        <f t="shared" si="288"/>
        <v>264.00800898876406</v>
      </c>
      <c r="S1145" s="66">
        <f t="shared" si="289"/>
        <v>20.354027463000005</v>
      </c>
      <c r="T1145" s="64">
        <f t="shared" si="290"/>
        <v>123.75</v>
      </c>
      <c r="U1145" s="66">
        <f t="shared" si="291"/>
        <v>1307.1913110630001</v>
      </c>
      <c r="V1145" s="68">
        <f t="shared" si="292"/>
        <v>39.611857911000001</v>
      </c>
      <c r="W1145" s="68">
        <f t="shared" si="293"/>
        <v>445.0770551797753</v>
      </c>
      <c r="X1145" s="68">
        <f t="shared" si="294"/>
        <v>296.71803678651685</v>
      </c>
      <c r="Z1145" s="63"/>
      <c r="AA1145" s="63"/>
    </row>
    <row r="1146" spans="1:27" hidden="1" x14ac:dyDescent="0.25">
      <c r="A1146" t="str">
        <f t="shared" si="283"/>
        <v>10620009B24/05/2026M</v>
      </c>
      <c r="B1146" s="1" t="s">
        <v>824</v>
      </c>
      <c r="C1146" s="1" t="s">
        <v>396</v>
      </c>
      <c r="D1146" s="1" t="s">
        <v>591</v>
      </c>
      <c r="E1146" s="1" t="s">
        <v>595</v>
      </c>
      <c r="F1146" s="1" t="s">
        <v>384</v>
      </c>
      <c r="G1146" s="62" t="str">
        <f t="shared" si="295"/>
        <v>64571</v>
      </c>
      <c r="H1146" s="1">
        <v>10620009</v>
      </c>
      <c r="I1146" s="1" t="s">
        <v>387</v>
      </c>
      <c r="J1146" s="61">
        <v>38</v>
      </c>
      <c r="K1146" s="61">
        <v>7.4</v>
      </c>
      <c r="L1146" s="61">
        <v>8.8000000000000007</v>
      </c>
      <c r="M1146" s="69">
        <f t="shared" si="284"/>
        <v>2.8119999999999998</v>
      </c>
      <c r="N1146" s="69">
        <f t="shared" si="285"/>
        <v>3.3440000000000003</v>
      </c>
      <c r="O1146" s="56">
        <v>61.172100000000007</v>
      </c>
      <c r="P1146" s="57">
        <f t="shared" si="286"/>
        <v>2324.5398000000005</v>
      </c>
      <c r="Q1146" s="58">
        <f t="shared" si="287"/>
        <v>461.09623115577887</v>
      </c>
      <c r="R1146" s="58">
        <f t="shared" si="288"/>
        <v>307.39748743718593</v>
      </c>
      <c r="S1146" s="66">
        <f t="shared" si="289"/>
        <v>40.679446500000012</v>
      </c>
      <c r="T1146" s="64">
        <f t="shared" si="290"/>
        <v>142.5</v>
      </c>
      <c r="U1146" s="66">
        <f t="shared" si="291"/>
        <v>2507.7192465000003</v>
      </c>
      <c r="V1146" s="68">
        <f t="shared" si="292"/>
        <v>65.992611750000009</v>
      </c>
      <c r="W1146" s="68">
        <f t="shared" si="293"/>
        <v>497.43174685929648</v>
      </c>
      <c r="X1146" s="68">
        <f t="shared" si="294"/>
        <v>331.6211645728643</v>
      </c>
      <c r="Z1146" s="63"/>
      <c r="AA1146" s="63"/>
    </row>
    <row r="1147" spans="1:27" hidden="1" x14ac:dyDescent="0.25">
      <c r="A1147" t="str">
        <f t="shared" si="283"/>
        <v>10620009C24/05/2026M</v>
      </c>
      <c r="B1147" s="1" t="s">
        <v>824</v>
      </c>
      <c r="C1147" s="1" t="s">
        <v>396</v>
      </c>
      <c r="D1147" s="1" t="s">
        <v>591</v>
      </c>
      <c r="E1147" s="1" t="s">
        <v>595</v>
      </c>
      <c r="F1147" s="1" t="s">
        <v>384</v>
      </c>
      <c r="G1147" s="62" t="str">
        <f t="shared" si="295"/>
        <v>64571</v>
      </c>
      <c r="H1147" s="1">
        <v>10620009</v>
      </c>
      <c r="I1147" s="1" t="s">
        <v>388</v>
      </c>
      <c r="J1147" s="61">
        <v>55</v>
      </c>
      <c r="K1147" s="61">
        <v>3.6</v>
      </c>
      <c r="L1147" s="61">
        <v>8</v>
      </c>
      <c r="M1147" s="69">
        <f t="shared" si="284"/>
        <v>1.98</v>
      </c>
      <c r="N1147" s="69">
        <f t="shared" si="285"/>
        <v>4.4000000000000004</v>
      </c>
      <c r="O1147" s="56">
        <v>35.377056000000003</v>
      </c>
      <c r="P1147" s="57">
        <f t="shared" si="286"/>
        <v>1945.7380800000001</v>
      </c>
      <c r="Q1147" s="58">
        <f t="shared" si="287"/>
        <v>396.01182089552236</v>
      </c>
      <c r="R1147" s="58">
        <f t="shared" si="288"/>
        <v>264.00788059701489</v>
      </c>
      <c r="S1147" s="66">
        <f t="shared" si="289"/>
        <v>34.050416400000003</v>
      </c>
      <c r="T1147" s="64">
        <f t="shared" si="290"/>
        <v>206.25</v>
      </c>
      <c r="U1147" s="66">
        <f t="shared" si="291"/>
        <v>2186.0384964</v>
      </c>
      <c r="V1147" s="68">
        <f t="shared" si="292"/>
        <v>39.746154480000001</v>
      </c>
      <c r="W1147" s="68">
        <f t="shared" si="293"/>
        <v>444.91963970149249</v>
      </c>
      <c r="X1147" s="68">
        <f t="shared" si="294"/>
        <v>296.61309313432832</v>
      </c>
      <c r="Z1147" s="63"/>
      <c r="AA1147" s="63"/>
    </row>
    <row r="1148" spans="1:27" hidden="1" x14ac:dyDescent="0.25">
      <c r="A1148" t="str">
        <f t="shared" si="283"/>
        <v>10620009B24/05/2026E</v>
      </c>
      <c r="B1148" s="1" t="s">
        <v>824</v>
      </c>
      <c r="C1148" s="1" t="s">
        <v>397</v>
      </c>
      <c r="D1148" s="1" t="s">
        <v>591</v>
      </c>
      <c r="E1148" s="1" t="s">
        <v>595</v>
      </c>
      <c r="F1148" s="1" t="s">
        <v>384</v>
      </c>
      <c r="G1148" s="62" t="str">
        <f t="shared" si="295"/>
        <v>64571</v>
      </c>
      <c r="H1148" s="1">
        <v>10620009</v>
      </c>
      <c r="I1148" s="1" t="s">
        <v>387</v>
      </c>
      <c r="J1148" s="61">
        <v>25</v>
      </c>
      <c r="K1148" s="61">
        <v>6.7</v>
      </c>
      <c r="L1148" s="61">
        <v>8.8000000000000007</v>
      </c>
      <c r="M1148" s="69">
        <f t="shared" si="284"/>
        <v>1.675</v>
      </c>
      <c r="N1148" s="69">
        <f t="shared" si="285"/>
        <v>2.2000000000000002</v>
      </c>
      <c r="O1148" s="56">
        <v>55.385550000000002</v>
      </c>
      <c r="P1148" s="57">
        <f t="shared" si="286"/>
        <v>1384.6387500000001</v>
      </c>
      <c r="Q1148" s="58">
        <f t="shared" si="287"/>
        <v>440.73381962864721</v>
      </c>
      <c r="R1148" s="58">
        <f t="shared" si="288"/>
        <v>293.82254641909816</v>
      </c>
      <c r="S1148" s="66">
        <f t="shared" si="289"/>
        <v>24.231178125000003</v>
      </c>
      <c r="T1148" s="64">
        <f t="shared" si="290"/>
        <v>93.75</v>
      </c>
      <c r="U1148" s="66">
        <f t="shared" si="291"/>
        <v>1502.6199281250001</v>
      </c>
      <c r="V1148" s="68">
        <f t="shared" si="292"/>
        <v>60.104797125000005</v>
      </c>
      <c r="W1148" s="68">
        <f t="shared" si="293"/>
        <v>478.28751027851456</v>
      </c>
      <c r="X1148" s="68">
        <f t="shared" si="294"/>
        <v>318.85834018567635</v>
      </c>
      <c r="Z1148" s="63"/>
      <c r="AA1148" s="63"/>
    </row>
    <row r="1149" spans="1:27" hidden="1" x14ac:dyDescent="0.25">
      <c r="A1149" t="str">
        <f t="shared" si="283"/>
        <v>10620009C25/05/2026E</v>
      </c>
      <c r="B1149" s="1" t="s">
        <v>824</v>
      </c>
      <c r="C1149" s="1" t="s">
        <v>397</v>
      </c>
      <c r="D1149" s="1" t="s">
        <v>591</v>
      </c>
      <c r="E1149" s="1" t="s">
        <v>595</v>
      </c>
      <c r="F1149" s="1" t="s">
        <v>384</v>
      </c>
      <c r="G1149" s="62" t="str">
        <f t="shared" si="295"/>
        <v>64571</v>
      </c>
      <c r="H1149" s="1">
        <v>10620009</v>
      </c>
      <c r="I1149" s="1" t="s">
        <v>388</v>
      </c>
      <c r="J1149" s="61">
        <v>35</v>
      </c>
      <c r="K1149" s="61">
        <v>3.1</v>
      </c>
      <c r="L1149" s="61">
        <v>8.1</v>
      </c>
      <c r="M1149" s="69">
        <f t="shared" si="284"/>
        <v>1.085</v>
      </c>
      <c r="N1149" s="69">
        <f t="shared" si="285"/>
        <v>2.835</v>
      </c>
      <c r="O1149" s="56">
        <v>33.6610692</v>
      </c>
      <c r="P1149" s="57">
        <f t="shared" si="286"/>
        <v>1178.137422</v>
      </c>
      <c r="Q1149" s="58">
        <f t="shared" si="287"/>
        <v>396.01257882352945</v>
      </c>
      <c r="R1149" s="58">
        <f t="shared" si="288"/>
        <v>264.00838588235297</v>
      </c>
      <c r="S1149" s="66">
        <f t="shared" si="289"/>
        <v>20.617404885000003</v>
      </c>
      <c r="T1149" s="64">
        <f t="shared" si="290"/>
        <v>131.25</v>
      </c>
      <c r="U1149" s="66">
        <f t="shared" si="291"/>
        <v>1330.0048268850001</v>
      </c>
      <c r="V1149" s="68">
        <f t="shared" si="292"/>
        <v>38.000137911000003</v>
      </c>
      <c r="W1149" s="68">
        <f t="shared" si="293"/>
        <v>447.06044601176478</v>
      </c>
      <c r="X1149" s="68">
        <f t="shared" si="294"/>
        <v>298.04029734117654</v>
      </c>
      <c r="Z1149" s="63"/>
      <c r="AA1149" s="63"/>
    </row>
    <row r="1150" spans="1:27" hidden="1" x14ac:dyDescent="0.25">
      <c r="A1150" t="str">
        <f t="shared" si="283"/>
        <v>10620009B25/05/2026M</v>
      </c>
      <c r="B1150" s="1" t="s">
        <v>825</v>
      </c>
      <c r="C1150" s="1" t="s">
        <v>396</v>
      </c>
      <c r="D1150" s="1" t="s">
        <v>591</v>
      </c>
      <c r="E1150" s="1" t="s">
        <v>595</v>
      </c>
      <c r="F1150" s="1" t="s">
        <v>384</v>
      </c>
      <c r="G1150" s="62" t="str">
        <f t="shared" si="295"/>
        <v>64571</v>
      </c>
      <c r="H1150" s="1">
        <v>10620009</v>
      </c>
      <c r="I1150" s="1" t="s">
        <v>387</v>
      </c>
      <c r="J1150" s="61">
        <v>40</v>
      </c>
      <c r="K1150" s="61">
        <v>7.6</v>
      </c>
      <c r="L1150" s="61">
        <v>8.8000000000000007</v>
      </c>
      <c r="M1150" s="69">
        <f t="shared" si="284"/>
        <v>3.04</v>
      </c>
      <c r="N1150" s="69">
        <f t="shared" si="285"/>
        <v>3.52</v>
      </c>
      <c r="O1150" s="56">
        <v>62.825400000000002</v>
      </c>
      <c r="P1150" s="57">
        <f t="shared" si="286"/>
        <v>2513.0160000000001</v>
      </c>
      <c r="Q1150" s="58">
        <f t="shared" si="287"/>
        <v>466.5252475247525</v>
      </c>
      <c r="R1150" s="58">
        <f t="shared" si="288"/>
        <v>311.01683168316833</v>
      </c>
      <c r="S1150" s="66">
        <f t="shared" si="289"/>
        <v>43.977780000000003</v>
      </c>
      <c r="T1150" s="64">
        <f t="shared" si="290"/>
        <v>150</v>
      </c>
      <c r="U1150" s="66">
        <f t="shared" si="291"/>
        <v>2706.9937800000002</v>
      </c>
      <c r="V1150" s="68">
        <f t="shared" si="292"/>
        <v>67.674844500000006</v>
      </c>
      <c r="W1150" s="68">
        <f t="shared" si="293"/>
        <v>502.53597400990105</v>
      </c>
      <c r="X1150" s="68">
        <f t="shared" si="294"/>
        <v>335.02398267326737</v>
      </c>
      <c r="Z1150" s="63"/>
      <c r="AA1150" s="63"/>
    </row>
    <row r="1151" spans="1:27" hidden="1" x14ac:dyDescent="0.25">
      <c r="A1151" t="str">
        <f t="shared" si="283"/>
        <v>10620009C25/05/2026M</v>
      </c>
      <c r="B1151" s="1" t="s">
        <v>825</v>
      </c>
      <c r="C1151" s="1" t="s">
        <v>396</v>
      </c>
      <c r="D1151" s="1" t="s">
        <v>591</v>
      </c>
      <c r="E1151" s="1" t="s">
        <v>595</v>
      </c>
      <c r="F1151" s="1" t="s">
        <v>384</v>
      </c>
      <c r="G1151" s="62" t="str">
        <f t="shared" si="295"/>
        <v>64571</v>
      </c>
      <c r="H1151" s="1">
        <v>10620009</v>
      </c>
      <c r="I1151" s="1" t="s">
        <v>388</v>
      </c>
      <c r="J1151" s="61">
        <v>22</v>
      </c>
      <c r="K1151" s="61">
        <v>4.8</v>
      </c>
      <c r="L1151" s="61">
        <v>8.3000000000000007</v>
      </c>
      <c r="M1151" s="69">
        <f t="shared" si="284"/>
        <v>1.056</v>
      </c>
      <c r="N1151" s="69">
        <f t="shared" si="285"/>
        <v>1.8260000000000003</v>
      </c>
      <c r="O1151" s="56">
        <v>40.921095600000001</v>
      </c>
      <c r="P1151" s="57">
        <f t="shared" si="286"/>
        <v>900.26410320000002</v>
      </c>
      <c r="Q1151" s="58">
        <f t="shared" si="287"/>
        <v>396.01060258064518</v>
      </c>
      <c r="R1151" s="58">
        <f t="shared" si="288"/>
        <v>264.00706838709681</v>
      </c>
      <c r="S1151" s="66">
        <f t="shared" si="289"/>
        <v>15.754621806000001</v>
      </c>
      <c r="T1151" s="64">
        <f t="shared" si="290"/>
        <v>82.5</v>
      </c>
      <c r="U1151" s="66">
        <f t="shared" si="291"/>
        <v>998.51872500600007</v>
      </c>
      <c r="V1151" s="68">
        <f t="shared" si="292"/>
        <v>45.387214773000004</v>
      </c>
      <c r="W1151" s="68">
        <f t="shared" si="293"/>
        <v>439.23111070645166</v>
      </c>
      <c r="X1151" s="68">
        <f t="shared" si="294"/>
        <v>292.82074047096779</v>
      </c>
      <c r="Z1151" s="63"/>
      <c r="AA1151" s="63"/>
    </row>
    <row r="1152" spans="1:27" hidden="1" x14ac:dyDescent="0.25">
      <c r="A1152" t="str">
        <f t="shared" si="283"/>
        <v>10620009B25/05/2026E</v>
      </c>
      <c r="B1152" s="1" t="s">
        <v>825</v>
      </c>
      <c r="C1152" s="1" t="s">
        <v>397</v>
      </c>
      <c r="D1152" s="1" t="s">
        <v>591</v>
      </c>
      <c r="E1152" s="1" t="s">
        <v>595</v>
      </c>
      <c r="F1152" s="1" t="s">
        <v>384</v>
      </c>
      <c r="G1152" s="62" t="str">
        <f t="shared" si="295"/>
        <v>64571</v>
      </c>
      <c r="H1152" s="1">
        <v>10620009</v>
      </c>
      <c r="I1152" s="1" t="s">
        <v>387</v>
      </c>
      <c r="J1152" s="61">
        <v>21</v>
      </c>
      <c r="K1152" s="61">
        <v>7.2</v>
      </c>
      <c r="L1152" s="61">
        <v>8.8000000000000007</v>
      </c>
      <c r="M1152" s="69">
        <f t="shared" si="284"/>
        <v>1.5120000000000002</v>
      </c>
      <c r="N1152" s="69">
        <f t="shared" si="285"/>
        <v>1.8480000000000001</v>
      </c>
      <c r="O1152" s="56">
        <v>59.518800000000006</v>
      </c>
      <c r="P1152" s="57">
        <f t="shared" si="286"/>
        <v>1249.8948</v>
      </c>
      <c r="Q1152" s="58">
        <f t="shared" si="287"/>
        <v>455.50102040816324</v>
      </c>
      <c r="R1152" s="58">
        <f t="shared" si="288"/>
        <v>303.66734693877549</v>
      </c>
      <c r="S1152" s="66">
        <f t="shared" si="289"/>
        <v>21.873159000000001</v>
      </c>
      <c r="T1152" s="64">
        <f t="shared" si="290"/>
        <v>78.75</v>
      </c>
      <c r="U1152" s="66">
        <f t="shared" si="291"/>
        <v>1350.517959</v>
      </c>
      <c r="V1152" s="68">
        <f t="shared" si="292"/>
        <v>64.310378999999998</v>
      </c>
      <c r="W1152" s="68">
        <f t="shared" si="293"/>
        <v>492.17126785714277</v>
      </c>
      <c r="X1152" s="68">
        <f t="shared" si="294"/>
        <v>328.11417857142851</v>
      </c>
      <c r="Z1152" s="63"/>
      <c r="AA1152" s="63"/>
    </row>
    <row r="1153" spans="1:27" hidden="1" x14ac:dyDescent="0.25">
      <c r="A1153" t="str">
        <f t="shared" si="283"/>
        <v>10620009C26/05/2026E</v>
      </c>
      <c r="B1153" s="1" t="s">
        <v>825</v>
      </c>
      <c r="C1153" s="1" t="s">
        <v>397</v>
      </c>
      <c r="D1153" s="1" t="s">
        <v>591</v>
      </c>
      <c r="E1153" s="1" t="s">
        <v>595</v>
      </c>
      <c r="F1153" s="1" t="s">
        <v>384</v>
      </c>
      <c r="G1153" s="62" t="str">
        <f t="shared" si="295"/>
        <v>64571</v>
      </c>
      <c r="H1153" s="1">
        <v>10620009</v>
      </c>
      <c r="I1153" s="1" t="s">
        <v>388</v>
      </c>
      <c r="J1153" s="61">
        <v>38</v>
      </c>
      <c r="K1153" s="61">
        <v>3</v>
      </c>
      <c r="L1153" s="61">
        <v>8.1</v>
      </c>
      <c r="M1153" s="69">
        <f t="shared" si="284"/>
        <v>1.1399999999999999</v>
      </c>
      <c r="N1153" s="69">
        <f t="shared" si="285"/>
        <v>3.0780000000000003</v>
      </c>
      <c r="O1153" s="56">
        <v>33.265069199999999</v>
      </c>
      <c r="P1153" s="57">
        <f t="shared" si="286"/>
        <v>1264.0726296</v>
      </c>
      <c r="Q1153" s="58">
        <f t="shared" si="287"/>
        <v>396.01272857142862</v>
      </c>
      <c r="R1153" s="58">
        <f t="shared" si="288"/>
        <v>264.00848571428577</v>
      </c>
      <c r="S1153" s="66">
        <f t="shared" si="289"/>
        <v>22.121271018000002</v>
      </c>
      <c r="T1153" s="64">
        <f t="shared" si="290"/>
        <v>142.5</v>
      </c>
      <c r="U1153" s="66">
        <f t="shared" si="291"/>
        <v>1428.693900618</v>
      </c>
      <c r="V1153" s="68">
        <f t="shared" si="292"/>
        <v>37.597207910999998</v>
      </c>
      <c r="W1153" s="68">
        <f t="shared" si="293"/>
        <v>447.58580846428572</v>
      </c>
      <c r="X1153" s="68">
        <f t="shared" si="294"/>
        <v>298.3905389761905</v>
      </c>
      <c r="Z1153" s="63"/>
      <c r="AA1153" s="63"/>
    </row>
    <row r="1154" spans="1:27" hidden="1" x14ac:dyDescent="0.25">
      <c r="A1154" t="str">
        <f t="shared" si="283"/>
        <v>10620009B26/05/2026M</v>
      </c>
      <c r="B1154" s="1" t="s">
        <v>826</v>
      </c>
      <c r="C1154" s="1" t="s">
        <v>396</v>
      </c>
      <c r="D1154" s="1" t="s">
        <v>591</v>
      </c>
      <c r="E1154" s="1" t="s">
        <v>595</v>
      </c>
      <c r="F1154" s="1" t="s">
        <v>384</v>
      </c>
      <c r="G1154" s="62" t="str">
        <f t="shared" si="295"/>
        <v>64571</v>
      </c>
      <c r="H1154" s="1">
        <v>10620009</v>
      </c>
      <c r="I1154" s="1" t="s">
        <v>387</v>
      </c>
      <c r="J1154" s="61">
        <v>29</v>
      </c>
      <c r="K1154" s="61">
        <v>8.1</v>
      </c>
      <c r="L1154" s="61">
        <v>9</v>
      </c>
      <c r="M1154" s="69">
        <f t="shared" si="284"/>
        <v>2.3489999999999998</v>
      </c>
      <c r="N1154" s="69">
        <f t="shared" si="285"/>
        <v>2.61</v>
      </c>
      <c r="O1154" s="56">
        <f>INDEX(Rate_Chart!$A$1:$AK$127,MATCH(Data!K1154,Rate_Chart!$A$1:$A$127,0),MATCH(Data!L1154,Rate_Chart!$A$1:$AK$1,0))</f>
        <v>67.635000000000005</v>
      </c>
      <c r="P1154" s="57">
        <f t="shared" si="286"/>
        <v>1961.4150000000002</v>
      </c>
      <c r="Q1154" s="58">
        <f t="shared" si="287"/>
        <v>479.68085106382978</v>
      </c>
      <c r="R1154" s="58">
        <f t="shared" si="288"/>
        <v>319.78723404255317</v>
      </c>
      <c r="S1154" s="66">
        <f t="shared" si="289"/>
        <v>34.324762500000006</v>
      </c>
      <c r="T1154" s="64">
        <f t="shared" si="290"/>
        <v>108.75</v>
      </c>
      <c r="U1154" s="66">
        <f t="shared" si="291"/>
        <v>2104.4897625000003</v>
      </c>
      <c r="V1154" s="68">
        <f t="shared" si="292"/>
        <v>72.568612500000015</v>
      </c>
      <c r="W1154" s="68">
        <f t="shared" si="293"/>
        <v>514.67101063829796</v>
      </c>
      <c r="X1154" s="68">
        <f t="shared" si="294"/>
        <v>343.11400709219862</v>
      </c>
      <c r="Z1154" s="63"/>
      <c r="AA1154" s="63"/>
    </row>
    <row r="1155" spans="1:27" hidden="1" x14ac:dyDescent="0.25">
      <c r="A1155" t="str">
        <f t="shared" si="283"/>
        <v>10620009C26/05/2026M</v>
      </c>
      <c r="B1155" s="1" t="s">
        <v>826</v>
      </c>
      <c r="C1155" s="1" t="s">
        <v>396</v>
      </c>
      <c r="D1155" s="1" t="s">
        <v>591</v>
      </c>
      <c r="E1155" s="1" t="s">
        <v>595</v>
      </c>
      <c r="F1155" s="1" t="s">
        <v>384</v>
      </c>
      <c r="G1155" s="62" t="str">
        <f t="shared" si="295"/>
        <v>64571</v>
      </c>
      <c r="H1155" s="1">
        <v>10620009</v>
      </c>
      <c r="I1155" s="1" t="s">
        <v>388</v>
      </c>
      <c r="J1155" s="61">
        <v>28</v>
      </c>
      <c r="K1155" s="61">
        <v>4.0999999999999996</v>
      </c>
      <c r="L1155" s="61">
        <v>8.3000000000000007</v>
      </c>
      <c r="M1155" s="69">
        <f t="shared" si="284"/>
        <v>1.1479999999999999</v>
      </c>
      <c r="N1155" s="69">
        <f t="shared" si="285"/>
        <v>2.3240000000000003</v>
      </c>
      <c r="O1155" s="56">
        <f>INDEX(Rate_Chart!$A$1:$AK$127,MATCH(Data!K1155,Rate_Chart!$A$1:$A$127,0),MATCH(Data!L1155,Rate_Chart!$A$1:$AK$1,0))</f>
        <v>40.172153700000003</v>
      </c>
      <c r="P1155" s="57">
        <f t="shared" si="286"/>
        <v>1124.8203036</v>
      </c>
      <c r="Q1155" s="58">
        <f t="shared" si="287"/>
        <v>417.01197612456752</v>
      </c>
      <c r="R1155" s="58">
        <f t="shared" si="288"/>
        <v>278.00798408304502</v>
      </c>
      <c r="S1155" s="66">
        <f t="shared" si="289"/>
        <v>19.684355313000001</v>
      </c>
      <c r="T1155" s="64">
        <f t="shared" si="290"/>
        <v>105</v>
      </c>
      <c r="U1155" s="66">
        <f t="shared" si="291"/>
        <v>1249.504658913</v>
      </c>
      <c r="V1155" s="68">
        <f t="shared" si="292"/>
        <v>44.625166389749999</v>
      </c>
      <c r="W1155" s="68">
        <f t="shared" si="293"/>
        <v>463.23702134688585</v>
      </c>
      <c r="X1155" s="68">
        <f t="shared" si="294"/>
        <v>308.82468089792388</v>
      </c>
      <c r="Z1155" s="63"/>
      <c r="AA1155" s="63"/>
    </row>
    <row r="1156" spans="1:27" hidden="1" x14ac:dyDescent="0.25">
      <c r="A1156" t="str">
        <f t="shared" si="283"/>
        <v>10620009B26/05/2026E</v>
      </c>
      <c r="B1156" s="1" t="s">
        <v>826</v>
      </c>
      <c r="C1156" s="1" t="s">
        <v>397</v>
      </c>
      <c r="D1156" s="1" t="s">
        <v>591</v>
      </c>
      <c r="E1156" s="1" t="s">
        <v>595</v>
      </c>
      <c r="F1156" s="1" t="s">
        <v>384</v>
      </c>
      <c r="G1156" s="62" t="str">
        <f t="shared" si="295"/>
        <v>64571</v>
      </c>
      <c r="H1156" s="1">
        <v>10620009</v>
      </c>
      <c r="I1156" s="1" t="s">
        <v>387</v>
      </c>
      <c r="J1156" s="61">
        <v>14</v>
      </c>
      <c r="K1156" s="61">
        <v>7.2</v>
      </c>
      <c r="L1156" s="61">
        <v>9</v>
      </c>
      <c r="M1156" s="69">
        <f t="shared" si="284"/>
        <v>1.008</v>
      </c>
      <c r="N1156" s="69">
        <f t="shared" si="285"/>
        <v>1.26</v>
      </c>
      <c r="O1156" s="56">
        <f>INDEX(Rate_Chart!$A$1:$AK$127,MATCH(Data!K1156,Rate_Chart!$A$1:$A$127,0),MATCH(Data!L1156,Rate_Chart!$A$1:$AK$1,0))</f>
        <v>60.120000000000005</v>
      </c>
      <c r="P1156" s="57">
        <f t="shared" si="286"/>
        <v>841.68000000000006</v>
      </c>
      <c r="Q1156" s="58">
        <f t="shared" si="287"/>
        <v>455.4545454545455</v>
      </c>
      <c r="R1156" s="58">
        <f t="shared" si="288"/>
        <v>303.63636363636368</v>
      </c>
      <c r="S1156" s="66">
        <f t="shared" si="289"/>
        <v>14.729400000000002</v>
      </c>
      <c r="T1156" s="64">
        <f t="shared" si="290"/>
        <v>52.5</v>
      </c>
      <c r="U1156" s="66">
        <f t="shared" si="291"/>
        <v>908.90940000000001</v>
      </c>
      <c r="V1156" s="68">
        <f t="shared" si="292"/>
        <v>64.9221</v>
      </c>
      <c r="W1156" s="68">
        <f t="shared" si="293"/>
        <v>491.83409090909089</v>
      </c>
      <c r="X1156" s="68">
        <f t="shared" si="294"/>
        <v>327.88939393939393</v>
      </c>
      <c r="Z1156" s="63"/>
      <c r="AA1156" s="63"/>
    </row>
    <row r="1157" spans="1:27" hidden="1" x14ac:dyDescent="0.25">
      <c r="A1157" t="str">
        <f t="shared" ref="A1157:A1220" si="296">CONCATENATE(H1157,I1157,B1158,C1157)</f>
        <v>10620009C27/05/2026E</v>
      </c>
      <c r="B1157" s="1" t="s">
        <v>826</v>
      </c>
      <c r="C1157" s="1" t="s">
        <v>397</v>
      </c>
      <c r="D1157" s="1" t="s">
        <v>591</v>
      </c>
      <c r="E1157" s="1" t="s">
        <v>595</v>
      </c>
      <c r="F1157" s="1" t="s">
        <v>384</v>
      </c>
      <c r="G1157" s="62" t="str">
        <f t="shared" si="295"/>
        <v>64571</v>
      </c>
      <c r="H1157" s="1">
        <v>10620009</v>
      </c>
      <c r="I1157" s="1" t="s">
        <v>388</v>
      </c>
      <c r="J1157" s="61">
        <v>29</v>
      </c>
      <c r="K1157" s="61">
        <v>3.8</v>
      </c>
      <c r="L1157" s="61">
        <v>8.5</v>
      </c>
      <c r="M1157" s="69">
        <f t="shared" si="284"/>
        <v>1.1019999999999999</v>
      </c>
      <c r="N1157" s="69">
        <f t="shared" si="285"/>
        <v>2.4649999999999999</v>
      </c>
      <c r="O1157" s="56">
        <f>INDEX(Rate_Chart!$A$1:$AK$127,MATCH(Data!K1157,Rate_Chart!$A$1:$A$127,0),MATCH(Data!L1157,Rate_Chart!$A$1:$AK$1,0))</f>
        <v>39.4771815</v>
      </c>
      <c r="P1157" s="57">
        <f t="shared" si="286"/>
        <v>1144.8382635</v>
      </c>
      <c r="Q1157" s="58">
        <f t="shared" si="287"/>
        <v>417.0124806338028</v>
      </c>
      <c r="R1157" s="58">
        <f t="shared" si="288"/>
        <v>278.00832042253518</v>
      </c>
      <c r="S1157" s="66">
        <f t="shared" si="289"/>
        <v>20.034669611250003</v>
      </c>
      <c r="T1157" s="64">
        <f t="shared" si="290"/>
        <v>108.75</v>
      </c>
      <c r="U1157" s="66">
        <f t="shared" si="291"/>
        <v>1273.6229331112499</v>
      </c>
      <c r="V1157" s="68">
        <f t="shared" si="292"/>
        <v>43.918032176250001</v>
      </c>
      <c r="W1157" s="68">
        <f t="shared" si="293"/>
        <v>463.92287510123236</v>
      </c>
      <c r="X1157" s="68">
        <f t="shared" si="294"/>
        <v>309.28191673415489</v>
      </c>
      <c r="Z1157" s="63"/>
      <c r="AA1157" s="63"/>
    </row>
    <row r="1158" spans="1:27" hidden="1" x14ac:dyDescent="0.25">
      <c r="A1158" t="str">
        <f t="shared" si="296"/>
        <v>10620009B27/05/2026M</v>
      </c>
      <c r="B1158" s="1" t="s">
        <v>827</v>
      </c>
      <c r="C1158" s="1" t="s">
        <v>396</v>
      </c>
      <c r="D1158" s="1" t="s">
        <v>591</v>
      </c>
      <c r="E1158" s="1" t="s">
        <v>595</v>
      </c>
      <c r="F1158" s="1" t="s">
        <v>384</v>
      </c>
      <c r="G1158" s="62" t="str">
        <f t="shared" si="295"/>
        <v>64571</v>
      </c>
      <c r="H1158" s="1">
        <v>10620009</v>
      </c>
      <c r="I1158" s="1" t="s">
        <v>387</v>
      </c>
      <c r="J1158" s="61">
        <v>31</v>
      </c>
      <c r="K1158" s="61">
        <v>8.1</v>
      </c>
      <c r="L1158" s="61">
        <v>9</v>
      </c>
      <c r="M1158" s="69">
        <f t="shared" si="284"/>
        <v>2.5110000000000001</v>
      </c>
      <c r="N1158" s="69">
        <f t="shared" si="285"/>
        <v>2.79</v>
      </c>
      <c r="O1158" s="56">
        <f>INDEX(Rate_Chart!$A$1:$AK$127,MATCH(Data!K1158,Rate_Chart!$A$1:$A$127,0),MATCH(Data!L1158,Rate_Chart!$A$1:$AK$1,0))</f>
        <v>67.635000000000005</v>
      </c>
      <c r="P1158" s="57">
        <f t="shared" si="286"/>
        <v>2096.6849999999999</v>
      </c>
      <c r="Q1158" s="58">
        <f t="shared" si="287"/>
        <v>479.68085106382978</v>
      </c>
      <c r="R1158" s="58">
        <f t="shared" si="288"/>
        <v>319.78723404255317</v>
      </c>
      <c r="S1158" s="66">
        <f t="shared" si="289"/>
        <v>36.691987500000003</v>
      </c>
      <c r="T1158" s="64">
        <f t="shared" si="290"/>
        <v>116.25</v>
      </c>
      <c r="U1158" s="66">
        <f t="shared" si="291"/>
        <v>2249.6269874999998</v>
      </c>
      <c r="V1158" s="68">
        <f t="shared" si="292"/>
        <v>72.5686125</v>
      </c>
      <c r="W1158" s="68">
        <f t="shared" si="293"/>
        <v>514.67101063829784</v>
      </c>
      <c r="X1158" s="68">
        <f t="shared" si="294"/>
        <v>343.11400709219856</v>
      </c>
      <c r="Z1158" s="63"/>
      <c r="AA1158" s="63"/>
    </row>
    <row r="1159" spans="1:27" hidden="1" x14ac:dyDescent="0.25">
      <c r="A1159" t="str">
        <f t="shared" si="296"/>
        <v>10620009C28/05/2026M</v>
      </c>
      <c r="B1159" s="1" t="s">
        <v>827</v>
      </c>
      <c r="C1159" s="1" t="s">
        <v>396</v>
      </c>
      <c r="D1159" s="1" t="s">
        <v>591</v>
      </c>
      <c r="E1159" s="1" t="s">
        <v>595</v>
      </c>
      <c r="F1159" s="1" t="s">
        <v>384</v>
      </c>
      <c r="G1159" s="62" t="str">
        <f t="shared" si="295"/>
        <v>64571</v>
      </c>
      <c r="H1159" s="1">
        <v>10620009</v>
      </c>
      <c r="I1159" s="1" t="s">
        <v>388</v>
      </c>
      <c r="J1159" s="61">
        <v>37</v>
      </c>
      <c r="K1159" s="61">
        <v>4.0999999999999996</v>
      </c>
      <c r="L1159" s="61">
        <v>8.4</v>
      </c>
      <c r="M1159" s="69">
        <f t="shared" si="284"/>
        <v>1.5169999999999999</v>
      </c>
      <c r="N1159" s="69">
        <f t="shared" si="285"/>
        <v>3.1080000000000001</v>
      </c>
      <c r="O1159" s="56">
        <f>INDEX(Rate_Chart!$A$1:$AK$127,MATCH(Data!K1159,Rate_Chart!$A$1:$A$127,0),MATCH(Data!L1159,Rate_Chart!$A$1:$AK$1,0))</f>
        <v>40.4501676</v>
      </c>
      <c r="P1159" s="57">
        <f t="shared" si="286"/>
        <v>1496.6562011999999</v>
      </c>
      <c r="Q1159" s="58">
        <f t="shared" si="287"/>
        <v>417.01203711340207</v>
      </c>
      <c r="R1159" s="58">
        <f t="shared" si="288"/>
        <v>278.00802474226805</v>
      </c>
      <c r="S1159" s="66">
        <f t="shared" si="289"/>
        <v>26.191483521000002</v>
      </c>
      <c r="T1159" s="64">
        <f t="shared" si="290"/>
        <v>138.75</v>
      </c>
      <c r="U1159" s="66">
        <f t="shared" si="291"/>
        <v>1661.597684721</v>
      </c>
      <c r="V1159" s="68">
        <f t="shared" si="292"/>
        <v>44.908045532999999</v>
      </c>
      <c r="W1159" s="68">
        <f t="shared" si="293"/>
        <v>462.96954157731955</v>
      </c>
      <c r="X1159" s="68">
        <f t="shared" si="294"/>
        <v>308.64636105154636</v>
      </c>
      <c r="Z1159" s="63"/>
      <c r="AA1159" s="63"/>
    </row>
    <row r="1160" spans="1:27" hidden="1" x14ac:dyDescent="0.25">
      <c r="A1160" t="str">
        <f t="shared" si="296"/>
        <v>10620009B28/05/2026M</v>
      </c>
      <c r="B1160" s="1" t="s">
        <v>828</v>
      </c>
      <c r="C1160" s="1" t="s">
        <v>396</v>
      </c>
      <c r="D1160" s="1" t="s">
        <v>591</v>
      </c>
      <c r="E1160" s="1" t="s">
        <v>595</v>
      </c>
      <c r="F1160" s="1" t="s">
        <v>384</v>
      </c>
      <c r="G1160" s="62" t="str">
        <f t="shared" si="295"/>
        <v>64571</v>
      </c>
      <c r="H1160" s="1">
        <v>10620009</v>
      </c>
      <c r="I1160" s="1" t="s">
        <v>387</v>
      </c>
      <c r="J1160" s="61">
        <v>30</v>
      </c>
      <c r="K1160" s="61">
        <v>8</v>
      </c>
      <c r="L1160" s="61">
        <v>9</v>
      </c>
      <c r="M1160" s="69">
        <f t="shared" si="284"/>
        <v>2.4</v>
      </c>
      <c r="N1160" s="69">
        <f t="shared" si="285"/>
        <v>2.7</v>
      </c>
      <c r="O1160" s="56">
        <f>INDEX(Rate_Chart!$A$1:$AK$127,MATCH(Data!K1160,Rate_Chart!$A$1:$A$127,0),MATCH(Data!L1160,Rate_Chart!$A$1:$AK$1,0))</f>
        <v>66.8</v>
      </c>
      <c r="P1160" s="57">
        <f t="shared" si="286"/>
        <v>2004</v>
      </c>
      <c r="Q1160" s="58">
        <f t="shared" si="287"/>
        <v>477.14285714285705</v>
      </c>
      <c r="R1160" s="58">
        <f t="shared" si="288"/>
        <v>318.09523809523802</v>
      </c>
      <c r="S1160" s="66">
        <f t="shared" si="289"/>
        <v>35.07</v>
      </c>
      <c r="T1160" s="64">
        <f t="shared" si="290"/>
        <v>112.5</v>
      </c>
      <c r="U1160" s="66">
        <f t="shared" si="291"/>
        <v>2151.5700000000002</v>
      </c>
      <c r="V1160" s="68">
        <f t="shared" si="292"/>
        <v>71.719000000000008</v>
      </c>
      <c r="W1160" s="68">
        <f t="shared" si="293"/>
        <v>512.27857142857147</v>
      </c>
      <c r="X1160" s="68">
        <f t="shared" si="294"/>
        <v>341.51904761904763</v>
      </c>
      <c r="Z1160" s="63"/>
      <c r="AA1160" s="63"/>
    </row>
    <row r="1161" spans="1:27" hidden="1" x14ac:dyDescent="0.25">
      <c r="A1161" t="str">
        <f t="shared" si="296"/>
        <v>10620009C28/05/2026M</v>
      </c>
      <c r="B1161" s="1" t="s">
        <v>828</v>
      </c>
      <c r="C1161" s="1" t="s">
        <v>396</v>
      </c>
      <c r="D1161" s="1" t="s">
        <v>591</v>
      </c>
      <c r="E1161" s="1" t="s">
        <v>595</v>
      </c>
      <c r="F1161" s="1" t="s">
        <v>384</v>
      </c>
      <c r="G1161" s="62" t="str">
        <f t="shared" si="295"/>
        <v>64571</v>
      </c>
      <c r="H1161" s="1">
        <v>10620009</v>
      </c>
      <c r="I1161" s="1" t="s">
        <v>388</v>
      </c>
      <c r="J1161" s="61">
        <v>13</v>
      </c>
      <c r="K1161" s="61">
        <v>4.5</v>
      </c>
      <c r="L1161" s="61">
        <v>8.3000000000000007</v>
      </c>
      <c r="M1161" s="69">
        <f t="shared" si="284"/>
        <v>0.58499999999999996</v>
      </c>
      <c r="N1161" s="69">
        <f t="shared" si="285"/>
        <v>1.079</v>
      </c>
      <c r="O1161" s="56">
        <f>INDEX(Rate_Chart!$A$1:$AK$127,MATCH(Data!K1161,Rate_Chart!$A$1:$A$127,0),MATCH(Data!L1161,Rate_Chart!$A$1:$AK$1,0))</f>
        <v>41.840153700000002</v>
      </c>
      <c r="P1161" s="57">
        <f t="shared" si="286"/>
        <v>543.9219981</v>
      </c>
      <c r="Q1161" s="58">
        <f t="shared" si="287"/>
        <v>417.01149867109638</v>
      </c>
      <c r="R1161" s="58">
        <f t="shared" si="288"/>
        <v>278.00766578073092</v>
      </c>
      <c r="S1161" s="66">
        <f t="shared" si="289"/>
        <v>9.5186349667500014</v>
      </c>
      <c r="T1161" s="64">
        <f t="shared" si="290"/>
        <v>48.75</v>
      </c>
      <c r="U1161" s="66">
        <f t="shared" si="291"/>
        <v>602.19063306675002</v>
      </c>
      <c r="V1161" s="68">
        <f t="shared" si="292"/>
        <v>46.322356389749999</v>
      </c>
      <c r="W1161" s="68">
        <f t="shared" si="293"/>
        <v>461.68461518023258</v>
      </c>
      <c r="X1161" s="68">
        <f t="shared" si="294"/>
        <v>307.78974345348837</v>
      </c>
      <c r="Z1161" s="63"/>
      <c r="AA1161" s="63"/>
    </row>
    <row r="1162" spans="1:27" hidden="1" x14ac:dyDescent="0.25">
      <c r="A1162" t="str">
        <f t="shared" si="296"/>
        <v>10620009B28/05/2026E</v>
      </c>
      <c r="B1162" s="1" t="s">
        <v>828</v>
      </c>
      <c r="C1162" s="1" t="s">
        <v>397</v>
      </c>
      <c r="D1162" s="1" t="s">
        <v>591</v>
      </c>
      <c r="E1162" s="1" t="s">
        <v>595</v>
      </c>
      <c r="F1162" s="1" t="s">
        <v>384</v>
      </c>
      <c r="G1162" s="62" t="str">
        <f t="shared" si="295"/>
        <v>64571</v>
      </c>
      <c r="H1162" s="1">
        <v>10620009</v>
      </c>
      <c r="I1162" s="1" t="s">
        <v>387</v>
      </c>
      <c r="J1162" s="61">
        <v>26</v>
      </c>
      <c r="K1162" s="61">
        <v>6.8</v>
      </c>
      <c r="L1162" s="61">
        <v>8.8000000000000007</v>
      </c>
      <c r="M1162" s="69">
        <f t="shared" si="284"/>
        <v>1.7679999999999998</v>
      </c>
      <c r="N1162" s="69">
        <f t="shared" si="285"/>
        <v>2.2880000000000003</v>
      </c>
      <c r="O1162" s="56">
        <f>INDEX(Rate_Chart!$A$1:$AK$127,MATCH(Data!K1162,Rate_Chart!$A$1:$A$127,0),MATCH(Data!L1162,Rate_Chart!$A$1:$AK$1,0))</f>
        <v>56.212200000000003</v>
      </c>
      <c r="P1162" s="57">
        <f t="shared" si="286"/>
        <v>1461.5172</v>
      </c>
      <c r="Q1162" s="58">
        <f t="shared" si="287"/>
        <v>443.78052631578947</v>
      </c>
      <c r="R1162" s="58">
        <f t="shared" si="288"/>
        <v>295.8536842105263</v>
      </c>
      <c r="S1162" s="66">
        <f t="shared" si="289"/>
        <v>25.576551000000002</v>
      </c>
      <c r="T1162" s="64">
        <f t="shared" si="290"/>
        <v>97.5</v>
      </c>
      <c r="U1162" s="66">
        <f t="shared" si="291"/>
        <v>1584.5937509999999</v>
      </c>
      <c r="V1162" s="68">
        <f t="shared" si="292"/>
        <v>60.945913499999996</v>
      </c>
      <c r="W1162" s="68">
        <f t="shared" si="293"/>
        <v>481.15194868421048</v>
      </c>
      <c r="X1162" s="68">
        <f t="shared" si="294"/>
        <v>320.76796578947364</v>
      </c>
      <c r="Z1162" s="63"/>
      <c r="AA1162" s="63"/>
    </row>
    <row r="1163" spans="1:27" hidden="1" x14ac:dyDescent="0.25">
      <c r="A1163" t="str">
        <f t="shared" si="296"/>
        <v>10620009C22/05/2026E</v>
      </c>
      <c r="B1163" s="1" t="s">
        <v>828</v>
      </c>
      <c r="C1163" s="1" t="s">
        <v>397</v>
      </c>
      <c r="D1163" s="1" t="s">
        <v>591</v>
      </c>
      <c r="E1163" s="1" t="s">
        <v>595</v>
      </c>
      <c r="F1163" s="1" t="s">
        <v>384</v>
      </c>
      <c r="G1163" s="62" t="str">
        <f t="shared" si="295"/>
        <v>64571</v>
      </c>
      <c r="H1163" s="1">
        <v>10620009</v>
      </c>
      <c r="I1163" s="1" t="s">
        <v>388</v>
      </c>
      <c r="J1163" s="61">
        <v>36</v>
      </c>
      <c r="K1163" s="61">
        <v>3.3</v>
      </c>
      <c r="L1163" s="61">
        <v>8.1</v>
      </c>
      <c r="M1163" s="69">
        <f t="shared" si="284"/>
        <v>1.1879999999999999</v>
      </c>
      <c r="N1163" s="69">
        <f t="shared" si="285"/>
        <v>2.9159999999999995</v>
      </c>
      <c r="O1163" s="56">
        <f>INDEX(Rate_Chart!$A$1:$AK$127,MATCH(Data!K1163,Rate_Chart!$A$1:$A$127,0),MATCH(Data!L1163,Rate_Chart!$A$1:$AK$1,0))</f>
        <v>36.280125900000002</v>
      </c>
      <c r="P1163" s="57">
        <f t="shared" si="286"/>
        <v>1306.0845324000002</v>
      </c>
      <c r="Q1163" s="58">
        <f t="shared" si="287"/>
        <v>417.0129413793104</v>
      </c>
      <c r="R1163" s="58">
        <f t="shared" si="288"/>
        <v>278.00862758620696</v>
      </c>
      <c r="S1163" s="66">
        <f t="shared" si="289"/>
        <v>22.856479317000005</v>
      </c>
      <c r="T1163" s="64">
        <f t="shared" si="290"/>
        <v>135</v>
      </c>
      <c r="U1163" s="66">
        <f t="shared" si="291"/>
        <v>1463.9410117170003</v>
      </c>
      <c r="V1163" s="68">
        <f t="shared" si="292"/>
        <v>40.665028103250009</v>
      </c>
      <c r="W1163" s="68">
        <f t="shared" si="293"/>
        <v>467.41411612931046</v>
      </c>
      <c r="X1163" s="68">
        <f t="shared" si="294"/>
        <v>311.60941075287366</v>
      </c>
      <c r="Z1163" s="63"/>
      <c r="AA1163" s="63"/>
    </row>
    <row r="1164" spans="1:27" hidden="1" x14ac:dyDescent="0.25">
      <c r="A1164" t="str">
        <f t="shared" si="296"/>
        <v>10620053B22/05/2026M</v>
      </c>
      <c r="B1164" s="1" t="s">
        <v>822</v>
      </c>
      <c r="C1164" s="1" t="s">
        <v>396</v>
      </c>
      <c r="D1164" s="1" t="s">
        <v>591</v>
      </c>
      <c r="E1164" s="1" t="s">
        <v>592</v>
      </c>
      <c r="F1164" s="1" t="s">
        <v>385</v>
      </c>
      <c r="G1164" s="62" t="str">
        <f t="shared" si="295"/>
        <v>64573</v>
      </c>
      <c r="H1164" s="1">
        <v>10620053</v>
      </c>
      <c r="I1164" s="1" t="s">
        <v>387</v>
      </c>
      <c r="J1164" s="61">
        <v>34</v>
      </c>
      <c r="K1164" s="61">
        <v>6</v>
      </c>
      <c r="L1164" s="61">
        <v>8.8000000000000007</v>
      </c>
      <c r="M1164" s="69">
        <f t="shared" si="284"/>
        <v>2.04</v>
      </c>
      <c r="N1164" s="69">
        <f t="shared" si="285"/>
        <v>2.9920000000000004</v>
      </c>
      <c r="O1164" s="56">
        <v>49.599000000000004</v>
      </c>
      <c r="P1164" s="57">
        <f t="shared" si="286"/>
        <v>1686.3660000000002</v>
      </c>
      <c r="Q1164" s="58">
        <f t="shared" si="287"/>
        <v>417.96910112359552</v>
      </c>
      <c r="R1164" s="58">
        <f t="shared" si="288"/>
        <v>278.64606741573033</v>
      </c>
      <c r="S1164" s="66">
        <f t="shared" si="289"/>
        <v>29.511405000000007</v>
      </c>
      <c r="T1164" s="64">
        <f t="shared" si="290"/>
        <v>127.5</v>
      </c>
      <c r="U1164" s="66">
        <f t="shared" si="291"/>
        <v>1843.3774050000002</v>
      </c>
      <c r="V1164" s="68">
        <f t="shared" si="292"/>
        <v>54.216982500000007</v>
      </c>
      <c r="W1164" s="68">
        <f t="shared" si="293"/>
        <v>456.8846839887641</v>
      </c>
      <c r="X1164" s="68">
        <f t="shared" si="294"/>
        <v>304.58978932584273</v>
      </c>
      <c r="Z1164" s="63"/>
      <c r="AA1164" s="63"/>
    </row>
    <row r="1165" spans="1:27" hidden="1" x14ac:dyDescent="0.25">
      <c r="A1165" t="str">
        <f t="shared" si="296"/>
        <v>10620053C22/05/2026M</v>
      </c>
      <c r="B1165" s="1" t="s">
        <v>822</v>
      </c>
      <c r="C1165" s="1" t="s">
        <v>396</v>
      </c>
      <c r="D1165" s="1" t="s">
        <v>591</v>
      </c>
      <c r="E1165" s="1" t="s">
        <v>592</v>
      </c>
      <c r="F1165" s="1" t="s">
        <v>385</v>
      </c>
      <c r="G1165" s="62" t="str">
        <f t="shared" si="295"/>
        <v>64573</v>
      </c>
      <c r="H1165" s="1">
        <v>10620053</v>
      </c>
      <c r="I1165" s="1" t="s">
        <v>388</v>
      </c>
      <c r="J1165" s="61">
        <v>79</v>
      </c>
      <c r="K1165" s="61">
        <v>3.2</v>
      </c>
      <c r="L1165" s="61">
        <v>8</v>
      </c>
      <c r="M1165" s="69">
        <f t="shared" si="284"/>
        <v>2.528</v>
      </c>
      <c r="N1165" s="69">
        <f t="shared" si="285"/>
        <v>6.32</v>
      </c>
      <c r="O1165" s="56">
        <v>33.793056000000007</v>
      </c>
      <c r="P1165" s="57">
        <f t="shared" si="286"/>
        <v>2669.6514240000006</v>
      </c>
      <c r="Q1165" s="58">
        <f t="shared" si="287"/>
        <v>396.01237500000002</v>
      </c>
      <c r="R1165" s="58">
        <f t="shared" si="288"/>
        <v>264.00825000000003</v>
      </c>
      <c r="S1165" s="66">
        <f t="shared" si="289"/>
        <v>46.718899920000013</v>
      </c>
      <c r="T1165" s="64">
        <f t="shared" si="290"/>
        <v>296.25</v>
      </c>
      <c r="U1165" s="66">
        <f t="shared" si="291"/>
        <v>3012.6203239200004</v>
      </c>
      <c r="V1165" s="68">
        <f t="shared" si="292"/>
        <v>38.134434480000003</v>
      </c>
      <c r="W1165" s="68">
        <f t="shared" si="293"/>
        <v>446.88790406249996</v>
      </c>
      <c r="X1165" s="68">
        <f t="shared" si="294"/>
        <v>297.92526937499997</v>
      </c>
      <c r="Z1165" s="63"/>
      <c r="AA1165" s="63"/>
    </row>
    <row r="1166" spans="1:27" hidden="1" x14ac:dyDescent="0.25">
      <c r="A1166" t="str">
        <f t="shared" si="296"/>
        <v>10620053C23/05/2026E</v>
      </c>
      <c r="B1166" s="1" t="s">
        <v>822</v>
      </c>
      <c r="C1166" s="1" t="s">
        <v>397</v>
      </c>
      <c r="D1166" s="1" t="s">
        <v>591</v>
      </c>
      <c r="E1166" s="1" t="s">
        <v>592</v>
      </c>
      <c r="F1166" s="1" t="s">
        <v>385</v>
      </c>
      <c r="G1166" s="62" t="str">
        <f t="shared" si="295"/>
        <v>64573</v>
      </c>
      <c r="H1166" s="1">
        <v>10620053</v>
      </c>
      <c r="I1166" s="1" t="s">
        <v>388</v>
      </c>
      <c r="J1166" s="61">
        <v>50</v>
      </c>
      <c r="K1166" s="61">
        <v>3.3</v>
      </c>
      <c r="L1166" s="61">
        <v>8</v>
      </c>
      <c r="M1166" s="69">
        <f t="shared" si="284"/>
        <v>1.65</v>
      </c>
      <c r="N1166" s="69">
        <f t="shared" si="285"/>
        <v>4</v>
      </c>
      <c r="O1166" s="56">
        <v>34.189056000000008</v>
      </c>
      <c r="P1166" s="57">
        <f t="shared" si="286"/>
        <v>1709.4528000000005</v>
      </c>
      <c r="Q1166" s="58">
        <f t="shared" si="287"/>
        <v>396.01223166023169</v>
      </c>
      <c r="R1166" s="58">
        <f t="shared" si="288"/>
        <v>264.00815444015444</v>
      </c>
      <c r="S1166" s="66">
        <f t="shared" si="289"/>
        <v>29.915424000000012</v>
      </c>
      <c r="T1166" s="64">
        <f t="shared" si="290"/>
        <v>187.5</v>
      </c>
      <c r="U1166" s="66">
        <f t="shared" si="291"/>
        <v>1926.8682240000005</v>
      </c>
      <c r="V1166" s="68">
        <f t="shared" si="292"/>
        <v>38.537364480000008</v>
      </c>
      <c r="W1166" s="68">
        <f t="shared" si="293"/>
        <v>446.37873915057918</v>
      </c>
      <c r="X1166" s="68">
        <f t="shared" si="294"/>
        <v>297.5858261003861</v>
      </c>
      <c r="Z1166" s="63"/>
      <c r="AA1166" s="63"/>
    </row>
    <row r="1167" spans="1:27" hidden="1" x14ac:dyDescent="0.25">
      <c r="A1167" t="str">
        <f t="shared" si="296"/>
        <v>10620053B23/05/2026M</v>
      </c>
      <c r="B1167" s="1" t="s">
        <v>823</v>
      </c>
      <c r="C1167" s="1" t="s">
        <v>396</v>
      </c>
      <c r="D1167" s="1" t="s">
        <v>591</v>
      </c>
      <c r="E1167" s="1" t="s">
        <v>592</v>
      </c>
      <c r="F1167" s="1" t="s">
        <v>385</v>
      </c>
      <c r="G1167" s="62" t="str">
        <f t="shared" si="295"/>
        <v>64573</v>
      </c>
      <c r="H1167" s="1">
        <v>10620053</v>
      </c>
      <c r="I1167" s="1" t="s">
        <v>387</v>
      </c>
      <c r="J1167" s="61">
        <v>25</v>
      </c>
      <c r="K1167" s="61">
        <v>6</v>
      </c>
      <c r="L1167" s="61">
        <v>8.6</v>
      </c>
      <c r="M1167" s="69">
        <f t="shared" si="284"/>
        <v>1.5</v>
      </c>
      <c r="N1167" s="69">
        <f t="shared" si="285"/>
        <v>2.15</v>
      </c>
      <c r="O1167" s="56">
        <v>49.097999999999999</v>
      </c>
      <c r="P1167" s="57">
        <f t="shared" si="286"/>
        <v>1227.45</v>
      </c>
      <c r="Q1167" s="58">
        <f t="shared" si="287"/>
        <v>418.44886363636368</v>
      </c>
      <c r="R1167" s="58">
        <f t="shared" si="288"/>
        <v>278.96590909090912</v>
      </c>
      <c r="S1167" s="66">
        <f t="shared" si="289"/>
        <v>21.480375000000002</v>
      </c>
      <c r="T1167" s="64">
        <f t="shared" si="290"/>
        <v>93.75</v>
      </c>
      <c r="U1167" s="66">
        <f t="shared" si="291"/>
        <v>1342.6803750000001</v>
      </c>
      <c r="V1167" s="68">
        <f t="shared" si="292"/>
        <v>53.707215000000005</v>
      </c>
      <c r="W1167" s="68">
        <f t="shared" si="293"/>
        <v>457.73194602272736</v>
      </c>
      <c r="X1167" s="68">
        <f t="shared" si="294"/>
        <v>305.15463068181822</v>
      </c>
      <c r="Z1167" s="63"/>
      <c r="AA1167" s="63"/>
    </row>
    <row r="1168" spans="1:27" hidden="1" x14ac:dyDescent="0.25">
      <c r="A1168" t="str">
        <f t="shared" si="296"/>
        <v>10620053C23/05/2026M</v>
      </c>
      <c r="B1168" s="1" t="s">
        <v>823</v>
      </c>
      <c r="C1168" s="1" t="s">
        <v>396</v>
      </c>
      <c r="D1168" s="1" t="s">
        <v>591</v>
      </c>
      <c r="E1168" s="1" t="s">
        <v>592</v>
      </c>
      <c r="F1168" s="1" t="s">
        <v>385</v>
      </c>
      <c r="G1168" s="62" t="str">
        <f t="shared" si="295"/>
        <v>64573</v>
      </c>
      <c r="H1168" s="1">
        <v>10620053</v>
      </c>
      <c r="I1168" s="1" t="s">
        <v>388</v>
      </c>
      <c r="J1168" s="61">
        <v>73</v>
      </c>
      <c r="K1168" s="61">
        <v>3.4</v>
      </c>
      <c r="L1168" s="61">
        <v>8</v>
      </c>
      <c r="M1168" s="69">
        <f t="shared" si="284"/>
        <v>2.4819999999999998</v>
      </c>
      <c r="N1168" s="69">
        <f t="shared" si="285"/>
        <v>5.84</v>
      </c>
      <c r="O1168" s="56">
        <v>34.585056000000002</v>
      </c>
      <c r="P1168" s="57">
        <f t="shared" si="286"/>
        <v>2524.7090880000001</v>
      </c>
      <c r="Q1168" s="58">
        <f t="shared" si="287"/>
        <v>396.01209160305342</v>
      </c>
      <c r="R1168" s="58">
        <f t="shared" si="288"/>
        <v>264.00806106870226</v>
      </c>
      <c r="S1168" s="66">
        <f t="shared" si="289"/>
        <v>44.182409040000003</v>
      </c>
      <c r="T1168" s="64">
        <f t="shared" si="290"/>
        <v>273.75</v>
      </c>
      <c r="U1168" s="66">
        <f t="shared" si="291"/>
        <v>2842.6414970400001</v>
      </c>
      <c r="V1168" s="68">
        <f t="shared" si="292"/>
        <v>38.940294479999999</v>
      </c>
      <c r="W1168" s="68">
        <f t="shared" si="293"/>
        <v>445.8812345038167</v>
      </c>
      <c r="X1168" s="68">
        <f t="shared" si="294"/>
        <v>297.25415633587778</v>
      </c>
      <c r="Z1168" s="63"/>
      <c r="AA1168" s="63"/>
    </row>
    <row r="1169" spans="1:27" hidden="1" x14ac:dyDescent="0.25">
      <c r="A1169" t="str">
        <f t="shared" si="296"/>
        <v>10620053B23/05/2026E</v>
      </c>
      <c r="B1169" s="1" t="s">
        <v>823</v>
      </c>
      <c r="C1169" s="1" t="s">
        <v>397</v>
      </c>
      <c r="D1169" s="1" t="s">
        <v>591</v>
      </c>
      <c r="E1169" s="1" t="s">
        <v>592</v>
      </c>
      <c r="F1169" s="1" t="s">
        <v>385</v>
      </c>
      <c r="G1169" s="62" t="str">
        <f t="shared" si="295"/>
        <v>64573</v>
      </c>
      <c r="H1169" s="1">
        <v>10620053</v>
      </c>
      <c r="I1169" s="1" t="s">
        <v>387</v>
      </c>
      <c r="J1169" s="61">
        <v>14</v>
      </c>
      <c r="K1169" s="61">
        <v>5.6</v>
      </c>
      <c r="L1169" s="61">
        <v>8.5</v>
      </c>
      <c r="M1169" s="69">
        <f t="shared" si="284"/>
        <v>0.78399999999999992</v>
      </c>
      <c r="N1169" s="69">
        <f t="shared" si="285"/>
        <v>1.19</v>
      </c>
      <c r="O1169" s="56">
        <v>45.357199999999999</v>
      </c>
      <c r="P1169" s="57">
        <f t="shared" si="286"/>
        <v>635.00080000000003</v>
      </c>
      <c r="Q1169" s="58">
        <f t="shared" si="287"/>
        <v>402.57869822485208</v>
      </c>
      <c r="R1169" s="58">
        <f t="shared" si="288"/>
        <v>268.38579881656807</v>
      </c>
      <c r="S1169" s="66">
        <f t="shared" si="289"/>
        <v>11.112514000000001</v>
      </c>
      <c r="T1169" s="64">
        <f t="shared" si="290"/>
        <v>52.5</v>
      </c>
      <c r="U1169" s="66">
        <f t="shared" si="291"/>
        <v>698.61331400000006</v>
      </c>
      <c r="V1169" s="68">
        <f t="shared" si="292"/>
        <v>49.900951000000006</v>
      </c>
      <c r="W1169" s="68">
        <f t="shared" si="293"/>
        <v>442.90784911242611</v>
      </c>
      <c r="X1169" s="68">
        <f t="shared" si="294"/>
        <v>295.27189940828407</v>
      </c>
      <c r="Z1169" s="63"/>
      <c r="AA1169" s="63"/>
    </row>
    <row r="1170" spans="1:27" hidden="1" x14ac:dyDescent="0.25">
      <c r="A1170" t="str">
        <f t="shared" si="296"/>
        <v>10620053C24/05/2026E</v>
      </c>
      <c r="B1170" s="1" t="s">
        <v>823</v>
      </c>
      <c r="C1170" s="1" t="s">
        <v>397</v>
      </c>
      <c r="D1170" s="1" t="s">
        <v>591</v>
      </c>
      <c r="E1170" s="1" t="s">
        <v>592</v>
      </c>
      <c r="F1170" s="1" t="s">
        <v>385</v>
      </c>
      <c r="G1170" s="62" t="str">
        <f t="shared" si="295"/>
        <v>64573</v>
      </c>
      <c r="H1170" s="1">
        <v>10620053</v>
      </c>
      <c r="I1170" s="1" t="s">
        <v>388</v>
      </c>
      <c r="J1170" s="61">
        <v>61</v>
      </c>
      <c r="K1170" s="61">
        <v>3</v>
      </c>
      <c r="L1170" s="61">
        <v>8</v>
      </c>
      <c r="M1170" s="69">
        <f t="shared" si="284"/>
        <v>1.83</v>
      </c>
      <c r="N1170" s="69">
        <f t="shared" si="285"/>
        <v>4.88</v>
      </c>
      <c r="O1170" s="56">
        <v>33.001056000000005</v>
      </c>
      <c r="P1170" s="57">
        <f t="shared" si="286"/>
        <v>2013.0644160000004</v>
      </c>
      <c r="Q1170" s="58">
        <f t="shared" si="287"/>
        <v>396.01267200000001</v>
      </c>
      <c r="R1170" s="58">
        <f t="shared" si="288"/>
        <v>264.00844799999999</v>
      </c>
      <c r="S1170" s="66">
        <f t="shared" si="289"/>
        <v>35.228627280000012</v>
      </c>
      <c r="T1170" s="64">
        <f t="shared" si="290"/>
        <v>228.75</v>
      </c>
      <c r="U1170" s="66">
        <f t="shared" si="291"/>
        <v>2277.0430432800003</v>
      </c>
      <c r="V1170" s="68">
        <f t="shared" si="292"/>
        <v>37.328574480000007</v>
      </c>
      <c r="W1170" s="68">
        <f t="shared" si="293"/>
        <v>447.94289376000006</v>
      </c>
      <c r="X1170" s="68">
        <f t="shared" si="294"/>
        <v>298.62859584000006</v>
      </c>
      <c r="Z1170" s="63"/>
      <c r="AA1170" s="63"/>
    </row>
    <row r="1171" spans="1:27" hidden="1" x14ac:dyDescent="0.25">
      <c r="A1171" t="str">
        <f t="shared" si="296"/>
        <v>10620053B24/05/2026M</v>
      </c>
      <c r="B1171" s="1" t="s">
        <v>824</v>
      </c>
      <c r="C1171" s="1" t="s">
        <v>396</v>
      </c>
      <c r="D1171" s="1" t="s">
        <v>591</v>
      </c>
      <c r="E1171" s="1" t="s">
        <v>592</v>
      </c>
      <c r="F1171" s="1" t="s">
        <v>385</v>
      </c>
      <c r="G1171" s="62" t="str">
        <f t="shared" si="295"/>
        <v>64573</v>
      </c>
      <c r="H1171" s="1">
        <v>10620053</v>
      </c>
      <c r="I1171" s="1" t="s">
        <v>387</v>
      </c>
      <c r="J1171" s="61">
        <v>27</v>
      </c>
      <c r="K1171" s="61">
        <v>5.9</v>
      </c>
      <c r="L1171" s="61">
        <v>8.6</v>
      </c>
      <c r="M1171" s="69">
        <f t="shared" si="284"/>
        <v>1.5930000000000002</v>
      </c>
      <c r="N1171" s="69">
        <f t="shared" si="285"/>
        <v>2.3220000000000001</v>
      </c>
      <c r="O1171" s="56">
        <v>48.279699999999998</v>
      </c>
      <c r="P1171" s="57">
        <f t="shared" si="286"/>
        <v>1303.5518999999999</v>
      </c>
      <c r="Q1171" s="58">
        <f t="shared" si="287"/>
        <v>415.01174785100284</v>
      </c>
      <c r="R1171" s="58">
        <f t="shared" si="288"/>
        <v>276.67449856733521</v>
      </c>
      <c r="S1171" s="66">
        <f t="shared" si="289"/>
        <v>22.81215825</v>
      </c>
      <c r="T1171" s="64">
        <f t="shared" si="290"/>
        <v>101.25</v>
      </c>
      <c r="U1171" s="66">
        <f t="shared" si="291"/>
        <v>1427.61405825</v>
      </c>
      <c r="V1171" s="68">
        <f t="shared" si="292"/>
        <v>52.87459475</v>
      </c>
      <c r="W1171" s="68">
        <f t="shared" si="293"/>
        <v>454.50941045845275</v>
      </c>
      <c r="X1171" s="68">
        <f t="shared" si="294"/>
        <v>303.00627363896848</v>
      </c>
      <c r="Z1171" s="63"/>
      <c r="AA1171" s="63"/>
    </row>
    <row r="1172" spans="1:27" hidden="1" x14ac:dyDescent="0.25">
      <c r="A1172" t="str">
        <f t="shared" si="296"/>
        <v>10620053C24/05/2026M</v>
      </c>
      <c r="B1172" s="1" t="s">
        <v>824</v>
      </c>
      <c r="C1172" s="1" t="s">
        <v>396</v>
      </c>
      <c r="D1172" s="1" t="s">
        <v>591</v>
      </c>
      <c r="E1172" s="1" t="s">
        <v>592</v>
      </c>
      <c r="F1172" s="1" t="s">
        <v>385</v>
      </c>
      <c r="G1172" s="62" t="str">
        <f t="shared" si="295"/>
        <v>64573</v>
      </c>
      <c r="H1172" s="1">
        <v>10620053</v>
      </c>
      <c r="I1172" s="1" t="s">
        <v>388</v>
      </c>
      <c r="J1172" s="61">
        <v>53</v>
      </c>
      <c r="K1172" s="61">
        <v>3</v>
      </c>
      <c r="L1172" s="61">
        <v>8</v>
      </c>
      <c r="M1172" s="69">
        <f t="shared" si="284"/>
        <v>1.59</v>
      </c>
      <c r="N1172" s="69">
        <f t="shared" si="285"/>
        <v>4.24</v>
      </c>
      <c r="O1172" s="56">
        <v>33.001056000000005</v>
      </c>
      <c r="P1172" s="57">
        <f t="shared" si="286"/>
        <v>1749.0559680000003</v>
      </c>
      <c r="Q1172" s="58">
        <f t="shared" si="287"/>
        <v>396.01267200000001</v>
      </c>
      <c r="R1172" s="58">
        <f t="shared" si="288"/>
        <v>264.00844799999999</v>
      </c>
      <c r="S1172" s="66">
        <f t="shared" si="289"/>
        <v>30.608479440000011</v>
      </c>
      <c r="T1172" s="64">
        <f t="shared" si="290"/>
        <v>198.75</v>
      </c>
      <c r="U1172" s="66">
        <f t="shared" si="291"/>
        <v>1978.4144474400005</v>
      </c>
      <c r="V1172" s="68">
        <f t="shared" si="292"/>
        <v>37.328574480000007</v>
      </c>
      <c r="W1172" s="68">
        <f t="shared" si="293"/>
        <v>447.94289376000006</v>
      </c>
      <c r="X1172" s="68">
        <f t="shared" si="294"/>
        <v>298.62859584000006</v>
      </c>
      <c r="Z1172" s="63"/>
      <c r="AA1172" s="63"/>
    </row>
    <row r="1173" spans="1:27" hidden="1" x14ac:dyDescent="0.25">
      <c r="A1173" t="str">
        <f t="shared" si="296"/>
        <v>10620053B24/05/2026E</v>
      </c>
      <c r="B1173" s="1" t="s">
        <v>824</v>
      </c>
      <c r="C1173" s="1" t="s">
        <v>397</v>
      </c>
      <c r="D1173" s="1" t="s">
        <v>591</v>
      </c>
      <c r="E1173" s="1" t="s">
        <v>592</v>
      </c>
      <c r="F1173" s="1" t="s">
        <v>385</v>
      </c>
      <c r="G1173" s="62" t="str">
        <f t="shared" si="295"/>
        <v>64573</v>
      </c>
      <c r="H1173" s="1">
        <v>10620053</v>
      </c>
      <c r="I1173" s="1" t="s">
        <v>387</v>
      </c>
      <c r="J1173" s="61">
        <v>11</v>
      </c>
      <c r="K1173" s="61">
        <v>6.1</v>
      </c>
      <c r="L1173" s="61">
        <v>8.8000000000000007</v>
      </c>
      <c r="M1173" s="69">
        <f t="shared" si="284"/>
        <v>0.67099999999999993</v>
      </c>
      <c r="N1173" s="69">
        <f t="shared" si="285"/>
        <v>0.96800000000000008</v>
      </c>
      <c r="O1173" s="56">
        <v>50.425650000000005</v>
      </c>
      <c r="P1173" s="57">
        <f t="shared" si="286"/>
        <v>554.68215000000009</v>
      </c>
      <c r="Q1173" s="58">
        <f t="shared" si="287"/>
        <v>421.38426183844012</v>
      </c>
      <c r="R1173" s="58">
        <f t="shared" si="288"/>
        <v>280.92284122562677</v>
      </c>
      <c r="S1173" s="66">
        <f t="shared" si="289"/>
        <v>9.7069376250000019</v>
      </c>
      <c r="T1173" s="64">
        <f t="shared" si="290"/>
        <v>41.25</v>
      </c>
      <c r="U1173" s="66">
        <f t="shared" si="291"/>
        <v>605.63908762500012</v>
      </c>
      <c r="V1173" s="68">
        <f t="shared" si="292"/>
        <v>55.058098875000013</v>
      </c>
      <c r="W1173" s="68">
        <f t="shared" si="293"/>
        <v>460.09553377437334</v>
      </c>
      <c r="X1173" s="68">
        <f t="shared" si="294"/>
        <v>306.73035584958222</v>
      </c>
      <c r="Z1173" s="63"/>
      <c r="AA1173" s="63"/>
    </row>
    <row r="1174" spans="1:27" hidden="1" x14ac:dyDescent="0.25">
      <c r="A1174" t="str">
        <f t="shared" si="296"/>
        <v>10620053C25/05/2026E</v>
      </c>
      <c r="B1174" s="1" t="s">
        <v>824</v>
      </c>
      <c r="C1174" s="1" t="s">
        <v>397</v>
      </c>
      <c r="D1174" s="1" t="s">
        <v>591</v>
      </c>
      <c r="E1174" s="1" t="s">
        <v>592</v>
      </c>
      <c r="F1174" s="1" t="s">
        <v>385</v>
      </c>
      <c r="G1174" s="62" t="str">
        <f t="shared" si="295"/>
        <v>64573</v>
      </c>
      <c r="H1174" s="1">
        <v>10620053</v>
      </c>
      <c r="I1174" s="1" t="s">
        <v>388</v>
      </c>
      <c r="J1174" s="61">
        <v>58</v>
      </c>
      <c r="K1174" s="61">
        <v>3</v>
      </c>
      <c r="L1174" s="61">
        <v>8</v>
      </c>
      <c r="M1174" s="69">
        <f t="shared" si="284"/>
        <v>1.74</v>
      </c>
      <c r="N1174" s="69">
        <f t="shared" si="285"/>
        <v>4.6399999999999997</v>
      </c>
      <c r="O1174" s="56">
        <v>33.001056000000005</v>
      </c>
      <c r="P1174" s="57">
        <f t="shared" si="286"/>
        <v>1914.0612480000004</v>
      </c>
      <c r="Q1174" s="58">
        <f t="shared" si="287"/>
        <v>396.01267200000001</v>
      </c>
      <c r="R1174" s="58">
        <f t="shared" si="288"/>
        <v>264.00844799999999</v>
      </c>
      <c r="S1174" s="66">
        <f t="shared" si="289"/>
        <v>33.496071840000013</v>
      </c>
      <c r="T1174" s="64">
        <f t="shared" si="290"/>
        <v>217.5</v>
      </c>
      <c r="U1174" s="66">
        <f t="shared" si="291"/>
        <v>2165.0573198400007</v>
      </c>
      <c r="V1174" s="68">
        <f t="shared" si="292"/>
        <v>37.328574480000015</v>
      </c>
      <c r="W1174" s="68">
        <f t="shared" si="293"/>
        <v>447.94289376000012</v>
      </c>
      <c r="X1174" s="68">
        <f t="shared" si="294"/>
        <v>298.62859584000006</v>
      </c>
      <c r="Z1174" s="63"/>
      <c r="AA1174" s="63"/>
    </row>
    <row r="1175" spans="1:27" hidden="1" x14ac:dyDescent="0.25">
      <c r="A1175" t="str">
        <f t="shared" si="296"/>
        <v>10620053B25/05/2026M</v>
      </c>
      <c r="B1175" s="1" t="s">
        <v>825</v>
      </c>
      <c r="C1175" s="1" t="s">
        <v>396</v>
      </c>
      <c r="D1175" s="1" t="s">
        <v>591</v>
      </c>
      <c r="E1175" s="1" t="s">
        <v>592</v>
      </c>
      <c r="F1175" s="1" t="s">
        <v>385</v>
      </c>
      <c r="G1175" s="62" t="str">
        <f t="shared" si="295"/>
        <v>64573</v>
      </c>
      <c r="H1175" s="1">
        <v>10620053</v>
      </c>
      <c r="I1175" s="1" t="s">
        <v>387</v>
      </c>
      <c r="J1175" s="61">
        <v>30</v>
      </c>
      <c r="K1175" s="61">
        <v>6.2</v>
      </c>
      <c r="L1175" s="61">
        <v>8.8000000000000007</v>
      </c>
      <c r="M1175" s="69">
        <f t="shared" si="284"/>
        <v>1.86</v>
      </c>
      <c r="N1175" s="69">
        <f t="shared" si="285"/>
        <v>2.64</v>
      </c>
      <c r="O1175" s="56">
        <v>51.252300000000005</v>
      </c>
      <c r="P1175" s="57">
        <f t="shared" si="286"/>
        <v>1537.5690000000002</v>
      </c>
      <c r="Q1175" s="58">
        <f t="shared" si="287"/>
        <v>424.74281767955802</v>
      </c>
      <c r="R1175" s="58">
        <f t="shared" si="288"/>
        <v>283.1618784530387</v>
      </c>
      <c r="S1175" s="66">
        <f t="shared" si="289"/>
        <v>26.907457500000007</v>
      </c>
      <c r="T1175" s="64">
        <f t="shared" si="290"/>
        <v>112.5</v>
      </c>
      <c r="U1175" s="66">
        <f t="shared" si="291"/>
        <v>1676.9764575000002</v>
      </c>
      <c r="V1175" s="68">
        <f t="shared" si="292"/>
        <v>55.899215250000005</v>
      </c>
      <c r="W1175" s="68">
        <f t="shared" si="293"/>
        <v>463.25316505524864</v>
      </c>
      <c r="X1175" s="68">
        <f t="shared" si="294"/>
        <v>308.83544337016576</v>
      </c>
      <c r="Z1175" s="63"/>
      <c r="AA1175" s="63"/>
    </row>
    <row r="1176" spans="1:27" hidden="1" x14ac:dyDescent="0.25">
      <c r="A1176" t="str">
        <f t="shared" si="296"/>
        <v>10620053C25/05/2026M</v>
      </c>
      <c r="B1176" s="1" t="s">
        <v>825</v>
      </c>
      <c r="C1176" s="1" t="s">
        <v>396</v>
      </c>
      <c r="D1176" s="1" t="s">
        <v>591</v>
      </c>
      <c r="E1176" s="1" t="s">
        <v>592</v>
      </c>
      <c r="F1176" s="1" t="s">
        <v>385</v>
      </c>
      <c r="G1176" s="62" t="str">
        <f t="shared" si="295"/>
        <v>64573</v>
      </c>
      <c r="H1176" s="1">
        <v>10620053</v>
      </c>
      <c r="I1176" s="1" t="s">
        <v>388</v>
      </c>
      <c r="J1176" s="61">
        <v>40</v>
      </c>
      <c r="K1176" s="61">
        <v>3</v>
      </c>
      <c r="L1176" s="61">
        <v>8</v>
      </c>
      <c r="M1176" s="69">
        <f t="shared" si="284"/>
        <v>1.2</v>
      </c>
      <c r="N1176" s="69">
        <f t="shared" si="285"/>
        <v>3.2</v>
      </c>
      <c r="O1176" s="56">
        <v>33.001056000000005</v>
      </c>
      <c r="P1176" s="57">
        <f t="shared" si="286"/>
        <v>1320.0422400000002</v>
      </c>
      <c r="Q1176" s="58">
        <f t="shared" si="287"/>
        <v>396.01267200000001</v>
      </c>
      <c r="R1176" s="58">
        <f t="shared" si="288"/>
        <v>264.00844799999999</v>
      </c>
      <c r="S1176" s="66">
        <f t="shared" si="289"/>
        <v>23.100739200000007</v>
      </c>
      <c r="T1176" s="64">
        <f t="shared" si="290"/>
        <v>150</v>
      </c>
      <c r="U1176" s="66">
        <f t="shared" si="291"/>
        <v>1493.1429792000004</v>
      </c>
      <c r="V1176" s="68">
        <f t="shared" si="292"/>
        <v>37.328574480000007</v>
      </c>
      <c r="W1176" s="68">
        <f t="shared" si="293"/>
        <v>447.94289376000006</v>
      </c>
      <c r="X1176" s="68">
        <f t="shared" si="294"/>
        <v>298.62859584000006</v>
      </c>
      <c r="Z1176" s="63"/>
      <c r="AA1176" s="63"/>
    </row>
    <row r="1177" spans="1:27" hidden="1" x14ac:dyDescent="0.25">
      <c r="A1177" t="str">
        <f t="shared" si="296"/>
        <v>10620053B25/05/2026E</v>
      </c>
      <c r="B1177" s="1" t="s">
        <v>825</v>
      </c>
      <c r="C1177" s="1" t="s">
        <v>397</v>
      </c>
      <c r="D1177" s="1" t="s">
        <v>591</v>
      </c>
      <c r="E1177" s="1" t="s">
        <v>592</v>
      </c>
      <c r="F1177" s="1" t="s">
        <v>385</v>
      </c>
      <c r="G1177" s="62" t="str">
        <f t="shared" si="295"/>
        <v>64573</v>
      </c>
      <c r="H1177" s="1">
        <v>10620053</v>
      </c>
      <c r="I1177" s="1" t="s">
        <v>387</v>
      </c>
      <c r="J1177" s="61">
        <v>10</v>
      </c>
      <c r="K1177" s="61">
        <v>6.4</v>
      </c>
      <c r="L1177" s="61">
        <v>8.8000000000000007</v>
      </c>
      <c r="M1177" s="69">
        <f t="shared" si="284"/>
        <v>0.64</v>
      </c>
      <c r="N1177" s="69">
        <f t="shared" si="285"/>
        <v>0.88</v>
      </c>
      <c r="O1177" s="56">
        <v>52.9056</v>
      </c>
      <c r="P1177" s="57">
        <f t="shared" si="286"/>
        <v>529.05600000000004</v>
      </c>
      <c r="Q1177" s="58">
        <f t="shared" si="287"/>
        <v>431.29565217391303</v>
      </c>
      <c r="R1177" s="58">
        <f t="shared" si="288"/>
        <v>287.53043478260867</v>
      </c>
      <c r="S1177" s="66">
        <f t="shared" si="289"/>
        <v>9.2584800000000023</v>
      </c>
      <c r="T1177" s="64">
        <f t="shared" si="290"/>
        <v>37.5</v>
      </c>
      <c r="U1177" s="66">
        <f t="shared" si="291"/>
        <v>575.81448</v>
      </c>
      <c r="V1177" s="68">
        <f t="shared" si="292"/>
        <v>57.581448000000002</v>
      </c>
      <c r="W1177" s="68">
        <f t="shared" si="293"/>
        <v>469.41397826086956</v>
      </c>
      <c r="X1177" s="68">
        <f t="shared" si="294"/>
        <v>312.94265217391302</v>
      </c>
      <c r="Z1177" s="63"/>
      <c r="AA1177" s="63"/>
    </row>
    <row r="1178" spans="1:27" hidden="1" x14ac:dyDescent="0.25">
      <c r="A1178" t="str">
        <f t="shared" si="296"/>
        <v>10620053C26/05/2026E</v>
      </c>
      <c r="B1178" s="1" t="s">
        <v>825</v>
      </c>
      <c r="C1178" s="1" t="s">
        <v>397</v>
      </c>
      <c r="D1178" s="1" t="s">
        <v>591</v>
      </c>
      <c r="E1178" s="1" t="s">
        <v>592</v>
      </c>
      <c r="F1178" s="1" t="s">
        <v>385</v>
      </c>
      <c r="G1178" s="62" t="str">
        <f t="shared" si="295"/>
        <v>64573</v>
      </c>
      <c r="H1178" s="1">
        <v>10620053</v>
      </c>
      <c r="I1178" s="1" t="s">
        <v>388</v>
      </c>
      <c r="J1178" s="61">
        <v>54</v>
      </c>
      <c r="K1178" s="61">
        <v>3.1</v>
      </c>
      <c r="L1178" s="61">
        <v>8.1</v>
      </c>
      <c r="M1178" s="69">
        <f t="shared" si="284"/>
        <v>1.6740000000000002</v>
      </c>
      <c r="N1178" s="69">
        <f t="shared" si="285"/>
        <v>4.3739999999999997</v>
      </c>
      <c r="O1178" s="56">
        <v>33.6610692</v>
      </c>
      <c r="P1178" s="57">
        <f t="shared" si="286"/>
        <v>1817.6977368</v>
      </c>
      <c r="Q1178" s="58">
        <f t="shared" si="287"/>
        <v>396.01257882352945</v>
      </c>
      <c r="R1178" s="58">
        <f t="shared" si="288"/>
        <v>264.00838588235297</v>
      </c>
      <c r="S1178" s="66">
        <f t="shared" si="289"/>
        <v>31.809710394000003</v>
      </c>
      <c r="T1178" s="64">
        <f t="shared" si="290"/>
        <v>202.5</v>
      </c>
      <c r="U1178" s="66">
        <f t="shared" si="291"/>
        <v>2052.0074471940002</v>
      </c>
      <c r="V1178" s="68">
        <f t="shared" si="292"/>
        <v>38.000137911000003</v>
      </c>
      <c r="W1178" s="68">
        <f t="shared" si="293"/>
        <v>447.06044601176478</v>
      </c>
      <c r="X1178" s="68">
        <f t="shared" si="294"/>
        <v>298.04029734117654</v>
      </c>
      <c r="Z1178" s="63"/>
      <c r="AA1178" s="63"/>
    </row>
    <row r="1179" spans="1:27" hidden="1" x14ac:dyDescent="0.25">
      <c r="A1179" t="str">
        <f t="shared" si="296"/>
        <v>10620053B26/05/2026M</v>
      </c>
      <c r="B1179" s="1" t="s">
        <v>826</v>
      </c>
      <c r="C1179" s="1" t="s">
        <v>396</v>
      </c>
      <c r="D1179" s="1" t="s">
        <v>591</v>
      </c>
      <c r="E1179" s="1" t="s">
        <v>592</v>
      </c>
      <c r="F1179" s="1" t="s">
        <v>385</v>
      </c>
      <c r="G1179" s="62" t="str">
        <f t="shared" si="295"/>
        <v>64573</v>
      </c>
      <c r="H1179" s="1">
        <v>10620053</v>
      </c>
      <c r="I1179" s="1" t="s">
        <v>387</v>
      </c>
      <c r="J1179" s="61">
        <v>25</v>
      </c>
      <c r="K1179" s="61">
        <v>6</v>
      </c>
      <c r="L1179" s="61">
        <v>8.8000000000000007</v>
      </c>
      <c r="M1179" s="69">
        <f t="shared" si="284"/>
        <v>1.5</v>
      </c>
      <c r="N1179" s="69">
        <f t="shared" si="285"/>
        <v>2.2000000000000002</v>
      </c>
      <c r="O1179" s="56">
        <f>INDEX(Rate_Chart!$A$1:$AK$127,MATCH(Data!K1179,Rate_Chart!$A$1:$A$127,0),MATCH(Data!L1179,Rate_Chart!$A$1:$AK$1,0))</f>
        <v>49.599000000000004</v>
      </c>
      <c r="P1179" s="57">
        <f t="shared" si="286"/>
        <v>1239.9750000000001</v>
      </c>
      <c r="Q1179" s="58">
        <f t="shared" si="287"/>
        <v>417.96910112359552</v>
      </c>
      <c r="R1179" s="58">
        <f t="shared" si="288"/>
        <v>278.64606741573033</v>
      </c>
      <c r="S1179" s="66">
        <f t="shared" si="289"/>
        <v>21.699562500000006</v>
      </c>
      <c r="T1179" s="64">
        <f t="shared" si="290"/>
        <v>93.75</v>
      </c>
      <c r="U1179" s="66">
        <f t="shared" si="291"/>
        <v>1355.4245625000001</v>
      </c>
      <c r="V1179" s="68">
        <f t="shared" si="292"/>
        <v>54.2169825</v>
      </c>
      <c r="W1179" s="68">
        <f t="shared" si="293"/>
        <v>456.88468398876404</v>
      </c>
      <c r="X1179" s="68">
        <f t="shared" si="294"/>
        <v>304.58978932584267</v>
      </c>
      <c r="Z1179" s="63"/>
      <c r="AA1179" s="63"/>
    </row>
    <row r="1180" spans="1:27" hidden="1" x14ac:dyDescent="0.25">
      <c r="A1180" t="str">
        <f t="shared" si="296"/>
        <v>10620053C26/05/2026M</v>
      </c>
      <c r="B1180" s="1" t="s">
        <v>826</v>
      </c>
      <c r="C1180" s="1" t="s">
        <v>396</v>
      </c>
      <c r="D1180" s="1" t="s">
        <v>591</v>
      </c>
      <c r="E1180" s="1" t="s">
        <v>592</v>
      </c>
      <c r="F1180" s="1" t="s">
        <v>385</v>
      </c>
      <c r="G1180" s="62" t="str">
        <f t="shared" si="295"/>
        <v>64573</v>
      </c>
      <c r="H1180" s="1">
        <v>10620053</v>
      </c>
      <c r="I1180" s="1" t="s">
        <v>388</v>
      </c>
      <c r="J1180" s="61">
        <v>76</v>
      </c>
      <c r="K1180" s="61">
        <v>3.2</v>
      </c>
      <c r="L1180" s="61">
        <v>8.1</v>
      </c>
      <c r="M1180" s="69">
        <f t="shared" si="284"/>
        <v>2.4320000000000004</v>
      </c>
      <c r="N1180" s="69">
        <f t="shared" si="285"/>
        <v>6.1560000000000006</v>
      </c>
      <c r="O1180" s="56">
        <f>INDEX(Rate_Chart!$A$1:$AK$127,MATCH(Data!K1180,Rate_Chart!$A$1:$A$127,0),MATCH(Data!L1180,Rate_Chart!$A$1:$AK$1,0))</f>
        <v>35.8631259</v>
      </c>
      <c r="P1180" s="57">
        <f t="shared" si="286"/>
        <v>2725.5975684</v>
      </c>
      <c r="Q1180" s="58">
        <f t="shared" si="287"/>
        <v>417.01309186046512</v>
      </c>
      <c r="R1180" s="58">
        <f t="shared" si="288"/>
        <v>278.00872790697673</v>
      </c>
      <c r="S1180" s="66">
        <f t="shared" si="289"/>
        <v>47.697957447000007</v>
      </c>
      <c r="T1180" s="64">
        <f t="shared" si="290"/>
        <v>285</v>
      </c>
      <c r="U1180" s="66">
        <f t="shared" si="291"/>
        <v>3058.2955258470001</v>
      </c>
      <c r="V1180" s="68">
        <f t="shared" si="292"/>
        <v>40.24073060325</v>
      </c>
      <c r="W1180" s="68">
        <f t="shared" si="293"/>
        <v>467.91547213081401</v>
      </c>
      <c r="X1180" s="68">
        <f t="shared" si="294"/>
        <v>311.94364808720934</v>
      </c>
      <c r="Z1180" s="63"/>
      <c r="AA1180" s="63"/>
    </row>
    <row r="1181" spans="1:27" hidden="1" x14ac:dyDescent="0.25">
      <c r="A1181" t="str">
        <f t="shared" si="296"/>
        <v>10620053C27/05/2026E</v>
      </c>
      <c r="B1181" s="1" t="s">
        <v>826</v>
      </c>
      <c r="C1181" s="1" t="s">
        <v>397</v>
      </c>
      <c r="D1181" s="1" t="s">
        <v>591</v>
      </c>
      <c r="E1181" s="1" t="s">
        <v>592</v>
      </c>
      <c r="F1181" s="1" t="s">
        <v>385</v>
      </c>
      <c r="G1181" s="62" t="str">
        <f t="shared" si="295"/>
        <v>64573</v>
      </c>
      <c r="H1181" s="1">
        <v>10620053</v>
      </c>
      <c r="I1181" s="1" t="s">
        <v>388</v>
      </c>
      <c r="J1181" s="61">
        <v>40</v>
      </c>
      <c r="K1181" s="61">
        <v>3</v>
      </c>
      <c r="L1181" s="61">
        <v>8.1999999999999993</v>
      </c>
      <c r="M1181" s="69">
        <f t="shared" si="284"/>
        <v>1.2</v>
      </c>
      <c r="N1181" s="69">
        <f t="shared" si="285"/>
        <v>3.28</v>
      </c>
      <c r="O1181" s="56">
        <f>INDEX(Rate_Chart!$A$1:$AK$127,MATCH(Data!K1181,Rate_Chart!$A$1:$A$127,0),MATCH(Data!L1181,Rate_Chart!$A$1:$AK$1,0))</f>
        <v>35.307139800000002</v>
      </c>
      <c r="P1181" s="57">
        <f t="shared" si="286"/>
        <v>1412.2855920000002</v>
      </c>
      <c r="Q1181" s="58">
        <f t="shared" si="287"/>
        <v>417.01346220472442</v>
      </c>
      <c r="R1181" s="58">
        <f t="shared" si="288"/>
        <v>278.00897480314961</v>
      </c>
      <c r="S1181" s="66">
        <f t="shared" si="289"/>
        <v>24.714997860000004</v>
      </c>
      <c r="T1181" s="64">
        <f t="shared" si="290"/>
        <v>150</v>
      </c>
      <c r="U1181" s="66">
        <f t="shared" si="291"/>
        <v>1587.0005898600002</v>
      </c>
      <c r="V1181" s="68">
        <f t="shared" si="292"/>
        <v>39.675014746500004</v>
      </c>
      <c r="W1181" s="68">
        <f t="shared" si="293"/>
        <v>468.6025363759843</v>
      </c>
      <c r="X1181" s="68">
        <f t="shared" si="294"/>
        <v>312.40169091732287</v>
      </c>
      <c r="Z1181" s="63"/>
      <c r="AA1181" s="63"/>
    </row>
    <row r="1182" spans="1:27" hidden="1" x14ac:dyDescent="0.25">
      <c r="A1182" t="str">
        <f t="shared" si="296"/>
        <v>10620053B27/05/2026M</v>
      </c>
      <c r="B1182" s="1" t="s">
        <v>827</v>
      </c>
      <c r="C1182" s="1" t="s">
        <v>396</v>
      </c>
      <c r="D1182" s="1" t="s">
        <v>591</v>
      </c>
      <c r="E1182" s="1" t="s">
        <v>592</v>
      </c>
      <c r="F1182" s="1" t="s">
        <v>385</v>
      </c>
      <c r="G1182" s="62" t="str">
        <f t="shared" si="295"/>
        <v>64573</v>
      </c>
      <c r="H1182" s="1">
        <v>10620053</v>
      </c>
      <c r="I1182" s="1" t="s">
        <v>387</v>
      </c>
      <c r="J1182" s="61">
        <v>20</v>
      </c>
      <c r="K1182" s="61">
        <v>5.7</v>
      </c>
      <c r="L1182" s="61">
        <v>8.8000000000000007</v>
      </c>
      <c r="M1182" s="69">
        <f t="shared" si="284"/>
        <v>1.1399999999999999</v>
      </c>
      <c r="N1182" s="69">
        <f t="shared" si="285"/>
        <v>1.76</v>
      </c>
      <c r="O1182" s="56">
        <f>INDEX(Rate_Chart!$A$1:$AK$127,MATCH(Data!K1182,Rate_Chart!$A$1:$A$127,0),MATCH(Data!L1182,Rate_Chart!$A$1:$AK$1,0))</f>
        <v>47.119050000000001</v>
      </c>
      <c r="P1182" s="57">
        <f t="shared" si="286"/>
        <v>942.38100000000009</v>
      </c>
      <c r="Q1182" s="58">
        <f t="shared" si="287"/>
        <v>407.3693083573487</v>
      </c>
      <c r="R1182" s="58">
        <f t="shared" si="288"/>
        <v>271.57953890489915</v>
      </c>
      <c r="S1182" s="66">
        <f t="shared" si="289"/>
        <v>16.491667500000002</v>
      </c>
      <c r="T1182" s="64">
        <f t="shared" si="290"/>
        <v>75</v>
      </c>
      <c r="U1182" s="66">
        <f t="shared" si="291"/>
        <v>1033.8726675</v>
      </c>
      <c r="V1182" s="68">
        <f t="shared" si="292"/>
        <v>51.693633375000005</v>
      </c>
      <c r="W1182" s="68">
        <f t="shared" si="293"/>
        <v>446.91902053314124</v>
      </c>
      <c r="X1182" s="68">
        <f t="shared" si="294"/>
        <v>297.94601368876084</v>
      </c>
      <c r="Z1182" s="63"/>
      <c r="AA1182" s="63"/>
    </row>
    <row r="1183" spans="1:27" hidden="1" x14ac:dyDescent="0.25">
      <c r="A1183" t="str">
        <f t="shared" si="296"/>
        <v>10620053C27/05/2026M</v>
      </c>
      <c r="B1183" s="1" t="s">
        <v>827</v>
      </c>
      <c r="C1183" s="1" t="s">
        <v>396</v>
      </c>
      <c r="D1183" s="1" t="s">
        <v>591</v>
      </c>
      <c r="E1183" s="1" t="s">
        <v>592</v>
      </c>
      <c r="F1183" s="1" t="s">
        <v>385</v>
      </c>
      <c r="G1183" s="62" t="str">
        <f t="shared" si="295"/>
        <v>64573</v>
      </c>
      <c r="H1183" s="1">
        <v>10620053</v>
      </c>
      <c r="I1183" s="1" t="s">
        <v>388</v>
      </c>
      <c r="J1183" s="61">
        <v>64</v>
      </c>
      <c r="K1183" s="61">
        <v>3.5</v>
      </c>
      <c r="L1183" s="61">
        <v>8.1999999999999993</v>
      </c>
      <c r="M1183" s="69">
        <f t="shared" ref="M1183:M1246" si="297">K1183*J1183/100</f>
        <v>2.2400000000000002</v>
      </c>
      <c r="N1183" s="69">
        <f t="shared" ref="N1183:N1246" si="298">L1183*J1183/100</f>
        <v>5.2479999999999993</v>
      </c>
      <c r="O1183" s="56">
        <f>INDEX(Rate_Chart!$A$1:$AK$127,MATCH(Data!K1183,Rate_Chart!$A$1:$A$127,0),MATCH(Data!L1183,Rate_Chart!$A$1:$AK$1,0))</f>
        <v>37.392139800000002</v>
      </c>
      <c r="P1183" s="57">
        <f t="shared" ref="P1183:P1246" si="299">O1183*J1183</f>
        <v>2393.0969472000002</v>
      </c>
      <c r="Q1183" s="58">
        <f t="shared" ref="Q1183:Q1246" si="300">O1183/(K1183%+L1183%*2/3)</f>
        <v>417.01271152416359</v>
      </c>
      <c r="R1183" s="58">
        <f t="shared" ref="R1183:R1246" si="301">Q1183*2/3</f>
        <v>278.00847434944239</v>
      </c>
      <c r="S1183" s="66">
        <f t="shared" ref="S1183:S1246" si="302">P1183*1.75%</f>
        <v>41.879196576000005</v>
      </c>
      <c r="T1183" s="64">
        <f t="shared" ref="T1183:T1246" si="303">J1183*3.75</f>
        <v>240</v>
      </c>
      <c r="U1183" s="66">
        <f t="shared" ref="U1183:U1246" si="304">S1183+T1183+P1183</f>
        <v>2674.9761437760003</v>
      </c>
      <c r="V1183" s="68">
        <f t="shared" ref="V1183:V1246" si="305">U1183/J1183</f>
        <v>41.796502246500005</v>
      </c>
      <c r="W1183" s="68">
        <f t="shared" ref="W1183:W1246" si="306">V1183/(K1183%+L1183%*2/3)</f>
        <v>466.13199531412641</v>
      </c>
      <c r="X1183" s="68">
        <f t="shared" ref="X1183:X1246" si="307">W1183*2/3</f>
        <v>310.75466354275096</v>
      </c>
      <c r="Z1183" s="63"/>
      <c r="AA1183" s="63"/>
    </row>
    <row r="1184" spans="1:27" hidden="1" x14ac:dyDescent="0.25">
      <c r="A1184" t="str">
        <f t="shared" si="296"/>
        <v>10620053C28/05/2026E</v>
      </c>
      <c r="B1184" s="1" t="s">
        <v>827</v>
      </c>
      <c r="C1184" s="1" t="s">
        <v>397</v>
      </c>
      <c r="D1184" s="1" t="s">
        <v>591</v>
      </c>
      <c r="E1184" s="1" t="s">
        <v>592</v>
      </c>
      <c r="F1184" s="1" t="s">
        <v>385</v>
      </c>
      <c r="G1184" s="62" t="str">
        <f t="shared" si="295"/>
        <v>64573</v>
      </c>
      <c r="H1184" s="1">
        <v>10620053</v>
      </c>
      <c r="I1184" s="1" t="s">
        <v>388</v>
      </c>
      <c r="J1184" s="61">
        <v>40</v>
      </c>
      <c r="K1184" s="61">
        <v>3</v>
      </c>
      <c r="L1184" s="61">
        <v>8.1999999999999993</v>
      </c>
      <c r="M1184" s="69">
        <f t="shared" si="297"/>
        <v>1.2</v>
      </c>
      <c r="N1184" s="69">
        <f t="shared" si="298"/>
        <v>3.28</v>
      </c>
      <c r="O1184" s="56">
        <f>INDEX(Rate_Chart!$A$1:$AK$127,MATCH(Data!K1184,Rate_Chart!$A$1:$A$127,0),MATCH(Data!L1184,Rate_Chart!$A$1:$AK$1,0))</f>
        <v>35.307139800000002</v>
      </c>
      <c r="P1184" s="57">
        <f t="shared" si="299"/>
        <v>1412.2855920000002</v>
      </c>
      <c r="Q1184" s="58">
        <f t="shared" si="300"/>
        <v>417.01346220472442</v>
      </c>
      <c r="R1184" s="58">
        <f t="shared" si="301"/>
        <v>278.00897480314961</v>
      </c>
      <c r="S1184" s="66">
        <f t="shared" si="302"/>
        <v>24.714997860000004</v>
      </c>
      <c r="T1184" s="64">
        <f t="shared" si="303"/>
        <v>150</v>
      </c>
      <c r="U1184" s="66">
        <f t="shared" si="304"/>
        <v>1587.0005898600002</v>
      </c>
      <c r="V1184" s="68">
        <f t="shared" si="305"/>
        <v>39.675014746500004</v>
      </c>
      <c r="W1184" s="68">
        <f t="shared" si="306"/>
        <v>468.6025363759843</v>
      </c>
      <c r="X1184" s="68">
        <f t="shared" si="307"/>
        <v>312.40169091732287</v>
      </c>
      <c r="Z1184" s="63"/>
      <c r="AA1184" s="63"/>
    </row>
    <row r="1185" spans="1:27" hidden="1" x14ac:dyDescent="0.25">
      <c r="A1185" t="str">
        <f t="shared" si="296"/>
        <v>10620053B28/05/2026M</v>
      </c>
      <c r="B1185" s="1" t="s">
        <v>828</v>
      </c>
      <c r="C1185" s="1" t="s">
        <v>396</v>
      </c>
      <c r="D1185" s="1" t="s">
        <v>591</v>
      </c>
      <c r="E1185" s="1" t="s">
        <v>592</v>
      </c>
      <c r="F1185" s="1" t="s">
        <v>385</v>
      </c>
      <c r="G1185" s="62" t="str">
        <f t="shared" si="295"/>
        <v>64573</v>
      </c>
      <c r="H1185" s="1">
        <v>10620053</v>
      </c>
      <c r="I1185" s="1" t="s">
        <v>387</v>
      </c>
      <c r="J1185" s="61">
        <v>17</v>
      </c>
      <c r="K1185" s="61">
        <v>5.9</v>
      </c>
      <c r="L1185" s="61">
        <v>8.8000000000000007</v>
      </c>
      <c r="M1185" s="69">
        <f t="shared" si="297"/>
        <v>1.0030000000000001</v>
      </c>
      <c r="N1185" s="69">
        <f t="shared" si="298"/>
        <v>1.4960000000000002</v>
      </c>
      <c r="O1185" s="56">
        <f>INDEX(Rate_Chart!$A$1:$AK$127,MATCH(Data!K1185,Rate_Chart!$A$1:$A$127,0),MATCH(Data!L1185,Rate_Chart!$A$1:$AK$1,0))</f>
        <v>48.772350000000003</v>
      </c>
      <c r="P1185" s="57">
        <f t="shared" si="299"/>
        <v>829.12995000000001</v>
      </c>
      <c r="Q1185" s="58">
        <f t="shared" si="300"/>
        <v>414.49589235127479</v>
      </c>
      <c r="R1185" s="58">
        <f t="shared" si="301"/>
        <v>276.33059490084986</v>
      </c>
      <c r="S1185" s="66">
        <f t="shared" si="302"/>
        <v>14.509774125000002</v>
      </c>
      <c r="T1185" s="64">
        <f t="shared" si="303"/>
        <v>63.75</v>
      </c>
      <c r="U1185" s="66">
        <f t="shared" si="304"/>
        <v>907.38972412500004</v>
      </c>
      <c r="V1185" s="68">
        <f t="shared" si="305"/>
        <v>53.375866125000002</v>
      </c>
      <c r="W1185" s="68">
        <f t="shared" si="306"/>
        <v>453.61925885269125</v>
      </c>
      <c r="X1185" s="68">
        <f t="shared" si="307"/>
        <v>302.41283923512748</v>
      </c>
      <c r="Z1185" s="63"/>
      <c r="AA1185" s="63"/>
    </row>
    <row r="1186" spans="1:27" hidden="1" x14ac:dyDescent="0.25">
      <c r="A1186" t="str">
        <f t="shared" si="296"/>
        <v>10620053C28/05/2026M</v>
      </c>
      <c r="B1186" s="1" t="s">
        <v>828</v>
      </c>
      <c r="C1186" s="1" t="s">
        <v>396</v>
      </c>
      <c r="D1186" s="1" t="s">
        <v>591</v>
      </c>
      <c r="E1186" s="1" t="s">
        <v>592</v>
      </c>
      <c r="F1186" s="1" t="s">
        <v>385</v>
      </c>
      <c r="G1186" s="62" t="str">
        <f t="shared" si="295"/>
        <v>64573</v>
      </c>
      <c r="H1186" s="1">
        <v>10620053</v>
      </c>
      <c r="I1186" s="1" t="s">
        <v>388</v>
      </c>
      <c r="J1186" s="61">
        <v>53</v>
      </c>
      <c r="K1186" s="61">
        <v>3.2</v>
      </c>
      <c r="L1186" s="61">
        <v>8</v>
      </c>
      <c r="M1186" s="69">
        <f t="shared" si="297"/>
        <v>1.6960000000000002</v>
      </c>
      <c r="N1186" s="69">
        <f t="shared" si="298"/>
        <v>4.24</v>
      </c>
      <c r="O1186" s="56">
        <f>INDEX(Rate_Chart!$A$1:$AK$127,MATCH(Data!K1186,Rate_Chart!$A$1:$A$127,0),MATCH(Data!L1186,Rate_Chart!$A$1:$AK$1,0))</f>
        <v>35.585112000000002</v>
      </c>
      <c r="P1186" s="57">
        <f t="shared" si="299"/>
        <v>1886.0109360000001</v>
      </c>
      <c r="Q1186" s="58">
        <f t="shared" si="300"/>
        <v>417.01303124999998</v>
      </c>
      <c r="R1186" s="58">
        <f t="shared" si="301"/>
        <v>278.00868750000001</v>
      </c>
      <c r="S1186" s="66">
        <f t="shared" si="302"/>
        <v>33.005191380000007</v>
      </c>
      <c r="T1186" s="64">
        <f t="shared" si="303"/>
        <v>198.75</v>
      </c>
      <c r="U1186" s="66">
        <f t="shared" si="304"/>
        <v>2117.7661273799999</v>
      </c>
      <c r="V1186" s="68">
        <f t="shared" si="305"/>
        <v>39.957851460000001</v>
      </c>
      <c r="W1186" s="68">
        <f t="shared" si="306"/>
        <v>468.25607179687495</v>
      </c>
      <c r="X1186" s="68">
        <f t="shared" si="307"/>
        <v>312.17071453124998</v>
      </c>
      <c r="Z1186" s="63"/>
      <c r="AA1186" s="63"/>
    </row>
    <row r="1187" spans="1:27" hidden="1" x14ac:dyDescent="0.25">
      <c r="A1187" t="str">
        <f t="shared" si="296"/>
        <v>10620053B28/05/2026E</v>
      </c>
      <c r="B1187" s="1" t="s">
        <v>828</v>
      </c>
      <c r="C1187" s="1" t="s">
        <v>397</v>
      </c>
      <c r="D1187" s="1" t="s">
        <v>591</v>
      </c>
      <c r="E1187" s="1" t="s">
        <v>592</v>
      </c>
      <c r="F1187" s="1" t="s">
        <v>385</v>
      </c>
      <c r="G1187" s="62" t="str">
        <f t="shared" si="295"/>
        <v>64573</v>
      </c>
      <c r="H1187" s="1">
        <v>10620053</v>
      </c>
      <c r="I1187" s="1" t="s">
        <v>387</v>
      </c>
      <c r="J1187" s="61">
        <v>19</v>
      </c>
      <c r="K1187" s="61">
        <v>6.2</v>
      </c>
      <c r="L1187" s="61">
        <v>8.8000000000000007</v>
      </c>
      <c r="M1187" s="69">
        <f t="shared" si="297"/>
        <v>1.1779999999999999</v>
      </c>
      <c r="N1187" s="69">
        <f t="shared" si="298"/>
        <v>1.6720000000000002</v>
      </c>
      <c r="O1187" s="56">
        <f>INDEX(Rate_Chart!$A$1:$AK$127,MATCH(Data!K1187,Rate_Chart!$A$1:$A$127,0),MATCH(Data!L1187,Rate_Chart!$A$1:$AK$1,0))</f>
        <v>51.252300000000005</v>
      </c>
      <c r="P1187" s="57">
        <f t="shared" si="299"/>
        <v>973.79370000000006</v>
      </c>
      <c r="Q1187" s="58">
        <f t="shared" si="300"/>
        <v>424.74281767955802</v>
      </c>
      <c r="R1187" s="58">
        <f t="shared" si="301"/>
        <v>283.1618784530387</v>
      </c>
      <c r="S1187" s="66">
        <f t="shared" si="302"/>
        <v>17.041389750000004</v>
      </c>
      <c r="T1187" s="64">
        <f t="shared" si="303"/>
        <v>71.25</v>
      </c>
      <c r="U1187" s="66">
        <f t="shared" si="304"/>
        <v>1062.08508975</v>
      </c>
      <c r="V1187" s="68">
        <f t="shared" si="305"/>
        <v>55.899215249999997</v>
      </c>
      <c r="W1187" s="68">
        <f t="shared" si="306"/>
        <v>463.25316505524859</v>
      </c>
      <c r="X1187" s="68">
        <f t="shared" si="307"/>
        <v>308.83544337016571</v>
      </c>
      <c r="Z1187" s="63"/>
      <c r="AA1187" s="63"/>
    </row>
    <row r="1188" spans="1:27" hidden="1" x14ac:dyDescent="0.25">
      <c r="A1188" t="str">
        <f t="shared" si="296"/>
        <v>10620053C22/05/2026E</v>
      </c>
      <c r="B1188" s="1" t="s">
        <v>828</v>
      </c>
      <c r="C1188" s="1" t="s">
        <v>397</v>
      </c>
      <c r="D1188" s="1" t="s">
        <v>591</v>
      </c>
      <c r="E1188" s="1" t="s">
        <v>592</v>
      </c>
      <c r="F1188" s="1" t="s">
        <v>385</v>
      </c>
      <c r="G1188" s="62" t="str">
        <f t="shared" si="295"/>
        <v>64573</v>
      </c>
      <c r="H1188" s="1">
        <v>10620053</v>
      </c>
      <c r="I1188" s="1" t="s">
        <v>388</v>
      </c>
      <c r="J1188" s="61">
        <v>66</v>
      </c>
      <c r="K1188" s="61">
        <v>3.5</v>
      </c>
      <c r="L1188" s="61">
        <v>8.1</v>
      </c>
      <c r="M1188" s="69">
        <f t="shared" si="297"/>
        <v>2.31</v>
      </c>
      <c r="N1188" s="69">
        <f t="shared" si="298"/>
        <v>5.3460000000000001</v>
      </c>
      <c r="O1188" s="56">
        <f>INDEX(Rate_Chart!$A$1:$AK$127,MATCH(Data!K1188,Rate_Chart!$A$1:$A$127,0),MATCH(Data!L1188,Rate_Chart!$A$1:$AK$1,0))</f>
        <v>37.114125900000005</v>
      </c>
      <c r="P1188" s="57">
        <f t="shared" si="299"/>
        <v>2449.5323094000005</v>
      </c>
      <c r="Q1188" s="58">
        <f t="shared" si="300"/>
        <v>417.01265056179784</v>
      </c>
      <c r="R1188" s="58">
        <f t="shared" si="301"/>
        <v>278.00843370786521</v>
      </c>
      <c r="S1188" s="66">
        <f t="shared" si="302"/>
        <v>42.86681541450001</v>
      </c>
      <c r="T1188" s="64">
        <f t="shared" si="303"/>
        <v>247.5</v>
      </c>
      <c r="U1188" s="66">
        <f t="shared" si="304"/>
        <v>2739.8991248145003</v>
      </c>
      <c r="V1188" s="68">
        <f t="shared" si="305"/>
        <v>41.513623103250005</v>
      </c>
      <c r="W1188" s="68">
        <f t="shared" si="306"/>
        <v>466.44520340730344</v>
      </c>
      <c r="X1188" s="68">
        <f t="shared" si="307"/>
        <v>310.96346893820231</v>
      </c>
      <c r="Z1188" s="63"/>
      <c r="AA1188" s="63"/>
    </row>
    <row r="1189" spans="1:27" hidden="1" x14ac:dyDescent="0.25">
      <c r="A1189" t="str">
        <f t="shared" si="296"/>
        <v>10620071B22/05/2026M</v>
      </c>
      <c r="B1189" s="1" t="s">
        <v>822</v>
      </c>
      <c r="C1189" s="1" t="s">
        <v>396</v>
      </c>
      <c r="D1189" s="1" t="s">
        <v>591</v>
      </c>
      <c r="E1189" s="1" t="s">
        <v>592</v>
      </c>
      <c r="F1189" s="1" t="s">
        <v>597</v>
      </c>
      <c r="G1189" s="62" t="str">
        <f t="shared" si="295"/>
        <v>64586</v>
      </c>
      <c r="H1189" s="1">
        <v>10620071</v>
      </c>
      <c r="I1189" s="1" t="s">
        <v>387</v>
      </c>
      <c r="J1189" s="61">
        <v>13</v>
      </c>
      <c r="K1189" s="61">
        <v>7.2</v>
      </c>
      <c r="L1189" s="61">
        <v>8.8000000000000007</v>
      </c>
      <c r="M1189" s="69">
        <f t="shared" si="297"/>
        <v>0.93600000000000005</v>
      </c>
      <c r="N1189" s="69">
        <f t="shared" si="298"/>
        <v>1.1440000000000001</v>
      </c>
      <c r="O1189" s="56">
        <v>59.518800000000006</v>
      </c>
      <c r="P1189" s="57">
        <f t="shared" si="299"/>
        <v>773.74440000000004</v>
      </c>
      <c r="Q1189" s="58">
        <f t="shared" si="300"/>
        <v>455.50102040816324</v>
      </c>
      <c r="R1189" s="58">
        <f t="shared" si="301"/>
        <v>303.66734693877549</v>
      </c>
      <c r="S1189" s="66">
        <f t="shared" si="302"/>
        <v>13.540527000000003</v>
      </c>
      <c r="T1189" s="64">
        <f t="shared" si="303"/>
        <v>48.75</v>
      </c>
      <c r="U1189" s="66">
        <f t="shared" si="304"/>
        <v>836.03492700000004</v>
      </c>
      <c r="V1189" s="68">
        <f t="shared" si="305"/>
        <v>64.310378999999998</v>
      </c>
      <c r="W1189" s="68">
        <f t="shared" si="306"/>
        <v>492.17126785714277</v>
      </c>
      <c r="X1189" s="68">
        <f t="shared" si="307"/>
        <v>328.11417857142851</v>
      </c>
      <c r="Z1189" s="63"/>
      <c r="AA1189" s="63"/>
    </row>
    <row r="1190" spans="1:27" hidden="1" x14ac:dyDescent="0.25">
      <c r="A1190" t="str">
        <f t="shared" si="296"/>
        <v>10620071C22/05/2026M</v>
      </c>
      <c r="B1190" s="1" t="s">
        <v>822</v>
      </c>
      <c r="C1190" s="1" t="s">
        <v>396</v>
      </c>
      <c r="D1190" s="1" t="s">
        <v>591</v>
      </c>
      <c r="E1190" s="1" t="s">
        <v>592</v>
      </c>
      <c r="F1190" s="1" t="s">
        <v>597</v>
      </c>
      <c r="G1190" s="62" t="str">
        <f t="shared" si="295"/>
        <v>64586</v>
      </c>
      <c r="H1190" s="1">
        <v>10620071</v>
      </c>
      <c r="I1190" s="1" t="s">
        <v>388</v>
      </c>
      <c r="J1190" s="61">
        <v>33</v>
      </c>
      <c r="K1190" s="61">
        <v>3.7</v>
      </c>
      <c r="L1190" s="61">
        <v>8.1</v>
      </c>
      <c r="M1190" s="69">
        <f t="shared" si="297"/>
        <v>1.2210000000000001</v>
      </c>
      <c r="N1190" s="69">
        <f t="shared" si="298"/>
        <v>2.673</v>
      </c>
      <c r="O1190" s="56">
        <v>36.037069200000005</v>
      </c>
      <c r="P1190" s="57">
        <f t="shared" si="299"/>
        <v>1189.2232836000001</v>
      </c>
      <c r="Q1190" s="58">
        <f t="shared" si="300"/>
        <v>396.01174945054953</v>
      </c>
      <c r="R1190" s="58">
        <f t="shared" si="301"/>
        <v>264.00783296703304</v>
      </c>
      <c r="S1190" s="66">
        <f t="shared" si="302"/>
        <v>20.811407463000002</v>
      </c>
      <c r="T1190" s="64">
        <f t="shared" si="303"/>
        <v>123.75</v>
      </c>
      <c r="U1190" s="66">
        <f t="shared" si="304"/>
        <v>1333.7846910630001</v>
      </c>
      <c r="V1190" s="68">
        <f t="shared" si="305"/>
        <v>40.417717911000004</v>
      </c>
      <c r="W1190" s="68">
        <f t="shared" si="306"/>
        <v>444.15074627472535</v>
      </c>
      <c r="X1190" s="68">
        <f t="shared" si="307"/>
        <v>296.10049751648359</v>
      </c>
      <c r="Z1190" s="63"/>
      <c r="AA1190" s="63"/>
    </row>
    <row r="1191" spans="1:27" hidden="1" x14ac:dyDescent="0.25">
      <c r="A1191" t="str">
        <f t="shared" si="296"/>
        <v>10620071C23/05/2026E</v>
      </c>
      <c r="B1191" s="1" t="s">
        <v>822</v>
      </c>
      <c r="C1191" s="1" t="s">
        <v>397</v>
      </c>
      <c r="D1191" s="1" t="s">
        <v>591</v>
      </c>
      <c r="E1191" s="1" t="s">
        <v>592</v>
      </c>
      <c r="F1191" s="1" t="s">
        <v>597</v>
      </c>
      <c r="G1191" s="62" t="str">
        <f t="shared" si="295"/>
        <v>64586</v>
      </c>
      <c r="H1191" s="1">
        <v>10620071</v>
      </c>
      <c r="I1191" s="1" t="s">
        <v>388</v>
      </c>
      <c r="J1191" s="61">
        <v>55</v>
      </c>
      <c r="K1191" s="61">
        <v>3.8</v>
      </c>
      <c r="L1191" s="61">
        <v>8.1999999999999993</v>
      </c>
      <c r="M1191" s="69">
        <f t="shared" si="297"/>
        <v>2.09</v>
      </c>
      <c r="N1191" s="69">
        <f t="shared" si="298"/>
        <v>4.51</v>
      </c>
      <c r="O1191" s="56">
        <v>36.697082399999999</v>
      </c>
      <c r="P1191" s="57">
        <f t="shared" si="299"/>
        <v>2018.339532</v>
      </c>
      <c r="Q1191" s="58">
        <f t="shared" si="300"/>
        <v>396.01168057553957</v>
      </c>
      <c r="R1191" s="58">
        <f t="shared" si="301"/>
        <v>264.0077870503597</v>
      </c>
      <c r="S1191" s="66">
        <f t="shared" si="302"/>
        <v>35.320941810000001</v>
      </c>
      <c r="T1191" s="64">
        <f t="shared" si="303"/>
        <v>206.25</v>
      </c>
      <c r="U1191" s="66">
        <f t="shared" si="304"/>
        <v>2259.91047381</v>
      </c>
      <c r="V1191" s="68">
        <f t="shared" si="305"/>
        <v>41.089281342</v>
      </c>
      <c r="W1191" s="68">
        <f t="shared" si="306"/>
        <v>443.40951088489209</v>
      </c>
      <c r="X1191" s="68">
        <f t="shared" si="307"/>
        <v>295.60634058992804</v>
      </c>
      <c r="Z1191" s="63"/>
      <c r="AA1191" s="63"/>
    </row>
    <row r="1192" spans="1:27" hidden="1" x14ac:dyDescent="0.25">
      <c r="A1192" t="str">
        <f t="shared" si="296"/>
        <v>10620071B23/05/2026M</v>
      </c>
      <c r="B1192" s="1" t="s">
        <v>823</v>
      </c>
      <c r="C1192" s="1" t="s">
        <v>396</v>
      </c>
      <c r="D1192" s="1" t="s">
        <v>591</v>
      </c>
      <c r="E1192" s="1" t="s">
        <v>592</v>
      </c>
      <c r="F1192" s="1" t="s">
        <v>597</v>
      </c>
      <c r="G1192" s="62" t="str">
        <f t="shared" si="295"/>
        <v>64586</v>
      </c>
      <c r="H1192" s="1">
        <v>10620071</v>
      </c>
      <c r="I1192" s="1" t="s">
        <v>387</v>
      </c>
      <c r="J1192" s="61">
        <v>14</v>
      </c>
      <c r="K1192" s="61">
        <v>6.7</v>
      </c>
      <c r="L1192" s="61">
        <v>8.8000000000000007</v>
      </c>
      <c r="M1192" s="69">
        <f t="shared" si="297"/>
        <v>0.93799999999999994</v>
      </c>
      <c r="N1192" s="69">
        <f t="shared" si="298"/>
        <v>1.2320000000000002</v>
      </c>
      <c r="O1192" s="56">
        <v>55.385550000000002</v>
      </c>
      <c r="P1192" s="57">
        <f t="shared" si="299"/>
        <v>775.39769999999999</v>
      </c>
      <c r="Q1192" s="58">
        <f t="shared" si="300"/>
        <v>440.73381962864721</v>
      </c>
      <c r="R1192" s="58">
        <f t="shared" si="301"/>
        <v>293.82254641909816</v>
      </c>
      <c r="S1192" s="66">
        <f t="shared" si="302"/>
        <v>13.569459750000002</v>
      </c>
      <c r="T1192" s="64">
        <f t="shared" si="303"/>
        <v>52.5</v>
      </c>
      <c r="U1192" s="66">
        <f t="shared" si="304"/>
        <v>841.46715974999995</v>
      </c>
      <c r="V1192" s="68">
        <f t="shared" si="305"/>
        <v>60.104797124999997</v>
      </c>
      <c r="W1192" s="68">
        <f t="shared" si="306"/>
        <v>478.2875102785145</v>
      </c>
      <c r="X1192" s="68">
        <f t="shared" si="307"/>
        <v>318.85834018567635</v>
      </c>
      <c r="Z1192" s="63"/>
      <c r="AA1192" s="63"/>
    </row>
    <row r="1193" spans="1:27" hidden="1" x14ac:dyDescent="0.25">
      <c r="A1193" t="str">
        <f t="shared" si="296"/>
        <v>10620071C23/05/2026M</v>
      </c>
      <c r="B1193" s="1" t="s">
        <v>823</v>
      </c>
      <c r="C1193" s="1" t="s">
        <v>396</v>
      </c>
      <c r="D1193" s="1" t="s">
        <v>591</v>
      </c>
      <c r="E1193" s="1" t="s">
        <v>592</v>
      </c>
      <c r="F1193" s="1" t="s">
        <v>597</v>
      </c>
      <c r="G1193" s="62" t="str">
        <f t="shared" si="295"/>
        <v>64586</v>
      </c>
      <c r="H1193" s="1">
        <v>10620071</v>
      </c>
      <c r="I1193" s="1" t="s">
        <v>388</v>
      </c>
      <c r="J1193" s="61">
        <v>32</v>
      </c>
      <c r="K1193" s="61">
        <v>3.6</v>
      </c>
      <c r="L1193" s="61">
        <v>8</v>
      </c>
      <c r="M1193" s="69">
        <f t="shared" si="297"/>
        <v>1.1520000000000001</v>
      </c>
      <c r="N1193" s="69">
        <f t="shared" si="298"/>
        <v>2.56</v>
      </c>
      <c r="O1193" s="56">
        <v>35.377056000000003</v>
      </c>
      <c r="P1193" s="57">
        <f t="shared" si="299"/>
        <v>1132.0657920000001</v>
      </c>
      <c r="Q1193" s="58">
        <f t="shared" si="300"/>
        <v>396.01182089552236</v>
      </c>
      <c r="R1193" s="58">
        <f t="shared" si="301"/>
        <v>264.00788059701489</v>
      </c>
      <c r="S1193" s="66">
        <f t="shared" si="302"/>
        <v>19.811151360000004</v>
      </c>
      <c r="T1193" s="64">
        <f t="shared" si="303"/>
        <v>120</v>
      </c>
      <c r="U1193" s="66">
        <f t="shared" si="304"/>
        <v>1271.87694336</v>
      </c>
      <c r="V1193" s="68">
        <f t="shared" si="305"/>
        <v>39.746154480000001</v>
      </c>
      <c r="W1193" s="68">
        <f t="shared" si="306"/>
        <v>444.91963970149249</v>
      </c>
      <c r="X1193" s="68">
        <f t="shared" si="307"/>
        <v>296.61309313432832</v>
      </c>
      <c r="Z1193" s="63"/>
      <c r="AA1193" s="63"/>
    </row>
    <row r="1194" spans="1:27" hidden="1" x14ac:dyDescent="0.25">
      <c r="A1194" t="str">
        <f t="shared" si="296"/>
        <v>10620071B23/05/2026E</v>
      </c>
      <c r="B1194" s="1" t="s">
        <v>823</v>
      </c>
      <c r="C1194" s="1" t="s">
        <v>397</v>
      </c>
      <c r="D1194" s="1" t="s">
        <v>591</v>
      </c>
      <c r="E1194" s="1" t="s">
        <v>592</v>
      </c>
      <c r="F1194" s="1" t="s">
        <v>597</v>
      </c>
      <c r="G1194" s="62" t="str">
        <f t="shared" si="295"/>
        <v>64586</v>
      </c>
      <c r="H1194" s="1">
        <v>10620071</v>
      </c>
      <c r="I1194" s="1" t="s">
        <v>387</v>
      </c>
      <c r="J1194" s="61">
        <v>6</v>
      </c>
      <c r="K1194" s="61">
        <v>8.5</v>
      </c>
      <c r="L1194" s="61">
        <v>9</v>
      </c>
      <c r="M1194" s="69">
        <f t="shared" si="297"/>
        <v>0.51</v>
      </c>
      <c r="N1194" s="69">
        <f t="shared" si="298"/>
        <v>0.54</v>
      </c>
      <c r="O1194" s="56">
        <v>70.975000000000009</v>
      </c>
      <c r="P1194" s="57">
        <f t="shared" si="299"/>
        <v>425.85</v>
      </c>
      <c r="Q1194" s="58">
        <f t="shared" si="300"/>
        <v>489.48275862068965</v>
      </c>
      <c r="R1194" s="58">
        <f t="shared" si="301"/>
        <v>326.32183908045977</v>
      </c>
      <c r="S1194" s="66">
        <f t="shared" si="302"/>
        <v>7.4523750000000009</v>
      </c>
      <c r="T1194" s="64">
        <f t="shared" si="303"/>
        <v>22.5</v>
      </c>
      <c r="U1194" s="66">
        <f t="shared" si="304"/>
        <v>455.80237500000004</v>
      </c>
      <c r="V1194" s="68">
        <f t="shared" si="305"/>
        <v>75.967062500000011</v>
      </c>
      <c r="W1194" s="68">
        <f t="shared" si="306"/>
        <v>523.91077586206893</v>
      </c>
      <c r="X1194" s="68">
        <f t="shared" si="307"/>
        <v>349.27385057471264</v>
      </c>
      <c r="Z1194" s="63"/>
      <c r="AA1194" s="63"/>
    </row>
    <row r="1195" spans="1:27" hidden="1" x14ac:dyDescent="0.25">
      <c r="A1195" t="str">
        <f t="shared" si="296"/>
        <v>10620071C24/05/2026E</v>
      </c>
      <c r="B1195" s="1" t="s">
        <v>823</v>
      </c>
      <c r="C1195" s="1" t="s">
        <v>397</v>
      </c>
      <c r="D1195" s="1" t="s">
        <v>591</v>
      </c>
      <c r="E1195" s="1" t="s">
        <v>592</v>
      </c>
      <c r="F1195" s="1" t="s">
        <v>597</v>
      </c>
      <c r="G1195" s="62" t="str">
        <f t="shared" si="295"/>
        <v>64586</v>
      </c>
      <c r="H1195" s="1">
        <v>10620071</v>
      </c>
      <c r="I1195" s="1" t="s">
        <v>388</v>
      </c>
      <c r="J1195" s="61">
        <v>38</v>
      </c>
      <c r="K1195" s="61">
        <v>3</v>
      </c>
      <c r="L1195" s="61">
        <v>8</v>
      </c>
      <c r="M1195" s="69">
        <f t="shared" si="297"/>
        <v>1.1399999999999999</v>
      </c>
      <c r="N1195" s="69">
        <f t="shared" si="298"/>
        <v>3.04</v>
      </c>
      <c r="O1195" s="56">
        <v>33.001056000000005</v>
      </c>
      <c r="P1195" s="57">
        <f t="shared" si="299"/>
        <v>1254.0401280000001</v>
      </c>
      <c r="Q1195" s="58">
        <f t="shared" si="300"/>
        <v>396.01267200000001</v>
      </c>
      <c r="R1195" s="58">
        <f t="shared" si="301"/>
        <v>264.00844799999999</v>
      </c>
      <c r="S1195" s="66">
        <f t="shared" si="302"/>
        <v>21.945702240000003</v>
      </c>
      <c r="T1195" s="64">
        <f t="shared" si="303"/>
        <v>142.5</v>
      </c>
      <c r="U1195" s="66">
        <f t="shared" si="304"/>
        <v>1418.48583024</v>
      </c>
      <c r="V1195" s="68">
        <f t="shared" si="305"/>
        <v>37.32857448</v>
      </c>
      <c r="W1195" s="68">
        <f t="shared" si="306"/>
        <v>447.94289375999995</v>
      </c>
      <c r="X1195" s="68">
        <f t="shared" si="307"/>
        <v>298.62859583999995</v>
      </c>
      <c r="Z1195" s="63"/>
      <c r="AA1195" s="63"/>
    </row>
    <row r="1196" spans="1:27" hidden="1" x14ac:dyDescent="0.25">
      <c r="A1196" t="str">
        <f t="shared" si="296"/>
        <v>10620071B24/05/2026M</v>
      </c>
      <c r="B1196" s="1" t="s">
        <v>824</v>
      </c>
      <c r="C1196" s="1" t="s">
        <v>396</v>
      </c>
      <c r="D1196" s="1" t="s">
        <v>591</v>
      </c>
      <c r="E1196" s="1" t="s">
        <v>592</v>
      </c>
      <c r="F1196" s="1" t="s">
        <v>597</v>
      </c>
      <c r="G1196" s="62" t="str">
        <f t="shared" si="295"/>
        <v>64586</v>
      </c>
      <c r="H1196" s="1">
        <v>10620071</v>
      </c>
      <c r="I1196" s="1" t="s">
        <v>387</v>
      </c>
      <c r="J1196" s="61">
        <v>7</v>
      </c>
      <c r="K1196" s="61">
        <v>8</v>
      </c>
      <c r="L1196" s="61">
        <v>8.8000000000000007</v>
      </c>
      <c r="M1196" s="69">
        <f t="shared" si="297"/>
        <v>0.56000000000000005</v>
      </c>
      <c r="N1196" s="69">
        <f t="shared" si="298"/>
        <v>0.6160000000000001</v>
      </c>
      <c r="O1196" s="56">
        <v>66.131999999999991</v>
      </c>
      <c r="P1196" s="57">
        <f t="shared" si="299"/>
        <v>462.92399999999992</v>
      </c>
      <c r="Q1196" s="58">
        <f t="shared" si="300"/>
        <v>476.91346153846149</v>
      </c>
      <c r="R1196" s="58">
        <f t="shared" si="301"/>
        <v>317.94230769230768</v>
      </c>
      <c r="S1196" s="66">
        <f t="shared" si="302"/>
        <v>8.1011699999999998</v>
      </c>
      <c r="T1196" s="64">
        <f t="shared" si="303"/>
        <v>26.25</v>
      </c>
      <c r="U1196" s="66">
        <f t="shared" si="304"/>
        <v>497.27516999999989</v>
      </c>
      <c r="V1196" s="68">
        <f t="shared" si="305"/>
        <v>71.039309999999986</v>
      </c>
      <c r="W1196" s="68">
        <f t="shared" si="306"/>
        <v>512.30271634615372</v>
      </c>
      <c r="X1196" s="68">
        <f t="shared" si="307"/>
        <v>341.53514423076916</v>
      </c>
      <c r="Z1196" s="63"/>
      <c r="AA1196" s="63"/>
    </row>
    <row r="1197" spans="1:27" hidden="1" x14ac:dyDescent="0.25">
      <c r="A1197" t="str">
        <f t="shared" si="296"/>
        <v>10620071C24/05/2026M</v>
      </c>
      <c r="B1197" s="1" t="s">
        <v>824</v>
      </c>
      <c r="C1197" s="1" t="s">
        <v>396</v>
      </c>
      <c r="D1197" s="1" t="s">
        <v>591</v>
      </c>
      <c r="E1197" s="1" t="s">
        <v>592</v>
      </c>
      <c r="F1197" s="1" t="s">
        <v>597</v>
      </c>
      <c r="G1197" s="62" t="str">
        <f t="shared" si="295"/>
        <v>64586</v>
      </c>
      <c r="H1197" s="1">
        <v>10620071</v>
      </c>
      <c r="I1197" s="1" t="s">
        <v>388</v>
      </c>
      <c r="J1197" s="61">
        <v>36</v>
      </c>
      <c r="K1197" s="61">
        <v>3.7</v>
      </c>
      <c r="L1197" s="61">
        <v>8</v>
      </c>
      <c r="M1197" s="69">
        <f t="shared" si="297"/>
        <v>1.3320000000000001</v>
      </c>
      <c r="N1197" s="69">
        <f t="shared" si="298"/>
        <v>2.88</v>
      </c>
      <c r="O1197" s="56">
        <v>35.773056000000004</v>
      </c>
      <c r="P1197" s="57">
        <f t="shared" si="299"/>
        <v>1287.8300160000001</v>
      </c>
      <c r="Q1197" s="58">
        <f t="shared" si="300"/>
        <v>396.01169003690035</v>
      </c>
      <c r="R1197" s="58">
        <f t="shared" si="301"/>
        <v>264.00779335793356</v>
      </c>
      <c r="S1197" s="66">
        <f t="shared" si="302"/>
        <v>22.537025280000005</v>
      </c>
      <c r="T1197" s="64">
        <f t="shared" si="303"/>
        <v>135</v>
      </c>
      <c r="U1197" s="66">
        <f t="shared" si="304"/>
        <v>1445.3670412800002</v>
      </c>
      <c r="V1197" s="68">
        <f t="shared" si="305"/>
        <v>40.149084480000006</v>
      </c>
      <c r="W1197" s="68">
        <f t="shared" si="306"/>
        <v>444.45480974169743</v>
      </c>
      <c r="X1197" s="68">
        <f t="shared" si="307"/>
        <v>296.30320649446497</v>
      </c>
      <c r="Z1197" s="63"/>
      <c r="AA1197" s="63"/>
    </row>
    <row r="1198" spans="1:27" hidden="1" x14ac:dyDescent="0.25">
      <c r="A1198" t="str">
        <f t="shared" si="296"/>
        <v>10620071B24/05/2026E</v>
      </c>
      <c r="B1198" s="1" t="s">
        <v>824</v>
      </c>
      <c r="C1198" s="1" t="s">
        <v>397</v>
      </c>
      <c r="D1198" s="1" t="s">
        <v>591</v>
      </c>
      <c r="E1198" s="1" t="s">
        <v>592</v>
      </c>
      <c r="F1198" s="1" t="s">
        <v>597</v>
      </c>
      <c r="G1198" s="62" t="str">
        <f t="shared" si="295"/>
        <v>64586</v>
      </c>
      <c r="H1198" s="1">
        <v>10620071</v>
      </c>
      <c r="I1198" s="1" t="s">
        <v>387</v>
      </c>
      <c r="J1198" s="61">
        <v>8</v>
      </c>
      <c r="K1198" s="61">
        <v>7.3</v>
      </c>
      <c r="L1198" s="61">
        <v>8.8000000000000007</v>
      </c>
      <c r="M1198" s="69">
        <f t="shared" si="297"/>
        <v>0.58399999999999996</v>
      </c>
      <c r="N1198" s="69">
        <f t="shared" si="298"/>
        <v>0.70400000000000007</v>
      </c>
      <c r="O1198" s="56">
        <v>60.34545</v>
      </c>
      <c r="P1198" s="57">
        <f t="shared" si="299"/>
        <v>482.7636</v>
      </c>
      <c r="Q1198" s="58">
        <f t="shared" si="300"/>
        <v>458.31987341772157</v>
      </c>
      <c r="R1198" s="58">
        <f t="shared" si="301"/>
        <v>305.54658227848103</v>
      </c>
      <c r="S1198" s="66">
        <f t="shared" si="302"/>
        <v>8.4483630000000005</v>
      </c>
      <c r="T1198" s="64">
        <f t="shared" si="303"/>
        <v>30</v>
      </c>
      <c r="U1198" s="66">
        <f t="shared" si="304"/>
        <v>521.21196299999997</v>
      </c>
      <c r="V1198" s="68">
        <f t="shared" si="305"/>
        <v>65.151495374999996</v>
      </c>
      <c r="W1198" s="68">
        <f t="shared" si="306"/>
        <v>494.82148386075949</v>
      </c>
      <c r="X1198" s="68">
        <f t="shared" si="307"/>
        <v>329.88098924050632</v>
      </c>
      <c r="Z1198" s="63"/>
      <c r="AA1198" s="63"/>
    </row>
    <row r="1199" spans="1:27" hidden="1" x14ac:dyDescent="0.25">
      <c r="A1199" t="str">
        <f t="shared" si="296"/>
        <v>10620071C25/05/2026E</v>
      </c>
      <c r="B1199" s="1" t="s">
        <v>824</v>
      </c>
      <c r="C1199" s="1" t="s">
        <v>397</v>
      </c>
      <c r="D1199" s="1" t="s">
        <v>591</v>
      </c>
      <c r="E1199" s="1" t="s">
        <v>592</v>
      </c>
      <c r="F1199" s="1" t="s">
        <v>597</v>
      </c>
      <c r="G1199" s="62" t="str">
        <f t="shared" si="295"/>
        <v>64586</v>
      </c>
      <c r="H1199" s="1">
        <v>10620071</v>
      </c>
      <c r="I1199" s="1" t="s">
        <v>388</v>
      </c>
      <c r="J1199" s="61">
        <v>31</v>
      </c>
      <c r="K1199" s="61">
        <v>3.7</v>
      </c>
      <c r="L1199" s="61">
        <v>8</v>
      </c>
      <c r="M1199" s="69">
        <f t="shared" si="297"/>
        <v>1.147</v>
      </c>
      <c r="N1199" s="69">
        <f t="shared" si="298"/>
        <v>2.48</v>
      </c>
      <c r="O1199" s="56">
        <v>35.773056000000004</v>
      </c>
      <c r="P1199" s="57">
        <f t="shared" si="299"/>
        <v>1108.9647360000001</v>
      </c>
      <c r="Q1199" s="58">
        <f t="shared" si="300"/>
        <v>396.01169003690035</v>
      </c>
      <c r="R1199" s="58">
        <f t="shared" si="301"/>
        <v>264.00779335793356</v>
      </c>
      <c r="S1199" s="66">
        <f t="shared" si="302"/>
        <v>19.406882880000005</v>
      </c>
      <c r="T1199" s="64">
        <f t="shared" si="303"/>
        <v>116.25</v>
      </c>
      <c r="U1199" s="66">
        <f t="shared" si="304"/>
        <v>1244.6216188800001</v>
      </c>
      <c r="V1199" s="68">
        <f t="shared" si="305"/>
        <v>40.149084480000006</v>
      </c>
      <c r="W1199" s="68">
        <f t="shared" si="306"/>
        <v>444.45480974169743</v>
      </c>
      <c r="X1199" s="68">
        <f t="shared" si="307"/>
        <v>296.30320649446497</v>
      </c>
      <c r="Z1199" s="63"/>
      <c r="AA1199" s="63"/>
    </row>
    <row r="1200" spans="1:27" hidden="1" x14ac:dyDescent="0.25">
      <c r="A1200" t="str">
        <f t="shared" si="296"/>
        <v>10620071B25/05/2026M</v>
      </c>
      <c r="B1200" s="1" t="s">
        <v>825</v>
      </c>
      <c r="C1200" s="1" t="s">
        <v>396</v>
      </c>
      <c r="D1200" s="1" t="s">
        <v>591</v>
      </c>
      <c r="E1200" s="1" t="s">
        <v>592</v>
      </c>
      <c r="F1200" s="1" t="s">
        <v>597</v>
      </c>
      <c r="G1200" s="62" t="str">
        <f t="shared" si="295"/>
        <v>64586</v>
      </c>
      <c r="H1200" s="1">
        <v>10620071</v>
      </c>
      <c r="I1200" s="1" t="s">
        <v>387</v>
      </c>
      <c r="J1200" s="61">
        <v>13</v>
      </c>
      <c r="K1200" s="61">
        <v>6.9</v>
      </c>
      <c r="L1200" s="61">
        <v>8.8000000000000007</v>
      </c>
      <c r="M1200" s="69">
        <f t="shared" si="297"/>
        <v>0.89700000000000002</v>
      </c>
      <c r="N1200" s="69">
        <f t="shared" si="298"/>
        <v>1.1440000000000001</v>
      </c>
      <c r="O1200" s="56">
        <v>57.038850000000004</v>
      </c>
      <c r="P1200" s="57">
        <f t="shared" si="299"/>
        <v>741.5050500000001</v>
      </c>
      <c r="Q1200" s="58">
        <f t="shared" si="300"/>
        <v>446.77950391644907</v>
      </c>
      <c r="R1200" s="58">
        <f t="shared" si="301"/>
        <v>297.85300261096603</v>
      </c>
      <c r="S1200" s="66">
        <f t="shared" si="302"/>
        <v>12.976338375000003</v>
      </c>
      <c r="T1200" s="64">
        <f t="shared" si="303"/>
        <v>48.75</v>
      </c>
      <c r="U1200" s="66">
        <f t="shared" si="304"/>
        <v>803.23138837500005</v>
      </c>
      <c r="V1200" s="68">
        <f t="shared" si="305"/>
        <v>61.787029875000002</v>
      </c>
      <c r="W1200" s="68">
        <f t="shared" si="306"/>
        <v>483.97151338120102</v>
      </c>
      <c r="X1200" s="68">
        <f t="shared" si="307"/>
        <v>322.64767558746735</v>
      </c>
      <c r="Z1200" s="63"/>
      <c r="AA1200" s="63"/>
    </row>
    <row r="1201" spans="1:27" hidden="1" x14ac:dyDescent="0.25">
      <c r="A1201" t="str">
        <f t="shared" si="296"/>
        <v>10620071C25/05/2026M</v>
      </c>
      <c r="B1201" s="1" t="s">
        <v>825</v>
      </c>
      <c r="C1201" s="1" t="s">
        <v>396</v>
      </c>
      <c r="D1201" s="1" t="s">
        <v>591</v>
      </c>
      <c r="E1201" s="1" t="s">
        <v>592</v>
      </c>
      <c r="F1201" s="1" t="s">
        <v>597</v>
      </c>
      <c r="G1201" s="62" t="str">
        <f t="shared" si="295"/>
        <v>64586</v>
      </c>
      <c r="H1201" s="1">
        <v>10620071</v>
      </c>
      <c r="I1201" s="1" t="s">
        <v>388</v>
      </c>
      <c r="J1201" s="61">
        <v>34</v>
      </c>
      <c r="K1201" s="61">
        <v>3.6</v>
      </c>
      <c r="L1201" s="61">
        <v>8</v>
      </c>
      <c r="M1201" s="69">
        <f t="shared" si="297"/>
        <v>1.224</v>
      </c>
      <c r="N1201" s="69">
        <f t="shared" si="298"/>
        <v>2.72</v>
      </c>
      <c r="O1201" s="56">
        <v>35.377056000000003</v>
      </c>
      <c r="P1201" s="57">
        <f t="shared" si="299"/>
        <v>1202.8199040000002</v>
      </c>
      <c r="Q1201" s="58">
        <f t="shared" si="300"/>
        <v>396.01182089552236</v>
      </c>
      <c r="R1201" s="58">
        <f t="shared" si="301"/>
        <v>264.00788059701489</v>
      </c>
      <c r="S1201" s="66">
        <f t="shared" si="302"/>
        <v>21.049348320000004</v>
      </c>
      <c r="T1201" s="64">
        <f t="shared" si="303"/>
        <v>127.5</v>
      </c>
      <c r="U1201" s="66">
        <f t="shared" si="304"/>
        <v>1351.3692523200002</v>
      </c>
      <c r="V1201" s="68">
        <f t="shared" si="305"/>
        <v>39.746154480000008</v>
      </c>
      <c r="W1201" s="68">
        <f t="shared" si="306"/>
        <v>444.91963970149254</v>
      </c>
      <c r="X1201" s="68">
        <f t="shared" si="307"/>
        <v>296.61309313432838</v>
      </c>
      <c r="Z1201" s="63"/>
      <c r="AA1201" s="63"/>
    </row>
    <row r="1202" spans="1:27" hidden="1" x14ac:dyDescent="0.25">
      <c r="A1202" t="str">
        <f t="shared" si="296"/>
        <v>10620071B25/05/2026E</v>
      </c>
      <c r="B1202" s="1" t="s">
        <v>825</v>
      </c>
      <c r="C1202" s="1" t="s">
        <v>397</v>
      </c>
      <c r="D1202" s="1" t="s">
        <v>591</v>
      </c>
      <c r="E1202" s="1" t="s">
        <v>592</v>
      </c>
      <c r="F1202" s="1" t="s">
        <v>597</v>
      </c>
      <c r="G1202" s="62" t="str">
        <f t="shared" si="295"/>
        <v>64586</v>
      </c>
      <c r="H1202" s="1">
        <v>10620071</v>
      </c>
      <c r="I1202" s="1" t="s">
        <v>387</v>
      </c>
      <c r="J1202" s="61">
        <v>9</v>
      </c>
      <c r="K1202" s="61">
        <v>7.4</v>
      </c>
      <c r="L1202" s="61">
        <v>8.8000000000000007</v>
      </c>
      <c r="M1202" s="69">
        <f t="shared" si="297"/>
        <v>0.66600000000000004</v>
      </c>
      <c r="N1202" s="69">
        <f t="shared" si="298"/>
        <v>0.79200000000000004</v>
      </c>
      <c r="O1202" s="56">
        <v>61.172100000000007</v>
      </c>
      <c r="P1202" s="57">
        <f t="shared" si="299"/>
        <v>550.54890000000012</v>
      </c>
      <c r="Q1202" s="58">
        <f t="shared" si="300"/>
        <v>461.09623115577887</v>
      </c>
      <c r="R1202" s="58">
        <f t="shared" si="301"/>
        <v>307.39748743718593</v>
      </c>
      <c r="S1202" s="66">
        <f t="shared" si="302"/>
        <v>9.6346057500000022</v>
      </c>
      <c r="T1202" s="64">
        <f t="shared" si="303"/>
        <v>33.75</v>
      </c>
      <c r="U1202" s="66">
        <f t="shared" si="304"/>
        <v>593.93350575000011</v>
      </c>
      <c r="V1202" s="68">
        <f t="shared" si="305"/>
        <v>65.992611750000009</v>
      </c>
      <c r="W1202" s="68">
        <f t="shared" si="306"/>
        <v>497.43174685929648</v>
      </c>
      <c r="X1202" s="68">
        <f t="shared" si="307"/>
        <v>331.6211645728643</v>
      </c>
      <c r="Z1202" s="63"/>
      <c r="AA1202" s="63"/>
    </row>
    <row r="1203" spans="1:27" hidden="1" x14ac:dyDescent="0.25">
      <c r="A1203" t="str">
        <f t="shared" si="296"/>
        <v>10620071C26/05/2026E</v>
      </c>
      <c r="B1203" s="1" t="s">
        <v>825</v>
      </c>
      <c r="C1203" s="1" t="s">
        <v>397</v>
      </c>
      <c r="D1203" s="1" t="s">
        <v>591</v>
      </c>
      <c r="E1203" s="1" t="s">
        <v>592</v>
      </c>
      <c r="F1203" s="1" t="s">
        <v>597</v>
      </c>
      <c r="G1203" s="62" t="str">
        <f t="shared" si="295"/>
        <v>64586</v>
      </c>
      <c r="H1203" s="1">
        <v>10620071</v>
      </c>
      <c r="I1203" s="1" t="s">
        <v>388</v>
      </c>
      <c r="J1203" s="61">
        <v>36</v>
      </c>
      <c r="K1203" s="61">
        <v>3.8</v>
      </c>
      <c r="L1203" s="61">
        <v>8.3000000000000007</v>
      </c>
      <c r="M1203" s="69">
        <f t="shared" si="297"/>
        <v>1.3679999999999999</v>
      </c>
      <c r="N1203" s="69">
        <f t="shared" si="298"/>
        <v>2.988</v>
      </c>
      <c r="O1203" s="56">
        <v>36.961095600000007</v>
      </c>
      <c r="P1203" s="57">
        <f t="shared" si="299"/>
        <v>1330.5994416000003</v>
      </c>
      <c r="Q1203" s="58">
        <f t="shared" si="300"/>
        <v>396.01173857142862</v>
      </c>
      <c r="R1203" s="58">
        <f t="shared" si="301"/>
        <v>264.00782571428573</v>
      </c>
      <c r="S1203" s="66">
        <f t="shared" si="302"/>
        <v>23.285490228000008</v>
      </c>
      <c r="T1203" s="64">
        <f t="shared" si="303"/>
        <v>135</v>
      </c>
      <c r="U1203" s="66">
        <f t="shared" si="304"/>
        <v>1488.8849318280004</v>
      </c>
      <c r="V1203" s="68">
        <f t="shared" si="305"/>
        <v>41.357914773000012</v>
      </c>
      <c r="W1203" s="68">
        <f t="shared" si="306"/>
        <v>443.12051542500012</v>
      </c>
      <c r="X1203" s="68">
        <f t="shared" si="307"/>
        <v>295.41367695000008</v>
      </c>
      <c r="Z1203" s="63"/>
      <c r="AA1203" s="63"/>
    </row>
    <row r="1204" spans="1:27" hidden="1" x14ac:dyDescent="0.25">
      <c r="A1204" t="str">
        <f t="shared" si="296"/>
        <v>10620071B26/05/2026M</v>
      </c>
      <c r="B1204" s="1" t="s">
        <v>826</v>
      </c>
      <c r="C1204" s="1" t="s">
        <v>396</v>
      </c>
      <c r="D1204" s="1" t="s">
        <v>591</v>
      </c>
      <c r="E1204" s="1" t="s">
        <v>592</v>
      </c>
      <c r="F1204" s="1" t="s">
        <v>597</v>
      </c>
      <c r="G1204" s="62" t="str">
        <f t="shared" si="295"/>
        <v>64586</v>
      </c>
      <c r="H1204" s="1">
        <v>10620071</v>
      </c>
      <c r="I1204" s="1" t="s">
        <v>387</v>
      </c>
      <c r="J1204" s="61">
        <v>9</v>
      </c>
      <c r="K1204" s="61">
        <v>6.8</v>
      </c>
      <c r="L1204" s="61">
        <v>8.8000000000000007</v>
      </c>
      <c r="M1204" s="69">
        <f t="shared" si="297"/>
        <v>0.61199999999999999</v>
      </c>
      <c r="N1204" s="69">
        <f t="shared" si="298"/>
        <v>0.79200000000000004</v>
      </c>
      <c r="O1204" s="56">
        <f>INDEX(Rate_Chart!$A$1:$AK$127,MATCH(Data!K1204,Rate_Chart!$A$1:$A$127,0),MATCH(Data!L1204,Rate_Chart!$A$1:$AK$1,0))</f>
        <v>56.212200000000003</v>
      </c>
      <c r="P1204" s="57">
        <f t="shared" si="299"/>
        <v>505.90980000000002</v>
      </c>
      <c r="Q1204" s="58">
        <f t="shared" si="300"/>
        <v>443.78052631578947</v>
      </c>
      <c r="R1204" s="58">
        <f t="shared" si="301"/>
        <v>295.8536842105263</v>
      </c>
      <c r="S1204" s="66">
        <f t="shared" si="302"/>
        <v>8.8534215000000014</v>
      </c>
      <c r="T1204" s="64">
        <f t="shared" si="303"/>
        <v>33.75</v>
      </c>
      <c r="U1204" s="66">
        <f t="shared" si="304"/>
        <v>548.51322149999999</v>
      </c>
      <c r="V1204" s="68">
        <f t="shared" si="305"/>
        <v>60.945913499999996</v>
      </c>
      <c r="W1204" s="68">
        <f t="shared" si="306"/>
        <v>481.15194868421048</v>
      </c>
      <c r="X1204" s="68">
        <f t="shared" si="307"/>
        <v>320.76796578947364</v>
      </c>
      <c r="Z1204" s="63"/>
      <c r="AA1204" s="63"/>
    </row>
    <row r="1205" spans="1:27" hidden="1" x14ac:dyDescent="0.25">
      <c r="A1205" t="str">
        <f t="shared" si="296"/>
        <v>10620071C26/05/2026M</v>
      </c>
      <c r="B1205" s="1" t="s">
        <v>826</v>
      </c>
      <c r="C1205" s="1" t="s">
        <v>396</v>
      </c>
      <c r="D1205" s="1" t="s">
        <v>591</v>
      </c>
      <c r="E1205" s="1" t="s">
        <v>592</v>
      </c>
      <c r="F1205" s="1" t="s">
        <v>597</v>
      </c>
      <c r="G1205" s="62" t="str">
        <f t="shared" si="295"/>
        <v>64586</v>
      </c>
      <c r="H1205" s="1">
        <v>10620071</v>
      </c>
      <c r="I1205" s="1" t="s">
        <v>388</v>
      </c>
      <c r="J1205" s="61">
        <v>33</v>
      </c>
      <c r="K1205" s="61">
        <v>3.6</v>
      </c>
      <c r="L1205" s="61">
        <v>8.1999999999999993</v>
      </c>
      <c r="M1205" s="69">
        <f t="shared" si="297"/>
        <v>1.1879999999999999</v>
      </c>
      <c r="N1205" s="69">
        <f t="shared" si="298"/>
        <v>2.7059999999999995</v>
      </c>
      <c r="O1205" s="56">
        <f>INDEX(Rate_Chart!$A$1:$AK$127,MATCH(Data!K1205,Rate_Chart!$A$1:$A$127,0),MATCH(Data!L1205,Rate_Chart!$A$1:$AK$1,0))</f>
        <v>37.809139800000004</v>
      </c>
      <c r="P1205" s="57">
        <f t="shared" si="299"/>
        <v>1247.7016134</v>
      </c>
      <c r="Q1205" s="58">
        <f t="shared" si="300"/>
        <v>417.01257132352941</v>
      </c>
      <c r="R1205" s="58">
        <f t="shared" si="301"/>
        <v>278.00838088235292</v>
      </c>
      <c r="S1205" s="66">
        <f t="shared" si="302"/>
        <v>21.834778234500003</v>
      </c>
      <c r="T1205" s="64">
        <f t="shared" si="303"/>
        <v>123.75</v>
      </c>
      <c r="U1205" s="66">
        <f t="shared" si="304"/>
        <v>1393.2863916345</v>
      </c>
      <c r="V1205" s="68">
        <f t="shared" si="305"/>
        <v>42.220799746499999</v>
      </c>
      <c r="W1205" s="68">
        <f t="shared" si="306"/>
        <v>465.6705854393382</v>
      </c>
      <c r="X1205" s="68">
        <f t="shared" si="307"/>
        <v>310.44705695955878</v>
      </c>
      <c r="Z1205" s="63"/>
      <c r="AA1205" s="63"/>
    </row>
    <row r="1206" spans="1:27" hidden="1" x14ac:dyDescent="0.25">
      <c r="A1206" t="str">
        <f t="shared" si="296"/>
        <v>10620071B26/05/2026E</v>
      </c>
      <c r="B1206" s="1" t="s">
        <v>826</v>
      </c>
      <c r="C1206" s="1" t="s">
        <v>397</v>
      </c>
      <c r="D1206" s="1" t="s">
        <v>591</v>
      </c>
      <c r="E1206" s="1" t="s">
        <v>592</v>
      </c>
      <c r="F1206" s="1" t="s">
        <v>597</v>
      </c>
      <c r="G1206" s="62" t="str">
        <f t="shared" si="295"/>
        <v>64586</v>
      </c>
      <c r="H1206" s="1">
        <v>10620071</v>
      </c>
      <c r="I1206" s="1" t="s">
        <v>387</v>
      </c>
      <c r="J1206" s="61">
        <v>12</v>
      </c>
      <c r="K1206" s="61">
        <v>7.2</v>
      </c>
      <c r="L1206" s="61">
        <v>9</v>
      </c>
      <c r="M1206" s="69">
        <f t="shared" si="297"/>
        <v>0.8640000000000001</v>
      </c>
      <c r="N1206" s="69">
        <f t="shared" si="298"/>
        <v>1.08</v>
      </c>
      <c r="O1206" s="56">
        <f>INDEX(Rate_Chart!$A$1:$AK$127,MATCH(Data!K1206,Rate_Chart!$A$1:$A$127,0),MATCH(Data!L1206,Rate_Chart!$A$1:$AK$1,0))</f>
        <v>60.120000000000005</v>
      </c>
      <c r="P1206" s="57">
        <f t="shared" si="299"/>
        <v>721.44</v>
      </c>
      <c r="Q1206" s="58">
        <f t="shared" si="300"/>
        <v>455.4545454545455</v>
      </c>
      <c r="R1206" s="58">
        <f t="shared" si="301"/>
        <v>303.63636363636368</v>
      </c>
      <c r="S1206" s="66">
        <f t="shared" si="302"/>
        <v>12.625200000000001</v>
      </c>
      <c r="T1206" s="64">
        <f t="shared" si="303"/>
        <v>45</v>
      </c>
      <c r="U1206" s="66">
        <f t="shared" si="304"/>
        <v>779.0652</v>
      </c>
      <c r="V1206" s="68">
        <f t="shared" si="305"/>
        <v>64.9221</v>
      </c>
      <c r="W1206" s="68">
        <f t="shared" si="306"/>
        <v>491.83409090909089</v>
      </c>
      <c r="X1206" s="68">
        <f t="shared" si="307"/>
        <v>327.88939393939393</v>
      </c>
      <c r="Z1206" s="63"/>
      <c r="AA1206" s="63"/>
    </row>
    <row r="1207" spans="1:27" hidden="1" x14ac:dyDescent="0.25">
      <c r="A1207" t="str">
        <f t="shared" si="296"/>
        <v>10620071C27/05/2026E</v>
      </c>
      <c r="B1207" s="1" t="s">
        <v>826</v>
      </c>
      <c r="C1207" s="1" t="s">
        <v>397</v>
      </c>
      <c r="D1207" s="1" t="s">
        <v>591</v>
      </c>
      <c r="E1207" s="1" t="s">
        <v>592</v>
      </c>
      <c r="F1207" s="1" t="s">
        <v>597</v>
      </c>
      <c r="G1207" s="62" t="str">
        <f t="shared" ref="G1207:G1270" si="308">MID(F1207,2,5)</f>
        <v>64586</v>
      </c>
      <c r="H1207" s="1">
        <v>10620071</v>
      </c>
      <c r="I1207" s="1" t="s">
        <v>388</v>
      </c>
      <c r="J1207" s="61">
        <v>35</v>
      </c>
      <c r="K1207" s="61">
        <v>3.6</v>
      </c>
      <c r="L1207" s="61">
        <v>8.4</v>
      </c>
      <c r="M1207" s="69">
        <f t="shared" si="297"/>
        <v>1.26</v>
      </c>
      <c r="N1207" s="69">
        <f t="shared" si="298"/>
        <v>2.94</v>
      </c>
      <c r="O1207" s="56">
        <f>INDEX(Rate_Chart!$A$1:$AK$127,MATCH(Data!K1207,Rate_Chart!$A$1:$A$127,0),MATCH(Data!L1207,Rate_Chart!$A$1:$AK$1,0))</f>
        <v>38.365167600000007</v>
      </c>
      <c r="P1207" s="57">
        <f t="shared" si="299"/>
        <v>1342.7808660000003</v>
      </c>
      <c r="Q1207" s="58">
        <f t="shared" si="300"/>
        <v>417.01269130434792</v>
      </c>
      <c r="R1207" s="58">
        <f t="shared" si="301"/>
        <v>278.00846086956528</v>
      </c>
      <c r="S1207" s="66">
        <f t="shared" si="302"/>
        <v>23.498665155000008</v>
      </c>
      <c r="T1207" s="64">
        <f t="shared" si="303"/>
        <v>131.25</v>
      </c>
      <c r="U1207" s="66">
        <f t="shared" si="304"/>
        <v>1497.5295311550003</v>
      </c>
      <c r="V1207" s="68">
        <f t="shared" si="305"/>
        <v>42.786558033000006</v>
      </c>
      <c r="W1207" s="68">
        <f t="shared" si="306"/>
        <v>465.07128296739137</v>
      </c>
      <c r="X1207" s="68">
        <f t="shared" si="307"/>
        <v>310.04752197826093</v>
      </c>
      <c r="Z1207" s="63"/>
      <c r="AA1207" s="63"/>
    </row>
    <row r="1208" spans="1:27" hidden="1" x14ac:dyDescent="0.25">
      <c r="A1208" t="str">
        <f t="shared" si="296"/>
        <v>10620071B27/05/2026M</v>
      </c>
      <c r="B1208" s="1" t="s">
        <v>827</v>
      </c>
      <c r="C1208" s="1" t="s">
        <v>396</v>
      </c>
      <c r="D1208" s="1" t="s">
        <v>591</v>
      </c>
      <c r="E1208" s="1" t="s">
        <v>592</v>
      </c>
      <c r="F1208" s="1" t="s">
        <v>597</v>
      </c>
      <c r="G1208" s="62" t="str">
        <f t="shared" si="308"/>
        <v>64586</v>
      </c>
      <c r="H1208" s="1">
        <v>10620071</v>
      </c>
      <c r="I1208" s="1" t="s">
        <v>387</v>
      </c>
      <c r="J1208" s="61">
        <v>8</v>
      </c>
      <c r="K1208" s="61">
        <v>7.7</v>
      </c>
      <c r="L1208" s="61">
        <v>9</v>
      </c>
      <c r="M1208" s="69">
        <f t="shared" si="297"/>
        <v>0.61599999999999999</v>
      </c>
      <c r="N1208" s="69">
        <f t="shared" si="298"/>
        <v>0.72</v>
      </c>
      <c r="O1208" s="56">
        <f>INDEX(Rate_Chart!$A$1:$AK$127,MATCH(Data!K1208,Rate_Chart!$A$1:$A$127,0),MATCH(Data!L1208,Rate_Chart!$A$1:$AK$1,0))</f>
        <v>64.295000000000002</v>
      </c>
      <c r="P1208" s="57">
        <f t="shared" si="299"/>
        <v>514.36</v>
      </c>
      <c r="Q1208" s="58">
        <f t="shared" si="300"/>
        <v>469.30656934306569</v>
      </c>
      <c r="R1208" s="58">
        <f t="shared" si="301"/>
        <v>312.87104622871044</v>
      </c>
      <c r="S1208" s="66">
        <f t="shared" si="302"/>
        <v>9.0013000000000005</v>
      </c>
      <c r="T1208" s="64">
        <f t="shared" si="303"/>
        <v>30</v>
      </c>
      <c r="U1208" s="66">
        <f t="shared" si="304"/>
        <v>553.36130000000003</v>
      </c>
      <c r="V1208" s="68">
        <f t="shared" si="305"/>
        <v>69.170162500000004</v>
      </c>
      <c r="W1208" s="68">
        <f t="shared" si="306"/>
        <v>504.89169708029198</v>
      </c>
      <c r="X1208" s="68">
        <f t="shared" si="307"/>
        <v>336.59446472019465</v>
      </c>
      <c r="Z1208" s="63"/>
      <c r="AA1208" s="63"/>
    </row>
    <row r="1209" spans="1:27" hidden="1" x14ac:dyDescent="0.25">
      <c r="A1209" t="str">
        <f t="shared" si="296"/>
        <v>10620071C27/05/2026M</v>
      </c>
      <c r="B1209" s="1" t="s">
        <v>827</v>
      </c>
      <c r="C1209" s="1" t="s">
        <v>396</v>
      </c>
      <c r="D1209" s="1" t="s">
        <v>591</v>
      </c>
      <c r="E1209" s="1" t="s">
        <v>592</v>
      </c>
      <c r="F1209" s="1" t="s">
        <v>597</v>
      </c>
      <c r="G1209" s="62" t="str">
        <f t="shared" si="308"/>
        <v>64586</v>
      </c>
      <c r="H1209" s="1">
        <v>10620071</v>
      </c>
      <c r="I1209" s="1" t="s">
        <v>388</v>
      </c>
      <c r="J1209" s="61">
        <v>27</v>
      </c>
      <c r="K1209" s="61">
        <v>3.9</v>
      </c>
      <c r="L1209" s="61">
        <v>8.4</v>
      </c>
      <c r="M1209" s="69">
        <f t="shared" si="297"/>
        <v>1.0529999999999999</v>
      </c>
      <c r="N1209" s="69">
        <f t="shared" si="298"/>
        <v>2.2680000000000002</v>
      </c>
      <c r="O1209" s="56">
        <f>INDEX(Rate_Chart!$A$1:$AK$127,MATCH(Data!K1209,Rate_Chart!$A$1:$A$127,0),MATCH(Data!L1209,Rate_Chart!$A$1:$AK$1,0))</f>
        <v>39.616167600000011</v>
      </c>
      <c r="P1209" s="57">
        <f t="shared" si="299"/>
        <v>1069.6365252000003</v>
      </c>
      <c r="Q1209" s="58">
        <f t="shared" si="300"/>
        <v>417.01229052631589</v>
      </c>
      <c r="R1209" s="58">
        <f t="shared" si="301"/>
        <v>278.0081936842106</v>
      </c>
      <c r="S1209" s="66">
        <f t="shared" si="302"/>
        <v>18.718639191000008</v>
      </c>
      <c r="T1209" s="64">
        <f t="shared" si="303"/>
        <v>101.25</v>
      </c>
      <c r="U1209" s="66">
        <f t="shared" si="304"/>
        <v>1189.6051643910002</v>
      </c>
      <c r="V1209" s="68">
        <f t="shared" si="305"/>
        <v>44.05945053300001</v>
      </c>
      <c r="W1209" s="68">
        <f t="shared" si="306"/>
        <v>463.78368982105275</v>
      </c>
      <c r="X1209" s="68">
        <f t="shared" si="307"/>
        <v>309.18912654736852</v>
      </c>
      <c r="Z1209" s="63"/>
      <c r="AA1209" s="63"/>
    </row>
    <row r="1210" spans="1:27" hidden="1" x14ac:dyDescent="0.25">
      <c r="A1210" t="str">
        <f t="shared" si="296"/>
        <v>10620071B27/05/2026E</v>
      </c>
      <c r="B1210" s="1" t="s">
        <v>827</v>
      </c>
      <c r="C1210" s="1" t="s">
        <v>397</v>
      </c>
      <c r="D1210" s="1" t="s">
        <v>591</v>
      </c>
      <c r="E1210" s="1" t="s">
        <v>592</v>
      </c>
      <c r="F1210" s="1" t="s">
        <v>597</v>
      </c>
      <c r="G1210" s="62" t="str">
        <f t="shared" si="308"/>
        <v>64586</v>
      </c>
      <c r="H1210" s="1">
        <v>10620071</v>
      </c>
      <c r="I1210" s="1" t="s">
        <v>387</v>
      </c>
      <c r="J1210" s="61">
        <v>10</v>
      </c>
      <c r="K1210" s="61">
        <v>8</v>
      </c>
      <c r="L1210" s="61">
        <v>9</v>
      </c>
      <c r="M1210" s="69">
        <f t="shared" si="297"/>
        <v>0.8</v>
      </c>
      <c r="N1210" s="69">
        <f t="shared" si="298"/>
        <v>0.9</v>
      </c>
      <c r="O1210" s="56">
        <f>INDEX(Rate_Chart!$A$1:$AK$127,MATCH(Data!K1210,Rate_Chart!$A$1:$A$127,0),MATCH(Data!L1210,Rate_Chart!$A$1:$AK$1,0))</f>
        <v>66.8</v>
      </c>
      <c r="P1210" s="57">
        <f t="shared" si="299"/>
        <v>668</v>
      </c>
      <c r="Q1210" s="58">
        <f t="shared" si="300"/>
        <v>477.14285714285705</v>
      </c>
      <c r="R1210" s="58">
        <f t="shared" si="301"/>
        <v>318.09523809523802</v>
      </c>
      <c r="S1210" s="66">
        <f t="shared" si="302"/>
        <v>11.690000000000001</v>
      </c>
      <c r="T1210" s="64">
        <f t="shared" si="303"/>
        <v>37.5</v>
      </c>
      <c r="U1210" s="66">
        <f t="shared" si="304"/>
        <v>717.19</v>
      </c>
      <c r="V1210" s="68">
        <f t="shared" si="305"/>
        <v>71.719000000000008</v>
      </c>
      <c r="W1210" s="68">
        <f t="shared" si="306"/>
        <v>512.27857142857147</v>
      </c>
      <c r="X1210" s="68">
        <f t="shared" si="307"/>
        <v>341.51904761904763</v>
      </c>
      <c r="Z1210" s="63"/>
      <c r="AA1210" s="63"/>
    </row>
    <row r="1211" spans="1:27" hidden="1" x14ac:dyDescent="0.25">
      <c r="A1211" t="str">
        <f t="shared" si="296"/>
        <v>10620071C28/05/2026E</v>
      </c>
      <c r="B1211" s="1" t="s">
        <v>827</v>
      </c>
      <c r="C1211" s="1" t="s">
        <v>397</v>
      </c>
      <c r="D1211" s="1" t="s">
        <v>591</v>
      </c>
      <c r="E1211" s="1" t="s">
        <v>592</v>
      </c>
      <c r="F1211" s="1" t="s">
        <v>597</v>
      </c>
      <c r="G1211" s="62" t="str">
        <f t="shared" si="308"/>
        <v>64586</v>
      </c>
      <c r="H1211" s="1">
        <v>10620071</v>
      </c>
      <c r="I1211" s="1" t="s">
        <v>388</v>
      </c>
      <c r="J1211" s="61">
        <v>33</v>
      </c>
      <c r="K1211" s="61">
        <v>3.7</v>
      </c>
      <c r="L1211" s="61">
        <v>8.1999999999999993</v>
      </c>
      <c r="M1211" s="69">
        <f t="shared" si="297"/>
        <v>1.2210000000000001</v>
      </c>
      <c r="N1211" s="69">
        <f t="shared" si="298"/>
        <v>2.7059999999999995</v>
      </c>
      <c r="O1211" s="56">
        <f>INDEX(Rate_Chart!$A$1:$AK$127,MATCH(Data!K1211,Rate_Chart!$A$1:$A$127,0),MATCH(Data!L1211,Rate_Chart!$A$1:$AK$1,0))</f>
        <v>38.226139799999999</v>
      </c>
      <c r="P1211" s="57">
        <f t="shared" si="299"/>
        <v>1261.4626134</v>
      </c>
      <c r="Q1211" s="58">
        <f t="shared" si="300"/>
        <v>417.01243418181815</v>
      </c>
      <c r="R1211" s="58">
        <f t="shared" si="301"/>
        <v>278.00828945454543</v>
      </c>
      <c r="S1211" s="66">
        <f t="shared" si="302"/>
        <v>22.075595734500002</v>
      </c>
      <c r="T1211" s="64">
        <f t="shared" si="303"/>
        <v>123.75</v>
      </c>
      <c r="U1211" s="66">
        <f t="shared" si="304"/>
        <v>1407.2882091345</v>
      </c>
      <c r="V1211" s="68">
        <f t="shared" si="305"/>
        <v>42.645097246500001</v>
      </c>
      <c r="W1211" s="68">
        <f t="shared" si="306"/>
        <v>465.21924268909089</v>
      </c>
      <c r="X1211" s="68">
        <f t="shared" si="307"/>
        <v>310.14616179272724</v>
      </c>
      <c r="Z1211" s="63"/>
      <c r="AA1211" s="63"/>
    </row>
    <row r="1212" spans="1:27" hidden="1" x14ac:dyDescent="0.25">
      <c r="A1212" t="str">
        <f t="shared" si="296"/>
        <v>10620071B28/05/2026M</v>
      </c>
      <c r="B1212" s="1" t="s">
        <v>828</v>
      </c>
      <c r="C1212" s="1" t="s">
        <v>396</v>
      </c>
      <c r="D1212" s="1" t="s">
        <v>591</v>
      </c>
      <c r="E1212" s="1" t="s">
        <v>592</v>
      </c>
      <c r="F1212" s="1" t="s">
        <v>597</v>
      </c>
      <c r="G1212" s="62" t="str">
        <f t="shared" si="308"/>
        <v>64586</v>
      </c>
      <c r="H1212" s="1">
        <v>10620071</v>
      </c>
      <c r="I1212" s="1" t="s">
        <v>387</v>
      </c>
      <c r="J1212" s="61">
        <v>9</v>
      </c>
      <c r="K1212" s="61">
        <v>7</v>
      </c>
      <c r="L1212" s="61">
        <v>8.8000000000000007</v>
      </c>
      <c r="M1212" s="69">
        <f t="shared" si="297"/>
        <v>0.63</v>
      </c>
      <c r="N1212" s="69">
        <f t="shared" si="298"/>
        <v>0.79200000000000004</v>
      </c>
      <c r="O1212" s="56">
        <f>INDEX(Rate_Chart!$A$1:$AK$127,MATCH(Data!K1212,Rate_Chart!$A$1:$A$127,0),MATCH(Data!L1212,Rate_Chart!$A$1:$AK$1,0))</f>
        <v>57.865500000000004</v>
      </c>
      <c r="P1212" s="57">
        <f t="shared" si="299"/>
        <v>520.78950000000009</v>
      </c>
      <c r="Q1212" s="58">
        <f t="shared" si="300"/>
        <v>449.73186528497411</v>
      </c>
      <c r="R1212" s="58">
        <f t="shared" si="301"/>
        <v>299.82124352331607</v>
      </c>
      <c r="S1212" s="66">
        <f t="shared" si="302"/>
        <v>9.1138162500000028</v>
      </c>
      <c r="T1212" s="64">
        <f t="shared" si="303"/>
        <v>33.75</v>
      </c>
      <c r="U1212" s="66">
        <f t="shared" si="304"/>
        <v>563.6533162500001</v>
      </c>
      <c r="V1212" s="68">
        <f t="shared" si="305"/>
        <v>62.628146250000015</v>
      </c>
      <c r="W1212" s="68">
        <f t="shared" si="306"/>
        <v>486.74725064766847</v>
      </c>
      <c r="X1212" s="68">
        <f t="shared" si="307"/>
        <v>324.49816709844566</v>
      </c>
      <c r="Z1212" s="63"/>
      <c r="AA1212" s="63"/>
    </row>
    <row r="1213" spans="1:27" hidden="1" x14ac:dyDescent="0.25">
      <c r="A1213" t="str">
        <f t="shared" si="296"/>
        <v>10620071C28/05/2026M</v>
      </c>
      <c r="B1213" s="1" t="s">
        <v>828</v>
      </c>
      <c r="C1213" s="1" t="s">
        <v>396</v>
      </c>
      <c r="D1213" s="1" t="s">
        <v>591</v>
      </c>
      <c r="E1213" s="1" t="s">
        <v>592</v>
      </c>
      <c r="F1213" s="1" t="s">
        <v>597</v>
      </c>
      <c r="G1213" s="62" t="str">
        <f t="shared" si="308"/>
        <v>64586</v>
      </c>
      <c r="H1213" s="1">
        <v>10620071</v>
      </c>
      <c r="I1213" s="1" t="s">
        <v>388</v>
      </c>
      <c r="J1213" s="61">
        <v>26</v>
      </c>
      <c r="K1213" s="61">
        <v>3.6</v>
      </c>
      <c r="L1213" s="61">
        <v>8.1</v>
      </c>
      <c r="M1213" s="69">
        <f t="shared" si="297"/>
        <v>0.93600000000000005</v>
      </c>
      <c r="N1213" s="69">
        <f t="shared" si="298"/>
        <v>2.1059999999999999</v>
      </c>
      <c r="O1213" s="56">
        <f>INDEX(Rate_Chart!$A$1:$AK$127,MATCH(Data!K1213,Rate_Chart!$A$1:$A$127,0),MATCH(Data!L1213,Rate_Chart!$A$1:$AK$1,0))</f>
        <v>37.531125900000006</v>
      </c>
      <c r="P1213" s="57">
        <f t="shared" si="299"/>
        <v>975.80927340000017</v>
      </c>
      <c r="Q1213" s="58">
        <f t="shared" si="300"/>
        <v>417.01251000000008</v>
      </c>
      <c r="R1213" s="58">
        <f t="shared" si="301"/>
        <v>278.00834000000003</v>
      </c>
      <c r="S1213" s="66">
        <f t="shared" si="302"/>
        <v>17.076662284500003</v>
      </c>
      <c r="T1213" s="64">
        <f t="shared" si="303"/>
        <v>97.5</v>
      </c>
      <c r="U1213" s="66">
        <f t="shared" si="304"/>
        <v>1090.3859356845001</v>
      </c>
      <c r="V1213" s="68">
        <f t="shared" si="305"/>
        <v>41.937920603249999</v>
      </c>
      <c r="W1213" s="68">
        <f t="shared" si="306"/>
        <v>465.97689559166668</v>
      </c>
      <c r="X1213" s="68">
        <f t="shared" si="307"/>
        <v>310.6512637277778</v>
      </c>
      <c r="Z1213" s="63"/>
      <c r="AA1213" s="63"/>
    </row>
    <row r="1214" spans="1:27" hidden="1" x14ac:dyDescent="0.25">
      <c r="A1214" t="str">
        <f t="shared" si="296"/>
        <v>10620071B22/05/2026E</v>
      </c>
      <c r="B1214" s="1" t="s">
        <v>828</v>
      </c>
      <c r="C1214" s="1" t="s">
        <v>397</v>
      </c>
      <c r="D1214" s="1" t="s">
        <v>591</v>
      </c>
      <c r="E1214" s="1" t="s">
        <v>592</v>
      </c>
      <c r="F1214" s="1" t="s">
        <v>597</v>
      </c>
      <c r="G1214" s="62" t="str">
        <f t="shared" si="308"/>
        <v>64586</v>
      </c>
      <c r="H1214" s="1">
        <v>10620071</v>
      </c>
      <c r="I1214" s="1" t="s">
        <v>387</v>
      </c>
      <c r="J1214" s="61">
        <v>13</v>
      </c>
      <c r="K1214" s="61">
        <v>6.1</v>
      </c>
      <c r="L1214" s="61">
        <v>8.8000000000000007</v>
      </c>
      <c r="M1214" s="69">
        <f t="shared" si="297"/>
        <v>0.79299999999999993</v>
      </c>
      <c r="N1214" s="69">
        <f t="shared" si="298"/>
        <v>1.1440000000000001</v>
      </c>
      <c r="O1214" s="56">
        <f>INDEX(Rate_Chart!$A$1:$AK$127,MATCH(Data!K1214,Rate_Chart!$A$1:$A$127,0),MATCH(Data!L1214,Rate_Chart!$A$1:$AK$1,0))</f>
        <v>50.425650000000005</v>
      </c>
      <c r="P1214" s="57">
        <f t="shared" si="299"/>
        <v>655.53345000000002</v>
      </c>
      <c r="Q1214" s="58">
        <f t="shared" si="300"/>
        <v>421.38426183844012</v>
      </c>
      <c r="R1214" s="58">
        <f t="shared" si="301"/>
        <v>280.92284122562677</v>
      </c>
      <c r="S1214" s="66">
        <f t="shared" si="302"/>
        <v>11.471835375000001</v>
      </c>
      <c r="T1214" s="64">
        <f t="shared" si="303"/>
        <v>48.75</v>
      </c>
      <c r="U1214" s="66">
        <f t="shared" si="304"/>
        <v>715.75528537499997</v>
      </c>
      <c r="V1214" s="68">
        <f t="shared" si="305"/>
        <v>55.058098874999999</v>
      </c>
      <c r="W1214" s="68">
        <f t="shared" si="306"/>
        <v>460.09553377437322</v>
      </c>
      <c r="X1214" s="68">
        <f t="shared" si="307"/>
        <v>306.73035584958217</v>
      </c>
      <c r="Z1214" s="63"/>
      <c r="AA1214" s="63"/>
    </row>
    <row r="1215" spans="1:27" hidden="1" x14ac:dyDescent="0.25">
      <c r="A1215" t="str">
        <f t="shared" si="296"/>
        <v>10620062B22/05/2026M</v>
      </c>
      <c r="B1215" s="1" t="s">
        <v>822</v>
      </c>
      <c r="C1215" s="1" t="s">
        <v>396</v>
      </c>
      <c r="D1215" s="1" t="s">
        <v>591</v>
      </c>
      <c r="E1215" s="1" t="s">
        <v>592</v>
      </c>
      <c r="F1215" s="1" t="s">
        <v>598</v>
      </c>
      <c r="G1215" s="62" t="str">
        <f t="shared" si="308"/>
        <v>64590</v>
      </c>
      <c r="H1215" s="1">
        <v>10620062</v>
      </c>
      <c r="I1215" s="1" t="s">
        <v>387</v>
      </c>
      <c r="J1215" s="61">
        <v>14</v>
      </c>
      <c r="K1215" s="61">
        <v>5.8</v>
      </c>
      <c r="L1215" s="61">
        <v>8.8000000000000007</v>
      </c>
      <c r="M1215" s="69">
        <f t="shared" si="297"/>
        <v>0.81200000000000006</v>
      </c>
      <c r="N1215" s="69">
        <f t="shared" si="298"/>
        <v>1.2320000000000002</v>
      </c>
      <c r="O1215" s="56">
        <v>47.945700000000002</v>
      </c>
      <c r="P1215" s="57">
        <f t="shared" si="299"/>
        <v>671.23980000000006</v>
      </c>
      <c r="Q1215" s="58">
        <f t="shared" si="300"/>
        <v>410.96314285714288</v>
      </c>
      <c r="R1215" s="58">
        <f t="shared" si="301"/>
        <v>273.97542857142861</v>
      </c>
      <c r="S1215" s="66">
        <f t="shared" si="302"/>
        <v>11.746696500000002</v>
      </c>
      <c r="T1215" s="64">
        <f t="shared" si="303"/>
        <v>52.5</v>
      </c>
      <c r="U1215" s="66">
        <f t="shared" si="304"/>
        <v>735.48649650000004</v>
      </c>
      <c r="V1215" s="68">
        <f t="shared" si="305"/>
        <v>52.534749750000003</v>
      </c>
      <c r="W1215" s="68">
        <f t="shared" si="306"/>
        <v>450.29785500000003</v>
      </c>
      <c r="X1215" s="68">
        <f t="shared" si="307"/>
        <v>300.19857000000002</v>
      </c>
      <c r="Z1215" s="63"/>
      <c r="AA1215" s="63"/>
    </row>
    <row r="1216" spans="1:27" hidden="1" x14ac:dyDescent="0.25">
      <c r="A1216" t="str">
        <f t="shared" si="296"/>
        <v>10620062B23/05/2026E</v>
      </c>
      <c r="B1216" s="1" t="s">
        <v>822</v>
      </c>
      <c r="C1216" s="1" t="s">
        <v>397</v>
      </c>
      <c r="D1216" s="1" t="s">
        <v>591</v>
      </c>
      <c r="E1216" s="1" t="s">
        <v>592</v>
      </c>
      <c r="F1216" s="1" t="s">
        <v>598</v>
      </c>
      <c r="G1216" s="62" t="str">
        <f t="shared" si="308"/>
        <v>64590</v>
      </c>
      <c r="H1216" s="1">
        <v>10620062</v>
      </c>
      <c r="I1216" s="1" t="s">
        <v>387</v>
      </c>
      <c r="J1216" s="61">
        <v>24</v>
      </c>
      <c r="K1216" s="61">
        <v>6.1</v>
      </c>
      <c r="L1216" s="61">
        <v>8.8000000000000007</v>
      </c>
      <c r="M1216" s="69">
        <f t="shared" si="297"/>
        <v>1.4639999999999997</v>
      </c>
      <c r="N1216" s="69">
        <f t="shared" si="298"/>
        <v>2.1120000000000001</v>
      </c>
      <c r="O1216" s="56">
        <v>50.425650000000005</v>
      </c>
      <c r="P1216" s="57">
        <f t="shared" si="299"/>
        <v>1210.2156</v>
      </c>
      <c r="Q1216" s="58">
        <f t="shared" si="300"/>
        <v>421.38426183844012</v>
      </c>
      <c r="R1216" s="58">
        <f t="shared" si="301"/>
        <v>280.92284122562677</v>
      </c>
      <c r="S1216" s="66">
        <f t="shared" si="302"/>
        <v>21.178773000000003</v>
      </c>
      <c r="T1216" s="64">
        <f t="shared" si="303"/>
        <v>90</v>
      </c>
      <c r="U1216" s="66">
        <f t="shared" si="304"/>
        <v>1321.3943730000001</v>
      </c>
      <c r="V1216" s="68">
        <f t="shared" si="305"/>
        <v>55.058098875000006</v>
      </c>
      <c r="W1216" s="68">
        <f t="shared" si="306"/>
        <v>460.09553377437328</v>
      </c>
      <c r="X1216" s="68">
        <f t="shared" si="307"/>
        <v>306.73035584958217</v>
      </c>
      <c r="Z1216" s="63"/>
      <c r="AA1216" s="63"/>
    </row>
    <row r="1217" spans="1:27" hidden="1" x14ac:dyDescent="0.25">
      <c r="A1217" t="str">
        <f t="shared" si="296"/>
        <v>10620062B23/05/2026M</v>
      </c>
      <c r="B1217" s="1" t="s">
        <v>823</v>
      </c>
      <c r="C1217" s="1" t="s">
        <v>396</v>
      </c>
      <c r="D1217" s="1" t="s">
        <v>591</v>
      </c>
      <c r="E1217" s="1" t="s">
        <v>592</v>
      </c>
      <c r="F1217" s="1" t="s">
        <v>598</v>
      </c>
      <c r="G1217" s="62" t="str">
        <f t="shared" si="308"/>
        <v>64590</v>
      </c>
      <c r="H1217" s="1">
        <v>10620062</v>
      </c>
      <c r="I1217" s="1" t="s">
        <v>387</v>
      </c>
      <c r="J1217" s="61">
        <v>18</v>
      </c>
      <c r="K1217" s="61">
        <v>6.2</v>
      </c>
      <c r="L1217" s="61">
        <v>8.8000000000000007</v>
      </c>
      <c r="M1217" s="69">
        <f t="shared" si="297"/>
        <v>1.1160000000000001</v>
      </c>
      <c r="N1217" s="69">
        <f t="shared" si="298"/>
        <v>1.5840000000000001</v>
      </c>
      <c r="O1217" s="56">
        <v>51.252300000000005</v>
      </c>
      <c r="P1217" s="57">
        <f t="shared" si="299"/>
        <v>922.54140000000007</v>
      </c>
      <c r="Q1217" s="58">
        <f t="shared" si="300"/>
        <v>424.74281767955802</v>
      </c>
      <c r="R1217" s="58">
        <f t="shared" si="301"/>
        <v>283.1618784530387</v>
      </c>
      <c r="S1217" s="66">
        <f t="shared" si="302"/>
        <v>16.144474500000001</v>
      </c>
      <c r="T1217" s="64">
        <f t="shared" si="303"/>
        <v>67.5</v>
      </c>
      <c r="U1217" s="66">
        <f t="shared" si="304"/>
        <v>1006.1858745000001</v>
      </c>
      <c r="V1217" s="68">
        <f t="shared" si="305"/>
        <v>55.899215250000005</v>
      </c>
      <c r="W1217" s="68">
        <f t="shared" si="306"/>
        <v>463.25316505524864</v>
      </c>
      <c r="X1217" s="68">
        <f t="shared" si="307"/>
        <v>308.83544337016576</v>
      </c>
      <c r="Z1217" s="63"/>
      <c r="AA1217" s="63"/>
    </row>
    <row r="1218" spans="1:27" hidden="1" x14ac:dyDescent="0.25">
      <c r="A1218" t="str">
        <f t="shared" si="296"/>
        <v>10620062B24/05/2026E</v>
      </c>
      <c r="B1218" s="1" t="s">
        <v>823</v>
      </c>
      <c r="C1218" s="1" t="s">
        <v>397</v>
      </c>
      <c r="D1218" s="1" t="s">
        <v>591</v>
      </c>
      <c r="E1218" s="1" t="s">
        <v>592</v>
      </c>
      <c r="F1218" s="1" t="s">
        <v>598</v>
      </c>
      <c r="G1218" s="62" t="str">
        <f t="shared" si="308"/>
        <v>64590</v>
      </c>
      <c r="H1218" s="1">
        <v>10620062</v>
      </c>
      <c r="I1218" s="1" t="s">
        <v>387</v>
      </c>
      <c r="J1218" s="61">
        <v>23</v>
      </c>
      <c r="K1218" s="61">
        <v>6.5</v>
      </c>
      <c r="L1218" s="61">
        <v>8.8000000000000007</v>
      </c>
      <c r="M1218" s="69">
        <f t="shared" si="297"/>
        <v>1.4950000000000001</v>
      </c>
      <c r="N1218" s="69">
        <f t="shared" si="298"/>
        <v>2.024</v>
      </c>
      <c r="O1218" s="56">
        <v>53.732250000000001</v>
      </c>
      <c r="P1218" s="57">
        <f t="shared" si="299"/>
        <v>1235.84175</v>
      </c>
      <c r="Q1218" s="58">
        <f t="shared" si="300"/>
        <v>434.49258760107813</v>
      </c>
      <c r="R1218" s="58">
        <f t="shared" si="301"/>
        <v>289.66172506738542</v>
      </c>
      <c r="S1218" s="66">
        <f t="shared" si="302"/>
        <v>21.627230625000003</v>
      </c>
      <c r="T1218" s="64">
        <f t="shared" si="303"/>
        <v>86.25</v>
      </c>
      <c r="U1218" s="66">
        <f t="shared" si="304"/>
        <v>1343.7189806250001</v>
      </c>
      <c r="V1218" s="68">
        <f t="shared" si="305"/>
        <v>58.422564375</v>
      </c>
      <c r="W1218" s="68">
        <f t="shared" si="306"/>
        <v>472.41965801886789</v>
      </c>
      <c r="X1218" s="68">
        <f t="shared" si="307"/>
        <v>314.94643867924526</v>
      </c>
      <c r="Z1218" s="63"/>
      <c r="AA1218" s="63"/>
    </row>
    <row r="1219" spans="1:27" hidden="1" x14ac:dyDescent="0.25">
      <c r="A1219" t="str">
        <f t="shared" si="296"/>
        <v>10620062C24/05/2026M</v>
      </c>
      <c r="B1219" s="1" t="s">
        <v>824</v>
      </c>
      <c r="C1219" s="1" t="s">
        <v>396</v>
      </c>
      <c r="D1219" s="1" t="s">
        <v>591</v>
      </c>
      <c r="E1219" s="1" t="s">
        <v>592</v>
      </c>
      <c r="F1219" s="1" t="s">
        <v>598</v>
      </c>
      <c r="G1219" s="62" t="str">
        <f t="shared" si="308"/>
        <v>64590</v>
      </c>
      <c r="H1219" s="1">
        <v>10620062</v>
      </c>
      <c r="I1219" s="1" t="s">
        <v>388</v>
      </c>
      <c r="J1219" s="61">
        <v>12</v>
      </c>
      <c r="K1219" s="61">
        <v>4.9000000000000004</v>
      </c>
      <c r="L1219" s="61">
        <v>8.5</v>
      </c>
      <c r="M1219" s="69">
        <f t="shared" si="297"/>
        <v>0.58800000000000008</v>
      </c>
      <c r="N1219" s="69">
        <f t="shared" si="298"/>
        <v>1.02</v>
      </c>
      <c r="O1219" s="56">
        <v>41.845122000000003</v>
      </c>
      <c r="P1219" s="57">
        <f t="shared" si="299"/>
        <v>502.14146400000004</v>
      </c>
      <c r="Q1219" s="58">
        <f t="shared" si="300"/>
        <v>396.01061829652997</v>
      </c>
      <c r="R1219" s="58">
        <f t="shared" si="301"/>
        <v>264.00707886435333</v>
      </c>
      <c r="S1219" s="66">
        <f t="shared" si="302"/>
        <v>8.7874756200000022</v>
      </c>
      <c r="T1219" s="64">
        <f t="shared" si="303"/>
        <v>45</v>
      </c>
      <c r="U1219" s="66">
        <f t="shared" si="304"/>
        <v>555.92893962000005</v>
      </c>
      <c r="V1219" s="68">
        <f t="shared" si="305"/>
        <v>46.327411635000004</v>
      </c>
      <c r="W1219" s="68">
        <f t="shared" si="306"/>
        <v>438.42976310725555</v>
      </c>
      <c r="X1219" s="68">
        <f t="shared" si="307"/>
        <v>292.28650873817037</v>
      </c>
      <c r="Z1219" s="63"/>
      <c r="AA1219" s="63"/>
    </row>
    <row r="1220" spans="1:27" hidden="1" x14ac:dyDescent="0.25">
      <c r="A1220" t="str">
        <f t="shared" si="296"/>
        <v>10620062B25/05/2026E</v>
      </c>
      <c r="B1220" s="1" t="s">
        <v>824</v>
      </c>
      <c r="C1220" s="1" t="s">
        <v>397</v>
      </c>
      <c r="D1220" s="1" t="s">
        <v>591</v>
      </c>
      <c r="E1220" s="1" t="s">
        <v>592</v>
      </c>
      <c r="F1220" s="1" t="s">
        <v>598</v>
      </c>
      <c r="G1220" s="62" t="str">
        <f t="shared" si="308"/>
        <v>64590</v>
      </c>
      <c r="H1220" s="1">
        <v>10620062</v>
      </c>
      <c r="I1220" s="1" t="s">
        <v>387</v>
      </c>
      <c r="J1220" s="61">
        <v>33</v>
      </c>
      <c r="K1220" s="61">
        <v>6.4</v>
      </c>
      <c r="L1220" s="61">
        <v>8.8000000000000007</v>
      </c>
      <c r="M1220" s="69">
        <f t="shared" si="297"/>
        <v>2.1120000000000001</v>
      </c>
      <c r="N1220" s="69">
        <f t="shared" si="298"/>
        <v>2.9040000000000004</v>
      </c>
      <c r="O1220" s="56">
        <v>52.9056</v>
      </c>
      <c r="P1220" s="57">
        <f t="shared" si="299"/>
        <v>1745.8848</v>
      </c>
      <c r="Q1220" s="58">
        <f t="shared" si="300"/>
        <v>431.29565217391303</v>
      </c>
      <c r="R1220" s="58">
        <f t="shared" si="301"/>
        <v>287.53043478260867</v>
      </c>
      <c r="S1220" s="66">
        <f t="shared" si="302"/>
        <v>30.552984000000002</v>
      </c>
      <c r="T1220" s="64">
        <f t="shared" si="303"/>
        <v>123.75</v>
      </c>
      <c r="U1220" s="66">
        <f t="shared" si="304"/>
        <v>1900.187784</v>
      </c>
      <c r="V1220" s="68">
        <f t="shared" si="305"/>
        <v>57.581448000000002</v>
      </c>
      <c r="W1220" s="68">
        <f t="shared" si="306"/>
        <v>469.41397826086956</v>
      </c>
      <c r="X1220" s="68">
        <f t="shared" si="307"/>
        <v>312.94265217391302</v>
      </c>
      <c r="Z1220" s="63"/>
      <c r="AA1220" s="63"/>
    </row>
    <row r="1221" spans="1:27" hidden="1" x14ac:dyDescent="0.25">
      <c r="A1221" t="str">
        <f t="shared" ref="A1221:A1271" si="309">CONCATENATE(H1221,I1221,B1222,C1221)</f>
        <v>10620062B25/05/2026M</v>
      </c>
      <c r="B1221" s="1" t="s">
        <v>825</v>
      </c>
      <c r="C1221" s="1" t="s">
        <v>396</v>
      </c>
      <c r="D1221" s="1" t="s">
        <v>591</v>
      </c>
      <c r="E1221" s="1" t="s">
        <v>592</v>
      </c>
      <c r="F1221" s="1" t="s">
        <v>598</v>
      </c>
      <c r="G1221" s="62" t="str">
        <f t="shared" si="308"/>
        <v>64590</v>
      </c>
      <c r="H1221" s="1">
        <v>10620062</v>
      </c>
      <c r="I1221" s="1" t="s">
        <v>387</v>
      </c>
      <c r="J1221" s="61">
        <v>12</v>
      </c>
      <c r="K1221" s="61">
        <v>5.6</v>
      </c>
      <c r="L1221" s="61">
        <v>8.4</v>
      </c>
      <c r="M1221" s="69">
        <f t="shared" si="297"/>
        <v>0.67199999999999993</v>
      </c>
      <c r="N1221" s="69">
        <f t="shared" si="298"/>
        <v>1.008</v>
      </c>
      <c r="O1221" s="56">
        <v>45.357199999999999</v>
      </c>
      <c r="P1221" s="57">
        <f t="shared" si="299"/>
        <v>544.28639999999996</v>
      </c>
      <c r="Q1221" s="58">
        <f t="shared" si="300"/>
        <v>404.97500000000002</v>
      </c>
      <c r="R1221" s="58">
        <f t="shared" si="301"/>
        <v>269.98333333333335</v>
      </c>
      <c r="S1221" s="66">
        <f t="shared" si="302"/>
        <v>9.5250120000000003</v>
      </c>
      <c r="T1221" s="64">
        <f t="shared" si="303"/>
        <v>45</v>
      </c>
      <c r="U1221" s="66">
        <f t="shared" si="304"/>
        <v>598.81141200000002</v>
      </c>
      <c r="V1221" s="68">
        <f t="shared" si="305"/>
        <v>49.900950999999999</v>
      </c>
      <c r="W1221" s="68">
        <f t="shared" si="306"/>
        <v>445.54420535714291</v>
      </c>
      <c r="X1221" s="68">
        <f t="shared" si="307"/>
        <v>297.02947023809526</v>
      </c>
      <c r="Z1221" s="63"/>
      <c r="AA1221" s="63"/>
    </row>
    <row r="1222" spans="1:27" hidden="1" x14ac:dyDescent="0.25">
      <c r="A1222" t="str">
        <f t="shared" si="309"/>
        <v>10620062B25/05/2026E</v>
      </c>
      <c r="B1222" s="1" t="s">
        <v>825</v>
      </c>
      <c r="C1222" s="1" t="s">
        <v>397</v>
      </c>
      <c r="D1222" s="1" t="s">
        <v>591</v>
      </c>
      <c r="E1222" s="1" t="s">
        <v>592</v>
      </c>
      <c r="F1222" s="1" t="s">
        <v>598</v>
      </c>
      <c r="G1222" s="62" t="str">
        <f t="shared" si="308"/>
        <v>64590</v>
      </c>
      <c r="H1222" s="1">
        <v>10620062</v>
      </c>
      <c r="I1222" s="1" t="s">
        <v>387</v>
      </c>
      <c r="J1222" s="61">
        <v>17</v>
      </c>
      <c r="K1222" s="61">
        <v>8.1</v>
      </c>
      <c r="L1222" s="61">
        <v>9</v>
      </c>
      <c r="M1222" s="69">
        <f t="shared" si="297"/>
        <v>1.3769999999999998</v>
      </c>
      <c r="N1222" s="69">
        <f t="shared" si="298"/>
        <v>1.53</v>
      </c>
      <c r="O1222" s="56">
        <v>67.635000000000005</v>
      </c>
      <c r="P1222" s="57">
        <f t="shared" si="299"/>
        <v>1149.7950000000001</v>
      </c>
      <c r="Q1222" s="58">
        <f t="shared" si="300"/>
        <v>479.68085106382978</v>
      </c>
      <c r="R1222" s="58">
        <f t="shared" si="301"/>
        <v>319.78723404255317</v>
      </c>
      <c r="S1222" s="66">
        <f t="shared" si="302"/>
        <v>20.121412500000002</v>
      </c>
      <c r="T1222" s="64">
        <f t="shared" si="303"/>
        <v>63.75</v>
      </c>
      <c r="U1222" s="66">
        <f t="shared" si="304"/>
        <v>1233.6664125</v>
      </c>
      <c r="V1222" s="68">
        <f t="shared" si="305"/>
        <v>72.5686125</v>
      </c>
      <c r="W1222" s="68">
        <f t="shared" si="306"/>
        <v>514.67101063829784</v>
      </c>
      <c r="X1222" s="68">
        <f t="shared" si="307"/>
        <v>343.11400709219856</v>
      </c>
      <c r="Z1222" s="63"/>
      <c r="AA1222" s="63"/>
    </row>
    <row r="1223" spans="1:27" hidden="1" x14ac:dyDescent="0.25">
      <c r="A1223" t="str">
        <f t="shared" si="309"/>
        <v>10620062C26/05/2026E</v>
      </c>
      <c r="B1223" s="1" t="s">
        <v>825</v>
      </c>
      <c r="C1223" s="1" t="s">
        <v>397</v>
      </c>
      <c r="D1223" s="1" t="s">
        <v>591</v>
      </c>
      <c r="E1223" s="1" t="s">
        <v>592</v>
      </c>
      <c r="F1223" s="1" t="s">
        <v>598</v>
      </c>
      <c r="G1223" s="62" t="str">
        <f t="shared" si="308"/>
        <v>64590</v>
      </c>
      <c r="H1223" s="1">
        <v>10620062</v>
      </c>
      <c r="I1223" s="1" t="s">
        <v>388</v>
      </c>
      <c r="J1223" s="61">
        <v>12</v>
      </c>
      <c r="K1223" s="61">
        <v>3</v>
      </c>
      <c r="L1223" s="61">
        <v>8</v>
      </c>
      <c r="M1223" s="69">
        <f t="shared" si="297"/>
        <v>0.36</v>
      </c>
      <c r="N1223" s="69">
        <f t="shared" si="298"/>
        <v>0.96</v>
      </c>
      <c r="O1223" s="56">
        <v>33.001056000000005</v>
      </c>
      <c r="P1223" s="57">
        <f t="shared" si="299"/>
        <v>396.01267200000007</v>
      </c>
      <c r="Q1223" s="58">
        <f t="shared" si="300"/>
        <v>396.01267200000001</v>
      </c>
      <c r="R1223" s="58">
        <f t="shared" si="301"/>
        <v>264.00844799999999</v>
      </c>
      <c r="S1223" s="66">
        <f t="shared" si="302"/>
        <v>6.930221760000002</v>
      </c>
      <c r="T1223" s="64">
        <f t="shared" si="303"/>
        <v>45</v>
      </c>
      <c r="U1223" s="66">
        <f t="shared" si="304"/>
        <v>447.94289376000006</v>
      </c>
      <c r="V1223" s="68">
        <f t="shared" si="305"/>
        <v>37.328574480000007</v>
      </c>
      <c r="W1223" s="68">
        <f t="shared" si="306"/>
        <v>447.94289376000006</v>
      </c>
      <c r="X1223" s="68">
        <f t="shared" si="307"/>
        <v>298.62859584000006</v>
      </c>
      <c r="Z1223" s="63"/>
      <c r="AA1223" s="63"/>
    </row>
    <row r="1224" spans="1:27" hidden="1" x14ac:dyDescent="0.25">
      <c r="A1224" t="str">
        <f t="shared" si="309"/>
        <v>10620062C26/05/2026M</v>
      </c>
      <c r="B1224" s="1" t="s">
        <v>826</v>
      </c>
      <c r="C1224" s="1" t="s">
        <v>396</v>
      </c>
      <c r="D1224" s="1" t="s">
        <v>591</v>
      </c>
      <c r="E1224" s="1" t="s">
        <v>592</v>
      </c>
      <c r="F1224" s="1" t="s">
        <v>598</v>
      </c>
      <c r="G1224" s="62" t="str">
        <f t="shared" si="308"/>
        <v>64590</v>
      </c>
      <c r="H1224" s="1">
        <v>10620062</v>
      </c>
      <c r="I1224" s="1" t="s">
        <v>388</v>
      </c>
      <c r="J1224" s="61">
        <v>12</v>
      </c>
      <c r="K1224" s="61">
        <v>5</v>
      </c>
      <c r="L1224" s="61">
        <v>8.5</v>
      </c>
      <c r="M1224" s="69">
        <f t="shared" si="297"/>
        <v>0.6</v>
      </c>
      <c r="N1224" s="69">
        <f t="shared" si="298"/>
        <v>1.02</v>
      </c>
      <c r="O1224" s="56">
        <f>INDEX(Rate_Chart!$A$1:$AK$127,MATCH(Data!K1224,Rate_Chart!$A$1:$A$127,0),MATCH(Data!L1224,Rate_Chart!$A$1:$AK$1,0))</f>
        <v>44.481181500000005</v>
      </c>
      <c r="P1224" s="57">
        <f t="shared" si="299"/>
        <v>533.77417800000012</v>
      </c>
      <c r="Q1224" s="58">
        <f t="shared" si="300"/>
        <v>417.01107656250002</v>
      </c>
      <c r="R1224" s="58">
        <f t="shared" si="301"/>
        <v>278.00738437500002</v>
      </c>
      <c r="S1224" s="66">
        <f t="shared" si="302"/>
        <v>9.3410481150000031</v>
      </c>
      <c r="T1224" s="64">
        <f t="shared" si="303"/>
        <v>45</v>
      </c>
      <c r="U1224" s="66">
        <f t="shared" si="304"/>
        <v>588.11522611500016</v>
      </c>
      <c r="V1224" s="68">
        <f t="shared" si="305"/>
        <v>49.009602176250013</v>
      </c>
      <c r="W1224" s="68">
        <f t="shared" si="306"/>
        <v>459.46502040234384</v>
      </c>
      <c r="X1224" s="68">
        <f t="shared" si="307"/>
        <v>306.31001360156256</v>
      </c>
      <c r="Z1224" s="63"/>
      <c r="AA1224" s="63"/>
    </row>
    <row r="1225" spans="1:27" hidden="1" x14ac:dyDescent="0.25">
      <c r="A1225" t="str">
        <f t="shared" si="309"/>
        <v>10620062B26/05/2026E</v>
      </c>
      <c r="B1225" s="1" t="s">
        <v>826</v>
      </c>
      <c r="C1225" s="1" t="s">
        <v>397</v>
      </c>
      <c r="D1225" s="1" t="s">
        <v>591</v>
      </c>
      <c r="E1225" s="1" t="s">
        <v>592</v>
      </c>
      <c r="F1225" s="1" t="s">
        <v>598</v>
      </c>
      <c r="G1225" s="62" t="str">
        <f t="shared" si="308"/>
        <v>64590</v>
      </c>
      <c r="H1225" s="1">
        <v>10620062</v>
      </c>
      <c r="I1225" s="1" t="s">
        <v>387</v>
      </c>
      <c r="J1225" s="61">
        <v>14</v>
      </c>
      <c r="K1225" s="61">
        <v>8.1999999999999993</v>
      </c>
      <c r="L1225" s="61">
        <v>9</v>
      </c>
      <c r="M1225" s="69">
        <f t="shared" si="297"/>
        <v>1.1479999999999999</v>
      </c>
      <c r="N1225" s="69">
        <f t="shared" si="298"/>
        <v>1.26</v>
      </c>
      <c r="O1225" s="56">
        <f>INDEX(Rate_Chart!$A$1:$AK$127,MATCH(Data!K1225,Rate_Chart!$A$1:$A$127,0),MATCH(Data!L1225,Rate_Chart!$A$1:$AK$1,0))</f>
        <v>68.469999999999985</v>
      </c>
      <c r="P1225" s="57">
        <f t="shared" si="299"/>
        <v>958.57999999999981</v>
      </c>
      <c r="Q1225" s="58">
        <f t="shared" si="300"/>
        <v>482.18309859154925</v>
      </c>
      <c r="R1225" s="58">
        <f t="shared" si="301"/>
        <v>321.45539906103284</v>
      </c>
      <c r="S1225" s="66">
        <f t="shared" si="302"/>
        <v>16.77515</v>
      </c>
      <c r="T1225" s="64">
        <f t="shared" si="303"/>
        <v>52.5</v>
      </c>
      <c r="U1225" s="66">
        <f t="shared" si="304"/>
        <v>1027.8551499999999</v>
      </c>
      <c r="V1225" s="68">
        <f t="shared" si="305"/>
        <v>73.418224999999993</v>
      </c>
      <c r="W1225" s="68">
        <f t="shared" si="306"/>
        <v>517.02975352112674</v>
      </c>
      <c r="X1225" s="68">
        <f t="shared" si="307"/>
        <v>344.68650234741784</v>
      </c>
      <c r="Z1225" s="63"/>
      <c r="AA1225" s="63"/>
    </row>
    <row r="1226" spans="1:27" hidden="1" x14ac:dyDescent="0.25">
      <c r="A1226" t="str">
        <f t="shared" si="309"/>
        <v>10620062C27/05/2026E</v>
      </c>
      <c r="B1226" s="1" t="s">
        <v>826</v>
      </c>
      <c r="C1226" s="1" t="s">
        <v>397</v>
      </c>
      <c r="D1226" s="1" t="s">
        <v>591</v>
      </c>
      <c r="E1226" s="1" t="s">
        <v>592</v>
      </c>
      <c r="F1226" s="1" t="s">
        <v>598</v>
      </c>
      <c r="G1226" s="62" t="str">
        <f t="shared" si="308"/>
        <v>64590</v>
      </c>
      <c r="H1226" s="1">
        <v>10620062</v>
      </c>
      <c r="I1226" s="1" t="s">
        <v>388</v>
      </c>
      <c r="J1226" s="61">
        <v>9</v>
      </c>
      <c r="K1226" s="61">
        <v>3.2</v>
      </c>
      <c r="L1226" s="61">
        <v>8.1999999999999993</v>
      </c>
      <c r="M1226" s="69">
        <f t="shared" si="297"/>
        <v>0.28800000000000003</v>
      </c>
      <c r="N1226" s="69">
        <f t="shared" si="298"/>
        <v>0.73799999999999999</v>
      </c>
      <c r="O1226" s="56">
        <f>INDEX(Rate_Chart!$A$1:$AK$127,MATCH(Data!K1226,Rate_Chart!$A$1:$A$127,0),MATCH(Data!L1226,Rate_Chart!$A$1:$AK$1,0))</f>
        <v>36.141139799999998</v>
      </c>
      <c r="P1226" s="57">
        <f t="shared" si="299"/>
        <v>325.2702582</v>
      </c>
      <c r="Q1226" s="58">
        <f t="shared" si="300"/>
        <v>417.0131515384615</v>
      </c>
      <c r="R1226" s="58">
        <f t="shared" si="301"/>
        <v>278.00876769230769</v>
      </c>
      <c r="S1226" s="66">
        <f t="shared" si="302"/>
        <v>5.6922295185000005</v>
      </c>
      <c r="T1226" s="64">
        <f t="shared" si="303"/>
        <v>33.75</v>
      </c>
      <c r="U1226" s="66">
        <f t="shared" si="304"/>
        <v>364.71248771850003</v>
      </c>
      <c r="V1226" s="68">
        <f t="shared" si="305"/>
        <v>40.5236097465</v>
      </c>
      <c r="W1226" s="68">
        <f t="shared" si="306"/>
        <v>467.58011245961535</v>
      </c>
      <c r="X1226" s="68">
        <f t="shared" si="307"/>
        <v>311.72007497307692</v>
      </c>
      <c r="Z1226" s="63"/>
      <c r="AA1226" s="63"/>
    </row>
    <row r="1227" spans="1:27" hidden="1" x14ac:dyDescent="0.25">
      <c r="A1227" t="str">
        <f t="shared" si="309"/>
        <v>10620062B27/05/2026M</v>
      </c>
      <c r="B1227" s="1" t="s">
        <v>827</v>
      </c>
      <c r="C1227" s="1" t="s">
        <v>396</v>
      </c>
      <c r="D1227" s="1" t="s">
        <v>591</v>
      </c>
      <c r="E1227" s="1" t="s">
        <v>592</v>
      </c>
      <c r="F1227" s="1" t="s">
        <v>598</v>
      </c>
      <c r="G1227" s="62" t="str">
        <f t="shared" si="308"/>
        <v>64590</v>
      </c>
      <c r="H1227" s="1">
        <v>10620062</v>
      </c>
      <c r="I1227" s="1" t="s">
        <v>387</v>
      </c>
      <c r="J1227" s="61">
        <v>12</v>
      </c>
      <c r="K1227" s="61">
        <v>6.4</v>
      </c>
      <c r="L1227" s="61">
        <v>8.8000000000000007</v>
      </c>
      <c r="M1227" s="69">
        <f t="shared" si="297"/>
        <v>0.76800000000000013</v>
      </c>
      <c r="N1227" s="69">
        <f t="shared" si="298"/>
        <v>1.056</v>
      </c>
      <c r="O1227" s="56">
        <f>INDEX(Rate_Chart!$A$1:$AK$127,MATCH(Data!K1227,Rate_Chart!$A$1:$A$127,0),MATCH(Data!L1227,Rate_Chart!$A$1:$AK$1,0))</f>
        <v>52.9056</v>
      </c>
      <c r="P1227" s="57">
        <f t="shared" si="299"/>
        <v>634.86720000000003</v>
      </c>
      <c r="Q1227" s="58">
        <f t="shared" si="300"/>
        <v>431.29565217391303</v>
      </c>
      <c r="R1227" s="58">
        <f t="shared" si="301"/>
        <v>287.53043478260867</v>
      </c>
      <c r="S1227" s="66">
        <f t="shared" si="302"/>
        <v>11.110176000000001</v>
      </c>
      <c r="T1227" s="64">
        <f t="shared" si="303"/>
        <v>45</v>
      </c>
      <c r="U1227" s="66">
        <f t="shared" si="304"/>
        <v>690.97737600000005</v>
      </c>
      <c r="V1227" s="68">
        <f t="shared" si="305"/>
        <v>57.581448000000002</v>
      </c>
      <c r="W1227" s="68">
        <f t="shared" si="306"/>
        <v>469.41397826086956</v>
      </c>
      <c r="X1227" s="68">
        <f t="shared" si="307"/>
        <v>312.94265217391302</v>
      </c>
      <c r="Z1227" s="63"/>
      <c r="AA1227" s="63"/>
    </row>
    <row r="1228" spans="1:27" hidden="1" x14ac:dyDescent="0.25">
      <c r="A1228" t="str">
        <f t="shared" si="309"/>
        <v>10620062B27/05/2026E</v>
      </c>
      <c r="B1228" s="1" t="s">
        <v>827</v>
      </c>
      <c r="C1228" s="1" t="s">
        <v>397</v>
      </c>
      <c r="D1228" s="1" t="s">
        <v>591</v>
      </c>
      <c r="E1228" s="1" t="s">
        <v>592</v>
      </c>
      <c r="F1228" s="1" t="s">
        <v>598</v>
      </c>
      <c r="G1228" s="62" t="str">
        <f t="shared" si="308"/>
        <v>64590</v>
      </c>
      <c r="H1228" s="1">
        <v>10620062</v>
      </c>
      <c r="I1228" s="1" t="s">
        <v>387</v>
      </c>
      <c r="J1228" s="61">
        <v>12</v>
      </c>
      <c r="K1228" s="61">
        <v>8.1999999999999993</v>
      </c>
      <c r="L1228" s="61">
        <v>9</v>
      </c>
      <c r="M1228" s="69">
        <f t="shared" si="297"/>
        <v>0.98399999999999987</v>
      </c>
      <c r="N1228" s="69">
        <f t="shared" si="298"/>
        <v>1.08</v>
      </c>
      <c r="O1228" s="56">
        <f>INDEX(Rate_Chart!$A$1:$AK$127,MATCH(Data!K1228,Rate_Chart!$A$1:$A$127,0),MATCH(Data!L1228,Rate_Chart!$A$1:$AK$1,0))</f>
        <v>68.469999999999985</v>
      </c>
      <c r="P1228" s="57">
        <f t="shared" si="299"/>
        <v>821.63999999999987</v>
      </c>
      <c r="Q1228" s="58">
        <f t="shared" si="300"/>
        <v>482.18309859154925</v>
      </c>
      <c r="R1228" s="58">
        <f t="shared" si="301"/>
        <v>321.45539906103284</v>
      </c>
      <c r="S1228" s="66">
        <f t="shared" si="302"/>
        <v>14.378699999999998</v>
      </c>
      <c r="T1228" s="64">
        <f t="shared" si="303"/>
        <v>45</v>
      </c>
      <c r="U1228" s="66">
        <f t="shared" si="304"/>
        <v>881.01869999999985</v>
      </c>
      <c r="V1228" s="68">
        <f t="shared" si="305"/>
        <v>73.418224999999993</v>
      </c>
      <c r="W1228" s="68">
        <f t="shared" si="306"/>
        <v>517.02975352112674</v>
      </c>
      <c r="X1228" s="68">
        <f t="shared" si="307"/>
        <v>344.68650234741784</v>
      </c>
      <c r="Z1228" s="63"/>
      <c r="AA1228" s="63"/>
    </row>
    <row r="1229" spans="1:27" hidden="1" x14ac:dyDescent="0.25">
      <c r="A1229" t="str">
        <f t="shared" si="309"/>
        <v>10620062C28/05/2026E</v>
      </c>
      <c r="B1229" s="1" t="s">
        <v>827</v>
      </c>
      <c r="C1229" s="1" t="s">
        <v>397</v>
      </c>
      <c r="D1229" s="1" t="s">
        <v>591</v>
      </c>
      <c r="E1229" s="1" t="s">
        <v>592</v>
      </c>
      <c r="F1229" s="1" t="s">
        <v>598</v>
      </c>
      <c r="G1229" s="62" t="str">
        <f t="shared" si="308"/>
        <v>64590</v>
      </c>
      <c r="H1229" s="1">
        <v>10620062</v>
      </c>
      <c r="I1229" s="1" t="s">
        <v>388</v>
      </c>
      <c r="J1229" s="61">
        <v>12</v>
      </c>
      <c r="K1229" s="61">
        <v>3.2</v>
      </c>
      <c r="L1229" s="61">
        <v>8.1999999999999993</v>
      </c>
      <c r="M1229" s="69">
        <f t="shared" si="297"/>
        <v>0.38400000000000006</v>
      </c>
      <c r="N1229" s="69">
        <f t="shared" si="298"/>
        <v>0.98399999999999987</v>
      </c>
      <c r="O1229" s="56">
        <f>INDEX(Rate_Chart!$A$1:$AK$127,MATCH(Data!K1229,Rate_Chart!$A$1:$A$127,0),MATCH(Data!L1229,Rate_Chart!$A$1:$AK$1,0))</f>
        <v>36.141139799999998</v>
      </c>
      <c r="P1229" s="57">
        <f t="shared" si="299"/>
        <v>433.6936776</v>
      </c>
      <c r="Q1229" s="58">
        <f t="shared" si="300"/>
        <v>417.0131515384615</v>
      </c>
      <c r="R1229" s="58">
        <f t="shared" si="301"/>
        <v>278.00876769230769</v>
      </c>
      <c r="S1229" s="66">
        <f t="shared" si="302"/>
        <v>7.5896393580000003</v>
      </c>
      <c r="T1229" s="64">
        <f t="shared" si="303"/>
        <v>45</v>
      </c>
      <c r="U1229" s="66">
        <f t="shared" si="304"/>
        <v>486.283316958</v>
      </c>
      <c r="V1229" s="68">
        <f t="shared" si="305"/>
        <v>40.5236097465</v>
      </c>
      <c r="W1229" s="68">
        <f t="shared" si="306"/>
        <v>467.58011245961535</v>
      </c>
      <c r="X1229" s="68">
        <f t="shared" si="307"/>
        <v>311.72007497307692</v>
      </c>
      <c r="Z1229" s="63"/>
      <c r="AA1229" s="63"/>
    </row>
    <row r="1230" spans="1:27" hidden="1" x14ac:dyDescent="0.25">
      <c r="A1230" t="str">
        <f t="shared" si="309"/>
        <v>10620062B28/05/2026M</v>
      </c>
      <c r="B1230" s="1" t="s">
        <v>828</v>
      </c>
      <c r="C1230" s="1" t="s">
        <v>396</v>
      </c>
      <c r="D1230" s="1" t="s">
        <v>591</v>
      </c>
      <c r="E1230" s="1" t="s">
        <v>592</v>
      </c>
      <c r="F1230" s="1" t="s">
        <v>598</v>
      </c>
      <c r="G1230" s="62" t="str">
        <f t="shared" si="308"/>
        <v>64590</v>
      </c>
      <c r="H1230" s="1">
        <v>10620062</v>
      </c>
      <c r="I1230" s="1" t="s">
        <v>387</v>
      </c>
      <c r="J1230" s="61">
        <v>16</v>
      </c>
      <c r="K1230" s="61">
        <v>6.4</v>
      </c>
      <c r="L1230" s="61">
        <v>8.8000000000000007</v>
      </c>
      <c r="M1230" s="69">
        <f t="shared" si="297"/>
        <v>1.024</v>
      </c>
      <c r="N1230" s="69">
        <f t="shared" si="298"/>
        <v>1.4080000000000001</v>
      </c>
      <c r="O1230" s="56">
        <f>INDEX(Rate_Chart!$A$1:$AK$127,MATCH(Data!K1230,Rate_Chart!$A$1:$A$127,0),MATCH(Data!L1230,Rate_Chart!$A$1:$AK$1,0))</f>
        <v>52.9056</v>
      </c>
      <c r="P1230" s="57">
        <f t="shared" si="299"/>
        <v>846.4896</v>
      </c>
      <c r="Q1230" s="58">
        <f t="shared" si="300"/>
        <v>431.29565217391303</v>
      </c>
      <c r="R1230" s="58">
        <f t="shared" si="301"/>
        <v>287.53043478260867</v>
      </c>
      <c r="S1230" s="66">
        <f t="shared" si="302"/>
        <v>14.813568000000002</v>
      </c>
      <c r="T1230" s="64">
        <f t="shared" si="303"/>
        <v>60</v>
      </c>
      <c r="U1230" s="66">
        <f t="shared" si="304"/>
        <v>921.30316800000003</v>
      </c>
      <c r="V1230" s="68">
        <f t="shared" si="305"/>
        <v>57.581448000000002</v>
      </c>
      <c r="W1230" s="68">
        <f t="shared" si="306"/>
        <v>469.41397826086956</v>
      </c>
      <c r="X1230" s="68">
        <f t="shared" si="307"/>
        <v>312.94265217391302</v>
      </c>
      <c r="Z1230" s="63"/>
      <c r="AA1230" s="63"/>
    </row>
    <row r="1231" spans="1:27" hidden="1" x14ac:dyDescent="0.25">
      <c r="A1231" t="str">
        <f t="shared" si="309"/>
        <v>10620062B28/05/2026E</v>
      </c>
      <c r="B1231" s="1" t="s">
        <v>828</v>
      </c>
      <c r="C1231" s="1" t="s">
        <v>397</v>
      </c>
      <c r="D1231" s="1" t="s">
        <v>591</v>
      </c>
      <c r="E1231" s="1" t="s">
        <v>592</v>
      </c>
      <c r="F1231" s="1" t="s">
        <v>598</v>
      </c>
      <c r="G1231" s="62" t="str">
        <f t="shared" si="308"/>
        <v>64590</v>
      </c>
      <c r="H1231" s="1">
        <v>10620062</v>
      </c>
      <c r="I1231" s="1" t="s">
        <v>387</v>
      </c>
      <c r="J1231" s="61">
        <v>12</v>
      </c>
      <c r="K1231" s="61">
        <v>8</v>
      </c>
      <c r="L1231" s="61">
        <v>9</v>
      </c>
      <c r="M1231" s="69">
        <f t="shared" si="297"/>
        <v>0.96</v>
      </c>
      <c r="N1231" s="69">
        <f t="shared" si="298"/>
        <v>1.08</v>
      </c>
      <c r="O1231" s="56">
        <f>INDEX(Rate_Chart!$A$1:$AK$127,MATCH(Data!K1231,Rate_Chart!$A$1:$A$127,0),MATCH(Data!L1231,Rate_Chart!$A$1:$AK$1,0))</f>
        <v>66.8</v>
      </c>
      <c r="P1231" s="57">
        <f t="shared" si="299"/>
        <v>801.59999999999991</v>
      </c>
      <c r="Q1231" s="58">
        <f t="shared" si="300"/>
        <v>477.14285714285705</v>
      </c>
      <c r="R1231" s="58">
        <f t="shared" si="301"/>
        <v>318.09523809523802</v>
      </c>
      <c r="S1231" s="66">
        <f t="shared" si="302"/>
        <v>14.028</v>
      </c>
      <c r="T1231" s="64">
        <f t="shared" si="303"/>
        <v>45</v>
      </c>
      <c r="U1231" s="66">
        <f t="shared" si="304"/>
        <v>860.62799999999993</v>
      </c>
      <c r="V1231" s="68">
        <f t="shared" si="305"/>
        <v>71.718999999999994</v>
      </c>
      <c r="W1231" s="68">
        <f t="shared" si="306"/>
        <v>512.27857142857135</v>
      </c>
      <c r="X1231" s="68">
        <f t="shared" si="307"/>
        <v>341.51904761904757</v>
      </c>
      <c r="Z1231" s="63"/>
      <c r="AA1231" s="63"/>
    </row>
    <row r="1232" spans="1:27" hidden="1" x14ac:dyDescent="0.25">
      <c r="A1232" t="str">
        <f t="shared" si="309"/>
        <v>10620062C22/05/2026E</v>
      </c>
      <c r="B1232" s="1" t="s">
        <v>828</v>
      </c>
      <c r="C1232" s="1" t="s">
        <v>397</v>
      </c>
      <c r="D1232" s="1" t="s">
        <v>591</v>
      </c>
      <c r="E1232" s="1" t="s">
        <v>592</v>
      </c>
      <c r="F1232" s="1" t="s">
        <v>598</v>
      </c>
      <c r="G1232" s="62" t="str">
        <f t="shared" si="308"/>
        <v>64590</v>
      </c>
      <c r="H1232" s="1">
        <v>10620062</v>
      </c>
      <c r="I1232" s="1" t="s">
        <v>388</v>
      </c>
      <c r="J1232" s="61">
        <v>12</v>
      </c>
      <c r="K1232" s="61">
        <v>3</v>
      </c>
      <c r="L1232" s="61">
        <v>8</v>
      </c>
      <c r="M1232" s="69">
        <f t="shared" si="297"/>
        <v>0.36</v>
      </c>
      <c r="N1232" s="69">
        <f t="shared" si="298"/>
        <v>0.96</v>
      </c>
      <c r="O1232" s="56">
        <f>INDEX(Rate_Chart!$A$1:$AK$127,MATCH(Data!K1232,Rate_Chart!$A$1:$A$127,0),MATCH(Data!L1232,Rate_Chart!$A$1:$AK$1,0))</f>
        <v>34.751112000000006</v>
      </c>
      <c r="P1232" s="57">
        <f t="shared" si="299"/>
        <v>417.01334400000007</v>
      </c>
      <c r="Q1232" s="58">
        <f t="shared" si="300"/>
        <v>417.01334400000002</v>
      </c>
      <c r="R1232" s="58">
        <f t="shared" si="301"/>
        <v>278.00889599999999</v>
      </c>
      <c r="S1232" s="66">
        <f t="shared" si="302"/>
        <v>7.2977335200000022</v>
      </c>
      <c r="T1232" s="64">
        <f t="shared" si="303"/>
        <v>45</v>
      </c>
      <c r="U1232" s="66">
        <f t="shared" si="304"/>
        <v>469.31107752000008</v>
      </c>
      <c r="V1232" s="68">
        <f t="shared" si="305"/>
        <v>39.109256460000005</v>
      </c>
      <c r="W1232" s="68">
        <f t="shared" si="306"/>
        <v>469.31107752000003</v>
      </c>
      <c r="X1232" s="68">
        <f t="shared" si="307"/>
        <v>312.87405168000004</v>
      </c>
      <c r="Z1232" s="63"/>
      <c r="AA1232" s="63"/>
    </row>
    <row r="1233" spans="1:27" hidden="1" x14ac:dyDescent="0.25">
      <c r="A1233" t="str">
        <f t="shared" si="309"/>
        <v>10620002B22/05/2026M</v>
      </c>
      <c r="B1233" s="1" t="s">
        <v>822</v>
      </c>
      <c r="C1233" s="1" t="s">
        <v>396</v>
      </c>
      <c r="D1233" s="1" t="s">
        <v>591</v>
      </c>
      <c r="E1233" s="1" t="s">
        <v>595</v>
      </c>
      <c r="F1233" s="1" t="s">
        <v>386</v>
      </c>
      <c r="G1233" s="62" t="str">
        <f t="shared" si="308"/>
        <v>64592</v>
      </c>
      <c r="H1233" s="1">
        <v>10620002</v>
      </c>
      <c r="I1233" s="1" t="s">
        <v>387</v>
      </c>
      <c r="J1233" s="61">
        <v>17</v>
      </c>
      <c r="K1233" s="61">
        <v>5.8</v>
      </c>
      <c r="L1233" s="61">
        <v>8.5</v>
      </c>
      <c r="M1233" s="69">
        <f t="shared" si="297"/>
        <v>0.98599999999999999</v>
      </c>
      <c r="N1233" s="69">
        <f t="shared" si="298"/>
        <v>1.4450000000000001</v>
      </c>
      <c r="O1233" s="56">
        <v>46.9771</v>
      </c>
      <c r="P1233" s="57">
        <f t="shared" si="299"/>
        <v>798.61069999999995</v>
      </c>
      <c r="Q1233" s="58">
        <f t="shared" si="300"/>
        <v>409.68401162790695</v>
      </c>
      <c r="R1233" s="58">
        <f t="shared" si="301"/>
        <v>273.12267441860462</v>
      </c>
      <c r="S1233" s="66">
        <f t="shared" si="302"/>
        <v>13.97568725</v>
      </c>
      <c r="T1233" s="64">
        <f t="shared" si="303"/>
        <v>63.75</v>
      </c>
      <c r="U1233" s="66">
        <f t="shared" si="304"/>
        <v>876.33638724999992</v>
      </c>
      <c r="V1233" s="68">
        <f t="shared" si="305"/>
        <v>51.549199249999994</v>
      </c>
      <c r="W1233" s="68">
        <f t="shared" si="306"/>
        <v>449.55697020348833</v>
      </c>
      <c r="X1233" s="68">
        <f t="shared" si="307"/>
        <v>299.70464680232556</v>
      </c>
      <c r="Z1233" s="63"/>
      <c r="AA1233" s="63"/>
    </row>
    <row r="1234" spans="1:27" hidden="1" x14ac:dyDescent="0.25">
      <c r="A1234" t="str">
        <f t="shared" si="309"/>
        <v>10620002C22/05/2026M</v>
      </c>
      <c r="B1234" s="1" t="s">
        <v>822</v>
      </c>
      <c r="C1234" s="1" t="s">
        <v>396</v>
      </c>
      <c r="D1234" s="1" t="s">
        <v>591</v>
      </c>
      <c r="E1234" s="1" t="s">
        <v>595</v>
      </c>
      <c r="F1234" s="1" t="s">
        <v>386</v>
      </c>
      <c r="G1234" s="62" t="str">
        <f t="shared" si="308"/>
        <v>64592</v>
      </c>
      <c r="H1234" s="1">
        <v>10620002</v>
      </c>
      <c r="I1234" s="1" t="s">
        <v>388</v>
      </c>
      <c r="J1234" s="61">
        <v>31</v>
      </c>
      <c r="K1234" s="61">
        <v>3.5</v>
      </c>
      <c r="L1234" s="61">
        <v>8.1</v>
      </c>
      <c r="M1234" s="69">
        <f t="shared" si="297"/>
        <v>1.085</v>
      </c>
      <c r="N1234" s="69">
        <f t="shared" si="298"/>
        <v>2.5110000000000001</v>
      </c>
      <c r="O1234" s="56">
        <v>35.245069200000003</v>
      </c>
      <c r="P1234" s="57">
        <f t="shared" si="299"/>
        <v>1092.5971452000001</v>
      </c>
      <c r="Q1234" s="58">
        <f t="shared" si="300"/>
        <v>396.01201348314612</v>
      </c>
      <c r="R1234" s="58">
        <f t="shared" si="301"/>
        <v>264.00800898876406</v>
      </c>
      <c r="S1234" s="66">
        <f t="shared" si="302"/>
        <v>19.120450041000005</v>
      </c>
      <c r="T1234" s="64">
        <f t="shared" si="303"/>
        <v>116.25</v>
      </c>
      <c r="U1234" s="66">
        <f t="shared" si="304"/>
        <v>1227.967595241</v>
      </c>
      <c r="V1234" s="68">
        <f t="shared" si="305"/>
        <v>39.611857911000001</v>
      </c>
      <c r="W1234" s="68">
        <f t="shared" si="306"/>
        <v>445.0770551797753</v>
      </c>
      <c r="X1234" s="68">
        <f t="shared" si="307"/>
        <v>296.71803678651685</v>
      </c>
      <c r="Z1234" s="63"/>
      <c r="AA1234" s="63"/>
    </row>
    <row r="1235" spans="1:27" hidden="1" x14ac:dyDescent="0.25">
      <c r="A1235" t="str">
        <f t="shared" si="309"/>
        <v>10620002B22/05/2026E</v>
      </c>
      <c r="B1235" s="1" t="s">
        <v>822</v>
      </c>
      <c r="C1235" s="1" t="s">
        <v>397</v>
      </c>
      <c r="D1235" s="1" t="s">
        <v>591</v>
      </c>
      <c r="E1235" s="1" t="s">
        <v>595</v>
      </c>
      <c r="F1235" s="1" t="s">
        <v>386</v>
      </c>
      <c r="G1235" s="62" t="str">
        <f t="shared" si="308"/>
        <v>64592</v>
      </c>
      <c r="H1235" s="1">
        <v>10620002</v>
      </c>
      <c r="I1235" s="1" t="s">
        <v>387</v>
      </c>
      <c r="J1235" s="61">
        <v>4</v>
      </c>
      <c r="K1235" s="61">
        <v>6</v>
      </c>
      <c r="L1235" s="61">
        <v>9</v>
      </c>
      <c r="M1235" s="69">
        <f t="shared" si="297"/>
        <v>0.24</v>
      </c>
      <c r="N1235" s="69">
        <f t="shared" si="298"/>
        <v>0.36</v>
      </c>
      <c r="O1235" s="56">
        <v>50.1</v>
      </c>
      <c r="P1235" s="57">
        <f t="shared" si="299"/>
        <v>200.4</v>
      </c>
      <c r="Q1235" s="58">
        <f t="shared" si="300"/>
        <v>417.5</v>
      </c>
      <c r="R1235" s="58">
        <f t="shared" si="301"/>
        <v>278.33333333333331</v>
      </c>
      <c r="S1235" s="66">
        <f t="shared" si="302"/>
        <v>3.5070000000000006</v>
      </c>
      <c r="T1235" s="64">
        <f t="shared" si="303"/>
        <v>15</v>
      </c>
      <c r="U1235" s="66">
        <f t="shared" si="304"/>
        <v>218.90700000000001</v>
      </c>
      <c r="V1235" s="68">
        <f t="shared" si="305"/>
        <v>54.726750000000003</v>
      </c>
      <c r="W1235" s="68">
        <f t="shared" si="306"/>
        <v>456.05625000000003</v>
      </c>
      <c r="X1235" s="68">
        <f t="shared" si="307"/>
        <v>304.03750000000002</v>
      </c>
      <c r="Z1235" s="63"/>
      <c r="AA1235" s="63"/>
    </row>
    <row r="1236" spans="1:27" hidden="1" x14ac:dyDescent="0.25">
      <c r="A1236" t="str">
        <f t="shared" si="309"/>
        <v>10620002C23/05/2026E</v>
      </c>
      <c r="B1236" s="1" t="s">
        <v>822</v>
      </c>
      <c r="C1236" s="1" t="s">
        <v>397</v>
      </c>
      <c r="D1236" s="1" t="s">
        <v>591</v>
      </c>
      <c r="E1236" s="1" t="s">
        <v>595</v>
      </c>
      <c r="F1236" s="1" t="s">
        <v>386</v>
      </c>
      <c r="G1236" s="62" t="str">
        <f t="shared" si="308"/>
        <v>64592</v>
      </c>
      <c r="H1236" s="1">
        <v>10620002</v>
      </c>
      <c r="I1236" s="1" t="s">
        <v>388</v>
      </c>
      <c r="J1236" s="61">
        <v>32</v>
      </c>
      <c r="K1236" s="61">
        <v>3.3</v>
      </c>
      <c r="L1236" s="61">
        <v>8.1</v>
      </c>
      <c r="M1236" s="69">
        <f t="shared" si="297"/>
        <v>1.056</v>
      </c>
      <c r="N1236" s="69">
        <f t="shared" si="298"/>
        <v>2.5920000000000001</v>
      </c>
      <c r="O1236" s="56">
        <v>34.453069200000002</v>
      </c>
      <c r="P1236" s="57">
        <f t="shared" si="299"/>
        <v>1102.4982144000001</v>
      </c>
      <c r="Q1236" s="58">
        <f t="shared" si="300"/>
        <v>396.01228965517248</v>
      </c>
      <c r="R1236" s="58">
        <f t="shared" si="301"/>
        <v>264.00819310344832</v>
      </c>
      <c r="S1236" s="66">
        <f t="shared" si="302"/>
        <v>19.293718752000004</v>
      </c>
      <c r="T1236" s="64">
        <f t="shared" si="303"/>
        <v>120</v>
      </c>
      <c r="U1236" s="66">
        <f t="shared" si="304"/>
        <v>1241.7919331520002</v>
      </c>
      <c r="V1236" s="68">
        <f t="shared" si="305"/>
        <v>38.805997911000006</v>
      </c>
      <c r="W1236" s="68">
        <f t="shared" si="306"/>
        <v>446.04595300000011</v>
      </c>
      <c r="X1236" s="68">
        <f t="shared" si="307"/>
        <v>297.36396866666672</v>
      </c>
      <c r="Z1236" s="63"/>
      <c r="AA1236" s="63"/>
    </row>
    <row r="1237" spans="1:27" hidden="1" x14ac:dyDescent="0.25">
      <c r="A1237" t="str">
        <f t="shared" si="309"/>
        <v>10620002B23/05/2026M</v>
      </c>
      <c r="B1237" s="1" t="s">
        <v>823</v>
      </c>
      <c r="C1237" s="1" t="s">
        <v>396</v>
      </c>
      <c r="D1237" s="1" t="s">
        <v>591</v>
      </c>
      <c r="E1237" s="1" t="s">
        <v>595</v>
      </c>
      <c r="F1237" s="1" t="s">
        <v>386</v>
      </c>
      <c r="G1237" s="62" t="str">
        <f t="shared" si="308"/>
        <v>64592</v>
      </c>
      <c r="H1237" s="1">
        <v>10620002</v>
      </c>
      <c r="I1237" s="1" t="s">
        <v>387</v>
      </c>
      <c r="J1237" s="61">
        <v>6</v>
      </c>
      <c r="K1237" s="61">
        <v>7.5</v>
      </c>
      <c r="L1237" s="61">
        <v>9</v>
      </c>
      <c r="M1237" s="69">
        <f t="shared" si="297"/>
        <v>0.45</v>
      </c>
      <c r="N1237" s="69">
        <f t="shared" si="298"/>
        <v>0.54</v>
      </c>
      <c r="O1237" s="56">
        <v>62.625</v>
      </c>
      <c r="P1237" s="57">
        <f t="shared" si="299"/>
        <v>375.75</v>
      </c>
      <c r="Q1237" s="58">
        <f t="shared" si="300"/>
        <v>463.88888888888886</v>
      </c>
      <c r="R1237" s="58">
        <f t="shared" si="301"/>
        <v>309.25925925925924</v>
      </c>
      <c r="S1237" s="66">
        <f t="shared" si="302"/>
        <v>6.5756250000000005</v>
      </c>
      <c r="T1237" s="64">
        <f t="shared" si="303"/>
        <v>22.5</v>
      </c>
      <c r="U1237" s="66">
        <f t="shared" si="304"/>
        <v>404.825625</v>
      </c>
      <c r="V1237" s="68">
        <f t="shared" si="305"/>
        <v>67.470937500000005</v>
      </c>
      <c r="W1237" s="68">
        <f t="shared" si="306"/>
        <v>499.78472222222223</v>
      </c>
      <c r="X1237" s="68">
        <f t="shared" si="307"/>
        <v>333.18981481481484</v>
      </c>
      <c r="Z1237" s="63"/>
      <c r="AA1237" s="63"/>
    </row>
    <row r="1238" spans="1:27" hidden="1" x14ac:dyDescent="0.25">
      <c r="A1238" t="str">
        <f t="shared" si="309"/>
        <v>10620002C23/05/2026M</v>
      </c>
      <c r="B1238" s="1" t="s">
        <v>823</v>
      </c>
      <c r="C1238" s="1" t="s">
        <v>396</v>
      </c>
      <c r="D1238" s="1" t="s">
        <v>591</v>
      </c>
      <c r="E1238" s="1" t="s">
        <v>595</v>
      </c>
      <c r="F1238" s="1" t="s">
        <v>386</v>
      </c>
      <c r="G1238" s="62" t="str">
        <f t="shared" si="308"/>
        <v>64592</v>
      </c>
      <c r="H1238" s="1">
        <v>10620002</v>
      </c>
      <c r="I1238" s="1" t="s">
        <v>388</v>
      </c>
      <c r="J1238" s="61">
        <v>40</v>
      </c>
      <c r="K1238" s="61">
        <v>3.8</v>
      </c>
      <c r="L1238" s="61">
        <v>8</v>
      </c>
      <c r="M1238" s="69">
        <f t="shared" si="297"/>
        <v>1.52</v>
      </c>
      <c r="N1238" s="69">
        <f t="shared" si="298"/>
        <v>3.2</v>
      </c>
      <c r="O1238" s="56">
        <v>36.169056000000005</v>
      </c>
      <c r="P1238" s="57">
        <f t="shared" si="299"/>
        <v>1446.7622400000002</v>
      </c>
      <c r="Q1238" s="58">
        <f t="shared" si="300"/>
        <v>396.01156204379566</v>
      </c>
      <c r="R1238" s="58">
        <f t="shared" si="301"/>
        <v>264.00770802919709</v>
      </c>
      <c r="S1238" s="66">
        <f t="shared" si="302"/>
        <v>25.318339200000008</v>
      </c>
      <c r="T1238" s="64">
        <f t="shared" si="303"/>
        <v>150</v>
      </c>
      <c r="U1238" s="66">
        <f t="shared" si="304"/>
        <v>1622.0805792000003</v>
      </c>
      <c r="V1238" s="68">
        <f t="shared" si="305"/>
        <v>40.552014480000011</v>
      </c>
      <c r="W1238" s="68">
        <f t="shared" si="306"/>
        <v>444.00015854014612</v>
      </c>
      <c r="X1238" s="68">
        <f t="shared" si="307"/>
        <v>296.00010569343073</v>
      </c>
      <c r="Z1238" s="63"/>
      <c r="AA1238" s="63"/>
    </row>
    <row r="1239" spans="1:27" hidden="1" x14ac:dyDescent="0.25">
      <c r="A1239" t="str">
        <f t="shared" si="309"/>
        <v>10620002B23/05/2026E</v>
      </c>
      <c r="B1239" s="1" t="s">
        <v>823</v>
      </c>
      <c r="C1239" s="1" t="s">
        <v>397</v>
      </c>
      <c r="D1239" s="1" t="s">
        <v>591</v>
      </c>
      <c r="E1239" s="1" t="s">
        <v>595</v>
      </c>
      <c r="F1239" s="1" t="s">
        <v>386</v>
      </c>
      <c r="G1239" s="62" t="str">
        <f t="shared" si="308"/>
        <v>64592</v>
      </c>
      <c r="H1239" s="1">
        <v>10620002</v>
      </c>
      <c r="I1239" s="1" t="s">
        <v>387</v>
      </c>
      <c r="J1239" s="61">
        <v>5</v>
      </c>
      <c r="K1239" s="61">
        <v>6</v>
      </c>
      <c r="L1239" s="61">
        <v>9</v>
      </c>
      <c r="M1239" s="69">
        <f t="shared" si="297"/>
        <v>0.3</v>
      </c>
      <c r="N1239" s="69">
        <f t="shared" si="298"/>
        <v>0.45</v>
      </c>
      <c r="O1239" s="56">
        <v>50.1</v>
      </c>
      <c r="P1239" s="57">
        <f t="shared" si="299"/>
        <v>250.5</v>
      </c>
      <c r="Q1239" s="58">
        <f t="shared" si="300"/>
        <v>417.5</v>
      </c>
      <c r="R1239" s="58">
        <f t="shared" si="301"/>
        <v>278.33333333333331</v>
      </c>
      <c r="S1239" s="66">
        <f t="shared" si="302"/>
        <v>4.38375</v>
      </c>
      <c r="T1239" s="64">
        <f t="shared" si="303"/>
        <v>18.75</v>
      </c>
      <c r="U1239" s="66">
        <f t="shared" si="304"/>
        <v>273.63375000000002</v>
      </c>
      <c r="V1239" s="68">
        <f t="shared" si="305"/>
        <v>54.726750000000003</v>
      </c>
      <c r="W1239" s="68">
        <f t="shared" si="306"/>
        <v>456.05625000000003</v>
      </c>
      <c r="X1239" s="68">
        <f t="shared" si="307"/>
        <v>304.03750000000002</v>
      </c>
      <c r="Z1239" s="63"/>
      <c r="AA1239" s="63"/>
    </row>
    <row r="1240" spans="1:27" hidden="1" x14ac:dyDescent="0.25">
      <c r="A1240" t="str">
        <f t="shared" si="309"/>
        <v>10620002C24/05/2026E</v>
      </c>
      <c r="B1240" s="1" t="s">
        <v>823</v>
      </c>
      <c r="C1240" s="1" t="s">
        <v>397</v>
      </c>
      <c r="D1240" s="1" t="s">
        <v>591</v>
      </c>
      <c r="E1240" s="1" t="s">
        <v>595</v>
      </c>
      <c r="F1240" s="1" t="s">
        <v>386</v>
      </c>
      <c r="G1240" s="62" t="str">
        <f t="shared" si="308"/>
        <v>64592</v>
      </c>
      <c r="H1240" s="1">
        <v>10620002</v>
      </c>
      <c r="I1240" s="1" t="s">
        <v>388</v>
      </c>
      <c r="J1240" s="61">
        <v>35</v>
      </c>
      <c r="K1240" s="61">
        <v>3.7</v>
      </c>
      <c r="L1240" s="61">
        <v>8</v>
      </c>
      <c r="M1240" s="69">
        <f t="shared" si="297"/>
        <v>1.2949999999999999</v>
      </c>
      <c r="N1240" s="69">
        <f t="shared" si="298"/>
        <v>2.8</v>
      </c>
      <c r="O1240" s="56">
        <v>35.773056000000004</v>
      </c>
      <c r="P1240" s="57">
        <f t="shared" si="299"/>
        <v>1252.0569600000001</v>
      </c>
      <c r="Q1240" s="58">
        <f t="shared" si="300"/>
        <v>396.01169003690035</v>
      </c>
      <c r="R1240" s="58">
        <f t="shared" si="301"/>
        <v>264.00779335793356</v>
      </c>
      <c r="S1240" s="66">
        <f t="shared" si="302"/>
        <v>21.910996800000003</v>
      </c>
      <c r="T1240" s="64">
        <f t="shared" si="303"/>
        <v>131.25</v>
      </c>
      <c r="U1240" s="66">
        <f t="shared" si="304"/>
        <v>1405.2179568000001</v>
      </c>
      <c r="V1240" s="68">
        <f t="shared" si="305"/>
        <v>40.149084480000006</v>
      </c>
      <c r="W1240" s="68">
        <f t="shared" si="306"/>
        <v>444.45480974169743</v>
      </c>
      <c r="X1240" s="68">
        <f t="shared" si="307"/>
        <v>296.30320649446497</v>
      </c>
      <c r="Z1240" s="63"/>
      <c r="AA1240" s="63"/>
    </row>
    <row r="1241" spans="1:27" hidden="1" x14ac:dyDescent="0.25">
      <c r="A1241" t="str">
        <f t="shared" si="309"/>
        <v>10620002B24/05/2026M</v>
      </c>
      <c r="B1241" s="1" t="s">
        <v>824</v>
      </c>
      <c r="C1241" s="1" t="s">
        <v>396</v>
      </c>
      <c r="D1241" s="1" t="s">
        <v>591</v>
      </c>
      <c r="E1241" s="1" t="s">
        <v>595</v>
      </c>
      <c r="F1241" s="1" t="s">
        <v>386</v>
      </c>
      <c r="G1241" s="62" t="str">
        <f t="shared" si="308"/>
        <v>64592</v>
      </c>
      <c r="H1241" s="1">
        <v>10620002</v>
      </c>
      <c r="I1241" s="1" t="s">
        <v>387</v>
      </c>
      <c r="J1241" s="61">
        <v>6</v>
      </c>
      <c r="K1241" s="61">
        <v>6.7</v>
      </c>
      <c r="L1241" s="61">
        <v>8.8000000000000007</v>
      </c>
      <c r="M1241" s="69">
        <f t="shared" si="297"/>
        <v>0.40200000000000002</v>
      </c>
      <c r="N1241" s="69">
        <f t="shared" si="298"/>
        <v>0.52800000000000002</v>
      </c>
      <c r="O1241" s="56">
        <v>55.385550000000002</v>
      </c>
      <c r="P1241" s="57">
        <f t="shared" si="299"/>
        <v>332.31330000000003</v>
      </c>
      <c r="Q1241" s="58">
        <f t="shared" si="300"/>
        <v>440.73381962864721</v>
      </c>
      <c r="R1241" s="58">
        <f t="shared" si="301"/>
        <v>293.82254641909816</v>
      </c>
      <c r="S1241" s="66">
        <f t="shared" si="302"/>
        <v>5.815482750000001</v>
      </c>
      <c r="T1241" s="64">
        <f t="shared" si="303"/>
        <v>22.5</v>
      </c>
      <c r="U1241" s="66">
        <f t="shared" si="304"/>
        <v>360.62878275000003</v>
      </c>
      <c r="V1241" s="68">
        <f t="shared" si="305"/>
        <v>60.104797125000005</v>
      </c>
      <c r="W1241" s="68">
        <f t="shared" si="306"/>
        <v>478.28751027851456</v>
      </c>
      <c r="X1241" s="68">
        <f t="shared" si="307"/>
        <v>318.85834018567635</v>
      </c>
      <c r="Z1241" s="63"/>
      <c r="AA1241" s="63"/>
    </row>
    <row r="1242" spans="1:27" hidden="1" x14ac:dyDescent="0.25">
      <c r="A1242" t="str">
        <f t="shared" si="309"/>
        <v>10620002C24/05/2026M</v>
      </c>
      <c r="B1242" s="1" t="s">
        <v>824</v>
      </c>
      <c r="C1242" s="1" t="s">
        <v>396</v>
      </c>
      <c r="D1242" s="1" t="s">
        <v>591</v>
      </c>
      <c r="E1242" s="1" t="s">
        <v>595</v>
      </c>
      <c r="F1242" s="1" t="s">
        <v>386</v>
      </c>
      <c r="G1242" s="62" t="str">
        <f t="shared" si="308"/>
        <v>64592</v>
      </c>
      <c r="H1242" s="1">
        <v>10620002</v>
      </c>
      <c r="I1242" s="1" t="s">
        <v>388</v>
      </c>
      <c r="J1242" s="61">
        <v>38</v>
      </c>
      <c r="K1242" s="61">
        <v>3.9</v>
      </c>
      <c r="L1242" s="61">
        <v>8</v>
      </c>
      <c r="M1242" s="69">
        <f t="shared" si="297"/>
        <v>1.482</v>
      </c>
      <c r="N1242" s="69">
        <f t="shared" si="298"/>
        <v>3.04</v>
      </c>
      <c r="O1242" s="56">
        <v>36.565056000000006</v>
      </c>
      <c r="P1242" s="57">
        <f t="shared" si="299"/>
        <v>1389.4721280000001</v>
      </c>
      <c r="Q1242" s="58">
        <f t="shared" si="300"/>
        <v>396.01143682310476</v>
      </c>
      <c r="R1242" s="58">
        <f t="shared" si="301"/>
        <v>264.00762454873649</v>
      </c>
      <c r="S1242" s="66">
        <f t="shared" si="302"/>
        <v>24.315762240000005</v>
      </c>
      <c r="T1242" s="64">
        <f t="shared" si="303"/>
        <v>142.5</v>
      </c>
      <c r="U1242" s="66">
        <f t="shared" si="304"/>
        <v>1556.28789024</v>
      </c>
      <c r="V1242" s="68">
        <f t="shared" si="305"/>
        <v>40.954944480000002</v>
      </c>
      <c r="W1242" s="68">
        <f t="shared" si="306"/>
        <v>443.55535537906138</v>
      </c>
      <c r="X1242" s="68">
        <f t="shared" si="307"/>
        <v>295.70357025270761</v>
      </c>
      <c r="Z1242" s="63"/>
      <c r="AA1242" s="63"/>
    </row>
    <row r="1243" spans="1:27" hidden="1" x14ac:dyDescent="0.25">
      <c r="A1243" t="str">
        <f t="shared" si="309"/>
        <v>10620002B24/05/2026E</v>
      </c>
      <c r="B1243" s="1" t="s">
        <v>824</v>
      </c>
      <c r="C1243" s="1" t="s">
        <v>397</v>
      </c>
      <c r="D1243" s="1" t="s">
        <v>591</v>
      </c>
      <c r="E1243" s="1" t="s">
        <v>595</v>
      </c>
      <c r="F1243" s="1" t="s">
        <v>386</v>
      </c>
      <c r="G1243" s="62" t="str">
        <f t="shared" si="308"/>
        <v>64592</v>
      </c>
      <c r="H1243" s="1">
        <v>10620002</v>
      </c>
      <c r="I1243" s="1" t="s">
        <v>387</v>
      </c>
      <c r="J1243" s="61">
        <v>4</v>
      </c>
      <c r="K1243" s="61">
        <v>5.9</v>
      </c>
      <c r="L1243" s="61">
        <v>8.8000000000000007</v>
      </c>
      <c r="M1243" s="69">
        <f t="shared" si="297"/>
        <v>0.23600000000000002</v>
      </c>
      <c r="N1243" s="69">
        <f t="shared" si="298"/>
        <v>0.35200000000000004</v>
      </c>
      <c r="O1243" s="56">
        <v>48.772350000000003</v>
      </c>
      <c r="P1243" s="57">
        <f t="shared" si="299"/>
        <v>195.08940000000001</v>
      </c>
      <c r="Q1243" s="58">
        <f t="shared" si="300"/>
        <v>414.49589235127479</v>
      </c>
      <c r="R1243" s="58">
        <f t="shared" si="301"/>
        <v>276.33059490084986</v>
      </c>
      <c r="S1243" s="66">
        <f t="shared" si="302"/>
        <v>3.4140645000000007</v>
      </c>
      <c r="T1243" s="64">
        <f t="shared" si="303"/>
        <v>15</v>
      </c>
      <c r="U1243" s="66">
        <f t="shared" si="304"/>
        <v>213.50346450000001</v>
      </c>
      <c r="V1243" s="68">
        <f t="shared" si="305"/>
        <v>53.375866125000002</v>
      </c>
      <c r="W1243" s="68">
        <f t="shared" si="306"/>
        <v>453.61925885269125</v>
      </c>
      <c r="X1243" s="68">
        <f t="shared" si="307"/>
        <v>302.41283923512748</v>
      </c>
      <c r="Z1243" s="63"/>
      <c r="AA1243" s="63"/>
    </row>
    <row r="1244" spans="1:27" hidden="1" x14ac:dyDescent="0.25">
      <c r="A1244" t="str">
        <f t="shared" si="309"/>
        <v>10620002C25/05/2026E</v>
      </c>
      <c r="B1244" s="1" t="s">
        <v>824</v>
      </c>
      <c r="C1244" s="1" t="s">
        <v>397</v>
      </c>
      <c r="D1244" s="1" t="s">
        <v>591</v>
      </c>
      <c r="E1244" s="1" t="s">
        <v>595</v>
      </c>
      <c r="F1244" s="1" t="s">
        <v>386</v>
      </c>
      <c r="G1244" s="62" t="str">
        <f t="shared" si="308"/>
        <v>64592</v>
      </c>
      <c r="H1244" s="1">
        <v>10620002</v>
      </c>
      <c r="I1244" s="1" t="s">
        <v>388</v>
      </c>
      <c r="J1244" s="61">
        <v>33</v>
      </c>
      <c r="K1244" s="61">
        <v>3.3</v>
      </c>
      <c r="L1244" s="61">
        <v>8</v>
      </c>
      <c r="M1244" s="69">
        <f t="shared" si="297"/>
        <v>1.089</v>
      </c>
      <c r="N1244" s="69">
        <f t="shared" si="298"/>
        <v>2.64</v>
      </c>
      <c r="O1244" s="56">
        <v>34.189056000000008</v>
      </c>
      <c r="P1244" s="57">
        <f t="shared" si="299"/>
        <v>1128.2388480000002</v>
      </c>
      <c r="Q1244" s="58">
        <f t="shared" si="300"/>
        <v>396.01223166023169</v>
      </c>
      <c r="R1244" s="58">
        <f t="shared" si="301"/>
        <v>264.00815444015444</v>
      </c>
      <c r="S1244" s="66">
        <f t="shared" si="302"/>
        <v>19.744179840000005</v>
      </c>
      <c r="T1244" s="64">
        <f t="shared" si="303"/>
        <v>123.75</v>
      </c>
      <c r="U1244" s="66">
        <f t="shared" si="304"/>
        <v>1271.7330278400002</v>
      </c>
      <c r="V1244" s="68">
        <f t="shared" si="305"/>
        <v>38.537364480000008</v>
      </c>
      <c r="W1244" s="68">
        <f t="shared" si="306"/>
        <v>446.37873915057918</v>
      </c>
      <c r="X1244" s="68">
        <f t="shared" si="307"/>
        <v>297.5858261003861</v>
      </c>
      <c r="Z1244" s="63"/>
      <c r="AA1244" s="63"/>
    </row>
    <row r="1245" spans="1:27" hidden="1" x14ac:dyDescent="0.25">
      <c r="A1245" t="str">
        <f t="shared" si="309"/>
        <v>10620002B25/05/2026M</v>
      </c>
      <c r="B1245" s="1" t="s">
        <v>825</v>
      </c>
      <c r="C1245" s="1" t="s">
        <v>396</v>
      </c>
      <c r="D1245" s="1" t="s">
        <v>591</v>
      </c>
      <c r="E1245" s="1" t="s">
        <v>595</v>
      </c>
      <c r="F1245" s="1" t="s">
        <v>386</v>
      </c>
      <c r="G1245" s="62" t="str">
        <f t="shared" si="308"/>
        <v>64592</v>
      </c>
      <c r="H1245" s="1">
        <v>10620002</v>
      </c>
      <c r="I1245" s="1" t="s">
        <v>387</v>
      </c>
      <c r="J1245" s="61">
        <v>6</v>
      </c>
      <c r="K1245" s="61">
        <v>6.6</v>
      </c>
      <c r="L1245" s="61">
        <v>8.8000000000000007</v>
      </c>
      <c r="M1245" s="69">
        <f t="shared" si="297"/>
        <v>0.39599999999999996</v>
      </c>
      <c r="N1245" s="69">
        <f t="shared" si="298"/>
        <v>0.52800000000000002</v>
      </c>
      <c r="O1245" s="56">
        <v>54.558900000000001</v>
      </c>
      <c r="P1245" s="57">
        <f t="shared" si="299"/>
        <v>327.35340000000002</v>
      </c>
      <c r="Q1245" s="58">
        <f t="shared" si="300"/>
        <v>437.63823529411764</v>
      </c>
      <c r="R1245" s="58">
        <f t="shared" si="301"/>
        <v>291.75882352941176</v>
      </c>
      <c r="S1245" s="66">
        <f t="shared" si="302"/>
        <v>5.7286845000000008</v>
      </c>
      <c r="T1245" s="64">
        <f t="shared" si="303"/>
        <v>22.5</v>
      </c>
      <c r="U1245" s="66">
        <f t="shared" si="304"/>
        <v>355.58208450000001</v>
      </c>
      <c r="V1245" s="68">
        <f t="shared" si="305"/>
        <v>59.263680749999999</v>
      </c>
      <c r="W1245" s="68">
        <f t="shared" si="306"/>
        <v>475.37711831550797</v>
      </c>
      <c r="X1245" s="68">
        <f t="shared" si="307"/>
        <v>316.91807887700531</v>
      </c>
      <c r="Z1245" s="63"/>
      <c r="AA1245" s="63"/>
    </row>
    <row r="1246" spans="1:27" hidden="1" x14ac:dyDescent="0.25">
      <c r="A1246" t="str">
        <f t="shared" si="309"/>
        <v>10620002C25/05/2026M</v>
      </c>
      <c r="B1246" s="1" t="s">
        <v>825</v>
      </c>
      <c r="C1246" s="1" t="s">
        <v>396</v>
      </c>
      <c r="D1246" s="1" t="s">
        <v>591</v>
      </c>
      <c r="E1246" s="1" t="s">
        <v>595</v>
      </c>
      <c r="F1246" s="1" t="s">
        <v>386</v>
      </c>
      <c r="G1246" s="62" t="str">
        <f t="shared" si="308"/>
        <v>64592</v>
      </c>
      <c r="H1246" s="1">
        <v>10620002</v>
      </c>
      <c r="I1246" s="1" t="s">
        <v>388</v>
      </c>
      <c r="J1246" s="61">
        <v>41</v>
      </c>
      <c r="K1246" s="61">
        <v>3.8</v>
      </c>
      <c r="L1246" s="61">
        <v>8</v>
      </c>
      <c r="M1246" s="69">
        <f t="shared" si="297"/>
        <v>1.5579999999999998</v>
      </c>
      <c r="N1246" s="69">
        <f t="shared" si="298"/>
        <v>3.28</v>
      </c>
      <c r="O1246" s="56">
        <v>36.169056000000005</v>
      </c>
      <c r="P1246" s="57">
        <f t="shared" si="299"/>
        <v>1482.9312960000002</v>
      </c>
      <c r="Q1246" s="58">
        <f t="shared" si="300"/>
        <v>396.01156204379566</v>
      </c>
      <c r="R1246" s="58">
        <f t="shared" si="301"/>
        <v>264.00770802919709</v>
      </c>
      <c r="S1246" s="66">
        <f t="shared" si="302"/>
        <v>25.951297680000007</v>
      </c>
      <c r="T1246" s="64">
        <f t="shared" si="303"/>
        <v>153.75</v>
      </c>
      <c r="U1246" s="66">
        <f t="shared" si="304"/>
        <v>1662.6325936800001</v>
      </c>
      <c r="V1246" s="68">
        <f t="shared" si="305"/>
        <v>40.552014480000004</v>
      </c>
      <c r="W1246" s="68">
        <f t="shared" si="306"/>
        <v>444.000158540146</v>
      </c>
      <c r="X1246" s="68">
        <f t="shared" si="307"/>
        <v>296.00010569343067</v>
      </c>
      <c r="Z1246" s="63"/>
      <c r="AA1246" s="63"/>
    </row>
    <row r="1247" spans="1:27" hidden="1" x14ac:dyDescent="0.25">
      <c r="A1247" t="str">
        <f t="shared" si="309"/>
        <v>10620002B25/05/2026E</v>
      </c>
      <c r="B1247" s="1" t="s">
        <v>825</v>
      </c>
      <c r="C1247" s="1" t="s">
        <v>397</v>
      </c>
      <c r="D1247" s="1" t="s">
        <v>591</v>
      </c>
      <c r="E1247" s="1" t="s">
        <v>595</v>
      </c>
      <c r="F1247" s="1" t="s">
        <v>386</v>
      </c>
      <c r="G1247" s="62" t="str">
        <f t="shared" si="308"/>
        <v>64592</v>
      </c>
      <c r="H1247" s="1">
        <v>10620002</v>
      </c>
      <c r="I1247" s="1" t="s">
        <v>387</v>
      </c>
      <c r="J1247" s="61">
        <v>5</v>
      </c>
      <c r="K1247" s="61">
        <v>6.6</v>
      </c>
      <c r="L1247" s="61">
        <v>9</v>
      </c>
      <c r="M1247" s="69">
        <f t="shared" ref="M1247:M1271" si="310">K1247*J1247/100</f>
        <v>0.33</v>
      </c>
      <c r="N1247" s="69">
        <f t="shared" ref="N1247:N1271" si="311">L1247*J1247/100</f>
        <v>0.45</v>
      </c>
      <c r="O1247" s="56">
        <v>55.11</v>
      </c>
      <c r="P1247" s="57">
        <f t="shared" ref="P1247:P1271" si="312">O1247*J1247</f>
        <v>275.55</v>
      </c>
      <c r="Q1247" s="58">
        <f t="shared" ref="Q1247:Q1271" si="313">O1247/(K1247%+L1247%*2/3)</f>
        <v>437.38095238095235</v>
      </c>
      <c r="R1247" s="58">
        <f t="shared" ref="R1247:R1271" si="314">Q1247*2/3</f>
        <v>291.58730158730157</v>
      </c>
      <c r="S1247" s="66">
        <f t="shared" ref="S1247:S1271" si="315">P1247*1.75%</f>
        <v>4.8221250000000007</v>
      </c>
      <c r="T1247" s="64">
        <f t="shared" ref="T1247:T1271" si="316">J1247*3.75</f>
        <v>18.75</v>
      </c>
      <c r="U1247" s="66">
        <f t="shared" ref="U1247:U1271" si="317">S1247+T1247+P1247</f>
        <v>299.12212499999998</v>
      </c>
      <c r="V1247" s="68">
        <f t="shared" ref="V1247:V1271" si="318">U1247/J1247</f>
        <v>59.824424999999998</v>
      </c>
      <c r="W1247" s="68">
        <f t="shared" ref="W1247:W1271" si="319">V1247/(K1247%+L1247%*2/3)</f>
        <v>474.79702380952381</v>
      </c>
      <c r="X1247" s="68">
        <f t="shared" ref="X1247:X1271" si="320">W1247*2/3</f>
        <v>316.5313492063492</v>
      </c>
      <c r="Z1247" s="63"/>
      <c r="AA1247" s="63"/>
    </row>
    <row r="1248" spans="1:27" hidden="1" x14ac:dyDescent="0.25">
      <c r="A1248" t="str">
        <f t="shared" si="309"/>
        <v>10620002C26/05/2026E</v>
      </c>
      <c r="B1248" s="1" t="s">
        <v>825</v>
      </c>
      <c r="C1248" s="1" t="s">
        <v>397</v>
      </c>
      <c r="D1248" s="1" t="s">
        <v>591</v>
      </c>
      <c r="E1248" s="1" t="s">
        <v>595</v>
      </c>
      <c r="F1248" s="1" t="s">
        <v>386</v>
      </c>
      <c r="G1248" s="62" t="str">
        <f t="shared" si="308"/>
        <v>64592</v>
      </c>
      <c r="H1248" s="1">
        <v>10620002</v>
      </c>
      <c r="I1248" s="1" t="s">
        <v>388</v>
      </c>
      <c r="J1248" s="61">
        <v>40</v>
      </c>
      <c r="K1248" s="61">
        <v>3.8</v>
      </c>
      <c r="L1248" s="61">
        <v>8.1999999999999993</v>
      </c>
      <c r="M1248" s="69">
        <f t="shared" si="310"/>
        <v>1.52</v>
      </c>
      <c r="N1248" s="69">
        <f t="shared" si="311"/>
        <v>3.28</v>
      </c>
      <c r="O1248" s="56">
        <v>36.697082399999999</v>
      </c>
      <c r="P1248" s="57">
        <f t="shared" si="312"/>
        <v>1467.883296</v>
      </c>
      <c r="Q1248" s="58">
        <f t="shared" si="313"/>
        <v>396.01168057553957</v>
      </c>
      <c r="R1248" s="58">
        <f t="shared" si="314"/>
        <v>264.0077870503597</v>
      </c>
      <c r="S1248" s="66">
        <f t="shared" si="315"/>
        <v>25.68795768</v>
      </c>
      <c r="T1248" s="64">
        <f t="shared" si="316"/>
        <v>150</v>
      </c>
      <c r="U1248" s="66">
        <f t="shared" si="317"/>
        <v>1643.5712536799999</v>
      </c>
      <c r="V1248" s="68">
        <f t="shared" si="318"/>
        <v>41.089281342</v>
      </c>
      <c r="W1248" s="68">
        <f t="shared" si="319"/>
        <v>443.40951088489209</v>
      </c>
      <c r="X1248" s="68">
        <f t="shared" si="320"/>
        <v>295.60634058992804</v>
      </c>
      <c r="Z1248" s="63"/>
      <c r="AA1248" s="63"/>
    </row>
    <row r="1249" spans="1:27" hidden="1" x14ac:dyDescent="0.25">
      <c r="A1249" t="str">
        <f t="shared" si="309"/>
        <v>10620002B26/05/2026M</v>
      </c>
      <c r="B1249" s="1" t="s">
        <v>826</v>
      </c>
      <c r="C1249" s="1" t="s">
        <v>396</v>
      </c>
      <c r="D1249" s="1" t="s">
        <v>591</v>
      </c>
      <c r="E1249" s="1" t="s">
        <v>595</v>
      </c>
      <c r="F1249" s="1" t="s">
        <v>386</v>
      </c>
      <c r="G1249" s="62" t="str">
        <f t="shared" si="308"/>
        <v>64592</v>
      </c>
      <c r="H1249" s="1">
        <v>10620002</v>
      </c>
      <c r="I1249" s="1" t="s">
        <v>387</v>
      </c>
      <c r="J1249" s="61">
        <v>5</v>
      </c>
      <c r="K1249" s="61">
        <v>7</v>
      </c>
      <c r="L1249" s="61">
        <v>9</v>
      </c>
      <c r="M1249" s="69">
        <f t="shared" si="310"/>
        <v>0.35</v>
      </c>
      <c r="N1249" s="69">
        <f t="shared" si="311"/>
        <v>0.45</v>
      </c>
      <c r="O1249" s="56">
        <f>INDEX(Rate_Chart!$A$1:$AK$127,MATCH(Data!K1249,Rate_Chart!$A$1:$A$127,0),MATCH(Data!L1249,Rate_Chart!$A$1:$AK$1,0))</f>
        <v>58.45</v>
      </c>
      <c r="P1249" s="57">
        <f t="shared" si="312"/>
        <v>292.25</v>
      </c>
      <c r="Q1249" s="58">
        <f t="shared" si="313"/>
        <v>449.61538461538464</v>
      </c>
      <c r="R1249" s="58">
        <f t="shared" si="314"/>
        <v>299.74358974358978</v>
      </c>
      <c r="S1249" s="66">
        <f t="shared" si="315"/>
        <v>5.1143750000000008</v>
      </c>
      <c r="T1249" s="64">
        <f t="shared" si="316"/>
        <v>18.75</v>
      </c>
      <c r="U1249" s="66">
        <f t="shared" si="317"/>
        <v>316.114375</v>
      </c>
      <c r="V1249" s="68">
        <f t="shared" si="318"/>
        <v>63.222875000000002</v>
      </c>
      <c r="W1249" s="68">
        <f t="shared" si="319"/>
        <v>486.32980769230767</v>
      </c>
      <c r="X1249" s="68">
        <f t="shared" si="320"/>
        <v>324.21987179487178</v>
      </c>
      <c r="Z1249" s="63"/>
      <c r="AA1249" s="63"/>
    </row>
    <row r="1250" spans="1:27" hidden="1" x14ac:dyDescent="0.25">
      <c r="A1250" t="str">
        <f t="shared" si="309"/>
        <v>10620002C26/05/2026M</v>
      </c>
      <c r="B1250" s="1" t="s">
        <v>826</v>
      </c>
      <c r="C1250" s="1" t="s">
        <v>396</v>
      </c>
      <c r="D1250" s="1" t="s">
        <v>591</v>
      </c>
      <c r="E1250" s="1" t="s">
        <v>595</v>
      </c>
      <c r="F1250" s="1" t="s">
        <v>386</v>
      </c>
      <c r="G1250" s="62" t="str">
        <f t="shared" si="308"/>
        <v>64592</v>
      </c>
      <c r="H1250" s="1">
        <v>10620002</v>
      </c>
      <c r="I1250" s="1" t="s">
        <v>388</v>
      </c>
      <c r="J1250" s="61">
        <v>39</v>
      </c>
      <c r="K1250" s="61">
        <v>4</v>
      </c>
      <c r="L1250" s="61">
        <v>8.4</v>
      </c>
      <c r="M1250" s="69">
        <f t="shared" si="310"/>
        <v>1.56</v>
      </c>
      <c r="N1250" s="69">
        <f t="shared" si="311"/>
        <v>3.2760000000000002</v>
      </c>
      <c r="O1250" s="56">
        <f>INDEX(Rate_Chart!$A$1:$AK$127,MATCH(Data!K1250,Rate_Chart!$A$1:$A$127,0),MATCH(Data!L1250,Rate_Chart!$A$1:$AK$1,0))</f>
        <v>40.033167600000006</v>
      </c>
      <c r="P1250" s="57">
        <f t="shared" si="312"/>
        <v>1561.2935364000002</v>
      </c>
      <c r="Q1250" s="58">
        <f t="shared" si="313"/>
        <v>417.01216250000004</v>
      </c>
      <c r="R1250" s="58">
        <f t="shared" si="314"/>
        <v>278.00810833333338</v>
      </c>
      <c r="S1250" s="66">
        <f t="shared" si="315"/>
        <v>27.322636887000005</v>
      </c>
      <c r="T1250" s="64">
        <f t="shared" si="316"/>
        <v>146.25</v>
      </c>
      <c r="U1250" s="66">
        <f t="shared" si="317"/>
        <v>1734.8661732870003</v>
      </c>
      <c r="V1250" s="68">
        <f t="shared" si="318"/>
        <v>44.483748033000005</v>
      </c>
      <c r="W1250" s="68">
        <f t="shared" si="319"/>
        <v>463.37237534375004</v>
      </c>
      <c r="X1250" s="68">
        <f t="shared" si="320"/>
        <v>308.91491689583336</v>
      </c>
      <c r="Z1250" s="63"/>
      <c r="AA1250" s="63"/>
    </row>
    <row r="1251" spans="1:27" hidden="1" x14ac:dyDescent="0.25">
      <c r="A1251" t="str">
        <f t="shared" si="309"/>
        <v>10620002B26/05/2026E</v>
      </c>
      <c r="B1251" s="1" t="s">
        <v>826</v>
      </c>
      <c r="C1251" s="1" t="s">
        <v>397</v>
      </c>
      <c r="D1251" s="1" t="s">
        <v>591</v>
      </c>
      <c r="E1251" s="1" t="s">
        <v>595</v>
      </c>
      <c r="F1251" s="1" t="s">
        <v>386</v>
      </c>
      <c r="G1251" s="62" t="str">
        <f t="shared" si="308"/>
        <v>64592</v>
      </c>
      <c r="H1251" s="1">
        <v>10620002</v>
      </c>
      <c r="I1251" s="1" t="s">
        <v>387</v>
      </c>
      <c r="J1251" s="61">
        <v>4</v>
      </c>
      <c r="K1251" s="61">
        <v>7</v>
      </c>
      <c r="L1251" s="61">
        <v>9</v>
      </c>
      <c r="M1251" s="69">
        <f t="shared" si="310"/>
        <v>0.28000000000000003</v>
      </c>
      <c r="N1251" s="69">
        <f t="shared" si="311"/>
        <v>0.36</v>
      </c>
      <c r="O1251" s="56">
        <f>INDEX(Rate_Chart!$A$1:$AK$127,MATCH(Data!K1251,Rate_Chart!$A$1:$A$127,0),MATCH(Data!L1251,Rate_Chart!$A$1:$AK$1,0))</f>
        <v>58.45</v>
      </c>
      <c r="P1251" s="57">
        <f t="shared" si="312"/>
        <v>233.8</v>
      </c>
      <c r="Q1251" s="58">
        <f t="shared" si="313"/>
        <v>449.61538461538464</v>
      </c>
      <c r="R1251" s="58">
        <f t="shared" si="314"/>
        <v>299.74358974358978</v>
      </c>
      <c r="S1251" s="66">
        <f t="shared" si="315"/>
        <v>4.0915000000000008</v>
      </c>
      <c r="T1251" s="64">
        <f t="shared" si="316"/>
        <v>15</v>
      </c>
      <c r="U1251" s="66">
        <f t="shared" si="317"/>
        <v>252.89150000000001</v>
      </c>
      <c r="V1251" s="68">
        <f t="shared" si="318"/>
        <v>63.222875000000002</v>
      </c>
      <c r="W1251" s="68">
        <f t="shared" si="319"/>
        <v>486.32980769230767</v>
      </c>
      <c r="X1251" s="68">
        <f t="shared" si="320"/>
        <v>324.21987179487178</v>
      </c>
      <c r="Z1251" s="63"/>
      <c r="AA1251" s="63"/>
    </row>
    <row r="1252" spans="1:27" hidden="1" x14ac:dyDescent="0.25">
      <c r="A1252" t="str">
        <f t="shared" si="309"/>
        <v>10620002C27/05/2026E</v>
      </c>
      <c r="B1252" s="1" t="s">
        <v>826</v>
      </c>
      <c r="C1252" s="1" t="s">
        <v>397</v>
      </c>
      <c r="D1252" s="1" t="s">
        <v>591</v>
      </c>
      <c r="E1252" s="1" t="s">
        <v>595</v>
      </c>
      <c r="F1252" s="1" t="s">
        <v>386</v>
      </c>
      <c r="G1252" s="62" t="str">
        <f t="shared" si="308"/>
        <v>64592</v>
      </c>
      <c r="H1252" s="1">
        <v>10620002</v>
      </c>
      <c r="I1252" s="1" t="s">
        <v>388</v>
      </c>
      <c r="J1252" s="61">
        <v>34</v>
      </c>
      <c r="K1252" s="61">
        <v>3.9</v>
      </c>
      <c r="L1252" s="61">
        <v>8.5</v>
      </c>
      <c r="M1252" s="69">
        <f t="shared" si="310"/>
        <v>1.3259999999999998</v>
      </c>
      <c r="N1252" s="69">
        <f t="shared" si="311"/>
        <v>2.89</v>
      </c>
      <c r="O1252" s="56">
        <f>INDEX(Rate_Chart!$A$1:$AK$127,MATCH(Data!K1252,Rate_Chart!$A$1:$A$127,0),MATCH(Data!L1252,Rate_Chart!$A$1:$AK$1,0))</f>
        <v>39.894181500000002</v>
      </c>
      <c r="P1252" s="57">
        <f t="shared" si="312"/>
        <v>1356.4021710000002</v>
      </c>
      <c r="Q1252" s="58">
        <f t="shared" si="313"/>
        <v>417.01235017421601</v>
      </c>
      <c r="R1252" s="58">
        <f t="shared" si="314"/>
        <v>278.00823344947736</v>
      </c>
      <c r="S1252" s="66">
        <f t="shared" si="315"/>
        <v>23.737037992500007</v>
      </c>
      <c r="T1252" s="64">
        <f t="shared" si="316"/>
        <v>127.5</v>
      </c>
      <c r="U1252" s="66">
        <f t="shared" si="317"/>
        <v>1507.6392089925002</v>
      </c>
      <c r="V1252" s="68">
        <f t="shared" si="318"/>
        <v>44.34232967625001</v>
      </c>
      <c r="W1252" s="68">
        <f t="shared" si="319"/>
        <v>463.50867257404184</v>
      </c>
      <c r="X1252" s="68">
        <f t="shared" si="320"/>
        <v>309.00578171602791</v>
      </c>
      <c r="Z1252" s="63"/>
      <c r="AA1252" s="63"/>
    </row>
    <row r="1253" spans="1:27" hidden="1" x14ac:dyDescent="0.25">
      <c r="A1253" t="str">
        <f t="shared" si="309"/>
        <v>10620002B27/05/2026M</v>
      </c>
      <c r="B1253" s="1" t="s">
        <v>827</v>
      </c>
      <c r="C1253" s="1" t="s">
        <v>396</v>
      </c>
      <c r="D1253" s="1" t="s">
        <v>591</v>
      </c>
      <c r="E1253" s="1" t="s">
        <v>595</v>
      </c>
      <c r="F1253" s="1" t="s">
        <v>386</v>
      </c>
      <c r="G1253" s="62" t="str">
        <f t="shared" si="308"/>
        <v>64592</v>
      </c>
      <c r="H1253" s="1">
        <v>10620002</v>
      </c>
      <c r="I1253" s="1" t="s">
        <v>387</v>
      </c>
      <c r="J1253" s="61">
        <v>6</v>
      </c>
      <c r="K1253" s="61">
        <v>6.5</v>
      </c>
      <c r="L1253" s="61">
        <v>9</v>
      </c>
      <c r="M1253" s="69">
        <f t="shared" si="310"/>
        <v>0.39</v>
      </c>
      <c r="N1253" s="69">
        <f t="shared" si="311"/>
        <v>0.54</v>
      </c>
      <c r="O1253" s="56">
        <f>INDEX(Rate_Chart!$A$1:$AK$127,MATCH(Data!K1253,Rate_Chart!$A$1:$A$127,0),MATCH(Data!L1253,Rate_Chart!$A$1:$AK$1,0))</f>
        <v>54.274999999999999</v>
      </c>
      <c r="P1253" s="57">
        <f t="shared" si="312"/>
        <v>325.64999999999998</v>
      </c>
      <c r="Q1253" s="58">
        <f t="shared" si="313"/>
        <v>434.2</v>
      </c>
      <c r="R1253" s="58">
        <f t="shared" si="314"/>
        <v>289.46666666666664</v>
      </c>
      <c r="S1253" s="66">
        <f t="shared" si="315"/>
        <v>5.6988750000000001</v>
      </c>
      <c r="T1253" s="64">
        <f t="shared" si="316"/>
        <v>22.5</v>
      </c>
      <c r="U1253" s="66">
        <f t="shared" si="317"/>
        <v>353.84887499999996</v>
      </c>
      <c r="V1253" s="68">
        <f t="shared" si="318"/>
        <v>58.974812499999992</v>
      </c>
      <c r="W1253" s="68">
        <f t="shared" si="319"/>
        <v>471.79849999999993</v>
      </c>
      <c r="X1253" s="68">
        <f t="shared" si="320"/>
        <v>314.53233333333327</v>
      </c>
      <c r="Z1253" s="63"/>
      <c r="AA1253" s="63"/>
    </row>
    <row r="1254" spans="1:27" hidden="1" x14ac:dyDescent="0.25">
      <c r="A1254" t="str">
        <f t="shared" si="309"/>
        <v>10620002C27/05/2026M</v>
      </c>
      <c r="B1254" s="1" t="s">
        <v>827</v>
      </c>
      <c r="C1254" s="1" t="s">
        <v>396</v>
      </c>
      <c r="D1254" s="1" t="s">
        <v>591</v>
      </c>
      <c r="E1254" s="1" t="s">
        <v>595</v>
      </c>
      <c r="F1254" s="1" t="s">
        <v>386</v>
      </c>
      <c r="G1254" s="62" t="str">
        <f t="shared" si="308"/>
        <v>64592</v>
      </c>
      <c r="H1254" s="1">
        <v>10620002</v>
      </c>
      <c r="I1254" s="1" t="s">
        <v>388</v>
      </c>
      <c r="J1254" s="61">
        <v>35</v>
      </c>
      <c r="K1254" s="61">
        <v>3.7</v>
      </c>
      <c r="L1254" s="61">
        <v>8.1999999999999993</v>
      </c>
      <c r="M1254" s="69">
        <f t="shared" si="310"/>
        <v>1.2949999999999999</v>
      </c>
      <c r="N1254" s="69">
        <f t="shared" si="311"/>
        <v>2.87</v>
      </c>
      <c r="O1254" s="56">
        <f>INDEX(Rate_Chart!$A$1:$AK$127,MATCH(Data!K1254,Rate_Chart!$A$1:$A$127,0),MATCH(Data!L1254,Rate_Chart!$A$1:$AK$1,0))</f>
        <v>38.226139799999999</v>
      </c>
      <c r="P1254" s="57">
        <f t="shared" si="312"/>
        <v>1337.9148929999999</v>
      </c>
      <c r="Q1254" s="58">
        <f t="shared" si="313"/>
        <v>417.01243418181815</v>
      </c>
      <c r="R1254" s="58">
        <f t="shared" si="314"/>
        <v>278.00828945454543</v>
      </c>
      <c r="S1254" s="66">
        <f t="shared" si="315"/>
        <v>23.413510627499999</v>
      </c>
      <c r="T1254" s="64">
        <f t="shared" si="316"/>
        <v>131.25</v>
      </c>
      <c r="U1254" s="66">
        <f t="shared" si="317"/>
        <v>1492.5784036274999</v>
      </c>
      <c r="V1254" s="68">
        <f t="shared" si="318"/>
        <v>42.645097246500001</v>
      </c>
      <c r="W1254" s="68">
        <f t="shared" si="319"/>
        <v>465.21924268909089</v>
      </c>
      <c r="X1254" s="68">
        <f t="shared" si="320"/>
        <v>310.14616179272724</v>
      </c>
      <c r="Z1254" s="63"/>
      <c r="AA1254" s="63"/>
    </row>
    <row r="1255" spans="1:27" hidden="1" x14ac:dyDescent="0.25">
      <c r="A1255" t="str">
        <f t="shared" si="309"/>
        <v>10620002B27/05/2026E</v>
      </c>
      <c r="B1255" s="1" t="s">
        <v>827</v>
      </c>
      <c r="C1255" s="1" t="s">
        <v>397</v>
      </c>
      <c r="D1255" s="1" t="s">
        <v>591</v>
      </c>
      <c r="E1255" s="1" t="s">
        <v>595</v>
      </c>
      <c r="F1255" s="1" t="s">
        <v>386</v>
      </c>
      <c r="G1255" s="62" t="str">
        <f t="shared" si="308"/>
        <v>64592</v>
      </c>
      <c r="H1255" s="1">
        <v>10620002</v>
      </c>
      <c r="I1255" s="1" t="s">
        <v>387</v>
      </c>
      <c r="J1255" s="61">
        <v>5</v>
      </c>
      <c r="K1255" s="61">
        <v>5.6</v>
      </c>
      <c r="L1255" s="61">
        <v>8.8000000000000007</v>
      </c>
      <c r="M1255" s="69">
        <f t="shared" si="310"/>
        <v>0.28000000000000003</v>
      </c>
      <c r="N1255" s="69">
        <f t="shared" si="311"/>
        <v>0.44</v>
      </c>
      <c r="O1255" s="56">
        <f>INDEX(Rate_Chart!$A$1:$AK$127,MATCH(Data!K1255,Rate_Chart!$A$1:$A$127,0),MATCH(Data!L1255,Rate_Chart!$A$1:$AK$1,0))</f>
        <v>46.292400000000001</v>
      </c>
      <c r="P1255" s="57">
        <f t="shared" si="312"/>
        <v>231.46199999999999</v>
      </c>
      <c r="Q1255" s="58">
        <f t="shared" si="313"/>
        <v>403.71279069767445</v>
      </c>
      <c r="R1255" s="58">
        <f t="shared" si="314"/>
        <v>269.14186046511628</v>
      </c>
      <c r="S1255" s="66">
        <f t="shared" si="315"/>
        <v>4.0505849999999999</v>
      </c>
      <c r="T1255" s="64">
        <f t="shared" si="316"/>
        <v>18.75</v>
      </c>
      <c r="U1255" s="66">
        <f t="shared" si="317"/>
        <v>254.262585</v>
      </c>
      <c r="V1255" s="68">
        <f t="shared" si="318"/>
        <v>50.852516999999999</v>
      </c>
      <c r="W1255" s="68">
        <f t="shared" si="319"/>
        <v>443.48125290697675</v>
      </c>
      <c r="X1255" s="68">
        <f t="shared" si="320"/>
        <v>295.65416860465115</v>
      </c>
      <c r="Z1255" s="63"/>
      <c r="AA1255" s="63"/>
    </row>
    <row r="1256" spans="1:27" hidden="1" x14ac:dyDescent="0.25">
      <c r="A1256" t="str">
        <f t="shared" si="309"/>
        <v>10620002C28/05/2026E</v>
      </c>
      <c r="B1256" s="1" t="s">
        <v>827</v>
      </c>
      <c r="C1256" s="1" t="s">
        <v>397</v>
      </c>
      <c r="D1256" s="1" t="s">
        <v>591</v>
      </c>
      <c r="E1256" s="1" t="s">
        <v>595</v>
      </c>
      <c r="F1256" s="1" t="s">
        <v>386</v>
      </c>
      <c r="G1256" s="62" t="str">
        <f t="shared" si="308"/>
        <v>64592</v>
      </c>
      <c r="H1256" s="1">
        <v>10620002</v>
      </c>
      <c r="I1256" s="1" t="s">
        <v>388</v>
      </c>
      <c r="J1256" s="61">
        <v>22</v>
      </c>
      <c r="K1256" s="61">
        <v>3.5</v>
      </c>
      <c r="L1256" s="61">
        <v>8.5</v>
      </c>
      <c r="M1256" s="69">
        <f t="shared" si="310"/>
        <v>0.77</v>
      </c>
      <c r="N1256" s="69">
        <f t="shared" si="311"/>
        <v>1.87</v>
      </c>
      <c r="O1256" s="56">
        <f>INDEX(Rate_Chart!$A$1:$AK$127,MATCH(Data!K1256,Rate_Chart!$A$1:$A$127,0),MATCH(Data!L1256,Rate_Chart!$A$1:$AK$1,0))</f>
        <v>38.226181500000003</v>
      </c>
      <c r="P1256" s="57">
        <f t="shared" si="312"/>
        <v>840.97599300000002</v>
      </c>
      <c r="Q1256" s="58">
        <f t="shared" si="313"/>
        <v>417.01288909090908</v>
      </c>
      <c r="R1256" s="58">
        <f t="shared" si="314"/>
        <v>278.00859272727274</v>
      </c>
      <c r="S1256" s="66">
        <f t="shared" si="315"/>
        <v>14.717079877500002</v>
      </c>
      <c r="T1256" s="64">
        <f t="shared" si="316"/>
        <v>82.5</v>
      </c>
      <c r="U1256" s="66">
        <f t="shared" si="317"/>
        <v>938.19307287750007</v>
      </c>
      <c r="V1256" s="68">
        <f t="shared" si="318"/>
        <v>42.645139676250004</v>
      </c>
      <c r="W1256" s="68">
        <f t="shared" si="319"/>
        <v>465.21970555909093</v>
      </c>
      <c r="X1256" s="68">
        <f t="shared" si="320"/>
        <v>310.14647037272726</v>
      </c>
      <c r="Z1256" s="63"/>
      <c r="AA1256" s="63"/>
    </row>
    <row r="1257" spans="1:27" hidden="1" x14ac:dyDescent="0.25">
      <c r="A1257" t="str">
        <f t="shared" si="309"/>
        <v>10620002B28/05/2026M</v>
      </c>
      <c r="B1257" s="1" t="s">
        <v>828</v>
      </c>
      <c r="C1257" s="1" t="s">
        <v>396</v>
      </c>
      <c r="D1257" s="1" t="s">
        <v>591</v>
      </c>
      <c r="E1257" s="1" t="s">
        <v>595</v>
      </c>
      <c r="F1257" s="1" t="s">
        <v>386</v>
      </c>
      <c r="G1257" s="62" t="str">
        <f t="shared" si="308"/>
        <v>64592</v>
      </c>
      <c r="H1257" s="1">
        <v>10620002</v>
      </c>
      <c r="I1257" s="1" t="s">
        <v>387</v>
      </c>
      <c r="J1257" s="61">
        <v>9</v>
      </c>
      <c r="K1257" s="61">
        <v>5.6</v>
      </c>
      <c r="L1257" s="61">
        <v>8.6</v>
      </c>
      <c r="M1257" s="69">
        <f t="shared" si="310"/>
        <v>0.504</v>
      </c>
      <c r="N1257" s="69">
        <f t="shared" si="311"/>
        <v>0.77399999999999991</v>
      </c>
      <c r="O1257" s="56">
        <f>INDEX(Rate_Chart!$A$1:$AK$127,MATCH(Data!K1257,Rate_Chart!$A$1:$A$127,0),MATCH(Data!L1257,Rate_Chart!$A$1:$AK$1,0))</f>
        <v>45.824799999999996</v>
      </c>
      <c r="P1257" s="57">
        <f t="shared" si="312"/>
        <v>412.42319999999995</v>
      </c>
      <c r="Q1257" s="58">
        <f t="shared" si="313"/>
        <v>404.33647058823533</v>
      </c>
      <c r="R1257" s="58">
        <f t="shared" si="314"/>
        <v>269.55764705882353</v>
      </c>
      <c r="S1257" s="66">
        <f t="shared" si="315"/>
        <v>7.2174059999999995</v>
      </c>
      <c r="T1257" s="64">
        <f t="shared" si="316"/>
        <v>33.75</v>
      </c>
      <c r="U1257" s="66">
        <f t="shared" si="317"/>
        <v>453.39060599999993</v>
      </c>
      <c r="V1257" s="68">
        <f t="shared" si="318"/>
        <v>50.376733999999992</v>
      </c>
      <c r="W1257" s="68">
        <f t="shared" si="319"/>
        <v>444.50059411764704</v>
      </c>
      <c r="X1257" s="68">
        <f t="shared" si="320"/>
        <v>296.33372941176469</v>
      </c>
      <c r="Z1257" s="63"/>
      <c r="AA1257" s="63"/>
    </row>
    <row r="1258" spans="1:27" hidden="1" x14ac:dyDescent="0.25">
      <c r="A1258" t="str">
        <f t="shared" si="309"/>
        <v>10620002C28/05/2026M</v>
      </c>
      <c r="B1258" s="1" t="s">
        <v>828</v>
      </c>
      <c r="C1258" s="1" t="s">
        <v>396</v>
      </c>
      <c r="D1258" s="1" t="s">
        <v>591</v>
      </c>
      <c r="E1258" s="1" t="s">
        <v>595</v>
      </c>
      <c r="F1258" s="1" t="s">
        <v>386</v>
      </c>
      <c r="G1258" s="62" t="str">
        <f t="shared" si="308"/>
        <v>64592</v>
      </c>
      <c r="H1258" s="1">
        <v>10620002</v>
      </c>
      <c r="I1258" s="1" t="s">
        <v>388</v>
      </c>
      <c r="J1258" s="61">
        <v>41</v>
      </c>
      <c r="K1258" s="61">
        <v>3.1</v>
      </c>
      <c r="L1258" s="61">
        <v>8</v>
      </c>
      <c r="M1258" s="69">
        <f t="shared" si="310"/>
        <v>1.2710000000000001</v>
      </c>
      <c r="N1258" s="69">
        <f t="shared" si="311"/>
        <v>3.28</v>
      </c>
      <c r="O1258" s="56">
        <f>INDEX(Rate_Chart!$A$1:$AK$127,MATCH(Data!K1258,Rate_Chart!$A$1:$A$127,0),MATCH(Data!L1258,Rate_Chart!$A$1:$AK$1,0))</f>
        <v>35.168112000000008</v>
      </c>
      <c r="P1258" s="57">
        <f t="shared" si="312"/>
        <v>1441.8925920000004</v>
      </c>
      <c r="Q1258" s="58">
        <f t="shared" si="313"/>
        <v>417.01318577075102</v>
      </c>
      <c r="R1258" s="58">
        <f t="shared" si="314"/>
        <v>278.00879051383401</v>
      </c>
      <c r="S1258" s="66">
        <f t="shared" si="315"/>
        <v>25.233120360000008</v>
      </c>
      <c r="T1258" s="64">
        <f t="shared" si="316"/>
        <v>153.75</v>
      </c>
      <c r="U1258" s="66">
        <f t="shared" si="317"/>
        <v>1620.8757123600003</v>
      </c>
      <c r="V1258" s="68">
        <f t="shared" si="318"/>
        <v>39.533553960000006</v>
      </c>
      <c r="W1258" s="68">
        <f t="shared" si="319"/>
        <v>468.77731968379447</v>
      </c>
      <c r="X1258" s="68">
        <f t="shared" si="320"/>
        <v>312.51821312252963</v>
      </c>
      <c r="Z1258" s="63"/>
      <c r="AA1258" s="63"/>
    </row>
    <row r="1259" spans="1:27" hidden="1" x14ac:dyDescent="0.25">
      <c r="A1259" t="str">
        <f t="shared" si="309"/>
        <v>10620002B28/05/2026E</v>
      </c>
      <c r="B1259" s="1" t="s">
        <v>828</v>
      </c>
      <c r="C1259" s="1" t="s">
        <v>397</v>
      </c>
      <c r="D1259" s="1" t="s">
        <v>591</v>
      </c>
      <c r="E1259" s="1" t="s">
        <v>595</v>
      </c>
      <c r="F1259" s="1" t="s">
        <v>386</v>
      </c>
      <c r="G1259" s="62" t="str">
        <f t="shared" si="308"/>
        <v>64592</v>
      </c>
      <c r="H1259" s="1">
        <v>10620002</v>
      </c>
      <c r="I1259" s="1" t="s">
        <v>387</v>
      </c>
      <c r="J1259" s="61">
        <v>4</v>
      </c>
      <c r="K1259" s="61">
        <v>5.8</v>
      </c>
      <c r="L1259" s="61">
        <v>8.8000000000000007</v>
      </c>
      <c r="M1259" s="69">
        <f t="shared" si="310"/>
        <v>0.23199999999999998</v>
      </c>
      <c r="N1259" s="69">
        <f t="shared" si="311"/>
        <v>0.35200000000000004</v>
      </c>
      <c r="O1259" s="56">
        <f>INDEX(Rate_Chart!$A$1:$AK$127,MATCH(Data!K1259,Rate_Chart!$A$1:$A$127,0),MATCH(Data!L1259,Rate_Chart!$A$1:$AK$1,0))</f>
        <v>47.945700000000002</v>
      </c>
      <c r="P1259" s="57">
        <f t="shared" si="312"/>
        <v>191.78280000000001</v>
      </c>
      <c r="Q1259" s="58">
        <f t="shared" si="313"/>
        <v>410.96314285714288</v>
      </c>
      <c r="R1259" s="58">
        <f t="shared" si="314"/>
        <v>273.97542857142861</v>
      </c>
      <c r="S1259" s="66">
        <f t="shared" si="315"/>
        <v>3.3561990000000006</v>
      </c>
      <c r="T1259" s="64">
        <f t="shared" si="316"/>
        <v>15</v>
      </c>
      <c r="U1259" s="66">
        <f t="shared" si="317"/>
        <v>210.13899900000001</v>
      </c>
      <c r="V1259" s="68">
        <f t="shared" si="318"/>
        <v>52.534749750000003</v>
      </c>
      <c r="W1259" s="68">
        <f t="shared" si="319"/>
        <v>450.29785500000003</v>
      </c>
      <c r="X1259" s="68">
        <f t="shared" si="320"/>
        <v>300.19857000000002</v>
      </c>
      <c r="Z1259" s="63"/>
      <c r="AA1259" s="63"/>
    </row>
    <row r="1260" spans="1:27" hidden="1" x14ac:dyDescent="0.25">
      <c r="A1260" t="str">
        <f t="shared" si="309"/>
        <v>10620002C22/05/2026E</v>
      </c>
      <c r="B1260" s="1" t="s">
        <v>828</v>
      </c>
      <c r="C1260" s="1" t="s">
        <v>397</v>
      </c>
      <c r="D1260" s="1" t="s">
        <v>591</v>
      </c>
      <c r="E1260" s="1" t="s">
        <v>595</v>
      </c>
      <c r="F1260" s="1" t="s">
        <v>386</v>
      </c>
      <c r="G1260" s="62" t="str">
        <f t="shared" si="308"/>
        <v>64592</v>
      </c>
      <c r="H1260" s="1">
        <v>10620002</v>
      </c>
      <c r="I1260" s="1" t="s">
        <v>388</v>
      </c>
      <c r="J1260" s="61">
        <v>40</v>
      </c>
      <c r="K1260" s="61">
        <v>3.3</v>
      </c>
      <c r="L1260" s="61">
        <v>8</v>
      </c>
      <c r="M1260" s="69">
        <f t="shared" si="310"/>
        <v>1.32</v>
      </c>
      <c r="N1260" s="69">
        <f t="shared" si="311"/>
        <v>3.2</v>
      </c>
      <c r="O1260" s="56">
        <f>INDEX(Rate_Chart!$A$1:$AK$127,MATCH(Data!K1260,Rate_Chart!$A$1:$A$127,0),MATCH(Data!L1260,Rate_Chart!$A$1:$AK$1,0))</f>
        <v>36.002112000000004</v>
      </c>
      <c r="P1260" s="57">
        <f t="shared" si="312"/>
        <v>1440.0844800000002</v>
      </c>
      <c r="Q1260" s="58">
        <f t="shared" si="313"/>
        <v>417.01288030888031</v>
      </c>
      <c r="R1260" s="58">
        <f t="shared" si="314"/>
        <v>278.00858687258687</v>
      </c>
      <c r="S1260" s="66">
        <f t="shared" si="315"/>
        <v>25.201478400000006</v>
      </c>
      <c r="T1260" s="64">
        <f t="shared" si="316"/>
        <v>150</v>
      </c>
      <c r="U1260" s="66">
        <f t="shared" si="317"/>
        <v>1615.2859584000003</v>
      </c>
      <c r="V1260" s="68">
        <f t="shared" si="318"/>
        <v>40.382148960000009</v>
      </c>
      <c r="W1260" s="68">
        <f t="shared" si="319"/>
        <v>467.74689915057917</v>
      </c>
      <c r="X1260" s="68">
        <f t="shared" si="320"/>
        <v>311.83126610038613</v>
      </c>
      <c r="Z1260" s="63"/>
      <c r="AA1260" s="63"/>
    </row>
    <row r="1261" spans="1:27" hidden="1" x14ac:dyDescent="0.25">
      <c r="A1261" t="str">
        <f t="shared" si="309"/>
        <v>10620032C27/05/2026E</v>
      </c>
      <c r="B1261" s="1" t="s">
        <v>822</v>
      </c>
      <c r="C1261" s="1" t="s">
        <v>397</v>
      </c>
      <c r="D1261" s="1" t="s">
        <v>591</v>
      </c>
      <c r="E1261" s="1" t="s">
        <v>594</v>
      </c>
      <c r="F1261" s="1" t="s">
        <v>813</v>
      </c>
      <c r="G1261" s="62" t="str">
        <f t="shared" si="308"/>
        <v>64594</v>
      </c>
      <c r="H1261" s="1">
        <v>10620032</v>
      </c>
      <c r="I1261" s="1" t="s">
        <v>388</v>
      </c>
      <c r="J1261" s="61">
        <v>54</v>
      </c>
      <c r="K1261" s="61">
        <v>4.5999999999999996</v>
      </c>
      <c r="L1261" s="61">
        <v>8.3000000000000007</v>
      </c>
      <c r="M1261" s="69">
        <f t="shared" si="310"/>
        <v>2.484</v>
      </c>
      <c r="N1261" s="69">
        <f t="shared" si="311"/>
        <v>4.4820000000000002</v>
      </c>
      <c r="O1261" s="56">
        <v>40.129095600000007</v>
      </c>
      <c r="P1261" s="57">
        <f t="shared" si="312"/>
        <v>2166.9711624000001</v>
      </c>
      <c r="Q1261" s="58">
        <f t="shared" si="313"/>
        <v>396.01081184210534</v>
      </c>
      <c r="R1261" s="58">
        <f t="shared" si="314"/>
        <v>264.00720789473689</v>
      </c>
      <c r="S1261" s="66">
        <f t="shared" si="315"/>
        <v>37.92199534200001</v>
      </c>
      <c r="T1261" s="64">
        <f t="shared" si="316"/>
        <v>202.5</v>
      </c>
      <c r="U1261" s="66">
        <f t="shared" si="317"/>
        <v>2407.3931577420003</v>
      </c>
      <c r="V1261" s="68">
        <f t="shared" si="318"/>
        <v>44.581354773000008</v>
      </c>
      <c r="W1261" s="68">
        <f t="shared" si="319"/>
        <v>439.9475799967106</v>
      </c>
      <c r="X1261" s="68">
        <f t="shared" si="320"/>
        <v>293.29838666447375</v>
      </c>
      <c r="Z1261" s="63"/>
      <c r="AA1261" s="63"/>
    </row>
    <row r="1262" spans="1:27" hidden="1" x14ac:dyDescent="0.25">
      <c r="A1262" t="str">
        <f t="shared" si="309"/>
        <v>10620032C22/05/2026E</v>
      </c>
      <c r="B1262" s="1" t="s">
        <v>827</v>
      </c>
      <c r="C1262" s="1" t="s">
        <v>397</v>
      </c>
      <c r="D1262" s="1" t="s">
        <v>591</v>
      </c>
      <c r="E1262" s="1" t="s">
        <v>594</v>
      </c>
      <c r="F1262" s="1" t="s">
        <v>813</v>
      </c>
      <c r="G1262" s="62" t="str">
        <f t="shared" si="308"/>
        <v>64594</v>
      </c>
      <c r="H1262" s="1">
        <v>10620032</v>
      </c>
      <c r="I1262" s="1" t="s">
        <v>388</v>
      </c>
      <c r="J1262" s="61">
        <v>28</v>
      </c>
      <c r="K1262" s="61">
        <v>4.5</v>
      </c>
      <c r="L1262" s="61">
        <v>8.5</v>
      </c>
      <c r="M1262" s="69">
        <f t="shared" si="310"/>
        <v>1.26</v>
      </c>
      <c r="N1262" s="69">
        <f t="shared" si="311"/>
        <v>2.38</v>
      </c>
      <c r="O1262" s="56">
        <f>INDEX(Rate_Chart!$A$1:$AK$127,MATCH(Data!K1262,Rate_Chart!$A$1:$A$127,0),MATCH(Data!L1262,Rate_Chart!$A$1:$AK$1,0))</f>
        <v>42.396181500000004</v>
      </c>
      <c r="P1262" s="57">
        <f t="shared" si="312"/>
        <v>1187.0930820000001</v>
      </c>
      <c r="Q1262" s="58">
        <f t="shared" si="313"/>
        <v>417.01162131147544</v>
      </c>
      <c r="R1262" s="58">
        <f t="shared" si="314"/>
        <v>278.00774754098364</v>
      </c>
      <c r="S1262" s="66">
        <f t="shared" si="315"/>
        <v>20.774128935000004</v>
      </c>
      <c r="T1262" s="64">
        <f t="shared" si="316"/>
        <v>105</v>
      </c>
      <c r="U1262" s="66">
        <f t="shared" si="317"/>
        <v>1312.867210935</v>
      </c>
      <c r="V1262" s="68">
        <f t="shared" si="318"/>
        <v>46.888114676249998</v>
      </c>
      <c r="W1262" s="68">
        <f t="shared" si="319"/>
        <v>461.19457058606554</v>
      </c>
      <c r="X1262" s="68">
        <f t="shared" si="320"/>
        <v>307.46304705737703</v>
      </c>
      <c r="Z1262" s="63"/>
      <c r="AA1262" s="63"/>
    </row>
    <row r="1263" spans="1:27" hidden="1" x14ac:dyDescent="0.25">
      <c r="A1263" t="str">
        <f t="shared" si="309"/>
        <v>10620004B22/05/2026M</v>
      </c>
      <c r="B1263" s="1" t="s">
        <v>822</v>
      </c>
      <c r="C1263" s="1" t="s">
        <v>396</v>
      </c>
      <c r="D1263" s="1" t="s">
        <v>591</v>
      </c>
      <c r="E1263" s="1" t="s">
        <v>595</v>
      </c>
      <c r="F1263" s="1" t="s">
        <v>814</v>
      </c>
      <c r="G1263" s="62" t="str">
        <f t="shared" si="308"/>
        <v>64600</v>
      </c>
      <c r="H1263" s="1">
        <v>10620004</v>
      </c>
      <c r="I1263" s="1" t="s">
        <v>387</v>
      </c>
      <c r="J1263" s="61">
        <v>36</v>
      </c>
      <c r="K1263" s="61">
        <v>5.9</v>
      </c>
      <c r="L1263" s="61">
        <v>8.8000000000000007</v>
      </c>
      <c r="M1263" s="69">
        <f t="shared" si="310"/>
        <v>2.1240000000000001</v>
      </c>
      <c r="N1263" s="69">
        <f t="shared" si="311"/>
        <v>3.1680000000000001</v>
      </c>
      <c r="O1263" s="56">
        <v>48.772350000000003</v>
      </c>
      <c r="P1263" s="57">
        <f t="shared" si="312"/>
        <v>1755.8046000000002</v>
      </c>
      <c r="Q1263" s="58">
        <f t="shared" si="313"/>
        <v>414.49589235127479</v>
      </c>
      <c r="R1263" s="58">
        <f t="shared" si="314"/>
        <v>276.33059490084986</v>
      </c>
      <c r="S1263" s="66">
        <f t="shared" si="315"/>
        <v>30.726580500000004</v>
      </c>
      <c r="T1263" s="64">
        <f t="shared" si="316"/>
        <v>135</v>
      </c>
      <c r="U1263" s="66">
        <f t="shared" si="317"/>
        <v>1921.5311805000001</v>
      </c>
      <c r="V1263" s="68">
        <f t="shared" si="318"/>
        <v>53.375866125000002</v>
      </c>
      <c r="W1263" s="68">
        <f t="shared" si="319"/>
        <v>453.61925885269125</v>
      </c>
      <c r="X1263" s="68">
        <f t="shared" si="320"/>
        <v>302.41283923512748</v>
      </c>
      <c r="Z1263" s="63"/>
      <c r="AA1263" s="63"/>
    </row>
    <row r="1264" spans="1:27" hidden="1" x14ac:dyDescent="0.25">
      <c r="A1264" t="str">
        <f t="shared" si="309"/>
        <v>10620004C24/05/2026M</v>
      </c>
      <c r="B1264" s="1" t="s">
        <v>822</v>
      </c>
      <c r="C1264" s="1" t="s">
        <v>396</v>
      </c>
      <c r="D1264" s="1" t="s">
        <v>591</v>
      </c>
      <c r="E1264" s="1" t="s">
        <v>595</v>
      </c>
      <c r="F1264" s="1" t="s">
        <v>814</v>
      </c>
      <c r="G1264" s="62" t="str">
        <f t="shared" si="308"/>
        <v>64600</v>
      </c>
      <c r="H1264" s="1">
        <v>10620004</v>
      </c>
      <c r="I1264" s="1" t="s">
        <v>388</v>
      </c>
      <c r="J1264" s="61">
        <v>56</v>
      </c>
      <c r="K1264" s="61">
        <v>3.2</v>
      </c>
      <c r="L1264" s="61">
        <v>8.1</v>
      </c>
      <c r="M1264" s="69">
        <f t="shared" si="310"/>
        <v>1.7920000000000003</v>
      </c>
      <c r="N1264" s="69">
        <f t="shared" si="311"/>
        <v>4.5359999999999996</v>
      </c>
      <c r="O1264" s="56">
        <v>34.057069200000001</v>
      </c>
      <c r="P1264" s="57">
        <f t="shared" si="312"/>
        <v>1907.1958752</v>
      </c>
      <c r="Q1264" s="58">
        <f t="shared" si="313"/>
        <v>396.01243255813955</v>
      </c>
      <c r="R1264" s="58">
        <f t="shared" si="314"/>
        <v>264.00828837209303</v>
      </c>
      <c r="S1264" s="66">
        <f t="shared" si="315"/>
        <v>33.375927816000001</v>
      </c>
      <c r="T1264" s="64">
        <f t="shared" si="316"/>
        <v>210</v>
      </c>
      <c r="U1264" s="66">
        <f t="shared" si="317"/>
        <v>2150.5718030160001</v>
      </c>
      <c r="V1264" s="68">
        <f t="shared" si="318"/>
        <v>38.403067911000001</v>
      </c>
      <c r="W1264" s="68">
        <f t="shared" si="319"/>
        <v>446.5473012906977</v>
      </c>
      <c r="X1264" s="68">
        <f t="shared" si="320"/>
        <v>297.69820086046514</v>
      </c>
      <c r="Z1264" s="63"/>
      <c r="AA1264" s="63"/>
    </row>
    <row r="1265" spans="1:27" hidden="1" x14ac:dyDescent="0.25">
      <c r="A1265" t="str">
        <f t="shared" si="309"/>
        <v>10620004B24/05/2026M</v>
      </c>
      <c r="B1265" s="1" t="s">
        <v>824</v>
      </c>
      <c r="C1265" s="1" t="s">
        <v>396</v>
      </c>
      <c r="D1265" s="1" t="s">
        <v>591</v>
      </c>
      <c r="E1265" s="1" t="s">
        <v>595</v>
      </c>
      <c r="F1265" s="1" t="s">
        <v>814</v>
      </c>
      <c r="G1265" s="62" t="str">
        <f t="shared" si="308"/>
        <v>64600</v>
      </c>
      <c r="H1265" s="1">
        <v>10620004</v>
      </c>
      <c r="I1265" s="1" t="s">
        <v>387</v>
      </c>
      <c r="J1265" s="61">
        <v>34</v>
      </c>
      <c r="K1265" s="61">
        <v>6.2</v>
      </c>
      <c r="L1265" s="61">
        <v>8.8000000000000007</v>
      </c>
      <c r="M1265" s="69">
        <f t="shared" si="310"/>
        <v>2.1080000000000001</v>
      </c>
      <c r="N1265" s="69">
        <f t="shared" si="311"/>
        <v>2.9920000000000004</v>
      </c>
      <c r="O1265" s="56">
        <v>51.252300000000005</v>
      </c>
      <c r="P1265" s="57">
        <f t="shared" si="312"/>
        <v>1742.5782000000002</v>
      </c>
      <c r="Q1265" s="58">
        <f t="shared" si="313"/>
        <v>424.74281767955802</v>
      </c>
      <c r="R1265" s="58">
        <f t="shared" si="314"/>
        <v>283.1618784530387</v>
      </c>
      <c r="S1265" s="66">
        <f t="shared" si="315"/>
        <v>30.495118500000004</v>
      </c>
      <c r="T1265" s="64">
        <f t="shared" si="316"/>
        <v>127.5</v>
      </c>
      <c r="U1265" s="66">
        <f t="shared" si="317"/>
        <v>1900.5733185000001</v>
      </c>
      <c r="V1265" s="68">
        <f t="shared" si="318"/>
        <v>55.899215250000005</v>
      </c>
      <c r="W1265" s="68">
        <f t="shared" si="319"/>
        <v>463.25316505524864</v>
      </c>
      <c r="X1265" s="68">
        <f t="shared" si="320"/>
        <v>308.83544337016576</v>
      </c>
      <c r="Z1265" s="63"/>
      <c r="AA1265" s="63"/>
    </row>
    <row r="1266" spans="1:27" hidden="1" x14ac:dyDescent="0.25">
      <c r="A1266" t="str">
        <f t="shared" si="309"/>
        <v>10620004C24/05/2026M</v>
      </c>
      <c r="B1266" s="1" t="s">
        <v>824</v>
      </c>
      <c r="C1266" s="1" t="s">
        <v>396</v>
      </c>
      <c r="D1266" s="1" t="s">
        <v>591</v>
      </c>
      <c r="E1266" s="1" t="s">
        <v>595</v>
      </c>
      <c r="F1266" s="1" t="s">
        <v>814</v>
      </c>
      <c r="G1266" s="62" t="str">
        <f t="shared" si="308"/>
        <v>64600</v>
      </c>
      <c r="H1266" s="1">
        <v>10620004</v>
      </c>
      <c r="I1266" s="1" t="s">
        <v>388</v>
      </c>
      <c r="J1266" s="61">
        <v>50</v>
      </c>
      <c r="K1266" s="61">
        <v>3.1</v>
      </c>
      <c r="L1266" s="61">
        <v>8</v>
      </c>
      <c r="M1266" s="69">
        <f t="shared" si="310"/>
        <v>1.55</v>
      </c>
      <c r="N1266" s="69">
        <f t="shared" si="311"/>
        <v>4</v>
      </c>
      <c r="O1266" s="56">
        <v>33.397056000000006</v>
      </c>
      <c r="P1266" s="57">
        <f t="shared" si="312"/>
        <v>1669.8528000000003</v>
      </c>
      <c r="Q1266" s="58">
        <f t="shared" si="313"/>
        <v>396.01252173913048</v>
      </c>
      <c r="R1266" s="58">
        <f t="shared" si="314"/>
        <v>264.008347826087</v>
      </c>
      <c r="S1266" s="66">
        <f t="shared" si="315"/>
        <v>29.222424000000007</v>
      </c>
      <c r="T1266" s="64">
        <f t="shared" si="316"/>
        <v>187.5</v>
      </c>
      <c r="U1266" s="66">
        <f t="shared" si="317"/>
        <v>1886.5752240000004</v>
      </c>
      <c r="V1266" s="68">
        <f t="shared" si="318"/>
        <v>37.731504480000005</v>
      </c>
      <c r="W1266" s="68">
        <f t="shared" si="319"/>
        <v>447.40914403162054</v>
      </c>
      <c r="X1266" s="68">
        <f t="shared" si="320"/>
        <v>298.27276268774705</v>
      </c>
      <c r="Z1266" s="63"/>
      <c r="AA1266" s="63"/>
    </row>
    <row r="1267" spans="1:27" hidden="1" x14ac:dyDescent="0.25">
      <c r="A1267" t="str">
        <f t="shared" si="309"/>
        <v>10620004C25/05/2026E</v>
      </c>
      <c r="B1267" s="1" t="s">
        <v>824</v>
      </c>
      <c r="C1267" s="1" t="s">
        <v>397</v>
      </c>
      <c r="D1267" s="1" t="s">
        <v>591</v>
      </c>
      <c r="E1267" s="1" t="s">
        <v>595</v>
      </c>
      <c r="F1267" s="1" t="s">
        <v>814</v>
      </c>
      <c r="G1267" s="62" t="str">
        <f t="shared" si="308"/>
        <v>64600</v>
      </c>
      <c r="H1267" s="1">
        <v>10620004</v>
      </c>
      <c r="I1267" s="1" t="s">
        <v>388</v>
      </c>
      <c r="J1267" s="61">
        <v>42</v>
      </c>
      <c r="K1267" s="61">
        <v>4</v>
      </c>
      <c r="L1267" s="61">
        <v>8</v>
      </c>
      <c r="M1267" s="69">
        <f t="shared" si="310"/>
        <v>1.68</v>
      </c>
      <c r="N1267" s="69">
        <f t="shared" si="311"/>
        <v>3.36</v>
      </c>
      <c r="O1267" s="56">
        <v>36.961055999999999</v>
      </c>
      <c r="P1267" s="57">
        <f t="shared" si="312"/>
        <v>1552.3643520000001</v>
      </c>
      <c r="Q1267" s="58">
        <f t="shared" si="313"/>
        <v>396.01131428571426</v>
      </c>
      <c r="R1267" s="58">
        <f t="shared" si="314"/>
        <v>264.00754285714282</v>
      </c>
      <c r="S1267" s="66">
        <f t="shared" si="315"/>
        <v>27.166376160000002</v>
      </c>
      <c r="T1267" s="64">
        <f t="shared" si="316"/>
        <v>157.5</v>
      </c>
      <c r="U1267" s="66">
        <f t="shared" si="317"/>
        <v>1737.0307281600001</v>
      </c>
      <c r="V1267" s="68">
        <f t="shared" si="318"/>
        <v>41.35787448</v>
      </c>
      <c r="W1267" s="68">
        <f t="shared" si="319"/>
        <v>443.12008371428567</v>
      </c>
      <c r="X1267" s="68">
        <f t="shared" si="320"/>
        <v>295.41338914285711</v>
      </c>
      <c r="Z1267" s="63"/>
      <c r="AA1267" s="63"/>
    </row>
    <row r="1268" spans="1:27" hidden="1" x14ac:dyDescent="0.25">
      <c r="A1268" t="str">
        <f t="shared" si="309"/>
        <v>10620004B25/05/2026M</v>
      </c>
      <c r="B1268" s="1" t="s">
        <v>825</v>
      </c>
      <c r="C1268" s="1" t="s">
        <v>396</v>
      </c>
      <c r="D1268" s="1" t="s">
        <v>591</v>
      </c>
      <c r="E1268" s="1" t="s">
        <v>595</v>
      </c>
      <c r="F1268" s="1" t="s">
        <v>814</v>
      </c>
      <c r="G1268" s="62" t="str">
        <f t="shared" si="308"/>
        <v>64600</v>
      </c>
      <c r="H1268" s="1">
        <v>10620004</v>
      </c>
      <c r="I1268" s="1" t="s">
        <v>387</v>
      </c>
      <c r="J1268" s="61">
        <v>38</v>
      </c>
      <c r="K1268" s="61">
        <v>5.9</v>
      </c>
      <c r="L1268" s="61">
        <v>8.8000000000000007</v>
      </c>
      <c r="M1268" s="69">
        <f t="shared" si="310"/>
        <v>2.242</v>
      </c>
      <c r="N1268" s="69">
        <f t="shared" si="311"/>
        <v>3.3440000000000003</v>
      </c>
      <c r="O1268" s="56">
        <v>48.772350000000003</v>
      </c>
      <c r="P1268" s="57">
        <f t="shared" si="312"/>
        <v>1853.3493000000001</v>
      </c>
      <c r="Q1268" s="58">
        <f t="shared" si="313"/>
        <v>414.49589235127479</v>
      </c>
      <c r="R1268" s="58">
        <f t="shared" si="314"/>
        <v>276.33059490084986</v>
      </c>
      <c r="S1268" s="66">
        <f t="shared" si="315"/>
        <v>32.433612750000002</v>
      </c>
      <c r="T1268" s="64">
        <f t="shared" si="316"/>
        <v>142.5</v>
      </c>
      <c r="U1268" s="66">
        <f t="shared" si="317"/>
        <v>2028.2829127500002</v>
      </c>
      <c r="V1268" s="68">
        <f t="shared" si="318"/>
        <v>53.375866125000002</v>
      </c>
      <c r="W1268" s="68">
        <f t="shared" si="319"/>
        <v>453.61925885269125</v>
      </c>
      <c r="X1268" s="68">
        <f t="shared" si="320"/>
        <v>302.41283923512748</v>
      </c>
      <c r="Z1268" s="63"/>
      <c r="AA1268" s="63"/>
    </row>
    <row r="1269" spans="1:27" hidden="1" x14ac:dyDescent="0.25">
      <c r="A1269" t="str">
        <f t="shared" si="309"/>
        <v>10620004C26/05/2026M</v>
      </c>
      <c r="B1269" s="1" t="s">
        <v>825</v>
      </c>
      <c r="C1269" s="1" t="s">
        <v>396</v>
      </c>
      <c r="D1269" s="1" t="s">
        <v>591</v>
      </c>
      <c r="E1269" s="1" t="s">
        <v>595</v>
      </c>
      <c r="F1269" s="1" t="s">
        <v>814</v>
      </c>
      <c r="G1269" s="62" t="str">
        <f t="shared" si="308"/>
        <v>64600</v>
      </c>
      <c r="H1269" s="1">
        <v>10620004</v>
      </c>
      <c r="I1269" s="1" t="s">
        <v>388</v>
      </c>
      <c r="J1269" s="61">
        <v>56</v>
      </c>
      <c r="K1269" s="61">
        <v>3.3</v>
      </c>
      <c r="L1269" s="61">
        <v>8</v>
      </c>
      <c r="M1269" s="69">
        <f t="shared" si="310"/>
        <v>1.8479999999999999</v>
      </c>
      <c r="N1269" s="69">
        <f t="shared" si="311"/>
        <v>4.4800000000000004</v>
      </c>
      <c r="O1269" s="56">
        <v>34.189056000000008</v>
      </c>
      <c r="P1269" s="57">
        <f t="shared" si="312"/>
        <v>1914.5871360000006</v>
      </c>
      <c r="Q1269" s="58">
        <f t="shared" si="313"/>
        <v>396.01223166023169</v>
      </c>
      <c r="R1269" s="58">
        <f t="shared" si="314"/>
        <v>264.00815444015444</v>
      </c>
      <c r="S1269" s="66">
        <f t="shared" si="315"/>
        <v>33.505274880000016</v>
      </c>
      <c r="T1269" s="64">
        <f t="shared" si="316"/>
        <v>210</v>
      </c>
      <c r="U1269" s="66">
        <f t="shared" si="317"/>
        <v>2158.0924108800004</v>
      </c>
      <c r="V1269" s="68">
        <f t="shared" si="318"/>
        <v>38.537364480000008</v>
      </c>
      <c r="W1269" s="68">
        <f t="shared" si="319"/>
        <v>446.37873915057918</v>
      </c>
      <c r="X1269" s="68">
        <f t="shared" si="320"/>
        <v>297.5858261003861</v>
      </c>
      <c r="Z1269" s="63"/>
      <c r="AA1269" s="63"/>
    </row>
    <row r="1270" spans="1:27" hidden="1" x14ac:dyDescent="0.25">
      <c r="A1270" t="str">
        <f t="shared" si="309"/>
        <v>10620004B26/05/2026M</v>
      </c>
      <c r="B1270" s="1" t="s">
        <v>826</v>
      </c>
      <c r="C1270" s="1" t="s">
        <v>396</v>
      </c>
      <c r="D1270" s="1" t="s">
        <v>591</v>
      </c>
      <c r="E1270" s="1" t="s">
        <v>595</v>
      </c>
      <c r="F1270" s="1" t="s">
        <v>814</v>
      </c>
      <c r="G1270" s="62" t="str">
        <f t="shared" si="308"/>
        <v>64600</v>
      </c>
      <c r="H1270" s="1">
        <v>10620004</v>
      </c>
      <c r="I1270" s="1" t="s">
        <v>387</v>
      </c>
      <c r="J1270" s="61">
        <v>39</v>
      </c>
      <c r="K1270" s="61">
        <v>6.1</v>
      </c>
      <c r="L1270" s="61">
        <v>8.8000000000000007</v>
      </c>
      <c r="M1270" s="69">
        <f t="shared" si="310"/>
        <v>2.3789999999999996</v>
      </c>
      <c r="N1270" s="69">
        <f t="shared" si="311"/>
        <v>3.4320000000000004</v>
      </c>
      <c r="O1270" s="56">
        <f>INDEX(Rate_Chart!$A$1:$AK$127,MATCH(Data!K1270,Rate_Chart!$A$1:$A$127,0),MATCH(Data!L1270,Rate_Chart!$A$1:$AK$1,0))</f>
        <v>50.425650000000005</v>
      </c>
      <c r="P1270" s="57">
        <f t="shared" si="312"/>
        <v>1966.6003500000002</v>
      </c>
      <c r="Q1270" s="58">
        <f t="shared" si="313"/>
        <v>421.38426183844012</v>
      </c>
      <c r="R1270" s="58">
        <f t="shared" si="314"/>
        <v>280.92284122562677</v>
      </c>
      <c r="S1270" s="66">
        <f t="shared" si="315"/>
        <v>34.415506125000007</v>
      </c>
      <c r="T1270" s="64">
        <f t="shared" si="316"/>
        <v>146.25</v>
      </c>
      <c r="U1270" s="66">
        <f t="shared" si="317"/>
        <v>2147.265856125</v>
      </c>
      <c r="V1270" s="68">
        <f t="shared" si="318"/>
        <v>55.058098874999999</v>
      </c>
      <c r="W1270" s="68">
        <f t="shared" si="319"/>
        <v>460.09553377437322</v>
      </c>
      <c r="X1270" s="68">
        <f t="shared" si="320"/>
        <v>306.73035584958217</v>
      </c>
      <c r="Z1270" s="63"/>
      <c r="AA1270" s="63"/>
    </row>
    <row r="1271" spans="1:27" hidden="1" x14ac:dyDescent="0.25">
      <c r="A1271" t="str">
        <f t="shared" si="309"/>
        <v>10620004CM</v>
      </c>
      <c r="B1271" s="1" t="s">
        <v>826</v>
      </c>
      <c r="C1271" s="1" t="s">
        <v>396</v>
      </c>
      <c r="D1271" s="1" t="s">
        <v>591</v>
      </c>
      <c r="E1271" s="1" t="s">
        <v>595</v>
      </c>
      <c r="F1271" s="1" t="s">
        <v>814</v>
      </c>
      <c r="G1271" s="62" t="str">
        <f t="shared" ref="G1271" si="321">MID(F1271,2,5)</f>
        <v>64600</v>
      </c>
      <c r="H1271" s="1">
        <v>10620004</v>
      </c>
      <c r="I1271" s="1" t="s">
        <v>388</v>
      </c>
      <c r="J1271" s="61">
        <v>56</v>
      </c>
      <c r="K1271" s="61">
        <v>3.2</v>
      </c>
      <c r="L1271" s="61">
        <v>8.1999999999999993</v>
      </c>
      <c r="M1271" s="69">
        <f t="shared" si="310"/>
        <v>1.7920000000000003</v>
      </c>
      <c r="N1271" s="69">
        <f t="shared" si="311"/>
        <v>4.5919999999999996</v>
      </c>
      <c r="O1271" s="56">
        <f>INDEX(Rate_Chart!$A$1:$AK$127,MATCH(Data!K1271,Rate_Chart!$A$1:$A$127,0),MATCH(Data!L1271,Rate_Chart!$A$1:$AK$1,0))</f>
        <v>36.141139799999998</v>
      </c>
      <c r="P1271" s="57">
        <f t="shared" si="312"/>
        <v>2023.9038287999999</v>
      </c>
      <c r="Q1271" s="58">
        <f t="shared" si="313"/>
        <v>417.0131515384615</v>
      </c>
      <c r="R1271" s="58">
        <f t="shared" si="314"/>
        <v>278.00876769230769</v>
      </c>
      <c r="S1271" s="66">
        <f t="shared" si="315"/>
        <v>35.418317004000002</v>
      </c>
      <c r="T1271" s="64">
        <f t="shared" si="316"/>
        <v>210</v>
      </c>
      <c r="U1271" s="66">
        <f t="shared" si="317"/>
        <v>2269.3221458039998</v>
      </c>
      <c r="V1271" s="68">
        <f t="shared" si="318"/>
        <v>40.523609746499993</v>
      </c>
      <c r="W1271" s="68">
        <f t="shared" si="319"/>
        <v>467.58011245961529</v>
      </c>
      <c r="X1271" s="68">
        <f t="shared" si="320"/>
        <v>311.72007497307686</v>
      </c>
      <c r="Z1271" s="63"/>
      <c r="AA1271" s="63"/>
    </row>
  </sheetData>
  <autoFilter ref="B3:Z1271" xr:uid="{6CD589E2-DE55-4848-BBAA-9F2CDBD944C8}">
    <filterColumn colId="6">
      <filters>
        <filter val="10620051"/>
      </filters>
    </filterColumn>
  </autoFilter>
  <conditionalFormatting sqref="AB8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2026-06-04T07:59:33Z</dcterms:modified>
  <cp:category/>
</cp:coreProperties>
</file>