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2-28-May\"/>
    </mc:Choice>
  </mc:AlternateContent>
  <xr:revisionPtr revIDLastSave="0" documentId="8_{C82E5C78-72F6-42C3-987F-A18B854EE82B}" xr6:coauthVersionLast="47" xr6:coauthVersionMax="47" xr10:uidLastSave="{00000000-0000-0000-0000-000000000000}"/>
  <bookViews>
    <workbookView xWindow="-120" yWindow="-120" windowWidth="29040" windowHeight="15720" activeTab="1" xr2:uid="{C120DD78-5401-4FBD-8327-8BD6AC21A3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7" i="2" l="1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19" i="2"/>
  <c r="AD23" i="2"/>
  <c r="AD22" i="2"/>
  <c r="AD21" i="2"/>
  <c r="AD20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</calcChain>
</file>

<file path=xl/sharedStrings.xml><?xml version="1.0" encoding="utf-8"?>
<sst xmlns="http://schemas.openxmlformats.org/spreadsheetml/2006/main" count="423" uniqueCount="44">
  <si>
    <t>Dump Date</t>
  </si>
  <si>
    <t>Shift</t>
  </si>
  <si>
    <t>BMC</t>
  </si>
  <si>
    <t>Route</t>
  </si>
  <si>
    <t>MPP</t>
  </si>
  <si>
    <t>Old Code</t>
  </si>
  <si>
    <t>Dcs Code</t>
  </si>
  <si>
    <t>Milk Type</t>
  </si>
  <si>
    <t>Weight</t>
  </si>
  <si>
    <t>Fat</t>
  </si>
  <si>
    <t>Snf</t>
  </si>
  <si>
    <t>Kg fat</t>
  </si>
  <si>
    <t>Kg snf</t>
  </si>
  <si>
    <t>Rate/Kg</t>
  </si>
  <si>
    <t>Amount</t>
  </si>
  <si>
    <t>FAT Rate</t>
  </si>
  <si>
    <t>SNF Rate</t>
  </si>
  <si>
    <t>Comm @ 1.75%</t>
  </si>
  <si>
    <t>OH @ 3.75/kg</t>
  </si>
  <si>
    <t>Total Cost</t>
  </si>
  <si>
    <t>Cost/Kg</t>
  </si>
  <si>
    <t>27/05/2026</t>
  </si>
  <si>
    <t>E</t>
  </si>
  <si>
    <t>[1062] RAMGADH</t>
  </si>
  <si>
    <t>[8404] CHANDESH</t>
  </si>
  <si>
    <t>[20109] YUVRAJPUR DSK</t>
  </si>
  <si>
    <t>20109</t>
  </si>
  <si>
    <t>B</t>
  </si>
  <si>
    <t>C</t>
  </si>
  <si>
    <t>[20116] ARANG DSK</t>
  </si>
  <si>
    <t>20116</t>
  </si>
  <si>
    <t>[64543] SUHWAL DSK</t>
  </si>
  <si>
    <t>64543</t>
  </si>
  <si>
    <t>After -Weight</t>
  </si>
  <si>
    <t>22/05/2026</t>
  </si>
  <si>
    <t>M</t>
  </si>
  <si>
    <t>23/05/2026</t>
  </si>
  <si>
    <t>24/05/2026</t>
  </si>
  <si>
    <t>25/05/2026</t>
  </si>
  <si>
    <t>26/05/2026</t>
  </si>
  <si>
    <t>28/05/2026</t>
  </si>
  <si>
    <t xml:space="preserve">Before </t>
  </si>
  <si>
    <t>After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</si>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</sst>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43" fontId="0" fillId="0" borderId="1" xfId="1" applyFont="1" applyFill="1" applyBorder="1"/>
    <xf numFmtId="165" fontId="0" fillId="0" borderId="1" xfId="1" applyNumberFormat="1" applyFont="1" applyFill="1" applyBorder="1"/>
    <xf numFmtId="43" fontId="0" fillId="0" borderId="1" xfId="0" applyNumberFormat="1" applyBorder="1"/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0" xfId="0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8CA9-6621-409F-AEFA-3F20274D7352}">
  <dimension ref="A1:W6"/>
  <sheetViews>
    <sheetView workbookViewId="0">
      <selection activeCell="I2" sqref="I2"/>
    </sheetView>
  </sheetViews>
  <sheetFormatPr defaultRowHeight="15" x14ac:dyDescent="0.25"/>
  <cols>
    <col min="1" max="1" width="11.140625" bestFit="1" customWidth="1"/>
    <col min="2" max="2" width="5.28515625" bestFit="1" customWidth="1"/>
    <col min="3" max="3" width="15.5703125" bestFit="1" customWidth="1"/>
    <col min="4" max="4" width="16.28515625" bestFit="1" customWidth="1"/>
    <col min="5" max="5" width="21.85546875" bestFit="1" customWidth="1"/>
    <col min="6" max="6" width="9.42578125" bestFit="1" customWidth="1"/>
    <col min="7" max="7" width="9.7109375" bestFit="1" customWidth="1"/>
    <col min="8" max="8" width="9.42578125" bestFit="1" customWidth="1"/>
    <col min="9" max="9" width="7.42578125" bestFit="1" customWidth="1"/>
    <col min="10" max="11" width="4" bestFit="1" customWidth="1"/>
    <col min="12" max="12" width="6" bestFit="1" customWidth="1"/>
    <col min="13" max="13" width="6.42578125" bestFit="1" customWidth="1"/>
    <col min="14" max="14" width="8" bestFit="1" customWidth="1"/>
    <col min="15" max="15" width="9" bestFit="1" customWidth="1"/>
    <col min="16" max="16" width="8.7109375" bestFit="1" customWidth="1"/>
    <col min="18" max="18" width="9" bestFit="1" customWidth="1"/>
    <col min="19" max="19" width="7.28515625" bestFit="1" customWidth="1"/>
    <col min="20" max="20" width="10.140625" bestFit="1" customWidth="1"/>
    <col min="21" max="21" width="8.140625" bestFit="1" customWidth="1"/>
    <col min="22" max="22" width="8.7109375" bestFit="1" customWidth="1"/>
  </cols>
  <sheetData>
    <row r="1" spans="1:2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33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15</v>
      </c>
      <c r="W1" s="1" t="s">
        <v>16</v>
      </c>
    </row>
    <row r="2" spans="1:23" x14ac:dyDescent="0.25">
      <c r="A2" s="4" t="s">
        <v>21</v>
      </c>
      <c r="B2" s="5" t="s">
        <v>22</v>
      </c>
      <c r="C2" s="5" t="s">
        <v>23</v>
      </c>
      <c r="D2" s="5" t="s">
        <v>24</v>
      </c>
      <c r="E2" s="6" t="s">
        <v>25</v>
      </c>
      <c r="F2" s="5" t="s">
        <v>26</v>
      </c>
      <c r="G2" s="5">
        <v>10620109</v>
      </c>
      <c r="H2" s="6" t="s">
        <v>27</v>
      </c>
      <c r="I2" s="7">
        <v>4450</v>
      </c>
      <c r="J2" s="7">
        <v>5.6</v>
      </c>
      <c r="K2" s="7">
        <v>8.4</v>
      </c>
      <c r="L2" s="7">
        <v>249.2</v>
      </c>
      <c r="M2" s="7">
        <v>373.8</v>
      </c>
      <c r="N2" s="8">
        <v>45.357199999999999</v>
      </c>
      <c r="O2" s="9">
        <v>201839.54</v>
      </c>
      <c r="P2" s="10">
        <v>404.97500000000002</v>
      </c>
      <c r="Q2" s="10">
        <v>269.98333333333335</v>
      </c>
      <c r="R2" s="11">
        <v>3532.1919500000004</v>
      </c>
      <c r="S2" s="12">
        <v>16687.5</v>
      </c>
      <c r="T2" s="11">
        <v>222059.23195000002</v>
      </c>
      <c r="U2" s="13">
        <v>49.900951000000006</v>
      </c>
      <c r="V2" s="13">
        <v>445.54420535714297</v>
      </c>
      <c r="W2" s="13">
        <v>297.02947023809531</v>
      </c>
    </row>
    <row r="3" spans="1:23" x14ac:dyDescent="0.25">
      <c r="A3" s="4" t="s">
        <v>21</v>
      </c>
      <c r="B3" s="5" t="s">
        <v>22</v>
      </c>
      <c r="C3" s="5" t="s">
        <v>23</v>
      </c>
      <c r="D3" s="5" t="s">
        <v>24</v>
      </c>
      <c r="E3" s="6" t="s">
        <v>25</v>
      </c>
      <c r="F3" s="5" t="s">
        <v>26</v>
      </c>
      <c r="G3" s="5">
        <v>10620109</v>
      </c>
      <c r="H3" s="6" t="s">
        <v>28</v>
      </c>
      <c r="I3" s="7">
        <v>530</v>
      </c>
      <c r="J3" s="7">
        <v>3.9</v>
      </c>
      <c r="K3" s="7">
        <v>8.1</v>
      </c>
      <c r="L3" s="7">
        <v>20.67</v>
      </c>
      <c r="M3" s="7">
        <v>42.93</v>
      </c>
      <c r="N3" s="8">
        <v>38.782125900000004</v>
      </c>
      <c r="O3" s="9">
        <v>20554.526727</v>
      </c>
      <c r="P3" s="10">
        <v>417.01210645161296</v>
      </c>
      <c r="Q3" s="10">
        <v>278.00807096774196</v>
      </c>
      <c r="R3" s="11">
        <v>359.70421772250006</v>
      </c>
      <c r="S3" s="12">
        <v>1987.5</v>
      </c>
      <c r="T3" s="11">
        <v>22901.730944722502</v>
      </c>
      <c r="U3" s="13">
        <v>43.210813103250004</v>
      </c>
      <c r="V3" s="13">
        <v>464.63239895967746</v>
      </c>
      <c r="W3" s="13">
        <v>309.75493263978495</v>
      </c>
    </row>
    <row r="4" spans="1:23" x14ac:dyDescent="0.25">
      <c r="A4" s="14" t="s">
        <v>21</v>
      </c>
      <c r="B4" s="15" t="s">
        <v>22</v>
      </c>
      <c r="C4" s="15" t="s">
        <v>23</v>
      </c>
      <c r="D4" s="15" t="s">
        <v>24</v>
      </c>
      <c r="E4" s="16" t="s">
        <v>29</v>
      </c>
      <c r="F4" s="5" t="s">
        <v>30</v>
      </c>
      <c r="G4" s="16">
        <v>10620116</v>
      </c>
      <c r="H4" s="16" t="s">
        <v>28</v>
      </c>
      <c r="I4" s="15">
        <v>2380</v>
      </c>
      <c r="J4" s="15">
        <v>4.5999999999999996</v>
      </c>
      <c r="K4" s="15">
        <v>8.5</v>
      </c>
      <c r="L4" s="7">
        <v>109.48</v>
      </c>
      <c r="M4" s="7">
        <v>202.3</v>
      </c>
      <c r="N4" s="8">
        <v>42.813181499999999</v>
      </c>
      <c r="O4" s="9">
        <v>101895.37196999999</v>
      </c>
      <c r="P4" s="10">
        <v>417.01150811688308</v>
      </c>
      <c r="Q4" s="10">
        <v>278.00767207792205</v>
      </c>
      <c r="R4" s="11">
        <v>1783.1690094749999</v>
      </c>
      <c r="S4" s="12">
        <v>8925</v>
      </c>
      <c r="T4" s="11">
        <v>112603.54097947499</v>
      </c>
      <c r="U4" s="13">
        <v>47.312412176249993</v>
      </c>
      <c r="V4" s="13">
        <v>460.83518353490251</v>
      </c>
      <c r="W4" s="13">
        <v>307.22345568993501</v>
      </c>
    </row>
    <row r="5" spans="1:23" x14ac:dyDescent="0.25">
      <c r="A5" s="14" t="s">
        <v>21</v>
      </c>
      <c r="B5" s="15" t="s">
        <v>22</v>
      </c>
      <c r="C5" s="15" t="s">
        <v>23</v>
      </c>
      <c r="D5" s="15" t="s">
        <v>24</v>
      </c>
      <c r="E5" s="16" t="s">
        <v>31</v>
      </c>
      <c r="F5" s="5" t="s">
        <v>32</v>
      </c>
      <c r="G5" s="16">
        <v>10620051</v>
      </c>
      <c r="H5" s="16" t="s">
        <v>27</v>
      </c>
      <c r="I5" s="15">
        <v>70</v>
      </c>
      <c r="J5" s="15">
        <v>7</v>
      </c>
      <c r="K5" s="15">
        <v>9</v>
      </c>
      <c r="L5" s="7">
        <v>4.9000000000000004</v>
      </c>
      <c r="M5" s="7">
        <v>6.3</v>
      </c>
      <c r="N5" s="8">
        <v>58.45</v>
      </c>
      <c r="O5" s="9">
        <v>4091.5</v>
      </c>
      <c r="P5" s="10">
        <v>449.61538461538464</v>
      </c>
      <c r="Q5" s="10">
        <v>299.74358974358978</v>
      </c>
      <c r="R5" s="11">
        <v>71.601250000000007</v>
      </c>
      <c r="S5" s="12">
        <v>262.5</v>
      </c>
      <c r="T5" s="11">
        <v>4425.6012499999997</v>
      </c>
      <c r="U5" s="13">
        <v>63.222874999999995</v>
      </c>
      <c r="V5" s="13">
        <v>486.32980769230761</v>
      </c>
      <c r="W5" s="13">
        <v>324.21987179487172</v>
      </c>
    </row>
    <row r="6" spans="1:23" x14ac:dyDescent="0.25">
      <c r="A6" s="14" t="s">
        <v>21</v>
      </c>
      <c r="B6" s="15" t="s">
        <v>22</v>
      </c>
      <c r="C6" s="15" t="s">
        <v>23</v>
      </c>
      <c r="D6" s="15" t="s">
        <v>24</v>
      </c>
      <c r="E6" s="16" t="s">
        <v>31</v>
      </c>
      <c r="F6" s="5" t="s">
        <v>32</v>
      </c>
      <c r="G6" s="16">
        <v>10620051</v>
      </c>
      <c r="H6" s="16" t="s">
        <v>28</v>
      </c>
      <c r="I6" s="15">
        <v>7260</v>
      </c>
      <c r="J6" s="15">
        <v>3.9</v>
      </c>
      <c r="K6" s="15">
        <v>8.1</v>
      </c>
      <c r="L6" s="7">
        <v>283.14</v>
      </c>
      <c r="M6" s="7">
        <v>588.05999999999995</v>
      </c>
      <c r="N6" s="8">
        <v>38.782125900000004</v>
      </c>
      <c r="O6" s="9">
        <v>281558.23403400002</v>
      </c>
      <c r="P6" s="10">
        <v>417.01210645161296</v>
      </c>
      <c r="Q6" s="10">
        <v>278.00807096774196</v>
      </c>
      <c r="R6" s="11">
        <v>4927.2690955950011</v>
      </c>
      <c r="S6" s="12">
        <v>27225</v>
      </c>
      <c r="T6" s="11">
        <v>313710.50312959502</v>
      </c>
      <c r="U6" s="13">
        <v>43.210813103250004</v>
      </c>
      <c r="V6" s="13">
        <v>464.63239895967746</v>
      </c>
      <c r="W6" s="13">
        <v>309.75493263978495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86DE-1AE8-4317-A5C5-753E66B935BB}">
  <dimension ref="A1:AD37"/>
  <sheetViews>
    <sheetView tabSelected="1" topLeftCell="A7" workbookViewId="0">
      <selection activeCell="AJ22" sqref="AJ22"/>
    </sheetView>
  </sheetViews>
  <sheetFormatPr defaultRowHeight="15" x14ac:dyDescent="0.25"/>
  <cols>
    <col min="1" max="1" width="10.7109375" bestFit="1" customWidth="1"/>
    <col min="2" max="2" width="4.85546875" bestFit="1" customWidth="1"/>
    <col min="3" max="3" width="15.5703125" bestFit="1" customWidth="1"/>
    <col min="4" max="4" width="16.28515625" bestFit="1" customWidth="1"/>
    <col min="5" max="5" width="21.85546875" bestFit="1" customWidth="1"/>
    <col min="6" max="6" width="9" bestFit="1" customWidth="1"/>
    <col min="9" max="9" width="7" bestFit="1" customWidth="1"/>
    <col min="10" max="11" width="4" hidden="1" customWidth="1"/>
    <col min="12" max="13" width="7" hidden="1" customWidth="1"/>
    <col min="14" max="14" width="11" hidden="1" customWidth="1"/>
    <col min="15" max="17" width="12" hidden="1" customWidth="1"/>
    <col min="18" max="18" width="14.5703125" hidden="1" customWidth="1"/>
    <col min="19" max="19" width="12.5703125" hidden="1" customWidth="1"/>
    <col min="20" max="23" width="12" hidden="1" customWidth="1"/>
    <col min="25" max="25" width="10.7109375" bestFit="1" customWidth="1"/>
    <col min="26" max="26" width="4.85546875" bestFit="1" customWidth="1"/>
    <col min="29" max="29" width="7" bestFit="1" customWidth="1"/>
  </cols>
  <sheetData>
    <row r="1" spans="1:30" x14ac:dyDescent="0.25">
      <c r="A1" s="18" t="s">
        <v>42</v>
      </c>
      <c r="B1" s="18"/>
      <c r="C1" s="18"/>
      <c r="D1" s="18"/>
      <c r="E1" s="18"/>
      <c r="F1" s="18"/>
      <c r="G1" s="18"/>
      <c r="H1" s="18"/>
      <c r="I1" s="18"/>
      <c r="Y1" s="18" t="s">
        <v>41</v>
      </c>
      <c r="Z1" s="18"/>
      <c r="AA1" s="18"/>
      <c r="AB1" s="18"/>
      <c r="AC1" s="18"/>
      <c r="AD1" s="18"/>
    </row>
    <row r="2" spans="1:3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15</v>
      </c>
      <c r="W2" t="s">
        <v>16</v>
      </c>
      <c r="Y2" t="s">
        <v>0</v>
      </c>
      <c r="Z2" t="s">
        <v>1</v>
      </c>
      <c r="AA2" t="s">
        <v>6</v>
      </c>
      <c r="AB2" t="s">
        <v>7</v>
      </c>
      <c r="AC2" t="s">
        <v>8</v>
      </c>
      <c r="AD2" t="s">
        <v>43</v>
      </c>
    </row>
    <row r="3" spans="1:30" x14ac:dyDescent="0.25">
      <c r="A3" t="s">
        <v>34</v>
      </c>
      <c r="B3" t="s">
        <v>35</v>
      </c>
      <c r="C3" t="s">
        <v>23</v>
      </c>
      <c r="D3" t="s">
        <v>24</v>
      </c>
      <c r="E3" t="s">
        <v>31</v>
      </c>
      <c r="F3" t="s">
        <v>32</v>
      </c>
      <c r="G3">
        <v>10620051</v>
      </c>
      <c r="H3" t="s">
        <v>27</v>
      </c>
      <c r="I3">
        <v>60</v>
      </c>
      <c r="J3">
        <v>7</v>
      </c>
      <c r="K3">
        <v>9</v>
      </c>
      <c r="L3">
        <v>4.2</v>
      </c>
      <c r="M3">
        <v>5.4</v>
      </c>
      <c r="N3">
        <v>58.45</v>
      </c>
      <c r="O3">
        <v>3507</v>
      </c>
      <c r="P3">
        <v>449.61538461538464</v>
      </c>
      <c r="Q3">
        <v>299.74358974358978</v>
      </c>
      <c r="R3">
        <v>61.372500000000009</v>
      </c>
      <c r="S3">
        <v>225</v>
      </c>
      <c r="T3">
        <v>3793.3724999999999</v>
      </c>
      <c r="U3">
        <v>63.222875000000002</v>
      </c>
      <c r="V3">
        <v>486.32980769230767</v>
      </c>
      <c r="W3">
        <v>324.21987179487178</v>
      </c>
      <c r="Y3" t="s">
        <v>34</v>
      </c>
      <c r="Z3" t="s">
        <v>35</v>
      </c>
      <c r="AA3">
        <v>10620051</v>
      </c>
      <c r="AB3" t="s">
        <v>27</v>
      </c>
      <c r="AC3">
        <v>60</v>
      </c>
      <c r="AD3">
        <f>I3-AC3</f>
        <v>0</v>
      </c>
    </row>
    <row r="4" spans="1:30" x14ac:dyDescent="0.25">
      <c r="A4" t="s">
        <v>34</v>
      </c>
      <c r="B4" t="s">
        <v>22</v>
      </c>
      <c r="C4" t="s">
        <v>23</v>
      </c>
      <c r="D4" t="s">
        <v>24</v>
      </c>
      <c r="E4" t="s">
        <v>31</v>
      </c>
      <c r="F4" t="s">
        <v>32</v>
      </c>
      <c r="G4">
        <v>10620051</v>
      </c>
      <c r="H4" t="s">
        <v>27</v>
      </c>
      <c r="I4">
        <v>60</v>
      </c>
      <c r="J4">
        <v>6.8</v>
      </c>
      <c r="K4">
        <v>9</v>
      </c>
      <c r="L4">
        <v>4.08</v>
      </c>
      <c r="M4">
        <v>5.4</v>
      </c>
      <c r="N4">
        <v>56.78</v>
      </c>
      <c r="O4">
        <v>3406.8</v>
      </c>
      <c r="P4">
        <v>443.59375</v>
      </c>
      <c r="Q4">
        <v>295.72916666666669</v>
      </c>
      <c r="R4">
        <v>59.619000000000007</v>
      </c>
      <c r="S4">
        <v>225</v>
      </c>
      <c r="T4">
        <v>3691.4190000000003</v>
      </c>
      <c r="U4">
        <v>61.523650000000004</v>
      </c>
      <c r="V4">
        <v>480.65351562500001</v>
      </c>
      <c r="W4">
        <v>320.43567708333336</v>
      </c>
      <c r="Y4" t="s">
        <v>34</v>
      </c>
      <c r="Z4" t="s">
        <v>22</v>
      </c>
      <c r="AA4">
        <v>10620051</v>
      </c>
      <c r="AB4" t="s">
        <v>27</v>
      </c>
      <c r="AC4">
        <v>60</v>
      </c>
      <c r="AD4">
        <f t="shared" ref="AD4:AD23" si="0">I4-AC4</f>
        <v>0</v>
      </c>
    </row>
    <row r="5" spans="1:30" x14ac:dyDescent="0.25">
      <c r="A5" t="s">
        <v>36</v>
      </c>
      <c r="B5" t="s">
        <v>35</v>
      </c>
      <c r="C5" t="s">
        <v>23</v>
      </c>
      <c r="D5" t="s">
        <v>24</v>
      </c>
      <c r="E5" t="s">
        <v>31</v>
      </c>
      <c r="F5" t="s">
        <v>32</v>
      </c>
      <c r="G5">
        <v>10620051</v>
      </c>
      <c r="H5" t="s">
        <v>27</v>
      </c>
      <c r="I5">
        <v>60</v>
      </c>
      <c r="J5">
        <v>7</v>
      </c>
      <c r="K5">
        <v>9</v>
      </c>
      <c r="L5">
        <v>4.2</v>
      </c>
      <c r="M5">
        <v>5.4</v>
      </c>
      <c r="N5">
        <v>58.45</v>
      </c>
      <c r="O5">
        <v>3507</v>
      </c>
      <c r="P5">
        <v>449.61538461538464</v>
      </c>
      <c r="Q5">
        <v>299.74358974358978</v>
      </c>
      <c r="R5">
        <v>61.372500000000009</v>
      </c>
      <c r="S5">
        <v>225</v>
      </c>
      <c r="T5">
        <v>3793.3724999999999</v>
      </c>
      <c r="U5">
        <v>63.222875000000002</v>
      </c>
      <c r="V5">
        <v>486.32980769230767</v>
      </c>
      <c r="W5">
        <v>324.21987179487178</v>
      </c>
      <c r="Y5" t="s">
        <v>36</v>
      </c>
      <c r="Z5" t="s">
        <v>35</v>
      </c>
      <c r="AA5">
        <v>10620051</v>
      </c>
      <c r="AB5" t="s">
        <v>27</v>
      </c>
      <c r="AC5">
        <v>60</v>
      </c>
      <c r="AD5">
        <f t="shared" si="0"/>
        <v>0</v>
      </c>
    </row>
    <row r="6" spans="1:30" x14ac:dyDescent="0.25">
      <c r="A6" t="s">
        <v>36</v>
      </c>
      <c r="B6" t="s">
        <v>22</v>
      </c>
      <c r="C6" t="s">
        <v>23</v>
      </c>
      <c r="D6" t="s">
        <v>24</v>
      </c>
      <c r="E6" t="s">
        <v>31</v>
      </c>
      <c r="F6" t="s">
        <v>32</v>
      </c>
      <c r="G6">
        <v>10620051</v>
      </c>
      <c r="H6" t="s">
        <v>27</v>
      </c>
      <c r="I6">
        <v>80</v>
      </c>
      <c r="J6">
        <v>7</v>
      </c>
      <c r="K6">
        <v>9</v>
      </c>
      <c r="L6">
        <v>5.6</v>
      </c>
      <c r="M6">
        <v>7.2</v>
      </c>
      <c r="N6">
        <v>58.45</v>
      </c>
      <c r="O6">
        <v>4676</v>
      </c>
      <c r="P6">
        <v>449.61538461538464</v>
      </c>
      <c r="Q6">
        <v>299.74358974358978</v>
      </c>
      <c r="R6">
        <v>81.830000000000013</v>
      </c>
      <c r="S6">
        <v>300</v>
      </c>
      <c r="T6">
        <v>5057.83</v>
      </c>
      <c r="U6">
        <v>63.222875000000002</v>
      </c>
      <c r="V6">
        <v>486.32980769230767</v>
      </c>
      <c r="W6">
        <v>324.21987179487178</v>
      </c>
      <c r="Y6" t="s">
        <v>36</v>
      </c>
      <c r="Z6" t="s">
        <v>22</v>
      </c>
      <c r="AA6">
        <v>10620051</v>
      </c>
      <c r="AB6" t="s">
        <v>27</v>
      </c>
      <c r="AC6">
        <v>80</v>
      </c>
      <c r="AD6">
        <f t="shared" si="0"/>
        <v>0</v>
      </c>
    </row>
    <row r="7" spans="1:30" x14ac:dyDescent="0.25">
      <c r="A7" t="s">
        <v>37</v>
      </c>
      <c r="B7" t="s">
        <v>35</v>
      </c>
      <c r="C7" t="s">
        <v>23</v>
      </c>
      <c r="D7" t="s">
        <v>24</v>
      </c>
      <c r="E7" t="s">
        <v>31</v>
      </c>
      <c r="F7" t="s">
        <v>32</v>
      </c>
      <c r="G7">
        <v>10620051</v>
      </c>
      <c r="H7" t="s">
        <v>27</v>
      </c>
      <c r="I7">
        <v>70</v>
      </c>
      <c r="J7">
        <v>7</v>
      </c>
      <c r="K7">
        <v>9</v>
      </c>
      <c r="L7">
        <v>4.9000000000000004</v>
      </c>
      <c r="M7">
        <v>6.3</v>
      </c>
      <c r="N7">
        <v>58.45</v>
      </c>
      <c r="O7">
        <v>4091.5</v>
      </c>
      <c r="P7">
        <v>449.61538461538464</v>
      </c>
      <c r="Q7">
        <v>299.74358974358978</v>
      </c>
      <c r="R7">
        <v>71.601250000000007</v>
      </c>
      <c r="S7">
        <v>262.5</v>
      </c>
      <c r="T7">
        <v>4425.6012499999997</v>
      </c>
      <c r="U7">
        <v>63.222874999999995</v>
      </c>
      <c r="V7">
        <v>486.32980769230761</v>
      </c>
      <c r="W7">
        <v>324.21987179487172</v>
      </c>
      <c r="Y7" t="s">
        <v>37</v>
      </c>
      <c r="Z7" t="s">
        <v>35</v>
      </c>
      <c r="AA7">
        <v>10620051</v>
      </c>
      <c r="AB7" t="s">
        <v>27</v>
      </c>
      <c r="AC7">
        <v>70</v>
      </c>
      <c r="AD7">
        <f t="shared" si="0"/>
        <v>0</v>
      </c>
    </row>
    <row r="8" spans="1:30" x14ac:dyDescent="0.25">
      <c r="A8" t="s">
        <v>37</v>
      </c>
      <c r="B8" t="s">
        <v>22</v>
      </c>
      <c r="C8" t="s">
        <v>23</v>
      </c>
      <c r="D8" t="s">
        <v>24</v>
      </c>
      <c r="E8" t="s">
        <v>31</v>
      </c>
      <c r="F8" t="s">
        <v>32</v>
      </c>
      <c r="G8">
        <v>10620051</v>
      </c>
      <c r="H8" t="s">
        <v>27</v>
      </c>
      <c r="I8">
        <v>60</v>
      </c>
      <c r="J8">
        <v>7</v>
      </c>
      <c r="K8">
        <v>9</v>
      </c>
      <c r="L8">
        <v>4.2</v>
      </c>
      <c r="M8">
        <v>5.4</v>
      </c>
      <c r="N8">
        <v>58.45</v>
      </c>
      <c r="O8">
        <v>3507</v>
      </c>
      <c r="P8">
        <v>449.61538461538464</v>
      </c>
      <c r="Q8">
        <v>299.74358974358978</v>
      </c>
      <c r="R8">
        <v>61.372500000000009</v>
      </c>
      <c r="S8">
        <v>225</v>
      </c>
      <c r="T8">
        <v>3793.3724999999999</v>
      </c>
      <c r="U8">
        <v>63.222875000000002</v>
      </c>
      <c r="V8">
        <v>486.32980769230767</v>
      </c>
      <c r="W8">
        <v>324.21987179487178</v>
      </c>
      <c r="Y8" t="s">
        <v>37</v>
      </c>
      <c r="Z8" t="s">
        <v>22</v>
      </c>
      <c r="AA8">
        <v>10620051</v>
      </c>
      <c r="AB8" t="s">
        <v>27</v>
      </c>
      <c r="AC8">
        <v>60</v>
      </c>
      <c r="AD8">
        <f t="shared" si="0"/>
        <v>0</v>
      </c>
    </row>
    <row r="9" spans="1:30" x14ac:dyDescent="0.25">
      <c r="A9" t="s">
        <v>37</v>
      </c>
      <c r="B9" t="s">
        <v>22</v>
      </c>
      <c r="C9" t="s">
        <v>23</v>
      </c>
      <c r="D9" t="s">
        <v>24</v>
      </c>
      <c r="E9" t="s">
        <v>31</v>
      </c>
      <c r="F9" t="s">
        <v>32</v>
      </c>
      <c r="G9">
        <v>10620051</v>
      </c>
      <c r="H9" t="s">
        <v>28</v>
      </c>
      <c r="I9">
        <v>6000</v>
      </c>
      <c r="J9">
        <v>3.8</v>
      </c>
      <c r="K9">
        <v>8</v>
      </c>
      <c r="L9">
        <v>228</v>
      </c>
      <c r="M9">
        <v>480</v>
      </c>
      <c r="N9">
        <v>36.169056000000005</v>
      </c>
      <c r="O9">
        <v>217014.33600000004</v>
      </c>
      <c r="P9">
        <v>396.01156204379566</v>
      </c>
      <c r="Q9">
        <v>264.00770802919709</v>
      </c>
      <c r="R9">
        <v>3797.750880000001</v>
      </c>
      <c r="S9">
        <v>22500</v>
      </c>
      <c r="T9">
        <v>243312.08688000005</v>
      </c>
      <c r="U9">
        <v>40.552014480000011</v>
      </c>
      <c r="V9">
        <v>444.00015854014612</v>
      </c>
      <c r="W9">
        <v>296.00010569343073</v>
      </c>
      <c r="Y9" t="s">
        <v>37</v>
      </c>
      <c r="Z9" t="s">
        <v>22</v>
      </c>
      <c r="AA9">
        <v>10620051</v>
      </c>
      <c r="AB9" t="s">
        <v>28</v>
      </c>
      <c r="AC9">
        <v>6000</v>
      </c>
      <c r="AD9">
        <f t="shared" si="0"/>
        <v>0</v>
      </c>
    </row>
    <row r="10" spans="1:30" x14ac:dyDescent="0.25">
      <c r="A10" t="s">
        <v>38</v>
      </c>
      <c r="B10" t="s">
        <v>35</v>
      </c>
      <c r="C10" t="s">
        <v>23</v>
      </c>
      <c r="D10" t="s">
        <v>24</v>
      </c>
      <c r="E10" t="s">
        <v>31</v>
      </c>
      <c r="F10" t="s">
        <v>32</v>
      </c>
      <c r="G10">
        <v>10620051</v>
      </c>
      <c r="H10" t="s">
        <v>27</v>
      </c>
      <c r="I10">
        <v>65</v>
      </c>
      <c r="J10">
        <v>7</v>
      </c>
      <c r="K10">
        <v>9</v>
      </c>
      <c r="L10">
        <v>4.55</v>
      </c>
      <c r="M10">
        <v>5.85</v>
      </c>
      <c r="N10">
        <v>58.45</v>
      </c>
      <c r="O10">
        <v>3799.25</v>
      </c>
      <c r="P10">
        <v>449.61538461538464</v>
      </c>
      <c r="Q10">
        <v>299.74358974358978</v>
      </c>
      <c r="R10">
        <v>66.486875000000012</v>
      </c>
      <c r="S10">
        <v>243.75</v>
      </c>
      <c r="T10">
        <v>4109.4868749999996</v>
      </c>
      <c r="U10">
        <v>63.222874999999995</v>
      </c>
      <c r="V10">
        <v>486.32980769230761</v>
      </c>
      <c r="W10">
        <v>324.21987179487172</v>
      </c>
      <c r="Y10" t="s">
        <v>38</v>
      </c>
      <c r="Z10" t="s">
        <v>35</v>
      </c>
      <c r="AA10">
        <v>10620051</v>
      </c>
      <c r="AB10" t="s">
        <v>27</v>
      </c>
      <c r="AC10">
        <v>65</v>
      </c>
      <c r="AD10">
        <f t="shared" si="0"/>
        <v>0</v>
      </c>
    </row>
    <row r="11" spans="1:30" x14ac:dyDescent="0.25">
      <c r="A11" t="s">
        <v>38</v>
      </c>
      <c r="B11" t="s">
        <v>35</v>
      </c>
      <c r="C11" t="s">
        <v>23</v>
      </c>
      <c r="D11" t="s">
        <v>24</v>
      </c>
      <c r="E11" t="s">
        <v>31</v>
      </c>
      <c r="F11" t="s">
        <v>32</v>
      </c>
      <c r="G11">
        <v>10620051</v>
      </c>
      <c r="H11" t="s">
        <v>28</v>
      </c>
      <c r="I11">
        <v>6000</v>
      </c>
      <c r="J11">
        <v>3.8</v>
      </c>
      <c r="K11">
        <v>8</v>
      </c>
      <c r="L11">
        <v>228</v>
      </c>
      <c r="M11">
        <v>480</v>
      </c>
      <c r="N11">
        <v>36.169056000000005</v>
      </c>
      <c r="O11">
        <v>217014.33600000004</v>
      </c>
      <c r="P11">
        <v>396.01156204379566</v>
      </c>
      <c r="Q11">
        <v>264.00770802919709</v>
      </c>
      <c r="R11">
        <v>3797.750880000001</v>
      </c>
      <c r="S11">
        <v>22500</v>
      </c>
      <c r="T11">
        <v>243312.08688000005</v>
      </c>
      <c r="U11">
        <v>40.552014480000011</v>
      </c>
      <c r="V11">
        <v>444.00015854014612</v>
      </c>
      <c r="W11">
        <v>296.00010569343073</v>
      </c>
      <c r="Y11" t="s">
        <v>38</v>
      </c>
      <c r="Z11" t="s">
        <v>35</v>
      </c>
      <c r="AA11">
        <v>10620051</v>
      </c>
      <c r="AB11" t="s">
        <v>28</v>
      </c>
      <c r="AC11">
        <v>6000</v>
      </c>
      <c r="AD11">
        <f t="shared" si="0"/>
        <v>0</v>
      </c>
    </row>
    <row r="12" spans="1:30" x14ac:dyDescent="0.25">
      <c r="A12" t="s">
        <v>38</v>
      </c>
      <c r="B12" t="s">
        <v>22</v>
      </c>
      <c r="C12" t="s">
        <v>23</v>
      </c>
      <c r="D12" t="s">
        <v>24</v>
      </c>
      <c r="E12" t="s">
        <v>31</v>
      </c>
      <c r="F12" t="s">
        <v>32</v>
      </c>
      <c r="G12">
        <v>10620051</v>
      </c>
      <c r="H12" t="s">
        <v>27</v>
      </c>
      <c r="I12">
        <v>60</v>
      </c>
      <c r="J12">
        <v>7</v>
      </c>
      <c r="K12">
        <v>9</v>
      </c>
      <c r="L12">
        <v>4.2</v>
      </c>
      <c r="M12">
        <v>5.4</v>
      </c>
      <c r="N12">
        <v>58.45</v>
      </c>
      <c r="O12">
        <v>3507</v>
      </c>
      <c r="P12">
        <v>449.61538461538464</v>
      </c>
      <c r="Q12">
        <v>299.74358974358978</v>
      </c>
      <c r="R12">
        <v>61.372500000000009</v>
      </c>
      <c r="S12">
        <v>225</v>
      </c>
      <c r="T12">
        <v>3793.3724999999999</v>
      </c>
      <c r="U12">
        <v>63.222875000000002</v>
      </c>
      <c r="V12">
        <v>486.32980769230767</v>
      </c>
      <c r="W12">
        <v>324.21987179487178</v>
      </c>
      <c r="Y12" t="s">
        <v>38</v>
      </c>
      <c r="Z12" t="s">
        <v>22</v>
      </c>
      <c r="AA12">
        <v>10620051</v>
      </c>
      <c r="AB12" t="s">
        <v>27</v>
      </c>
      <c r="AC12">
        <v>60</v>
      </c>
      <c r="AD12">
        <f t="shared" si="0"/>
        <v>0</v>
      </c>
    </row>
    <row r="13" spans="1:30" x14ac:dyDescent="0.25">
      <c r="A13" t="s">
        <v>38</v>
      </c>
      <c r="B13" t="s">
        <v>22</v>
      </c>
      <c r="C13" t="s">
        <v>23</v>
      </c>
      <c r="D13" t="s">
        <v>24</v>
      </c>
      <c r="E13" t="s">
        <v>31</v>
      </c>
      <c r="F13" t="s">
        <v>32</v>
      </c>
      <c r="G13">
        <v>10620051</v>
      </c>
      <c r="H13" t="s">
        <v>28</v>
      </c>
      <c r="I13">
        <v>4000</v>
      </c>
      <c r="J13">
        <v>3.8</v>
      </c>
      <c r="K13">
        <v>8</v>
      </c>
      <c r="L13">
        <v>152</v>
      </c>
      <c r="M13">
        <v>320</v>
      </c>
      <c r="N13">
        <v>36.169056000000005</v>
      </c>
      <c r="O13">
        <v>144676.22400000002</v>
      </c>
      <c r="P13">
        <v>396.01156204379566</v>
      </c>
      <c r="Q13">
        <v>264.00770802919709</v>
      </c>
      <c r="R13">
        <v>2531.8339200000005</v>
      </c>
      <c r="S13">
        <v>15000</v>
      </c>
      <c r="T13">
        <v>162208.05792000002</v>
      </c>
      <c r="U13">
        <v>40.552014480000004</v>
      </c>
      <c r="V13">
        <v>444.000158540146</v>
      </c>
      <c r="W13">
        <v>296.00010569343067</v>
      </c>
      <c r="Y13" t="s">
        <v>38</v>
      </c>
      <c r="Z13" t="s">
        <v>22</v>
      </c>
      <c r="AA13">
        <v>10620051</v>
      </c>
      <c r="AB13" t="s">
        <v>28</v>
      </c>
      <c r="AC13">
        <v>4000</v>
      </c>
      <c r="AD13">
        <f t="shared" si="0"/>
        <v>0</v>
      </c>
    </row>
    <row r="14" spans="1:30" x14ac:dyDescent="0.25">
      <c r="A14" t="s">
        <v>39</v>
      </c>
      <c r="B14" t="s">
        <v>35</v>
      </c>
      <c r="C14" t="s">
        <v>23</v>
      </c>
      <c r="D14" t="s">
        <v>24</v>
      </c>
      <c r="E14" t="s">
        <v>31</v>
      </c>
      <c r="F14" t="s">
        <v>32</v>
      </c>
      <c r="G14">
        <v>10620051</v>
      </c>
      <c r="H14" t="s">
        <v>27</v>
      </c>
      <c r="I14">
        <v>65</v>
      </c>
      <c r="J14">
        <v>7</v>
      </c>
      <c r="K14">
        <v>9</v>
      </c>
      <c r="L14">
        <v>4.55</v>
      </c>
      <c r="M14">
        <v>5.85</v>
      </c>
      <c r="N14">
        <v>58.45</v>
      </c>
      <c r="O14">
        <v>3799.25</v>
      </c>
      <c r="P14">
        <v>449.61538461538464</v>
      </c>
      <c r="Q14">
        <v>299.74358974358978</v>
      </c>
      <c r="R14">
        <v>66.486875000000012</v>
      </c>
      <c r="S14">
        <v>243.75</v>
      </c>
      <c r="T14">
        <v>4109.4868749999996</v>
      </c>
      <c r="U14">
        <v>63.222874999999995</v>
      </c>
      <c r="V14">
        <v>486.32980769230761</v>
      </c>
      <c r="W14">
        <v>324.21987179487172</v>
      </c>
      <c r="Y14" t="s">
        <v>39</v>
      </c>
      <c r="Z14" t="s">
        <v>35</v>
      </c>
      <c r="AA14">
        <v>10620051</v>
      </c>
      <c r="AB14" t="s">
        <v>27</v>
      </c>
      <c r="AC14">
        <v>65</v>
      </c>
      <c r="AD14">
        <f t="shared" si="0"/>
        <v>0</v>
      </c>
    </row>
    <row r="15" spans="1:30" x14ac:dyDescent="0.25">
      <c r="A15" t="s">
        <v>39</v>
      </c>
      <c r="B15" t="s">
        <v>35</v>
      </c>
      <c r="C15" t="s">
        <v>23</v>
      </c>
      <c r="D15" t="s">
        <v>24</v>
      </c>
      <c r="E15" t="s">
        <v>31</v>
      </c>
      <c r="F15" t="s">
        <v>32</v>
      </c>
      <c r="G15">
        <v>10620051</v>
      </c>
      <c r="H15" t="s">
        <v>28</v>
      </c>
      <c r="I15">
        <v>2000</v>
      </c>
      <c r="J15">
        <v>3.8</v>
      </c>
      <c r="K15">
        <v>8</v>
      </c>
      <c r="L15">
        <v>76</v>
      </c>
      <c r="M15">
        <v>160</v>
      </c>
      <c r="N15">
        <v>38.087112000000005</v>
      </c>
      <c r="O15">
        <v>76174.224000000017</v>
      </c>
      <c r="P15">
        <v>417.01217518248177</v>
      </c>
      <c r="Q15">
        <v>278.00811678832116</v>
      </c>
      <c r="R15">
        <v>1333.0489200000004</v>
      </c>
      <c r="S15">
        <v>7500</v>
      </c>
      <c r="T15">
        <v>85007.272920000018</v>
      </c>
      <c r="U15">
        <v>42.50363646000001</v>
      </c>
      <c r="V15">
        <v>465.36828240875923</v>
      </c>
      <c r="W15">
        <v>310.24552160583949</v>
      </c>
      <c r="Y15" t="s">
        <v>39</v>
      </c>
      <c r="Z15" t="s">
        <v>35</v>
      </c>
      <c r="AA15">
        <v>10620051</v>
      </c>
      <c r="AB15" t="s">
        <v>28</v>
      </c>
      <c r="AC15">
        <v>2000</v>
      </c>
      <c r="AD15">
        <f t="shared" si="0"/>
        <v>0</v>
      </c>
    </row>
    <row r="16" spans="1:30" x14ac:dyDescent="0.25">
      <c r="A16" t="s">
        <v>39</v>
      </c>
      <c r="B16" t="s">
        <v>22</v>
      </c>
      <c r="C16" t="s">
        <v>23</v>
      </c>
      <c r="D16" t="s">
        <v>24</v>
      </c>
      <c r="E16" t="s">
        <v>31</v>
      </c>
      <c r="F16" t="s">
        <v>32</v>
      </c>
      <c r="G16">
        <v>10620051</v>
      </c>
      <c r="H16" t="s">
        <v>27</v>
      </c>
      <c r="I16">
        <v>70</v>
      </c>
      <c r="J16">
        <v>7</v>
      </c>
      <c r="K16">
        <v>9</v>
      </c>
      <c r="L16">
        <v>4.9000000000000004</v>
      </c>
      <c r="M16">
        <v>6.3</v>
      </c>
      <c r="N16">
        <v>58.45</v>
      </c>
      <c r="O16">
        <v>4091.5</v>
      </c>
      <c r="P16">
        <v>449.61538461538464</v>
      </c>
      <c r="Q16">
        <v>299.74358974358978</v>
      </c>
      <c r="R16">
        <v>71.601250000000007</v>
      </c>
      <c r="S16">
        <v>262.5</v>
      </c>
      <c r="T16">
        <v>4425.6012499999997</v>
      </c>
      <c r="U16">
        <v>63.222874999999995</v>
      </c>
      <c r="V16">
        <v>486.32980769230761</v>
      </c>
      <c r="W16">
        <v>324.21987179487172</v>
      </c>
      <c r="Y16" t="s">
        <v>39</v>
      </c>
      <c r="Z16" t="s">
        <v>22</v>
      </c>
      <c r="AA16">
        <v>10620051</v>
      </c>
      <c r="AB16" t="s">
        <v>27</v>
      </c>
      <c r="AC16">
        <v>70</v>
      </c>
      <c r="AD16">
        <f t="shared" si="0"/>
        <v>0</v>
      </c>
    </row>
    <row r="17" spans="1:30" x14ac:dyDescent="0.25">
      <c r="A17" t="s">
        <v>21</v>
      </c>
      <c r="B17" t="s">
        <v>35</v>
      </c>
      <c r="C17" t="s">
        <v>23</v>
      </c>
      <c r="D17" t="s">
        <v>24</v>
      </c>
      <c r="E17" t="s">
        <v>31</v>
      </c>
      <c r="F17" t="s">
        <v>32</v>
      </c>
      <c r="G17">
        <v>10620051</v>
      </c>
      <c r="H17" t="s">
        <v>27</v>
      </c>
      <c r="I17">
        <v>70</v>
      </c>
      <c r="J17">
        <v>7</v>
      </c>
      <c r="K17">
        <v>9</v>
      </c>
      <c r="L17">
        <v>4.9000000000000004</v>
      </c>
      <c r="M17">
        <v>6.3</v>
      </c>
      <c r="N17">
        <v>58.45</v>
      </c>
      <c r="O17">
        <v>4091.5</v>
      </c>
      <c r="P17">
        <v>449.61538461538464</v>
      </c>
      <c r="Q17">
        <v>299.74358974358978</v>
      </c>
      <c r="R17">
        <v>71.601250000000007</v>
      </c>
      <c r="S17">
        <v>262.5</v>
      </c>
      <c r="T17">
        <v>4425.6012499999997</v>
      </c>
      <c r="U17">
        <v>63.222874999999995</v>
      </c>
      <c r="V17">
        <v>486.32980769230761</v>
      </c>
      <c r="W17">
        <v>324.21987179487172</v>
      </c>
      <c r="Y17" t="s">
        <v>21</v>
      </c>
      <c r="Z17" t="s">
        <v>35</v>
      </c>
      <c r="AA17">
        <v>10620051</v>
      </c>
      <c r="AB17" t="s">
        <v>27</v>
      </c>
      <c r="AC17">
        <v>70</v>
      </c>
      <c r="AD17">
        <f t="shared" si="0"/>
        <v>0</v>
      </c>
    </row>
    <row r="18" spans="1:30" x14ac:dyDescent="0.25">
      <c r="A18" t="s">
        <v>21</v>
      </c>
      <c r="B18" t="s">
        <v>22</v>
      </c>
      <c r="C18" t="s">
        <v>23</v>
      </c>
      <c r="D18" t="s">
        <v>24</v>
      </c>
      <c r="E18" t="s">
        <v>31</v>
      </c>
      <c r="F18" t="s">
        <v>32</v>
      </c>
      <c r="G18">
        <v>10620051</v>
      </c>
      <c r="H18" t="s">
        <v>27</v>
      </c>
      <c r="I18">
        <v>70</v>
      </c>
      <c r="J18">
        <v>7</v>
      </c>
      <c r="K18">
        <v>9</v>
      </c>
      <c r="L18">
        <v>4.9000000000000004</v>
      </c>
      <c r="M18">
        <v>6.3</v>
      </c>
      <c r="N18">
        <v>58.45</v>
      </c>
      <c r="O18">
        <v>4091.5</v>
      </c>
      <c r="P18">
        <v>449.61538461538464</v>
      </c>
      <c r="Q18">
        <v>299.74358974358978</v>
      </c>
      <c r="R18">
        <v>71.601250000000007</v>
      </c>
      <c r="S18">
        <v>262.5</v>
      </c>
      <c r="T18">
        <v>4425.6012499999997</v>
      </c>
      <c r="U18">
        <v>63.222874999999995</v>
      </c>
      <c r="V18">
        <v>486.32980769230761</v>
      </c>
      <c r="W18">
        <v>324.21987179487172</v>
      </c>
      <c r="Y18" t="s">
        <v>21</v>
      </c>
      <c r="Z18" t="s">
        <v>22</v>
      </c>
      <c r="AA18">
        <v>10620051</v>
      </c>
      <c r="AB18" t="s">
        <v>27</v>
      </c>
      <c r="AC18">
        <v>70</v>
      </c>
      <c r="AD18">
        <f t="shared" si="0"/>
        <v>0</v>
      </c>
    </row>
    <row r="19" spans="1:30" x14ac:dyDescent="0.25">
      <c r="A19" s="17" t="s">
        <v>21</v>
      </c>
      <c r="B19" s="17" t="s">
        <v>22</v>
      </c>
      <c r="C19" s="17" t="s">
        <v>23</v>
      </c>
      <c r="D19" s="17" t="s">
        <v>24</v>
      </c>
      <c r="E19" s="17" t="s">
        <v>31</v>
      </c>
      <c r="F19" s="17" t="s">
        <v>32</v>
      </c>
      <c r="G19" s="17">
        <v>10620051</v>
      </c>
      <c r="H19" s="17" t="s">
        <v>28</v>
      </c>
      <c r="I19" s="17">
        <v>7260</v>
      </c>
      <c r="J19" s="17">
        <v>3.9</v>
      </c>
      <c r="K19" s="17">
        <v>8.1</v>
      </c>
      <c r="L19" s="17">
        <v>283.14</v>
      </c>
      <c r="M19" s="17">
        <v>588.05999999999995</v>
      </c>
      <c r="N19" s="17">
        <v>38.782125900000004</v>
      </c>
      <c r="O19" s="17">
        <v>281558.23403400002</v>
      </c>
      <c r="P19" s="17">
        <v>417.01210645161296</v>
      </c>
      <c r="Q19" s="17">
        <v>278.00807096774196</v>
      </c>
      <c r="R19" s="17">
        <v>4927.2690955950011</v>
      </c>
      <c r="S19" s="17">
        <v>27225</v>
      </c>
      <c r="T19" s="17">
        <v>313710.50312959502</v>
      </c>
      <c r="U19" s="17">
        <v>43.210813103250004</v>
      </c>
      <c r="V19" s="17">
        <v>464.63239895967746</v>
      </c>
      <c r="W19" s="17">
        <v>309.75493263978495</v>
      </c>
      <c r="X19" s="17"/>
      <c r="Y19" s="17"/>
      <c r="Z19" s="17"/>
      <c r="AA19" s="17"/>
      <c r="AB19" s="17"/>
      <c r="AC19" s="17"/>
      <c r="AD19" s="17">
        <f t="shared" si="0"/>
        <v>7260</v>
      </c>
    </row>
    <row r="20" spans="1:30" x14ac:dyDescent="0.25">
      <c r="A20" t="s">
        <v>40</v>
      </c>
      <c r="B20" t="s">
        <v>35</v>
      </c>
      <c r="C20" t="s">
        <v>23</v>
      </c>
      <c r="D20" t="s">
        <v>24</v>
      </c>
      <c r="E20" t="s">
        <v>31</v>
      </c>
      <c r="F20" t="s">
        <v>32</v>
      </c>
      <c r="G20">
        <v>10620051</v>
      </c>
      <c r="H20" t="s">
        <v>27</v>
      </c>
      <c r="I20">
        <v>65</v>
      </c>
      <c r="J20">
        <v>6.9</v>
      </c>
      <c r="K20">
        <v>9</v>
      </c>
      <c r="L20">
        <v>4.4850000000000003</v>
      </c>
      <c r="M20">
        <v>5.85</v>
      </c>
      <c r="N20">
        <v>57.615000000000002</v>
      </c>
      <c r="O20">
        <v>3744.9749999999999</v>
      </c>
      <c r="P20">
        <v>446.62790697674421</v>
      </c>
      <c r="Q20">
        <v>297.75193798449612</v>
      </c>
      <c r="R20">
        <v>65.537062500000005</v>
      </c>
      <c r="S20">
        <v>243.75</v>
      </c>
      <c r="T20">
        <v>4054.2620625</v>
      </c>
      <c r="U20">
        <v>62.373262500000003</v>
      </c>
      <c r="V20">
        <v>483.51366279069771</v>
      </c>
      <c r="W20">
        <v>322.34244186046516</v>
      </c>
      <c r="Y20" t="s">
        <v>40</v>
      </c>
      <c r="Z20" t="s">
        <v>35</v>
      </c>
      <c r="AA20">
        <v>10620051</v>
      </c>
      <c r="AB20" t="s">
        <v>27</v>
      </c>
      <c r="AC20">
        <v>65</v>
      </c>
      <c r="AD20">
        <f t="shared" si="0"/>
        <v>0</v>
      </c>
    </row>
    <row r="21" spans="1:30" x14ac:dyDescent="0.25">
      <c r="A21" t="s">
        <v>40</v>
      </c>
      <c r="B21" t="s">
        <v>35</v>
      </c>
      <c r="C21" t="s">
        <v>23</v>
      </c>
      <c r="D21" t="s">
        <v>24</v>
      </c>
      <c r="E21" t="s">
        <v>31</v>
      </c>
      <c r="F21" t="s">
        <v>32</v>
      </c>
      <c r="G21">
        <v>10620051</v>
      </c>
      <c r="H21" t="s">
        <v>28</v>
      </c>
      <c r="I21">
        <v>7000</v>
      </c>
      <c r="J21">
        <v>4.0999999999999996</v>
      </c>
      <c r="K21">
        <v>8</v>
      </c>
      <c r="L21">
        <v>286.99999999999994</v>
      </c>
      <c r="M21">
        <v>560</v>
      </c>
      <c r="N21">
        <v>39.338112000000002</v>
      </c>
      <c r="O21">
        <v>275366.78400000004</v>
      </c>
      <c r="P21">
        <v>417.01178798586579</v>
      </c>
      <c r="Q21">
        <v>278.00785865724384</v>
      </c>
      <c r="R21">
        <v>4818.9187200000015</v>
      </c>
      <c r="S21">
        <v>26250</v>
      </c>
      <c r="T21">
        <v>306435.70272000006</v>
      </c>
      <c r="U21">
        <v>43.776528960000007</v>
      </c>
      <c r="V21">
        <v>464.06214445229693</v>
      </c>
      <c r="W21">
        <v>309.37476296819796</v>
      </c>
      <c r="Y21" t="s">
        <v>40</v>
      </c>
      <c r="Z21" t="s">
        <v>35</v>
      </c>
      <c r="AA21">
        <v>10620051</v>
      </c>
      <c r="AB21" t="s">
        <v>28</v>
      </c>
      <c r="AC21">
        <v>7000</v>
      </c>
      <c r="AD21">
        <f t="shared" si="0"/>
        <v>0</v>
      </c>
    </row>
    <row r="22" spans="1:30" x14ac:dyDescent="0.25">
      <c r="A22" t="s">
        <v>40</v>
      </c>
      <c r="B22" t="s">
        <v>22</v>
      </c>
      <c r="C22" t="s">
        <v>23</v>
      </c>
      <c r="D22" t="s">
        <v>24</v>
      </c>
      <c r="E22" t="s">
        <v>31</v>
      </c>
      <c r="F22" t="s">
        <v>32</v>
      </c>
      <c r="G22">
        <v>10620051</v>
      </c>
      <c r="H22" t="s">
        <v>27</v>
      </c>
      <c r="I22">
        <v>70</v>
      </c>
      <c r="J22">
        <v>7</v>
      </c>
      <c r="K22">
        <v>9</v>
      </c>
      <c r="L22">
        <v>4.9000000000000004</v>
      </c>
      <c r="M22">
        <v>6.3</v>
      </c>
      <c r="N22">
        <v>58.45</v>
      </c>
      <c r="O22">
        <v>4091.5</v>
      </c>
      <c r="P22">
        <v>449.61538461538464</v>
      </c>
      <c r="Q22">
        <v>299.74358974358978</v>
      </c>
      <c r="R22">
        <v>71.601250000000007</v>
      </c>
      <c r="S22">
        <v>262.5</v>
      </c>
      <c r="T22">
        <v>4425.6012499999997</v>
      </c>
      <c r="U22">
        <v>63.222874999999995</v>
      </c>
      <c r="V22">
        <v>486.32980769230761</v>
      </c>
      <c r="W22">
        <v>324.21987179487172</v>
      </c>
      <c r="Y22" t="s">
        <v>40</v>
      </c>
      <c r="Z22" t="s">
        <v>22</v>
      </c>
      <c r="AA22">
        <v>10620051</v>
      </c>
      <c r="AB22" t="s">
        <v>27</v>
      </c>
      <c r="AC22">
        <v>70</v>
      </c>
      <c r="AD22">
        <f t="shared" si="0"/>
        <v>0</v>
      </c>
    </row>
    <row r="23" spans="1:30" x14ac:dyDescent="0.25">
      <c r="A23" t="s">
        <v>40</v>
      </c>
      <c r="B23" t="s">
        <v>22</v>
      </c>
      <c r="C23" t="s">
        <v>23</v>
      </c>
      <c r="D23" t="s">
        <v>24</v>
      </c>
      <c r="E23" t="s">
        <v>31</v>
      </c>
      <c r="F23" t="s">
        <v>32</v>
      </c>
      <c r="G23">
        <v>10620051</v>
      </c>
      <c r="H23" t="s">
        <v>28</v>
      </c>
      <c r="I23">
        <v>8220</v>
      </c>
      <c r="J23">
        <v>3.8</v>
      </c>
      <c r="K23">
        <v>8</v>
      </c>
      <c r="L23">
        <v>312.36</v>
      </c>
      <c r="M23">
        <v>657.6</v>
      </c>
      <c r="N23">
        <v>38.087112000000005</v>
      </c>
      <c r="O23">
        <v>313076.06064000004</v>
      </c>
      <c r="P23">
        <v>417.01217518248177</v>
      </c>
      <c r="Q23">
        <v>278.00811678832116</v>
      </c>
      <c r="R23">
        <v>5478.8310612000014</v>
      </c>
      <c r="S23">
        <v>30825</v>
      </c>
      <c r="T23">
        <v>349379.89170120005</v>
      </c>
      <c r="U23">
        <v>42.503636460000003</v>
      </c>
      <c r="V23">
        <v>465.36828240875911</v>
      </c>
      <c r="W23">
        <v>310.24552160583943</v>
      </c>
      <c r="Y23" t="s">
        <v>40</v>
      </c>
      <c r="Z23" t="s">
        <v>22</v>
      </c>
      <c r="AA23">
        <v>10620051</v>
      </c>
      <c r="AB23" t="s">
        <v>28</v>
      </c>
      <c r="AC23">
        <v>8220</v>
      </c>
      <c r="AD23">
        <f t="shared" si="0"/>
        <v>0</v>
      </c>
    </row>
    <row r="24" spans="1:30" x14ac:dyDescent="0.25">
      <c r="A24" t="s">
        <v>36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>
        <v>10620109</v>
      </c>
      <c r="H24" t="s">
        <v>27</v>
      </c>
      <c r="I24">
        <v>2000</v>
      </c>
      <c r="J24">
        <v>5.6</v>
      </c>
      <c r="K24">
        <v>8.4</v>
      </c>
      <c r="L24">
        <v>112</v>
      </c>
      <c r="M24">
        <v>168</v>
      </c>
      <c r="N24">
        <v>45.357199999999999</v>
      </c>
      <c r="O24">
        <v>90714.4</v>
      </c>
      <c r="P24">
        <v>404.97500000000002</v>
      </c>
      <c r="Q24">
        <v>269.98333333333335</v>
      </c>
      <c r="R24">
        <v>1587.502</v>
      </c>
      <c r="S24">
        <v>7500</v>
      </c>
      <c r="T24">
        <v>99801.902000000002</v>
      </c>
      <c r="U24">
        <v>49.900950999999999</v>
      </c>
      <c r="V24">
        <v>445.54420535714291</v>
      </c>
      <c r="W24">
        <v>297.02947023809526</v>
      </c>
      <c r="Y24" t="s">
        <v>36</v>
      </c>
      <c r="Z24" t="s">
        <v>22</v>
      </c>
      <c r="AA24">
        <v>10620109</v>
      </c>
      <c r="AB24" t="s">
        <v>27</v>
      </c>
      <c r="AC24">
        <v>2000</v>
      </c>
      <c r="AD24">
        <f t="shared" ref="AD24:AD34" si="1">I24-AC24</f>
        <v>0</v>
      </c>
    </row>
    <row r="25" spans="1:30" x14ac:dyDescent="0.25">
      <c r="A25" t="s">
        <v>39</v>
      </c>
      <c r="B25" t="s">
        <v>35</v>
      </c>
      <c r="C25" t="s">
        <v>23</v>
      </c>
      <c r="D25" t="s">
        <v>24</v>
      </c>
      <c r="E25" t="s">
        <v>25</v>
      </c>
      <c r="F25" t="s">
        <v>26</v>
      </c>
      <c r="G25">
        <v>10620109</v>
      </c>
      <c r="H25" t="s">
        <v>27</v>
      </c>
      <c r="I25">
        <v>2000</v>
      </c>
      <c r="J25">
        <v>5.6</v>
      </c>
      <c r="K25">
        <v>8.4</v>
      </c>
      <c r="L25">
        <v>112</v>
      </c>
      <c r="M25">
        <v>168</v>
      </c>
      <c r="N25">
        <v>45.357199999999999</v>
      </c>
      <c r="O25">
        <v>90714.4</v>
      </c>
      <c r="P25">
        <v>404.97500000000002</v>
      </c>
      <c r="Q25">
        <v>269.98333333333335</v>
      </c>
      <c r="R25">
        <v>1587.502</v>
      </c>
      <c r="S25">
        <v>7500</v>
      </c>
      <c r="T25">
        <v>99801.902000000002</v>
      </c>
      <c r="U25">
        <v>49.900950999999999</v>
      </c>
      <c r="V25">
        <v>445.54420535714291</v>
      </c>
      <c r="W25">
        <v>297.02947023809526</v>
      </c>
      <c r="Y25" t="s">
        <v>39</v>
      </c>
      <c r="Z25" t="s">
        <v>35</v>
      </c>
      <c r="AA25">
        <v>10620109</v>
      </c>
      <c r="AB25" t="s">
        <v>27</v>
      </c>
      <c r="AC25">
        <v>2000</v>
      </c>
      <c r="AD25">
        <f t="shared" si="1"/>
        <v>0</v>
      </c>
    </row>
    <row r="26" spans="1:30" x14ac:dyDescent="0.25">
      <c r="A26" t="s">
        <v>39</v>
      </c>
      <c r="B26" t="s">
        <v>35</v>
      </c>
      <c r="C26" t="s">
        <v>23</v>
      </c>
      <c r="D26" t="s">
        <v>24</v>
      </c>
      <c r="E26" t="s">
        <v>25</v>
      </c>
      <c r="F26" t="s">
        <v>26</v>
      </c>
      <c r="G26">
        <v>10620109</v>
      </c>
      <c r="H26" t="s">
        <v>28</v>
      </c>
      <c r="I26">
        <v>200</v>
      </c>
      <c r="J26">
        <v>4</v>
      </c>
      <c r="K26">
        <v>8.5</v>
      </c>
      <c r="L26">
        <v>8</v>
      </c>
      <c r="M26">
        <v>17</v>
      </c>
      <c r="N26">
        <v>40.311181500000004</v>
      </c>
      <c r="O26">
        <v>8062.2363000000005</v>
      </c>
      <c r="P26">
        <v>417.0122224137931</v>
      </c>
      <c r="Q26">
        <v>278.00814827586208</v>
      </c>
      <c r="R26">
        <v>141.08913525000003</v>
      </c>
      <c r="S26">
        <v>750</v>
      </c>
      <c r="T26">
        <v>8953.3254352500007</v>
      </c>
      <c r="U26">
        <v>44.766627176250005</v>
      </c>
      <c r="V26">
        <v>463.10303975431032</v>
      </c>
      <c r="W26">
        <v>308.7353598362069</v>
      </c>
      <c r="Y26" t="s">
        <v>39</v>
      </c>
      <c r="Z26" t="s">
        <v>35</v>
      </c>
      <c r="AA26">
        <v>10620109</v>
      </c>
      <c r="AB26" t="s">
        <v>28</v>
      </c>
      <c r="AC26">
        <v>200</v>
      </c>
      <c r="AD26">
        <f t="shared" si="1"/>
        <v>0</v>
      </c>
    </row>
    <row r="27" spans="1:30" x14ac:dyDescent="0.25">
      <c r="A27" t="s">
        <v>39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>
        <v>10620109</v>
      </c>
      <c r="H27" t="s">
        <v>27</v>
      </c>
      <c r="I27">
        <v>1000</v>
      </c>
      <c r="J27">
        <v>5.6</v>
      </c>
      <c r="K27">
        <v>8.4</v>
      </c>
      <c r="L27">
        <v>56</v>
      </c>
      <c r="M27">
        <v>84</v>
      </c>
      <c r="N27">
        <v>45.357199999999999</v>
      </c>
      <c r="O27">
        <v>45357.2</v>
      </c>
      <c r="P27">
        <v>404.97500000000002</v>
      </c>
      <c r="Q27">
        <v>269.98333333333335</v>
      </c>
      <c r="R27">
        <v>793.75099999999998</v>
      </c>
      <c r="S27">
        <v>3750</v>
      </c>
      <c r="T27">
        <v>49900.951000000001</v>
      </c>
      <c r="U27">
        <v>49.900950999999999</v>
      </c>
      <c r="V27">
        <v>445.54420535714291</v>
      </c>
      <c r="W27">
        <v>297.02947023809526</v>
      </c>
      <c r="Y27" t="s">
        <v>39</v>
      </c>
      <c r="Z27" t="s">
        <v>22</v>
      </c>
      <c r="AA27">
        <v>10620109</v>
      </c>
      <c r="AB27" t="s">
        <v>27</v>
      </c>
      <c r="AC27">
        <v>1000</v>
      </c>
      <c r="AD27">
        <f t="shared" si="1"/>
        <v>0</v>
      </c>
    </row>
    <row r="28" spans="1:30" x14ac:dyDescent="0.25">
      <c r="A28" t="s">
        <v>39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>
        <v>10620109</v>
      </c>
      <c r="H28" t="s">
        <v>28</v>
      </c>
      <c r="I28">
        <v>200</v>
      </c>
      <c r="J28">
        <v>4</v>
      </c>
      <c r="K28">
        <v>8.1999999999999993</v>
      </c>
      <c r="L28">
        <v>8</v>
      </c>
      <c r="M28">
        <v>16.399999999999999</v>
      </c>
      <c r="N28">
        <v>39.477139800000003</v>
      </c>
      <c r="O28">
        <v>7895.4279600000009</v>
      </c>
      <c r="P28">
        <v>417.0120401408451</v>
      </c>
      <c r="Q28">
        <v>278.00802676056338</v>
      </c>
      <c r="R28">
        <v>138.16998930000003</v>
      </c>
      <c r="S28">
        <v>750</v>
      </c>
      <c r="T28">
        <v>8783.5979493000013</v>
      </c>
      <c r="U28">
        <v>43.917989746500005</v>
      </c>
      <c r="V28">
        <v>463.92242689964797</v>
      </c>
      <c r="W28">
        <v>309.28161793309863</v>
      </c>
      <c r="Y28" t="s">
        <v>39</v>
      </c>
      <c r="Z28" t="s">
        <v>22</v>
      </c>
      <c r="AA28">
        <v>10620109</v>
      </c>
      <c r="AB28" t="s">
        <v>28</v>
      </c>
      <c r="AC28">
        <v>200</v>
      </c>
      <c r="AD28">
        <f t="shared" si="1"/>
        <v>0</v>
      </c>
    </row>
    <row r="29" spans="1:30" x14ac:dyDescent="0.25">
      <c r="A29" s="17" t="s">
        <v>21</v>
      </c>
      <c r="B29" s="17" t="s">
        <v>22</v>
      </c>
      <c r="C29" s="17" t="s">
        <v>23</v>
      </c>
      <c r="D29" s="17" t="s">
        <v>24</v>
      </c>
      <c r="E29" s="17" t="s">
        <v>25</v>
      </c>
      <c r="F29" s="17" t="s">
        <v>26</v>
      </c>
      <c r="G29" s="17">
        <v>10620109</v>
      </c>
      <c r="H29" s="17" t="s">
        <v>27</v>
      </c>
      <c r="I29" s="17">
        <v>4450</v>
      </c>
      <c r="J29" s="17">
        <v>5.6</v>
      </c>
      <c r="K29" s="17">
        <v>8.4</v>
      </c>
      <c r="L29" s="17">
        <v>249.2</v>
      </c>
      <c r="M29" s="17">
        <v>373.8</v>
      </c>
      <c r="N29" s="17">
        <v>45.357199999999999</v>
      </c>
      <c r="O29" s="17">
        <v>201839.54</v>
      </c>
      <c r="P29" s="17">
        <v>404.97500000000002</v>
      </c>
      <c r="Q29" s="17">
        <v>269.98333333333335</v>
      </c>
      <c r="R29" s="17">
        <v>3532.1919500000004</v>
      </c>
      <c r="S29" s="17">
        <v>16687.5</v>
      </c>
      <c r="T29" s="17">
        <v>222059.23195000002</v>
      </c>
      <c r="U29" s="17">
        <v>49.900951000000006</v>
      </c>
      <c r="V29" s="17">
        <v>445.54420535714297</v>
      </c>
      <c r="W29" s="17">
        <v>297.02947023809531</v>
      </c>
      <c r="X29" s="17"/>
      <c r="Y29" s="17" t="s">
        <v>21</v>
      </c>
      <c r="Z29" s="17" t="s">
        <v>22</v>
      </c>
      <c r="AA29" s="17">
        <v>10620109</v>
      </c>
      <c r="AB29" s="17" t="s">
        <v>27</v>
      </c>
      <c r="AC29" s="17">
        <v>2450</v>
      </c>
      <c r="AD29" s="17">
        <f t="shared" si="1"/>
        <v>2000</v>
      </c>
    </row>
    <row r="30" spans="1:30" x14ac:dyDescent="0.25">
      <c r="A30" s="17" t="s">
        <v>21</v>
      </c>
      <c r="B30" s="17" t="s">
        <v>22</v>
      </c>
      <c r="C30" s="17" t="s">
        <v>23</v>
      </c>
      <c r="D30" s="17" t="s">
        <v>24</v>
      </c>
      <c r="E30" s="17" t="s">
        <v>25</v>
      </c>
      <c r="F30" s="17" t="s">
        <v>26</v>
      </c>
      <c r="G30" s="17">
        <v>10620109</v>
      </c>
      <c r="H30" s="17" t="s">
        <v>28</v>
      </c>
      <c r="I30" s="17">
        <v>530</v>
      </c>
      <c r="J30" s="17">
        <v>3.9</v>
      </c>
      <c r="K30" s="17">
        <v>8.1</v>
      </c>
      <c r="L30" s="17">
        <v>20.67</v>
      </c>
      <c r="M30" s="17">
        <v>42.93</v>
      </c>
      <c r="N30" s="17">
        <v>38.782125900000004</v>
      </c>
      <c r="O30" s="17">
        <v>20554.526727</v>
      </c>
      <c r="P30" s="17">
        <v>417.01210645161296</v>
      </c>
      <c r="Q30" s="17">
        <v>278.00807096774196</v>
      </c>
      <c r="R30" s="17">
        <v>359.70421772250006</v>
      </c>
      <c r="S30" s="17">
        <v>1987.5</v>
      </c>
      <c r="T30" s="17">
        <v>22901.730944722502</v>
      </c>
      <c r="U30" s="17">
        <v>43.210813103250004</v>
      </c>
      <c r="V30" s="17">
        <v>464.63239895967746</v>
      </c>
      <c r="W30" s="17">
        <v>309.75493263978495</v>
      </c>
      <c r="X30" s="17"/>
      <c r="Y30" s="17" t="s">
        <v>21</v>
      </c>
      <c r="Z30" s="17" t="s">
        <v>22</v>
      </c>
      <c r="AA30" s="17">
        <v>10620109</v>
      </c>
      <c r="AB30" s="17" t="s">
        <v>28</v>
      </c>
      <c r="AC30" s="17">
        <v>400</v>
      </c>
      <c r="AD30" s="17">
        <f t="shared" si="1"/>
        <v>130</v>
      </c>
    </row>
    <row r="31" spans="1:30" x14ac:dyDescent="0.25">
      <c r="A31" t="s">
        <v>40</v>
      </c>
      <c r="B31" t="s">
        <v>35</v>
      </c>
      <c r="C31" t="s">
        <v>23</v>
      </c>
      <c r="D31" t="s">
        <v>24</v>
      </c>
      <c r="E31" t="s">
        <v>25</v>
      </c>
      <c r="F31" t="s">
        <v>26</v>
      </c>
      <c r="G31">
        <v>10620109</v>
      </c>
      <c r="H31" t="s">
        <v>27</v>
      </c>
      <c r="I31">
        <v>2500</v>
      </c>
      <c r="J31">
        <v>5.6</v>
      </c>
      <c r="K31">
        <v>8.4</v>
      </c>
      <c r="L31">
        <v>140</v>
      </c>
      <c r="M31">
        <v>210</v>
      </c>
      <c r="N31">
        <v>45.357199999999999</v>
      </c>
      <c r="O31">
        <v>113393</v>
      </c>
      <c r="P31">
        <v>404.97500000000002</v>
      </c>
      <c r="Q31">
        <v>269.98333333333335</v>
      </c>
      <c r="R31">
        <v>1984.3775000000003</v>
      </c>
      <c r="S31">
        <v>9375</v>
      </c>
      <c r="T31">
        <v>124752.3775</v>
      </c>
      <c r="U31">
        <v>49.900950999999999</v>
      </c>
      <c r="V31">
        <v>445.54420535714291</v>
      </c>
      <c r="W31">
        <v>297.02947023809526</v>
      </c>
      <c r="Y31" t="s">
        <v>40</v>
      </c>
      <c r="Z31" t="s">
        <v>35</v>
      </c>
      <c r="AA31">
        <v>10620109</v>
      </c>
      <c r="AB31" t="s">
        <v>27</v>
      </c>
      <c r="AC31">
        <v>2500</v>
      </c>
      <c r="AD31">
        <f t="shared" si="1"/>
        <v>0</v>
      </c>
    </row>
    <row r="32" spans="1:30" x14ac:dyDescent="0.25">
      <c r="A32" t="s">
        <v>40</v>
      </c>
      <c r="B32" t="s">
        <v>35</v>
      </c>
      <c r="C32" t="s">
        <v>23</v>
      </c>
      <c r="D32" t="s">
        <v>24</v>
      </c>
      <c r="E32" t="s">
        <v>25</v>
      </c>
      <c r="F32" t="s">
        <v>26</v>
      </c>
      <c r="G32">
        <v>10620109</v>
      </c>
      <c r="H32" t="s">
        <v>28</v>
      </c>
      <c r="I32">
        <v>500</v>
      </c>
      <c r="J32">
        <v>4</v>
      </c>
      <c r="K32">
        <v>8.5</v>
      </c>
      <c r="L32">
        <v>20</v>
      </c>
      <c r="M32">
        <v>42.5</v>
      </c>
      <c r="N32">
        <v>40.311181500000004</v>
      </c>
      <c r="O32">
        <v>20155.590750000003</v>
      </c>
      <c r="P32">
        <v>417.0122224137931</v>
      </c>
      <c r="Q32">
        <v>278.00814827586208</v>
      </c>
      <c r="R32">
        <v>352.72283812500007</v>
      </c>
      <c r="S32">
        <v>1875</v>
      </c>
      <c r="T32">
        <v>22383.313588125002</v>
      </c>
      <c r="U32">
        <v>44.766627176250005</v>
      </c>
      <c r="V32">
        <v>463.10303975431032</v>
      </c>
      <c r="W32">
        <v>308.7353598362069</v>
      </c>
      <c r="Y32" t="s">
        <v>40</v>
      </c>
      <c r="Z32" t="s">
        <v>35</v>
      </c>
      <c r="AA32">
        <v>10620109</v>
      </c>
      <c r="AB32" t="s">
        <v>28</v>
      </c>
      <c r="AC32">
        <v>500</v>
      </c>
      <c r="AD32">
        <f t="shared" si="1"/>
        <v>0</v>
      </c>
    </row>
    <row r="33" spans="1:30" x14ac:dyDescent="0.25">
      <c r="A33" t="s">
        <v>40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>
        <v>10620109</v>
      </c>
      <c r="H33" t="s">
        <v>27</v>
      </c>
      <c r="I33">
        <v>2300</v>
      </c>
      <c r="J33">
        <v>5.6</v>
      </c>
      <c r="K33">
        <v>8.4</v>
      </c>
      <c r="L33">
        <v>128.80000000000001</v>
      </c>
      <c r="M33">
        <v>193.2</v>
      </c>
      <c r="N33">
        <v>45.357199999999999</v>
      </c>
      <c r="O33">
        <v>104321.56</v>
      </c>
      <c r="P33">
        <v>404.97500000000002</v>
      </c>
      <c r="Q33">
        <v>269.98333333333335</v>
      </c>
      <c r="R33">
        <v>1825.6273000000001</v>
      </c>
      <c r="S33">
        <v>8625</v>
      </c>
      <c r="T33">
        <v>114772.18729999999</v>
      </c>
      <c r="U33">
        <v>49.900950999999999</v>
      </c>
      <c r="V33">
        <v>445.54420535714291</v>
      </c>
      <c r="W33">
        <v>297.02947023809526</v>
      </c>
      <c r="Y33" t="s">
        <v>40</v>
      </c>
      <c r="Z33" t="s">
        <v>22</v>
      </c>
      <c r="AA33">
        <v>10620109</v>
      </c>
      <c r="AB33" t="s">
        <v>27</v>
      </c>
      <c r="AC33">
        <v>2300</v>
      </c>
      <c r="AD33">
        <f t="shared" si="1"/>
        <v>0</v>
      </c>
    </row>
    <row r="34" spans="1:30" x14ac:dyDescent="0.25">
      <c r="A34" t="s">
        <v>40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>
        <v>10620109</v>
      </c>
      <c r="H34" t="s">
        <v>28</v>
      </c>
      <c r="I34">
        <v>460</v>
      </c>
      <c r="J34">
        <v>4</v>
      </c>
      <c r="K34">
        <v>8.5</v>
      </c>
      <c r="L34">
        <v>18.399999999999999</v>
      </c>
      <c r="M34">
        <v>39.1</v>
      </c>
      <c r="N34">
        <v>40.311181500000004</v>
      </c>
      <c r="O34">
        <v>18543.143490000002</v>
      </c>
      <c r="P34">
        <v>417.0122224137931</v>
      </c>
      <c r="Q34">
        <v>278.00814827586208</v>
      </c>
      <c r="R34">
        <v>324.50501107500008</v>
      </c>
      <c r="S34">
        <v>1725</v>
      </c>
      <c r="T34">
        <v>20592.648501075004</v>
      </c>
      <c r="U34">
        <v>44.766627176250012</v>
      </c>
      <c r="V34">
        <v>463.10303975431043</v>
      </c>
      <c r="W34">
        <v>308.73535983620695</v>
      </c>
      <c r="Y34" t="s">
        <v>40</v>
      </c>
      <c r="Z34" t="s">
        <v>22</v>
      </c>
      <c r="AA34">
        <v>10620109</v>
      </c>
      <c r="AB34" t="s">
        <v>28</v>
      </c>
      <c r="AC34">
        <v>460</v>
      </c>
      <c r="AD34">
        <f t="shared" si="1"/>
        <v>0</v>
      </c>
    </row>
    <row r="35" spans="1:30" x14ac:dyDescent="0.25">
      <c r="A35" t="s">
        <v>39</v>
      </c>
      <c r="B35" t="s">
        <v>22</v>
      </c>
      <c r="C35" t="s">
        <v>23</v>
      </c>
      <c r="D35" t="s">
        <v>24</v>
      </c>
      <c r="E35" t="s">
        <v>29</v>
      </c>
      <c r="F35" t="s">
        <v>30</v>
      </c>
      <c r="G35">
        <v>10620116</v>
      </c>
      <c r="H35" t="s">
        <v>28</v>
      </c>
      <c r="I35">
        <v>2840</v>
      </c>
      <c r="J35">
        <v>4.5999999999999996</v>
      </c>
      <c r="K35">
        <v>8.5</v>
      </c>
      <c r="L35">
        <v>130.63999999999999</v>
      </c>
      <c r="M35">
        <v>241.4</v>
      </c>
      <c r="N35">
        <v>42.813181499999999</v>
      </c>
      <c r="O35">
        <v>121589.43545999999</v>
      </c>
      <c r="P35">
        <v>417.01150811688308</v>
      </c>
      <c r="Q35">
        <v>278.00767207792205</v>
      </c>
      <c r="R35">
        <v>2127.8151205500003</v>
      </c>
      <c r="S35">
        <v>10650</v>
      </c>
      <c r="T35">
        <v>134367.25058055</v>
      </c>
      <c r="U35">
        <v>47.31241217625</v>
      </c>
      <c r="V35">
        <v>460.83518353490257</v>
      </c>
      <c r="W35">
        <v>307.22345568993507</v>
      </c>
      <c r="Y35" t="s">
        <v>39</v>
      </c>
      <c r="Z35" t="s">
        <v>22</v>
      </c>
      <c r="AA35">
        <v>10620116</v>
      </c>
      <c r="AB35" t="s">
        <v>28</v>
      </c>
      <c r="AC35">
        <v>2840</v>
      </c>
      <c r="AD35">
        <f t="shared" ref="AD35:AD36" si="2">I35-AC35</f>
        <v>0</v>
      </c>
    </row>
    <row r="36" spans="1:30" x14ac:dyDescent="0.25">
      <c r="A36" s="17" t="s">
        <v>21</v>
      </c>
      <c r="B36" s="17" t="s">
        <v>22</v>
      </c>
      <c r="C36" s="17" t="s">
        <v>23</v>
      </c>
      <c r="D36" s="17" t="s">
        <v>24</v>
      </c>
      <c r="E36" s="17" t="s">
        <v>29</v>
      </c>
      <c r="F36" s="17" t="s">
        <v>30</v>
      </c>
      <c r="G36" s="17">
        <v>10620116</v>
      </c>
      <c r="H36" s="17" t="s">
        <v>28</v>
      </c>
      <c r="I36" s="17">
        <v>2380</v>
      </c>
      <c r="J36" s="17">
        <v>4.5999999999999996</v>
      </c>
      <c r="K36" s="17">
        <v>8.5</v>
      </c>
      <c r="L36" s="17">
        <v>109.48</v>
      </c>
      <c r="M36" s="17">
        <v>202.3</v>
      </c>
      <c r="N36" s="17">
        <v>42.813181499999999</v>
      </c>
      <c r="O36" s="17">
        <v>101895.37196999999</v>
      </c>
      <c r="P36" s="17">
        <v>417.01150811688308</v>
      </c>
      <c r="Q36" s="17">
        <v>278.00767207792205</v>
      </c>
      <c r="R36" s="17">
        <v>1783.1690094749999</v>
      </c>
      <c r="S36" s="17">
        <v>8925</v>
      </c>
      <c r="T36" s="17">
        <v>112603.54097947499</v>
      </c>
      <c r="U36" s="17">
        <v>47.312412176249993</v>
      </c>
      <c r="V36" s="17">
        <v>460.83518353490251</v>
      </c>
      <c r="W36" s="17">
        <v>307.22345568993501</v>
      </c>
      <c r="X36" s="17"/>
      <c r="Y36" s="17"/>
      <c r="Z36" s="17"/>
      <c r="AA36" s="17"/>
      <c r="AB36" s="17"/>
      <c r="AC36" s="17"/>
      <c r="AD36" s="17">
        <f t="shared" si="2"/>
        <v>2380</v>
      </c>
    </row>
    <row r="37" spans="1:30" x14ac:dyDescent="0.25">
      <c r="AD37">
        <f>SUM(AD3:AD36)</f>
        <v>11770</v>
      </c>
    </row>
  </sheetData>
  <mergeCells count="2">
    <mergeCell ref="A1:I1"/>
    <mergeCell ref="Y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2026-06-04T06:40:02Z</dcterms:created>
  <dcterms:modified xsi:type="dcterms:W3CDTF">2026-06-04T07:59:37Z</dcterms:modified>
</cp:coreProperties>
</file>